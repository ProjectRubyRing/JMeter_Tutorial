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C:\Users\taka_\AppData\Local\Temp\claude\C--Users-taka--Claude-JMeter-Tutorial\3373d5f5-fd0d-47bc-8ca8-6f008b4ab6de\scratchpad\out\"/>
    </mc:Choice>
  </mc:AlternateContent>
  <xr:revisionPtr revIDLastSave="0" documentId="8_{DA32DB18-386C-485B-8884-73457A6CCF4B}" xr6:coauthVersionLast="47" xr6:coauthVersionMax="47" xr10:uidLastSave="{00000000-0000-0000-0000-000000000000}"/>
  <bookViews>
    <workbookView xWindow="21285" yWindow="-13785" windowWidth="19200" windowHeight="12000" xr2:uid="{00000000-000D-0000-FFFF-FFFF00000000}"/>
  </bookViews>
  <sheets>
    <sheet name="表紙" sheetId="1" r:id="rId1"/>
    <sheet name="目次" sheetId="2" r:id="rId2"/>
    <sheet name="00_全体像と準備" sheetId="3" r:id="rId3"/>
    <sheet name="01_Windows導入" sheetId="4" r:id="rId4"/>
    <sheet name="02_画面の基本" sheetId="5" r:id="rId5"/>
    <sheet name="03_機能一覧" sheetId="6" r:id="rId6"/>
    <sheet name="04_シナリオ作成" sheetId="7" r:id="rId7"/>
    <sheet name="05_正規表現抽出" sheetId="8" r:id="rId8"/>
    <sheet name="06_GUI実行" sheetId="9" r:id="rId9"/>
    <sheet name="07_結果の見方" sheetId="10" r:id="rId10"/>
    <sheet name="08_確認観点" sheetId="11" r:id="rId11"/>
    <sheet name="09_注意点" sheetId="12" r:id="rId12"/>
    <sheet name="10_Linux準備" sheetId="13" r:id="rId13"/>
    <sheet name="11_転送と配置" sheetId="14" r:id="rId14"/>
    <sheet name="12_CLI実行と監視" sheetId="15" r:id="rId15"/>
    <sheet name="13_結果回収" sheetId="16" r:id="rId16"/>
    <sheet name="14_Excel取込" sheetId="17" r:id="rId17"/>
    <sheet name="15_Excel分析" sheetId="18" r:id="rId18"/>
    <sheet name="16_JTLサンプル" sheetId="19" r:id="rId19"/>
    <sheet name="17_分析サンプル" sheetId="20" r:id="rId20"/>
    <sheet name="18_報告書様式" sheetId="21" r:id="rId21"/>
    <sheet name="19_実施記録" sheetId="22" r:id="rId22"/>
    <sheet name="付録A_コマンド集" sheetId="23" r:id="rId23"/>
    <sheet name="付録B_トラブル対応" sheetId="24" r:id="rId24"/>
    <sheet name="付録C_用語集" sheetId="25" r:id="rId25"/>
    <sheet name="付録D_画像差込一覧" sheetId="26" r:id="rId26"/>
    <sheet name="付録E_完成版jmx" sheetId="27" r:id="rId27"/>
  </sheets>
  <definedNames>
    <definedName name="_xlnm.Print_Area" localSheetId="0">表紙!$A$1:$I$35</definedName>
    <definedName name="_xlnm.Print_Titles" localSheetId="2">'00_全体像と準備'!$1:$2</definedName>
    <definedName name="_xlnm.Print_Titles" localSheetId="3">'01_Windows導入'!$1:$2</definedName>
    <definedName name="_xlnm.Print_Titles" localSheetId="4">'02_画面の基本'!$1:$2</definedName>
    <definedName name="_xlnm.Print_Titles" localSheetId="5">'03_機能一覧'!$1:$2</definedName>
    <definedName name="_xlnm.Print_Titles" localSheetId="6">'04_シナリオ作成'!$1:$2</definedName>
    <definedName name="_xlnm.Print_Titles" localSheetId="7">'05_正規表現抽出'!$1:$2</definedName>
    <definedName name="_xlnm.Print_Titles" localSheetId="8">'06_GUI実行'!$1:$2</definedName>
    <definedName name="_xlnm.Print_Titles" localSheetId="9">'07_結果の見方'!$1:$2</definedName>
    <definedName name="_xlnm.Print_Titles" localSheetId="10">'08_確認観点'!$1:$2</definedName>
    <definedName name="_xlnm.Print_Titles" localSheetId="11">'09_注意点'!$1:$2</definedName>
    <definedName name="_xlnm.Print_Titles" localSheetId="12">'10_Linux準備'!$1:$2</definedName>
    <definedName name="_xlnm.Print_Titles" localSheetId="13">'11_転送と配置'!$1:$2</definedName>
    <definedName name="_xlnm.Print_Titles" localSheetId="14">'12_CLI実行と監視'!$1:$2</definedName>
    <definedName name="_xlnm.Print_Titles" localSheetId="15">'13_結果回収'!$1:$2</definedName>
    <definedName name="_xlnm.Print_Titles" localSheetId="16">'14_Excel取込'!$1:$2</definedName>
    <definedName name="_xlnm.Print_Titles" localSheetId="17">'15_Excel分析'!$1:$2</definedName>
    <definedName name="_xlnm.Print_Titles" localSheetId="18">'16_JTLサンプル'!$5:$5</definedName>
    <definedName name="_xlnm.Print_Titles" localSheetId="19">'17_分析サンプル'!$1:$2</definedName>
    <definedName name="_xlnm.Print_Titles" localSheetId="20">'18_報告書様式'!$1:$2</definedName>
    <definedName name="_xlnm.Print_Titles" localSheetId="21">'19_実施記録'!$1:$2</definedName>
    <definedName name="_xlnm.Print_Titles" localSheetId="0">表紙!$1:$2</definedName>
    <definedName name="_xlnm.Print_Titles" localSheetId="22">付録A_コマンド集!$1:$2</definedName>
    <definedName name="_xlnm.Print_Titles" localSheetId="23">付録B_トラブル対応!$1:$2</definedName>
    <definedName name="_xlnm.Print_Titles" localSheetId="24">付録C_用語集!$1:$2</definedName>
    <definedName name="_xlnm.Print_Titles" localSheetId="25">付録D_画像差込一覧!$1:$2</definedName>
    <definedName name="_xlnm.Print_Titles" localSheetId="26">付録E_完成版jmx!$1:$2</definedName>
    <definedName name="_xlnm.Print_Titles" localSheetId="1">目次!$1:$2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6" i="21" l="1"/>
  <c r="B75" i="21"/>
  <c r="B74" i="21"/>
  <c r="D68" i="21"/>
  <c r="D67" i="21"/>
  <c r="D66" i="21"/>
  <c r="J73" i="20"/>
  <c r="J72" i="20"/>
  <c r="J71" i="20"/>
  <c r="J70" i="20"/>
  <c r="J69" i="20"/>
  <c r="J68" i="20"/>
  <c r="J67" i="20"/>
  <c r="J66" i="20"/>
  <c r="J65" i="20"/>
  <c r="J64" i="20"/>
  <c r="J63" i="20"/>
  <c r="H55" i="20"/>
  <c r="F55" i="20"/>
  <c r="E55" i="20"/>
  <c r="D55" i="20"/>
  <c r="C55" i="20"/>
  <c r="H54" i="20"/>
  <c r="F54" i="20"/>
  <c r="E54" i="20"/>
  <c r="D54" i="20"/>
  <c r="C54" i="20"/>
  <c r="H53" i="20"/>
  <c r="F53" i="20"/>
  <c r="F56" i="20" s="1"/>
  <c r="E53" i="20"/>
  <c r="E56" i="20" s="1"/>
  <c r="D53" i="20"/>
  <c r="C53" i="20"/>
  <c r="J37" i="20"/>
  <c r="I37" i="20"/>
  <c r="H37" i="20"/>
  <c r="G37" i="20"/>
  <c r="F37" i="20"/>
  <c r="E37" i="20"/>
  <c r="D37" i="20"/>
  <c r="C37" i="20"/>
  <c r="J36" i="20"/>
  <c r="I36" i="20"/>
  <c r="H36" i="20"/>
  <c r="G36" i="20"/>
  <c r="F36" i="20"/>
  <c r="E36" i="20"/>
  <c r="D36" i="20"/>
  <c r="C36" i="20"/>
  <c r="J35" i="20"/>
  <c r="I35" i="20"/>
  <c r="H35" i="20"/>
  <c r="G35" i="20"/>
  <c r="F35" i="20"/>
  <c r="E35" i="20"/>
  <c r="D35" i="20"/>
  <c r="C35" i="20"/>
  <c r="N34" i="20"/>
  <c r="K34" i="20"/>
  <c r="J34" i="20"/>
  <c r="I34" i="20"/>
  <c r="H34" i="20"/>
  <c r="G34" i="20"/>
  <c r="F34" i="20"/>
  <c r="E34" i="20"/>
  <c r="D34" i="20"/>
  <c r="C34" i="20"/>
  <c r="E25" i="20"/>
  <c r="E22" i="20"/>
  <c r="E18" i="20"/>
  <c r="W2482" i="19"/>
  <c r="T2482" i="19"/>
  <c r="S2482" i="19"/>
  <c r="W2481" i="19"/>
  <c r="T2481" i="19"/>
  <c r="S2481" i="19"/>
  <c r="W2480" i="19"/>
  <c r="T2480" i="19"/>
  <c r="S2480" i="19"/>
  <c r="W2479" i="19"/>
  <c r="T2479" i="19"/>
  <c r="S2479" i="19"/>
  <c r="W2478" i="19"/>
  <c r="U2478" i="19"/>
  <c r="T2478" i="19"/>
  <c r="S2478" i="19"/>
  <c r="W2477" i="19"/>
  <c r="U2477" i="19"/>
  <c r="T2477" i="19"/>
  <c r="S2477" i="19"/>
  <c r="W2476" i="19"/>
  <c r="U2476" i="19"/>
  <c r="T2476" i="19"/>
  <c r="S2476" i="19"/>
  <c r="W2475" i="19"/>
  <c r="U2475" i="19"/>
  <c r="T2475" i="19"/>
  <c r="S2475" i="19"/>
  <c r="W2474" i="19"/>
  <c r="U2474" i="19"/>
  <c r="T2474" i="19"/>
  <c r="S2474" i="19"/>
  <c r="W2473" i="19"/>
  <c r="U2473" i="19"/>
  <c r="T2473" i="19"/>
  <c r="S2473" i="19"/>
  <c r="W2472" i="19"/>
  <c r="U2472" i="19"/>
  <c r="T2472" i="19"/>
  <c r="S2472" i="19"/>
  <c r="W2471" i="19"/>
  <c r="U2471" i="19"/>
  <c r="T2471" i="19"/>
  <c r="S2471" i="19"/>
  <c r="W2470" i="19"/>
  <c r="U2470" i="19"/>
  <c r="T2470" i="19"/>
  <c r="S2470" i="19"/>
  <c r="W2469" i="19"/>
  <c r="U2469" i="19"/>
  <c r="T2469" i="19"/>
  <c r="S2469" i="19"/>
  <c r="W2468" i="19"/>
  <c r="U2468" i="19"/>
  <c r="T2468" i="19"/>
  <c r="S2468" i="19"/>
  <c r="W2467" i="19"/>
  <c r="U2467" i="19"/>
  <c r="T2467" i="19"/>
  <c r="S2467" i="19"/>
  <c r="W2466" i="19"/>
  <c r="U2466" i="19"/>
  <c r="T2466" i="19"/>
  <c r="S2466" i="19"/>
  <c r="W2465" i="19"/>
  <c r="U2465" i="19"/>
  <c r="T2465" i="19"/>
  <c r="S2465" i="19"/>
  <c r="W2464" i="19"/>
  <c r="U2464" i="19"/>
  <c r="T2464" i="19"/>
  <c r="S2464" i="19"/>
  <c r="W2463" i="19"/>
  <c r="U2463" i="19"/>
  <c r="T2463" i="19"/>
  <c r="S2463" i="19"/>
  <c r="W2462" i="19"/>
  <c r="U2462" i="19"/>
  <c r="T2462" i="19"/>
  <c r="S2462" i="19"/>
  <c r="W2461" i="19"/>
  <c r="U2461" i="19"/>
  <c r="T2461" i="19"/>
  <c r="S2461" i="19"/>
  <c r="W2460" i="19"/>
  <c r="U2460" i="19"/>
  <c r="T2460" i="19"/>
  <c r="S2460" i="19"/>
  <c r="W2459" i="19"/>
  <c r="U2459" i="19"/>
  <c r="T2459" i="19"/>
  <c r="S2459" i="19"/>
  <c r="W2458" i="19"/>
  <c r="U2458" i="19"/>
  <c r="T2458" i="19"/>
  <c r="S2458" i="19"/>
  <c r="W2457" i="19"/>
  <c r="U2457" i="19"/>
  <c r="T2457" i="19"/>
  <c r="S2457" i="19"/>
  <c r="W2456" i="19"/>
  <c r="U2456" i="19"/>
  <c r="T2456" i="19"/>
  <c r="S2456" i="19"/>
  <c r="W2455" i="19"/>
  <c r="U2455" i="19"/>
  <c r="T2455" i="19"/>
  <c r="S2455" i="19"/>
  <c r="W2454" i="19"/>
  <c r="U2454" i="19"/>
  <c r="T2454" i="19"/>
  <c r="S2454" i="19"/>
  <c r="W2453" i="19"/>
  <c r="U2453" i="19"/>
  <c r="T2453" i="19"/>
  <c r="S2453" i="19"/>
  <c r="W2452" i="19"/>
  <c r="U2452" i="19"/>
  <c r="T2452" i="19"/>
  <c r="S2452" i="19"/>
  <c r="W2451" i="19"/>
  <c r="U2451" i="19"/>
  <c r="T2451" i="19"/>
  <c r="S2451" i="19"/>
  <c r="W2450" i="19"/>
  <c r="U2450" i="19"/>
  <c r="T2450" i="19"/>
  <c r="S2450" i="19"/>
  <c r="W2449" i="19"/>
  <c r="U2449" i="19"/>
  <c r="T2449" i="19"/>
  <c r="S2449" i="19"/>
  <c r="W2448" i="19"/>
  <c r="U2448" i="19"/>
  <c r="T2448" i="19"/>
  <c r="S2448" i="19"/>
  <c r="W2447" i="19"/>
  <c r="U2447" i="19"/>
  <c r="T2447" i="19"/>
  <c r="S2447" i="19"/>
  <c r="W2446" i="19"/>
  <c r="U2446" i="19"/>
  <c r="T2446" i="19"/>
  <c r="S2446" i="19"/>
  <c r="W2445" i="19"/>
  <c r="U2445" i="19"/>
  <c r="T2445" i="19"/>
  <c r="S2445" i="19"/>
  <c r="W2444" i="19"/>
  <c r="U2444" i="19"/>
  <c r="T2444" i="19"/>
  <c r="S2444" i="19"/>
  <c r="W2443" i="19"/>
  <c r="U2443" i="19"/>
  <c r="T2443" i="19"/>
  <c r="S2443" i="19"/>
  <c r="W2442" i="19"/>
  <c r="U2442" i="19"/>
  <c r="T2442" i="19"/>
  <c r="S2442" i="19"/>
  <c r="W2441" i="19"/>
  <c r="U2441" i="19"/>
  <c r="T2441" i="19"/>
  <c r="S2441" i="19"/>
  <c r="W2440" i="19"/>
  <c r="U2440" i="19"/>
  <c r="T2440" i="19"/>
  <c r="S2440" i="19"/>
  <c r="W2439" i="19"/>
  <c r="U2439" i="19"/>
  <c r="T2439" i="19"/>
  <c r="S2439" i="19"/>
  <c r="W2438" i="19"/>
  <c r="U2438" i="19"/>
  <c r="T2438" i="19"/>
  <c r="S2438" i="19"/>
  <c r="W2437" i="19"/>
  <c r="U2437" i="19"/>
  <c r="T2437" i="19"/>
  <c r="S2437" i="19"/>
  <c r="W2436" i="19"/>
  <c r="U2436" i="19"/>
  <c r="T2436" i="19"/>
  <c r="S2436" i="19"/>
  <c r="W2435" i="19"/>
  <c r="U2435" i="19"/>
  <c r="T2435" i="19"/>
  <c r="S2435" i="19"/>
  <c r="W2434" i="19"/>
  <c r="U2434" i="19"/>
  <c r="T2434" i="19"/>
  <c r="S2434" i="19"/>
  <c r="W2433" i="19"/>
  <c r="U2433" i="19"/>
  <c r="T2433" i="19"/>
  <c r="S2433" i="19"/>
  <c r="W2432" i="19"/>
  <c r="U2432" i="19"/>
  <c r="T2432" i="19"/>
  <c r="S2432" i="19"/>
  <c r="W2431" i="19"/>
  <c r="U2431" i="19"/>
  <c r="T2431" i="19"/>
  <c r="S2431" i="19"/>
  <c r="W2430" i="19"/>
  <c r="U2430" i="19"/>
  <c r="T2430" i="19"/>
  <c r="S2430" i="19"/>
  <c r="W2429" i="19"/>
  <c r="U2429" i="19"/>
  <c r="T2429" i="19"/>
  <c r="S2429" i="19"/>
  <c r="W2428" i="19"/>
  <c r="U2428" i="19"/>
  <c r="T2428" i="19"/>
  <c r="S2428" i="19"/>
  <c r="W2427" i="19"/>
  <c r="U2427" i="19"/>
  <c r="T2427" i="19"/>
  <c r="S2427" i="19"/>
  <c r="W2426" i="19"/>
  <c r="U2426" i="19"/>
  <c r="T2426" i="19"/>
  <c r="S2426" i="19"/>
  <c r="W2425" i="19"/>
  <c r="U2425" i="19"/>
  <c r="T2425" i="19"/>
  <c r="S2425" i="19"/>
  <c r="W2424" i="19"/>
  <c r="U2424" i="19"/>
  <c r="T2424" i="19"/>
  <c r="S2424" i="19"/>
  <c r="W2423" i="19"/>
  <c r="U2423" i="19"/>
  <c r="T2423" i="19"/>
  <c r="S2423" i="19"/>
  <c r="W2422" i="19"/>
  <c r="U2422" i="19"/>
  <c r="T2422" i="19"/>
  <c r="S2422" i="19"/>
  <c r="W2421" i="19"/>
  <c r="U2421" i="19"/>
  <c r="T2421" i="19"/>
  <c r="S2421" i="19"/>
  <c r="W2420" i="19"/>
  <c r="U2420" i="19"/>
  <c r="T2420" i="19"/>
  <c r="S2420" i="19"/>
  <c r="W2419" i="19"/>
  <c r="U2419" i="19"/>
  <c r="T2419" i="19"/>
  <c r="S2419" i="19"/>
  <c r="W2418" i="19"/>
  <c r="U2418" i="19"/>
  <c r="T2418" i="19"/>
  <c r="S2418" i="19"/>
  <c r="W2417" i="19"/>
  <c r="U2417" i="19"/>
  <c r="T2417" i="19"/>
  <c r="S2417" i="19"/>
  <c r="W2416" i="19"/>
  <c r="U2416" i="19"/>
  <c r="T2416" i="19"/>
  <c r="S2416" i="19"/>
  <c r="W2415" i="19"/>
  <c r="U2415" i="19"/>
  <c r="T2415" i="19"/>
  <c r="S2415" i="19"/>
  <c r="W2414" i="19"/>
  <c r="U2414" i="19"/>
  <c r="T2414" i="19"/>
  <c r="S2414" i="19"/>
  <c r="W2413" i="19"/>
  <c r="U2413" i="19"/>
  <c r="T2413" i="19"/>
  <c r="S2413" i="19"/>
  <c r="W2412" i="19"/>
  <c r="U2412" i="19"/>
  <c r="T2412" i="19"/>
  <c r="S2412" i="19"/>
  <c r="W2411" i="19"/>
  <c r="U2411" i="19"/>
  <c r="T2411" i="19"/>
  <c r="S2411" i="19"/>
  <c r="W2410" i="19"/>
  <c r="U2410" i="19"/>
  <c r="T2410" i="19"/>
  <c r="S2410" i="19"/>
  <c r="W2409" i="19"/>
  <c r="U2409" i="19"/>
  <c r="T2409" i="19"/>
  <c r="S2409" i="19"/>
  <c r="W2408" i="19"/>
  <c r="U2408" i="19"/>
  <c r="T2408" i="19"/>
  <c r="S2408" i="19"/>
  <c r="W2407" i="19"/>
  <c r="U2407" i="19"/>
  <c r="T2407" i="19"/>
  <c r="S2407" i="19"/>
  <c r="W2406" i="19"/>
  <c r="U2406" i="19"/>
  <c r="T2406" i="19"/>
  <c r="S2406" i="19"/>
  <c r="W2405" i="19"/>
  <c r="U2405" i="19"/>
  <c r="T2405" i="19"/>
  <c r="S2405" i="19"/>
  <c r="W2404" i="19"/>
  <c r="U2404" i="19"/>
  <c r="T2404" i="19"/>
  <c r="S2404" i="19"/>
  <c r="W2403" i="19"/>
  <c r="U2403" i="19"/>
  <c r="T2403" i="19"/>
  <c r="S2403" i="19"/>
  <c r="W2402" i="19"/>
  <c r="U2402" i="19"/>
  <c r="T2402" i="19"/>
  <c r="S2402" i="19"/>
  <c r="W2401" i="19"/>
  <c r="U2401" i="19"/>
  <c r="T2401" i="19"/>
  <c r="S2401" i="19"/>
  <c r="W2400" i="19"/>
  <c r="U2400" i="19"/>
  <c r="T2400" i="19"/>
  <c r="S2400" i="19"/>
  <c r="W2399" i="19"/>
  <c r="U2399" i="19"/>
  <c r="T2399" i="19"/>
  <c r="S2399" i="19"/>
  <c r="W2398" i="19"/>
  <c r="U2398" i="19"/>
  <c r="T2398" i="19"/>
  <c r="S2398" i="19"/>
  <c r="W2397" i="19"/>
  <c r="U2397" i="19"/>
  <c r="T2397" i="19"/>
  <c r="S2397" i="19"/>
  <c r="W2396" i="19"/>
  <c r="U2396" i="19"/>
  <c r="T2396" i="19"/>
  <c r="S2396" i="19"/>
  <c r="W2395" i="19"/>
  <c r="U2395" i="19"/>
  <c r="T2395" i="19"/>
  <c r="S2395" i="19"/>
  <c r="W2394" i="19"/>
  <c r="U2394" i="19"/>
  <c r="T2394" i="19"/>
  <c r="S2394" i="19"/>
  <c r="W2393" i="19"/>
  <c r="U2393" i="19"/>
  <c r="T2393" i="19"/>
  <c r="S2393" i="19"/>
  <c r="W2392" i="19"/>
  <c r="U2392" i="19"/>
  <c r="T2392" i="19"/>
  <c r="S2392" i="19"/>
  <c r="W2391" i="19"/>
  <c r="U2391" i="19"/>
  <c r="T2391" i="19"/>
  <c r="S2391" i="19"/>
  <c r="W2390" i="19"/>
  <c r="U2390" i="19"/>
  <c r="T2390" i="19"/>
  <c r="S2390" i="19"/>
  <c r="W2389" i="19"/>
  <c r="U2389" i="19"/>
  <c r="T2389" i="19"/>
  <c r="S2389" i="19"/>
  <c r="W2388" i="19"/>
  <c r="U2388" i="19"/>
  <c r="T2388" i="19"/>
  <c r="S2388" i="19"/>
  <c r="W2387" i="19"/>
  <c r="U2387" i="19"/>
  <c r="T2387" i="19"/>
  <c r="S2387" i="19"/>
  <c r="W2386" i="19"/>
  <c r="U2386" i="19"/>
  <c r="T2386" i="19"/>
  <c r="S2386" i="19"/>
  <c r="W2385" i="19"/>
  <c r="U2385" i="19"/>
  <c r="T2385" i="19"/>
  <c r="S2385" i="19"/>
  <c r="W2384" i="19"/>
  <c r="U2384" i="19"/>
  <c r="T2384" i="19"/>
  <c r="S2384" i="19"/>
  <c r="W2383" i="19"/>
  <c r="U2383" i="19"/>
  <c r="T2383" i="19"/>
  <c r="S2383" i="19"/>
  <c r="W2382" i="19"/>
  <c r="U2382" i="19"/>
  <c r="T2382" i="19"/>
  <c r="S2382" i="19"/>
  <c r="W2381" i="19"/>
  <c r="U2381" i="19"/>
  <c r="T2381" i="19"/>
  <c r="S2381" i="19"/>
  <c r="W2380" i="19"/>
  <c r="U2380" i="19"/>
  <c r="T2380" i="19"/>
  <c r="S2380" i="19"/>
  <c r="W2379" i="19"/>
  <c r="U2379" i="19"/>
  <c r="T2379" i="19"/>
  <c r="S2379" i="19"/>
  <c r="W2378" i="19"/>
  <c r="U2378" i="19"/>
  <c r="T2378" i="19"/>
  <c r="S2378" i="19"/>
  <c r="W2377" i="19"/>
  <c r="U2377" i="19"/>
  <c r="T2377" i="19"/>
  <c r="S2377" i="19"/>
  <c r="W2376" i="19"/>
  <c r="U2376" i="19"/>
  <c r="T2376" i="19"/>
  <c r="S2376" i="19"/>
  <c r="W2375" i="19"/>
  <c r="U2375" i="19"/>
  <c r="T2375" i="19"/>
  <c r="S2375" i="19"/>
  <c r="W2374" i="19"/>
  <c r="U2374" i="19"/>
  <c r="T2374" i="19"/>
  <c r="S2374" i="19"/>
  <c r="W2373" i="19"/>
  <c r="U2373" i="19"/>
  <c r="T2373" i="19"/>
  <c r="S2373" i="19"/>
  <c r="W2372" i="19"/>
  <c r="U2372" i="19"/>
  <c r="T2372" i="19"/>
  <c r="S2372" i="19"/>
  <c r="W2371" i="19"/>
  <c r="U2371" i="19"/>
  <c r="T2371" i="19"/>
  <c r="S2371" i="19"/>
  <c r="W2370" i="19"/>
  <c r="U2370" i="19"/>
  <c r="T2370" i="19"/>
  <c r="S2370" i="19"/>
  <c r="W2369" i="19"/>
  <c r="U2369" i="19"/>
  <c r="T2369" i="19"/>
  <c r="S2369" i="19"/>
  <c r="W2368" i="19"/>
  <c r="U2368" i="19"/>
  <c r="T2368" i="19"/>
  <c r="S2368" i="19"/>
  <c r="W2367" i="19"/>
  <c r="U2367" i="19"/>
  <c r="T2367" i="19"/>
  <c r="S2367" i="19"/>
  <c r="W2366" i="19"/>
  <c r="U2366" i="19"/>
  <c r="T2366" i="19"/>
  <c r="S2366" i="19"/>
  <c r="W2365" i="19"/>
  <c r="U2365" i="19"/>
  <c r="T2365" i="19"/>
  <c r="S2365" i="19"/>
  <c r="W2364" i="19"/>
  <c r="U2364" i="19"/>
  <c r="T2364" i="19"/>
  <c r="S2364" i="19"/>
  <c r="W2363" i="19"/>
  <c r="U2363" i="19"/>
  <c r="T2363" i="19"/>
  <c r="S2363" i="19"/>
  <c r="W2362" i="19"/>
  <c r="U2362" i="19"/>
  <c r="T2362" i="19"/>
  <c r="S2362" i="19"/>
  <c r="W2361" i="19"/>
  <c r="U2361" i="19"/>
  <c r="T2361" i="19"/>
  <c r="S2361" i="19"/>
  <c r="W2360" i="19"/>
  <c r="U2360" i="19"/>
  <c r="T2360" i="19"/>
  <c r="S2360" i="19"/>
  <c r="W2359" i="19"/>
  <c r="U2359" i="19"/>
  <c r="T2359" i="19"/>
  <c r="S2359" i="19"/>
  <c r="W2358" i="19"/>
  <c r="U2358" i="19"/>
  <c r="T2358" i="19"/>
  <c r="S2358" i="19"/>
  <c r="W2357" i="19"/>
  <c r="U2357" i="19"/>
  <c r="T2357" i="19"/>
  <c r="S2357" i="19"/>
  <c r="W2356" i="19"/>
  <c r="U2356" i="19"/>
  <c r="T2356" i="19"/>
  <c r="S2356" i="19"/>
  <c r="W2355" i="19"/>
  <c r="U2355" i="19"/>
  <c r="T2355" i="19"/>
  <c r="S2355" i="19"/>
  <c r="W2354" i="19"/>
  <c r="U2354" i="19"/>
  <c r="T2354" i="19"/>
  <c r="S2354" i="19"/>
  <c r="W2353" i="19"/>
  <c r="U2353" i="19"/>
  <c r="T2353" i="19"/>
  <c r="S2353" i="19"/>
  <c r="W2352" i="19"/>
  <c r="U2352" i="19"/>
  <c r="T2352" i="19"/>
  <c r="S2352" i="19"/>
  <c r="W2351" i="19"/>
  <c r="U2351" i="19"/>
  <c r="T2351" i="19"/>
  <c r="S2351" i="19"/>
  <c r="W2350" i="19"/>
  <c r="U2350" i="19"/>
  <c r="T2350" i="19"/>
  <c r="S2350" i="19"/>
  <c r="W2349" i="19"/>
  <c r="U2349" i="19"/>
  <c r="T2349" i="19"/>
  <c r="S2349" i="19"/>
  <c r="W2348" i="19"/>
  <c r="U2348" i="19"/>
  <c r="T2348" i="19"/>
  <c r="S2348" i="19"/>
  <c r="W2347" i="19"/>
  <c r="U2347" i="19"/>
  <c r="T2347" i="19"/>
  <c r="S2347" i="19"/>
  <c r="W2346" i="19"/>
  <c r="U2346" i="19"/>
  <c r="T2346" i="19"/>
  <c r="S2346" i="19"/>
  <c r="W2345" i="19"/>
  <c r="U2345" i="19"/>
  <c r="T2345" i="19"/>
  <c r="S2345" i="19"/>
  <c r="W2344" i="19"/>
  <c r="U2344" i="19"/>
  <c r="T2344" i="19"/>
  <c r="S2344" i="19"/>
  <c r="W2343" i="19"/>
  <c r="U2343" i="19"/>
  <c r="T2343" i="19"/>
  <c r="S2343" i="19"/>
  <c r="W2342" i="19"/>
  <c r="U2342" i="19"/>
  <c r="T2342" i="19"/>
  <c r="S2342" i="19"/>
  <c r="W2341" i="19"/>
  <c r="U2341" i="19"/>
  <c r="T2341" i="19"/>
  <c r="S2341" i="19"/>
  <c r="W2340" i="19"/>
  <c r="T2340" i="19"/>
  <c r="S2340" i="19"/>
  <c r="W2339" i="19"/>
  <c r="T2339" i="19"/>
  <c r="S2339" i="19"/>
  <c r="W2338" i="19"/>
  <c r="T2338" i="19"/>
  <c r="S2338" i="19"/>
  <c r="W2337" i="19"/>
  <c r="T2337" i="19"/>
  <c r="S2337" i="19"/>
  <c r="W2336" i="19"/>
  <c r="T2336" i="19"/>
  <c r="S2336" i="19"/>
  <c r="W2335" i="19"/>
  <c r="T2335" i="19"/>
  <c r="S2335" i="19"/>
  <c r="W2334" i="19"/>
  <c r="T2334" i="19"/>
  <c r="S2334" i="19"/>
  <c r="W2333" i="19"/>
  <c r="T2333" i="19"/>
  <c r="S2333" i="19"/>
  <c r="W2332" i="19"/>
  <c r="T2332" i="19"/>
  <c r="S2332" i="19"/>
  <c r="W2331" i="19"/>
  <c r="T2331" i="19"/>
  <c r="S2331" i="19"/>
  <c r="W2330" i="19"/>
  <c r="T2330" i="19"/>
  <c r="S2330" i="19"/>
  <c r="W2329" i="19"/>
  <c r="T2329" i="19"/>
  <c r="S2329" i="19"/>
  <c r="W2328" i="19"/>
  <c r="T2328" i="19"/>
  <c r="S2328" i="19"/>
  <c r="W2327" i="19"/>
  <c r="T2327" i="19"/>
  <c r="S2327" i="19"/>
  <c r="W2326" i="19"/>
  <c r="T2326" i="19"/>
  <c r="S2326" i="19"/>
  <c r="W2325" i="19"/>
  <c r="T2325" i="19"/>
  <c r="S2325" i="19"/>
  <c r="W2324" i="19"/>
  <c r="T2324" i="19"/>
  <c r="S2324" i="19"/>
  <c r="W2323" i="19"/>
  <c r="T2323" i="19"/>
  <c r="S2323" i="19"/>
  <c r="W2322" i="19"/>
  <c r="T2322" i="19"/>
  <c r="S2322" i="19"/>
  <c r="W2321" i="19"/>
  <c r="T2321" i="19"/>
  <c r="S2321" i="19"/>
  <c r="W2320" i="19"/>
  <c r="T2320" i="19"/>
  <c r="S2320" i="19"/>
  <c r="W2319" i="19"/>
  <c r="T2319" i="19"/>
  <c r="S2319" i="19"/>
  <c r="W2318" i="19"/>
  <c r="T2318" i="19"/>
  <c r="S2318" i="19"/>
  <c r="W2317" i="19"/>
  <c r="T2317" i="19"/>
  <c r="S2317" i="19"/>
  <c r="W2316" i="19"/>
  <c r="T2316" i="19"/>
  <c r="S2316" i="19"/>
  <c r="W2315" i="19"/>
  <c r="T2315" i="19"/>
  <c r="S2315" i="19"/>
  <c r="W2314" i="19"/>
  <c r="T2314" i="19"/>
  <c r="S2314" i="19"/>
  <c r="W2313" i="19"/>
  <c r="T2313" i="19"/>
  <c r="S2313" i="19"/>
  <c r="W2312" i="19"/>
  <c r="T2312" i="19"/>
  <c r="S2312" i="19"/>
  <c r="W2311" i="19"/>
  <c r="T2311" i="19"/>
  <c r="S2311" i="19"/>
  <c r="W2310" i="19"/>
  <c r="T2310" i="19"/>
  <c r="S2310" i="19"/>
  <c r="W2309" i="19"/>
  <c r="T2309" i="19"/>
  <c r="S2309" i="19"/>
  <c r="W2308" i="19"/>
  <c r="T2308" i="19"/>
  <c r="S2308" i="19"/>
  <c r="W2307" i="19"/>
  <c r="T2307" i="19"/>
  <c r="S2307" i="19"/>
  <c r="W2306" i="19"/>
  <c r="T2306" i="19"/>
  <c r="S2306" i="19"/>
  <c r="W2305" i="19"/>
  <c r="T2305" i="19"/>
  <c r="S2305" i="19"/>
  <c r="W2304" i="19"/>
  <c r="T2304" i="19"/>
  <c r="S2304" i="19"/>
  <c r="W2303" i="19"/>
  <c r="T2303" i="19"/>
  <c r="S2303" i="19"/>
  <c r="W2302" i="19"/>
  <c r="T2302" i="19"/>
  <c r="S2302" i="19"/>
  <c r="W2301" i="19"/>
  <c r="T2301" i="19"/>
  <c r="S2301" i="19"/>
  <c r="W2300" i="19"/>
  <c r="T2300" i="19"/>
  <c r="S2300" i="19"/>
  <c r="W2299" i="19"/>
  <c r="T2299" i="19"/>
  <c r="S2299" i="19"/>
  <c r="W2298" i="19"/>
  <c r="T2298" i="19"/>
  <c r="S2298" i="19"/>
  <c r="W2297" i="19"/>
  <c r="T2297" i="19"/>
  <c r="S2297" i="19"/>
  <c r="W2296" i="19"/>
  <c r="T2296" i="19"/>
  <c r="S2296" i="19"/>
  <c r="W2295" i="19"/>
  <c r="T2295" i="19"/>
  <c r="S2295" i="19"/>
  <c r="W2294" i="19"/>
  <c r="T2294" i="19"/>
  <c r="S2294" i="19"/>
  <c r="W2293" i="19"/>
  <c r="T2293" i="19"/>
  <c r="S2293" i="19"/>
  <c r="W2292" i="19"/>
  <c r="T2292" i="19"/>
  <c r="S2292" i="19"/>
  <c r="W2291" i="19"/>
  <c r="T2291" i="19"/>
  <c r="S2291" i="19"/>
  <c r="W2290" i="19"/>
  <c r="T2290" i="19"/>
  <c r="S2290" i="19"/>
  <c r="W2289" i="19"/>
  <c r="T2289" i="19"/>
  <c r="S2289" i="19"/>
  <c r="W2288" i="19"/>
  <c r="T2288" i="19"/>
  <c r="S2288" i="19"/>
  <c r="W2287" i="19"/>
  <c r="T2287" i="19"/>
  <c r="S2287" i="19"/>
  <c r="W2286" i="19"/>
  <c r="T2286" i="19"/>
  <c r="S2286" i="19"/>
  <c r="W2285" i="19"/>
  <c r="T2285" i="19"/>
  <c r="S2285" i="19"/>
  <c r="W2284" i="19"/>
  <c r="T2284" i="19"/>
  <c r="S2284" i="19"/>
  <c r="W2283" i="19"/>
  <c r="T2283" i="19"/>
  <c r="S2283" i="19"/>
  <c r="W2282" i="19"/>
  <c r="T2282" i="19"/>
  <c r="S2282" i="19"/>
  <c r="W2281" i="19"/>
  <c r="T2281" i="19"/>
  <c r="S2281" i="19"/>
  <c r="W2280" i="19"/>
  <c r="T2280" i="19"/>
  <c r="S2280" i="19"/>
  <c r="W2279" i="19"/>
  <c r="T2279" i="19"/>
  <c r="S2279" i="19"/>
  <c r="W2278" i="19"/>
  <c r="T2278" i="19"/>
  <c r="S2278" i="19"/>
  <c r="W2277" i="19"/>
  <c r="T2277" i="19"/>
  <c r="S2277" i="19"/>
  <c r="W2276" i="19"/>
  <c r="T2276" i="19"/>
  <c r="S2276" i="19"/>
  <c r="W2275" i="19"/>
  <c r="T2275" i="19"/>
  <c r="S2275" i="19"/>
  <c r="W2274" i="19"/>
  <c r="T2274" i="19"/>
  <c r="S2274" i="19"/>
  <c r="W2273" i="19"/>
  <c r="T2273" i="19"/>
  <c r="S2273" i="19"/>
  <c r="W2272" i="19"/>
  <c r="T2272" i="19"/>
  <c r="S2272" i="19"/>
  <c r="W2271" i="19"/>
  <c r="T2271" i="19"/>
  <c r="S2271" i="19"/>
  <c r="W2270" i="19"/>
  <c r="T2270" i="19"/>
  <c r="S2270" i="19"/>
  <c r="W2269" i="19"/>
  <c r="T2269" i="19"/>
  <c r="S2269" i="19"/>
  <c r="W2268" i="19"/>
  <c r="T2268" i="19"/>
  <c r="S2268" i="19"/>
  <c r="W2267" i="19"/>
  <c r="T2267" i="19"/>
  <c r="S2267" i="19"/>
  <c r="W2266" i="19"/>
  <c r="T2266" i="19"/>
  <c r="S2266" i="19"/>
  <c r="W2265" i="19"/>
  <c r="T2265" i="19"/>
  <c r="S2265" i="19"/>
  <c r="W2264" i="19"/>
  <c r="T2264" i="19"/>
  <c r="S2264" i="19"/>
  <c r="W2263" i="19"/>
  <c r="T2263" i="19"/>
  <c r="S2263" i="19"/>
  <c r="W2262" i="19"/>
  <c r="T2262" i="19"/>
  <c r="S2262" i="19"/>
  <c r="W2261" i="19"/>
  <c r="T2261" i="19"/>
  <c r="S2261" i="19"/>
  <c r="W2260" i="19"/>
  <c r="T2260" i="19"/>
  <c r="S2260" i="19"/>
  <c r="W2259" i="19"/>
  <c r="T2259" i="19"/>
  <c r="S2259" i="19"/>
  <c r="W2258" i="19"/>
  <c r="T2258" i="19"/>
  <c r="S2258" i="19"/>
  <c r="W2257" i="19"/>
  <c r="T2257" i="19"/>
  <c r="S2257" i="19"/>
  <c r="W2256" i="19"/>
  <c r="T2256" i="19"/>
  <c r="S2256" i="19"/>
  <c r="W2255" i="19"/>
  <c r="T2255" i="19"/>
  <c r="S2255" i="19"/>
  <c r="W2254" i="19"/>
  <c r="T2254" i="19"/>
  <c r="S2254" i="19"/>
  <c r="W2253" i="19"/>
  <c r="T2253" i="19"/>
  <c r="S2253" i="19"/>
  <c r="W2252" i="19"/>
  <c r="T2252" i="19"/>
  <c r="S2252" i="19"/>
  <c r="W2251" i="19"/>
  <c r="T2251" i="19"/>
  <c r="S2251" i="19"/>
  <c r="W2250" i="19"/>
  <c r="T2250" i="19"/>
  <c r="S2250" i="19"/>
  <c r="W2249" i="19"/>
  <c r="T2249" i="19"/>
  <c r="S2249" i="19"/>
  <c r="W2248" i="19"/>
  <c r="T2248" i="19"/>
  <c r="S2248" i="19"/>
  <c r="W2247" i="19"/>
  <c r="T2247" i="19"/>
  <c r="S2247" i="19"/>
  <c r="W2246" i="19"/>
  <c r="T2246" i="19"/>
  <c r="S2246" i="19"/>
  <c r="W2245" i="19"/>
  <c r="T2245" i="19"/>
  <c r="S2245" i="19"/>
  <c r="W2244" i="19"/>
  <c r="T2244" i="19"/>
  <c r="S2244" i="19"/>
  <c r="W2243" i="19"/>
  <c r="T2243" i="19"/>
  <c r="S2243" i="19"/>
  <c r="W2242" i="19"/>
  <c r="T2242" i="19"/>
  <c r="S2242" i="19"/>
  <c r="W2241" i="19"/>
  <c r="T2241" i="19"/>
  <c r="S2241" i="19"/>
  <c r="W2240" i="19"/>
  <c r="T2240" i="19"/>
  <c r="S2240" i="19"/>
  <c r="W2239" i="19"/>
  <c r="T2239" i="19"/>
  <c r="S2239" i="19"/>
  <c r="W2238" i="19"/>
  <c r="T2238" i="19"/>
  <c r="S2238" i="19"/>
  <c r="W2237" i="19"/>
  <c r="T2237" i="19"/>
  <c r="S2237" i="19"/>
  <c r="W2236" i="19"/>
  <c r="T2236" i="19"/>
  <c r="S2236" i="19"/>
  <c r="W2235" i="19"/>
  <c r="T2235" i="19"/>
  <c r="S2235" i="19"/>
  <c r="W2234" i="19"/>
  <c r="T2234" i="19"/>
  <c r="S2234" i="19"/>
  <c r="W2233" i="19"/>
  <c r="T2233" i="19"/>
  <c r="S2233" i="19"/>
  <c r="W2232" i="19"/>
  <c r="T2232" i="19"/>
  <c r="S2232" i="19"/>
  <c r="W2231" i="19"/>
  <c r="T2231" i="19"/>
  <c r="S2231" i="19"/>
  <c r="W2230" i="19"/>
  <c r="T2230" i="19"/>
  <c r="S2230" i="19"/>
  <c r="W2229" i="19"/>
  <c r="T2229" i="19"/>
  <c r="S2229" i="19"/>
  <c r="W2228" i="19"/>
  <c r="T2228" i="19"/>
  <c r="S2228" i="19"/>
  <c r="W2227" i="19"/>
  <c r="T2227" i="19"/>
  <c r="S2227" i="19"/>
  <c r="W2226" i="19"/>
  <c r="T2226" i="19"/>
  <c r="S2226" i="19"/>
  <c r="W2225" i="19"/>
  <c r="T2225" i="19"/>
  <c r="S2225" i="19"/>
  <c r="W2224" i="19"/>
  <c r="T2224" i="19"/>
  <c r="S2224" i="19"/>
  <c r="W2223" i="19"/>
  <c r="T2223" i="19"/>
  <c r="S2223" i="19"/>
  <c r="W2222" i="19"/>
  <c r="T2222" i="19"/>
  <c r="S2222" i="19"/>
  <c r="W2221" i="19"/>
  <c r="T2221" i="19"/>
  <c r="S2221" i="19"/>
  <c r="W2220" i="19"/>
  <c r="T2220" i="19"/>
  <c r="S2220" i="19"/>
  <c r="W2219" i="19"/>
  <c r="T2219" i="19"/>
  <c r="S2219" i="19"/>
  <c r="W2218" i="19"/>
  <c r="T2218" i="19"/>
  <c r="S2218" i="19"/>
  <c r="W2217" i="19"/>
  <c r="T2217" i="19"/>
  <c r="S2217" i="19"/>
  <c r="W2216" i="19"/>
  <c r="T2216" i="19"/>
  <c r="S2216" i="19"/>
  <c r="W2215" i="19"/>
  <c r="T2215" i="19"/>
  <c r="S2215" i="19"/>
  <c r="W2214" i="19"/>
  <c r="T2214" i="19"/>
  <c r="S2214" i="19"/>
  <c r="W2213" i="19"/>
  <c r="T2213" i="19"/>
  <c r="S2213" i="19"/>
  <c r="W2212" i="19"/>
  <c r="T2212" i="19"/>
  <c r="S2212" i="19"/>
  <c r="W2211" i="19"/>
  <c r="T2211" i="19"/>
  <c r="S2211" i="19"/>
  <c r="W2210" i="19"/>
  <c r="T2210" i="19"/>
  <c r="S2210" i="19"/>
  <c r="W2209" i="19"/>
  <c r="T2209" i="19"/>
  <c r="S2209" i="19"/>
  <c r="W2208" i="19"/>
  <c r="T2208" i="19"/>
  <c r="S2208" i="19"/>
  <c r="W2207" i="19"/>
  <c r="T2207" i="19"/>
  <c r="S2207" i="19"/>
  <c r="W2206" i="19"/>
  <c r="T2206" i="19"/>
  <c r="S2206" i="19"/>
  <c r="W2205" i="19"/>
  <c r="T2205" i="19"/>
  <c r="S2205" i="19"/>
  <c r="W2204" i="19"/>
  <c r="T2204" i="19"/>
  <c r="S2204" i="19"/>
  <c r="W2203" i="19"/>
  <c r="T2203" i="19"/>
  <c r="S2203" i="19"/>
  <c r="W2202" i="19"/>
  <c r="T2202" i="19"/>
  <c r="S2202" i="19"/>
  <c r="W2201" i="19"/>
  <c r="T2201" i="19"/>
  <c r="S2201" i="19"/>
  <c r="W2200" i="19"/>
  <c r="T2200" i="19"/>
  <c r="S2200" i="19"/>
  <c r="W2199" i="19"/>
  <c r="T2199" i="19"/>
  <c r="S2199" i="19"/>
  <c r="W2198" i="19"/>
  <c r="T2198" i="19"/>
  <c r="S2198" i="19"/>
  <c r="W2197" i="19"/>
  <c r="T2197" i="19"/>
  <c r="S2197" i="19"/>
  <c r="W2196" i="19"/>
  <c r="T2196" i="19"/>
  <c r="S2196" i="19"/>
  <c r="W2195" i="19"/>
  <c r="T2195" i="19"/>
  <c r="S2195" i="19"/>
  <c r="W2194" i="19"/>
  <c r="T2194" i="19"/>
  <c r="S2194" i="19"/>
  <c r="W2193" i="19"/>
  <c r="T2193" i="19"/>
  <c r="S2193" i="19"/>
  <c r="W2192" i="19"/>
  <c r="T2192" i="19"/>
  <c r="S2192" i="19"/>
  <c r="W2191" i="19"/>
  <c r="T2191" i="19"/>
  <c r="S2191" i="19"/>
  <c r="W2190" i="19"/>
  <c r="T2190" i="19"/>
  <c r="S2190" i="19"/>
  <c r="W2189" i="19"/>
  <c r="T2189" i="19"/>
  <c r="S2189" i="19"/>
  <c r="W2188" i="19"/>
  <c r="T2188" i="19"/>
  <c r="S2188" i="19"/>
  <c r="W2187" i="19"/>
  <c r="T2187" i="19"/>
  <c r="S2187" i="19"/>
  <c r="W2186" i="19"/>
  <c r="T2186" i="19"/>
  <c r="S2186" i="19"/>
  <c r="W2185" i="19"/>
  <c r="T2185" i="19"/>
  <c r="S2185" i="19"/>
  <c r="W2184" i="19"/>
  <c r="T2184" i="19"/>
  <c r="S2184" i="19"/>
  <c r="W2183" i="19"/>
  <c r="T2183" i="19"/>
  <c r="S2183" i="19"/>
  <c r="W2182" i="19"/>
  <c r="T2182" i="19"/>
  <c r="S2182" i="19"/>
  <c r="W2181" i="19"/>
  <c r="T2181" i="19"/>
  <c r="S2181" i="19"/>
  <c r="W2180" i="19"/>
  <c r="T2180" i="19"/>
  <c r="S2180" i="19"/>
  <c r="W2179" i="19"/>
  <c r="T2179" i="19"/>
  <c r="S2179" i="19"/>
  <c r="W2178" i="19"/>
  <c r="T2178" i="19"/>
  <c r="S2178" i="19"/>
  <c r="W2177" i="19"/>
  <c r="T2177" i="19"/>
  <c r="S2177" i="19"/>
  <c r="W2176" i="19"/>
  <c r="T2176" i="19"/>
  <c r="S2176" i="19"/>
  <c r="W2175" i="19"/>
  <c r="T2175" i="19"/>
  <c r="S2175" i="19"/>
  <c r="W2174" i="19"/>
  <c r="T2174" i="19"/>
  <c r="S2174" i="19"/>
  <c r="W2173" i="19"/>
  <c r="T2173" i="19"/>
  <c r="S2173" i="19"/>
  <c r="W2172" i="19"/>
  <c r="T2172" i="19"/>
  <c r="S2172" i="19"/>
  <c r="W2171" i="19"/>
  <c r="T2171" i="19"/>
  <c r="S2171" i="19"/>
  <c r="W2170" i="19"/>
  <c r="T2170" i="19"/>
  <c r="S2170" i="19"/>
  <c r="W2169" i="19"/>
  <c r="T2169" i="19"/>
  <c r="S2169" i="19"/>
  <c r="W2168" i="19"/>
  <c r="T2168" i="19"/>
  <c r="S2168" i="19"/>
  <c r="W2167" i="19"/>
  <c r="T2167" i="19"/>
  <c r="S2167" i="19"/>
  <c r="W2166" i="19"/>
  <c r="T2166" i="19"/>
  <c r="S2166" i="19"/>
  <c r="W2165" i="19"/>
  <c r="T2165" i="19"/>
  <c r="S2165" i="19"/>
  <c r="W2164" i="19"/>
  <c r="T2164" i="19"/>
  <c r="S2164" i="19"/>
  <c r="W2163" i="19"/>
  <c r="T2163" i="19"/>
  <c r="S2163" i="19"/>
  <c r="W2162" i="19"/>
  <c r="T2162" i="19"/>
  <c r="S2162" i="19"/>
  <c r="W2161" i="19"/>
  <c r="T2161" i="19"/>
  <c r="S2161" i="19"/>
  <c r="W2160" i="19"/>
  <c r="T2160" i="19"/>
  <c r="S2160" i="19"/>
  <c r="W2159" i="19"/>
  <c r="T2159" i="19"/>
  <c r="S2159" i="19"/>
  <c r="W2158" i="19"/>
  <c r="T2158" i="19"/>
  <c r="S2158" i="19"/>
  <c r="W2157" i="19"/>
  <c r="T2157" i="19"/>
  <c r="S2157" i="19"/>
  <c r="W2156" i="19"/>
  <c r="T2156" i="19"/>
  <c r="S2156" i="19"/>
  <c r="W2155" i="19"/>
  <c r="T2155" i="19"/>
  <c r="S2155" i="19"/>
  <c r="W2154" i="19"/>
  <c r="T2154" i="19"/>
  <c r="S2154" i="19"/>
  <c r="W2153" i="19"/>
  <c r="T2153" i="19"/>
  <c r="S2153" i="19"/>
  <c r="W2152" i="19"/>
  <c r="T2152" i="19"/>
  <c r="S2152" i="19"/>
  <c r="W2151" i="19"/>
  <c r="T2151" i="19"/>
  <c r="S2151" i="19"/>
  <c r="W2150" i="19"/>
  <c r="T2150" i="19"/>
  <c r="S2150" i="19"/>
  <c r="W2149" i="19"/>
  <c r="T2149" i="19"/>
  <c r="S2149" i="19"/>
  <c r="W2148" i="19"/>
  <c r="T2148" i="19"/>
  <c r="S2148" i="19"/>
  <c r="W2147" i="19"/>
  <c r="T2147" i="19"/>
  <c r="S2147" i="19"/>
  <c r="W2146" i="19"/>
  <c r="T2146" i="19"/>
  <c r="S2146" i="19"/>
  <c r="W2145" i="19"/>
  <c r="T2145" i="19"/>
  <c r="S2145" i="19"/>
  <c r="W2144" i="19"/>
  <c r="T2144" i="19"/>
  <c r="S2144" i="19"/>
  <c r="W2143" i="19"/>
  <c r="T2143" i="19"/>
  <c r="S2143" i="19"/>
  <c r="W2142" i="19"/>
  <c r="T2142" i="19"/>
  <c r="S2142" i="19"/>
  <c r="W2141" i="19"/>
  <c r="T2141" i="19"/>
  <c r="S2141" i="19"/>
  <c r="W2140" i="19"/>
  <c r="T2140" i="19"/>
  <c r="S2140" i="19"/>
  <c r="W2139" i="19"/>
  <c r="T2139" i="19"/>
  <c r="S2139" i="19"/>
  <c r="W2138" i="19"/>
  <c r="T2138" i="19"/>
  <c r="S2138" i="19"/>
  <c r="W2137" i="19"/>
  <c r="T2137" i="19"/>
  <c r="S2137" i="19"/>
  <c r="W2136" i="19"/>
  <c r="T2136" i="19"/>
  <c r="S2136" i="19"/>
  <c r="W2135" i="19"/>
  <c r="T2135" i="19"/>
  <c r="S2135" i="19"/>
  <c r="W2134" i="19"/>
  <c r="T2134" i="19"/>
  <c r="S2134" i="19"/>
  <c r="W2133" i="19"/>
  <c r="T2133" i="19"/>
  <c r="S2133" i="19"/>
  <c r="W2132" i="19"/>
  <c r="T2132" i="19"/>
  <c r="S2132" i="19"/>
  <c r="W2131" i="19"/>
  <c r="T2131" i="19"/>
  <c r="S2131" i="19"/>
  <c r="W2130" i="19"/>
  <c r="T2130" i="19"/>
  <c r="S2130" i="19"/>
  <c r="W2129" i="19"/>
  <c r="T2129" i="19"/>
  <c r="S2129" i="19"/>
  <c r="W2128" i="19"/>
  <c r="T2128" i="19"/>
  <c r="S2128" i="19"/>
  <c r="W2127" i="19"/>
  <c r="T2127" i="19"/>
  <c r="S2127" i="19"/>
  <c r="W2126" i="19"/>
  <c r="T2126" i="19"/>
  <c r="S2126" i="19"/>
  <c r="W2125" i="19"/>
  <c r="T2125" i="19"/>
  <c r="S2125" i="19"/>
  <c r="W2124" i="19"/>
  <c r="T2124" i="19"/>
  <c r="S2124" i="19"/>
  <c r="W2123" i="19"/>
  <c r="T2123" i="19"/>
  <c r="S2123" i="19"/>
  <c r="W2122" i="19"/>
  <c r="T2122" i="19"/>
  <c r="S2122" i="19"/>
  <c r="W2121" i="19"/>
  <c r="T2121" i="19"/>
  <c r="S2121" i="19"/>
  <c r="W2120" i="19"/>
  <c r="T2120" i="19"/>
  <c r="S2120" i="19"/>
  <c r="W2119" i="19"/>
  <c r="T2119" i="19"/>
  <c r="S2119" i="19"/>
  <c r="W2118" i="19"/>
  <c r="T2118" i="19"/>
  <c r="S2118" i="19"/>
  <c r="W2117" i="19"/>
  <c r="T2117" i="19"/>
  <c r="S2117" i="19"/>
  <c r="W2116" i="19"/>
  <c r="T2116" i="19"/>
  <c r="S2116" i="19"/>
  <c r="W2115" i="19"/>
  <c r="T2115" i="19"/>
  <c r="S2115" i="19"/>
  <c r="W2114" i="19"/>
  <c r="T2114" i="19"/>
  <c r="S2114" i="19"/>
  <c r="W2113" i="19"/>
  <c r="T2113" i="19"/>
  <c r="S2113" i="19"/>
  <c r="W2112" i="19"/>
  <c r="T2112" i="19"/>
  <c r="S2112" i="19"/>
  <c r="W2111" i="19"/>
  <c r="T2111" i="19"/>
  <c r="S2111" i="19"/>
  <c r="W2110" i="19"/>
  <c r="T2110" i="19"/>
  <c r="S2110" i="19"/>
  <c r="W2109" i="19"/>
  <c r="T2109" i="19"/>
  <c r="S2109" i="19"/>
  <c r="W2108" i="19"/>
  <c r="T2108" i="19"/>
  <c r="S2108" i="19"/>
  <c r="W2107" i="19"/>
  <c r="T2107" i="19"/>
  <c r="S2107" i="19"/>
  <c r="W2106" i="19"/>
  <c r="T2106" i="19"/>
  <c r="S2106" i="19"/>
  <c r="W2105" i="19"/>
  <c r="T2105" i="19"/>
  <c r="S2105" i="19"/>
  <c r="W2104" i="19"/>
  <c r="T2104" i="19"/>
  <c r="S2104" i="19"/>
  <c r="W2103" i="19"/>
  <c r="T2103" i="19"/>
  <c r="S2103" i="19"/>
  <c r="W2102" i="19"/>
  <c r="T2102" i="19"/>
  <c r="S2102" i="19"/>
  <c r="W2101" i="19"/>
  <c r="T2101" i="19"/>
  <c r="S2101" i="19"/>
  <c r="W2100" i="19"/>
  <c r="T2100" i="19"/>
  <c r="S2100" i="19"/>
  <c r="W2099" i="19"/>
  <c r="T2099" i="19"/>
  <c r="S2099" i="19"/>
  <c r="W2098" i="19"/>
  <c r="T2098" i="19"/>
  <c r="S2098" i="19"/>
  <c r="W2097" i="19"/>
  <c r="T2097" i="19"/>
  <c r="S2097" i="19"/>
  <c r="W2096" i="19"/>
  <c r="T2096" i="19"/>
  <c r="S2096" i="19"/>
  <c r="W2095" i="19"/>
  <c r="T2095" i="19"/>
  <c r="S2095" i="19"/>
  <c r="W2094" i="19"/>
  <c r="T2094" i="19"/>
  <c r="S2094" i="19"/>
  <c r="W2093" i="19"/>
  <c r="T2093" i="19"/>
  <c r="S2093" i="19"/>
  <c r="W2092" i="19"/>
  <c r="T2092" i="19"/>
  <c r="S2092" i="19"/>
  <c r="W2091" i="19"/>
  <c r="T2091" i="19"/>
  <c r="S2091" i="19"/>
  <c r="W2090" i="19"/>
  <c r="T2090" i="19"/>
  <c r="S2090" i="19"/>
  <c r="W2089" i="19"/>
  <c r="T2089" i="19"/>
  <c r="S2089" i="19"/>
  <c r="W2088" i="19"/>
  <c r="T2088" i="19"/>
  <c r="S2088" i="19"/>
  <c r="W2087" i="19"/>
  <c r="T2087" i="19"/>
  <c r="S2087" i="19"/>
  <c r="W2086" i="19"/>
  <c r="T2086" i="19"/>
  <c r="S2086" i="19"/>
  <c r="W2085" i="19"/>
  <c r="T2085" i="19"/>
  <c r="S2085" i="19"/>
  <c r="W2084" i="19"/>
  <c r="T2084" i="19"/>
  <c r="S2084" i="19"/>
  <c r="W2083" i="19"/>
  <c r="T2083" i="19"/>
  <c r="S2083" i="19"/>
  <c r="W2082" i="19"/>
  <c r="T2082" i="19"/>
  <c r="S2082" i="19"/>
  <c r="W2081" i="19"/>
  <c r="T2081" i="19"/>
  <c r="S2081" i="19"/>
  <c r="W2080" i="19"/>
  <c r="T2080" i="19"/>
  <c r="S2080" i="19"/>
  <c r="W2079" i="19"/>
  <c r="T2079" i="19"/>
  <c r="S2079" i="19"/>
  <c r="W2078" i="19"/>
  <c r="T2078" i="19"/>
  <c r="S2078" i="19"/>
  <c r="W2077" i="19"/>
  <c r="T2077" i="19"/>
  <c r="S2077" i="19"/>
  <c r="W2076" i="19"/>
  <c r="T2076" i="19"/>
  <c r="S2076" i="19"/>
  <c r="W2075" i="19"/>
  <c r="T2075" i="19"/>
  <c r="S2075" i="19"/>
  <c r="W2074" i="19"/>
  <c r="T2074" i="19"/>
  <c r="S2074" i="19"/>
  <c r="W2073" i="19"/>
  <c r="T2073" i="19"/>
  <c r="S2073" i="19"/>
  <c r="W2072" i="19"/>
  <c r="T2072" i="19"/>
  <c r="S2072" i="19"/>
  <c r="W2071" i="19"/>
  <c r="T2071" i="19"/>
  <c r="S2071" i="19"/>
  <c r="W2070" i="19"/>
  <c r="T2070" i="19"/>
  <c r="S2070" i="19"/>
  <c r="W2069" i="19"/>
  <c r="T2069" i="19"/>
  <c r="S2069" i="19"/>
  <c r="W2068" i="19"/>
  <c r="T2068" i="19"/>
  <c r="S2068" i="19"/>
  <c r="W2067" i="19"/>
  <c r="T2067" i="19"/>
  <c r="S2067" i="19"/>
  <c r="W2066" i="19"/>
  <c r="T2066" i="19"/>
  <c r="S2066" i="19"/>
  <c r="W2065" i="19"/>
  <c r="T2065" i="19"/>
  <c r="S2065" i="19"/>
  <c r="W2064" i="19"/>
  <c r="T2064" i="19"/>
  <c r="S2064" i="19"/>
  <c r="W2063" i="19"/>
  <c r="T2063" i="19"/>
  <c r="S2063" i="19"/>
  <c r="W2062" i="19"/>
  <c r="T2062" i="19"/>
  <c r="S2062" i="19"/>
  <c r="W2061" i="19"/>
  <c r="T2061" i="19"/>
  <c r="S2061" i="19"/>
  <c r="W2060" i="19"/>
  <c r="T2060" i="19"/>
  <c r="S2060" i="19"/>
  <c r="W2059" i="19"/>
  <c r="T2059" i="19"/>
  <c r="S2059" i="19"/>
  <c r="W2058" i="19"/>
  <c r="T2058" i="19"/>
  <c r="S2058" i="19"/>
  <c r="W2057" i="19"/>
  <c r="T2057" i="19"/>
  <c r="S2057" i="19"/>
  <c r="W2056" i="19"/>
  <c r="T2056" i="19"/>
  <c r="S2056" i="19"/>
  <c r="W2055" i="19"/>
  <c r="T2055" i="19"/>
  <c r="S2055" i="19"/>
  <c r="W2054" i="19"/>
  <c r="T2054" i="19"/>
  <c r="S2054" i="19"/>
  <c r="W2053" i="19"/>
  <c r="T2053" i="19"/>
  <c r="S2053" i="19"/>
  <c r="W2052" i="19"/>
  <c r="T2052" i="19"/>
  <c r="S2052" i="19"/>
  <c r="W2051" i="19"/>
  <c r="T2051" i="19"/>
  <c r="S2051" i="19"/>
  <c r="W2050" i="19"/>
  <c r="T2050" i="19"/>
  <c r="S2050" i="19"/>
  <c r="W2049" i="19"/>
  <c r="T2049" i="19"/>
  <c r="S2049" i="19"/>
  <c r="W2048" i="19"/>
  <c r="T2048" i="19"/>
  <c r="S2048" i="19"/>
  <c r="W2047" i="19"/>
  <c r="T2047" i="19"/>
  <c r="S2047" i="19"/>
  <c r="W2046" i="19"/>
  <c r="T2046" i="19"/>
  <c r="S2046" i="19"/>
  <c r="W2045" i="19"/>
  <c r="T2045" i="19"/>
  <c r="S2045" i="19"/>
  <c r="W2044" i="19"/>
  <c r="T2044" i="19"/>
  <c r="S2044" i="19"/>
  <c r="W2043" i="19"/>
  <c r="T2043" i="19"/>
  <c r="S2043" i="19"/>
  <c r="W2042" i="19"/>
  <c r="T2042" i="19"/>
  <c r="S2042" i="19"/>
  <c r="W2041" i="19"/>
  <c r="T2041" i="19"/>
  <c r="S2041" i="19"/>
  <c r="W2040" i="19"/>
  <c r="T2040" i="19"/>
  <c r="S2040" i="19"/>
  <c r="W2039" i="19"/>
  <c r="T2039" i="19"/>
  <c r="S2039" i="19"/>
  <c r="W2038" i="19"/>
  <c r="T2038" i="19"/>
  <c r="S2038" i="19"/>
  <c r="W2037" i="19"/>
  <c r="T2037" i="19"/>
  <c r="S2037" i="19"/>
  <c r="W2036" i="19"/>
  <c r="T2036" i="19"/>
  <c r="S2036" i="19"/>
  <c r="W2035" i="19"/>
  <c r="T2035" i="19"/>
  <c r="S2035" i="19"/>
  <c r="W2034" i="19"/>
  <c r="T2034" i="19"/>
  <c r="S2034" i="19"/>
  <c r="W2033" i="19"/>
  <c r="T2033" i="19"/>
  <c r="S2033" i="19"/>
  <c r="W2032" i="19"/>
  <c r="T2032" i="19"/>
  <c r="S2032" i="19"/>
  <c r="W2031" i="19"/>
  <c r="T2031" i="19"/>
  <c r="S2031" i="19"/>
  <c r="W2030" i="19"/>
  <c r="T2030" i="19"/>
  <c r="S2030" i="19"/>
  <c r="W2029" i="19"/>
  <c r="T2029" i="19"/>
  <c r="S2029" i="19"/>
  <c r="W2028" i="19"/>
  <c r="T2028" i="19"/>
  <c r="S2028" i="19"/>
  <c r="W2027" i="19"/>
  <c r="T2027" i="19"/>
  <c r="S2027" i="19"/>
  <c r="W2026" i="19"/>
  <c r="T2026" i="19"/>
  <c r="S2026" i="19"/>
  <c r="W2025" i="19"/>
  <c r="T2025" i="19"/>
  <c r="S2025" i="19"/>
  <c r="W2024" i="19"/>
  <c r="T2024" i="19"/>
  <c r="S2024" i="19"/>
  <c r="W2023" i="19"/>
  <c r="T2023" i="19"/>
  <c r="S2023" i="19"/>
  <c r="W2022" i="19"/>
  <c r="T2022" i="19"/>
  <c r="S2022" i="19"/>
  <c r="W2021" i="19"/>
  <c r="T2021" i="19"/>
  <c r="S2021" i="19"/>
  <c r="W2020" i="19"/>
  <c r="T2020" i="19"/>
  <c r="S2020" i="19"/>
  <c r="W2019" i="19"/>
  <c r="T2019" i="19"/>
  <c r="S2019" i="19"/>
  <c r="W2018" i="19"/>
  <c r="T2018" i="19"/>
  <c r="S2018" i="19"/>
  <c r="W2017" i="19"/>
  <c r="T2017" i="19"/>
  <c r="S2017" i="19"/>
  <c r="W2016" i="19"/>
  <c r="T2016" i="19"/>
  <c r="S2016" i="19"/>
  <c r="W2015" i="19"/>
  <c r="T2015" i="19"/>
  <c r="S2015" i="19"/>
  <c r="W2014" i="19"/>
  <c r="T2014" i="19"/>
  <c r="S2014" i="19"/>
  <c r="W2013" i="19"/>
  <c r="T2013" i="19"/>
  <c r="S2013" i="19"/>
  <c r="W2012" i="19"/>
  <c r="T2012" i="19"/>
  <c r="S2012" i="19"/>
  <c r="W2011" i="19"/>
  <c r="T2011" i="19"/>
  <c r="S2011" i="19"/>
  <c r="W2010" i="19"/>
  <c r="T2010" i="19"/>
  <c r="S2010" i="19"/>
  <c r="W2009" i="19"/>
  <c r="T2009" i="19"/>
  <c r="S2009" i="19"/>
  <c r="W2008" i="19"/>
  <c r="T2008" i="19"/>
  <c r="S2008" i="19"/>
  <c r="W2007" i="19"/>
  <c r="T2007" i="19"/>
  <c r="S2007" i="19"/>
  <c r="W2006" i="19"/>
  <c r="T2006" i="19"/>
  <c r="S2006" i="19"/>
  <c r="W2005" i="19"/>
  <c r="T2005" i="19"/>
  <c r="S2005" i="19"/>
  <c r="W2004" i="19"/>
  <c r="T2004" i="19"/>
  <c r="S2004" i="19"/>
  <c r="W2003" i="19"/>
  <c r="T2003" i="19"/>
  <c r="S2003" i="19"/>
  <c r="W2002" i="19"/>
  <c r="T2002" i="19"/>
  <c r="S2002" i="19"/>
  <c r="W2001" i="19"/>
  <c r="T2001" i="19"/>
  <c r="S2001" i="19"/>
  <c r="W2000" i="19"/>
  <c r="T2000" i="19"/>
  <c r="S2000" i="19"/>
  <c r="W1999" i="19"/>
  <c r="T1999" i="19"/>
  <c r="S1999" i="19"/>
  <c r="W1998" i="19"/>
  <c r="T1998" i="19"/>
  <c r="S1998" i="19"/>
  <c r="W1997" i="19"/>
  <c r="T1997" i="19"/>
  <c r="S1997" i="19"/>
  <c r="W1996" i="19"/>
  <c r="T1996" i="19"/>
  <c r="S1996" i="19"/>
  <c r="W1995" i="19"/>
  <c r="T1995" i="19"/>
  <c r="S1995" i="19"/>
  <c r="W1994" i="19"/>
  <c r="T1994" i="19"/>
  <c r="S1994" i="19"/>
  <c r="W1993" i="19"/>
  <c r="T1993" i="19"/>
  <c r="S1993" i="19"/>
  <c r="W1992" i="19"/>
  <c r="T1992" i="19"/>
  <c r="S1992" i="19"/>
  <c r="W1991" i="19"/>
  <c r="T1991" i="19"/>
  <c r="S1991" i="19"/>
  <c r="W1990" i="19"/>
  <c r="T1990" i="19"/>
  <c r="S1990" i="19"/>
  <c r="W1989" i="19"/>
  <c r="T1989" i="19"/>
  <c r="S1989" i="19"/>
  <c r="W1988" i="19"/>
  <c r="T1988" i="19"/>
  <c r="S1988" i="19"/>
  <c r="W1987" i="19"/>
  <c r="T1987" i="19"/>
  <c r="S1987" i="19"/>
  <c r="W1986" i="19"/>
  <c r="T1986" i="19"/>
  <c r="S1986" i="19"/>
  <c r="W1985" i="19"/>
  <c r="T1985" i="19"/>
  <c r="S1985" i="19"/>
  <c r="W1984" i="19"/>
  <c r="T1984" i="19"/>
  <c r="S1984" i="19"/>
  <c r="W1983" i="19"/>
  <c r="T1983" i="19"/>
  <c r="S1983" i="19"/>
  <c r="W1982" i="19"/>
  <c r="T1982" i="19"/>
  <c r="S1982" i="19"/>
  <c r="W1981" i="19"/>
  <c r="T1981" i="19"/>
  <c r="S1981" i="19"/>
  <c r="W1980" i="19"/>
  <c r="T1980" i="19"/>
  <c r="S1980" i="19"/>
  <c r="W1979" i="19"/>
  <c r="T1979" i="19"/>
  <c r="S1979" i="19"/>
  <c r="W1978" i="19"/>
  <c r="T1978" i="19"/>
  <c r="S1978" i="19"/>
  <c r="W1977" i="19"/>
  <c r="T1977" i="19"/>
  <c r="S1977" i="19"/>
  <c r="W1976" i="19"/>
  <c r="T1976" i="19"/>
  <c r="S1976" i="19"/>
  <c r="W1975" i="19"/>
  <c r="T1975" i="19"/>
  <c r="S1975" i="19"/>
  <c r="W1974" i="19"/>
  <c r="T1974" i="19"/>
  <c r="S1974" i="19"/>
  <c r="W1973" i="19"/>
  <c r="T1973" i="19"/>
  <c r="S1973" i="19"/>
  <c r="W1972" i="19"/>
  <c r="T1972" i="19"/>
  <c r="S1972" i="19"/>
  <c r="W1971" i="19"/>
  <c r="T1971" i="19"/>
  <c r="S1971" i="19"/>
  <c r="W1970" i="19"/>
  <c r="T1970" i="19"/>
  <c r="S1970" i="19"/>
  <c r="W1969" i="19"/>
  <c r="T1969" i="19"/>
  <c r="S1969" i="19"/>
  <c r="W1968" i="19"/>
  <c r="T1968" i="19"/>
  <c r="S1968" i="19"/>
  <c r="W1967" i="19"/>
  <c r="T1967" i="19"/>
  <c r="S1967" i="19"/>
  <c r="W1966" i="19"/>
  <c r="T1966" i="19"/>
  <c r="S1966" i="19"/>
  <c r="W1965" i="19"/>
  <c r="T1965" i="19"/>
  <c r="S1965" i="19"/>
  <c r="W1964" i="19"/>
  <c r="T1964" i="19"/>
  <c r="S1964" i="19"/>
  <c r="W1963" i="19"/>
  <c r="T1963" i="19"/>
  <c r="S1963" i="19"/>
  <c r="W1962" i="19"/>
  <c r="T1962" i="19"/>
  <c r="S1962" i="19"/>
  <c r="W1961" i="19"/>
  <c r="T1961" i="19"/>
  <c r="S1961" i="19"/>
  <c r="W1960" i="19"/>
  <c r="T1960" i="19"/>
  <c r="S1960" i="19"/>
  <c r="W1959" i="19"/>
  <c r="T1959" i="19"/>
  <c r="S1959" i="19"/>
  <c r="W1958" i="19"/>
  <c r="T1958" i="19"/>
  <c r="S1958" i="19"/>
  <c r="W1957" i="19"/>
  <c r="T1957" i="19"/>
  <c r="S1957" i="19"/>
  <c r="W1956" i="19"/>
  <c r="T1956" i="19"/>
  <c r="S1956" i="19"/>
  <c r="W1955" i="19"/>
  <c r="T1955" i="19"/>
  <c r="S1955" i="19"/>
  <c r="W1954" i="19"/>
  <c r="T1954" i="19"/>
  <c r="S1954" i="19"/>
  <c r="W1953" i="19"/>
  <c r="T1953" i="19"/>
  <c r="S1953" i="19"/>
  <c r="W1952" i="19"/>
  <c r="T1952" i="19"/>
  <c r="S1952" i="19"/>
  <c r="W1951" i="19"/>
  <c r="T1951" i="19"/>
  <c r="S1951" i="19"/>
  <c r="W1950" i="19"/>
  <c r="T1950" i="19"/>
  <c r="S1950" i="19"/>
  <c r="W1949" i="19"/>
  <c r="T1949" i="19"/>
  <c r="S1949" i="19"/>
  <c r="W1948" i="19"/>
  <c r="T1948" i="19"/>
  <c r="S1948" i="19"/>
  <c r="W1947" i="19"/>
  <c r="T1947" i="19"/>
  <c r="S1947" i="19"/>
  <c r="W1946" i="19"/>
  <c r="T1946" i="19"/>
  <c r="S1946" i="19"/>
  <c r="W1945" i="19"/>
  <c r="T1945" i="19"/>
  <c r="S1945" i="19"/>
  <c r="W1944" i="19"/>
  <c r="T1944" i="19"/>
  <c r="S1944" i="19"/>
  <c r="W1943" i="19"/>
  <c r="T1943" i="19"/>
  <c r="S1943" i="19"/>
  <c r="W1942" i="19"/>
  <c r="T1942" i="19"/>
  <c r="S1942" i="19"/>
  <c r="W1941" i="19"/>
  <c r="T1941" i="19"/>
  <c r="S1941" i="19"/>
  <c r="W1940" i="19"/>
  <c r="T1940" i="19"/>
  <c r="S1940" i="19"/>
  <c r="W1939" i="19"/>
  <c r="T1939" i="19"/>
  <c r="S1939" i="19"/>
  <c r="W1938" i="19"/>
  <c r="T1938" i="19"/>
  <c r="S1938" i="19"/>
  <c r="W1937" i="19"/>
  <c r="T1937" i="19"/>
  <c r="S1937" i="19"/>
  <c r="W1936" i="19"/>
  <c r="T1936" i="19"/>
  <c r="S1936" i="19"/>
  <c r="W1935" i="19"/>
  <c r="T1935" i="19"/>
  <c r="S1935" i="19"/>
  <c r="W1934" i="19"/>
  <c r="T1934" i="19"/>
  <c r="S1934" i="19"/>
  <c r="W1933" i="19"/>
  <c r="T1933" i="19"/>
  <c r="S1933" i="19"/>
  <c r="W1932" i="19"/>
  <c r="T1932" i="19"/>
  <c r="S1932" i="19"/>
  <c r="W1931" i="19"/>
  <c r="T1931" i="19"/>
  <c r="S1931" i="19"/>
  <c r="W1930" i="19"/>
  <c r="T1930" i="19"/>
  <c r="S1930" i="19"/>
  <c r="W1929" i="19"/>
  <c r="T1929" i="19"/>
  <c r="S1929" i="19"/>
  <c r="W1928" i="19"/>
  <c r="T1928" i="19"/>
  <c r="S1928" i="19"/>
  <c r="W1927" i="19"/>
  <c r="T1927" i="19"/>
  <c r="S1927" i="19"/>
  <c r="W1926" i="19"/>
  <c r="T1926" i="19"/>
  <c r="S1926" i="19"/>
  <c r="W1925" i="19"/>
  <c r="T1925" i="19"/>
  <c r="S1925" i="19"/>
  <c r="W1924" i="19"/>
  <c r="T1924" i="19"/>
  <c r="S1924" i="19"/>
  <c r="W1923" i="19"/>
  <c r="T1923" i="19"/>
  <c r="S1923" i="19"/>
  <c r="W1922" i="19"/>
  <c r="T1922" i="19"/>
  <c r="S1922" i="19"/>
  <c r="W1921" i="19"/>
  <c r="T1921" i="19"/>
  <c r="S1921" i="19"/>
  <c r="W1920" i="19"/>
  <c r="T1920" i="19"/>
  <c r="S1920" i="19"/>
  <c r="W1919" i="19"/>
  <c r="T1919" i="19"/>
  <c r="S1919" i="19"/>
  <c r="W1918" i="19"/>
  <c r="T1918" i="19"/>
  <c r="S1918" i="19"/>
  <c r="W1917" i="19"/>
  <c r="T1917" i="19"/>
  <c r="S1917" i="19"/>
  <c r="W1916" i="19"/>
  <c r="T1916" i="19"/>
  <c r="S1916" i="19"/>
  <c r="W1915" i="19"/>
  <c r="T1915" i="19"/>
  <c r="S1915" i="19"/>
  <c r="W1914" i="19"/>
  <c r="T1914" i="19"/>
  <c r="S1914" i="19"/>
  <c r="W1913" i="19"/>
  <c r="T1913" i="19"/>
  <c r="S1913" i="19"/>
  <c r="W1912" i="19"/>
  <c r="T1912" i="19"/>
  <c r="S1912" i="19"/>
  <c r="W1911" i="19"/>
  <c r="T1911" i="19"/>
  <c r="S1911" i="19"/>
  <c r="W1910" i="19"/>
  <c r="T1910" i="19"/>
  <c r="S1910" i="19"/>
  <c r="W1909" i="19"/>
  <c r="T1909" i="19"/>
  <c r="S1909" i="19"/>
  <c r="W1908" i="19"/>
  <c r="T1908" i="19"/>
  <c r="S1908" i="19"/>
  <c r="W1907" i="19"/>
  <c r="T1907" i="19"/>
  <c r="S1907" i="19"/>
  <c r="W1906" i="19"/>
  <c r="T1906" i="19"/>
  <c r="S1906" i="19"/>
  <c r="W1905" i="19"/>
  <c r="T1905" i="19"/>
  <c r="S1905" i="19"/>
  <c r="W1904" i="19"/>
  <c r="T1904" i="19"/>
  <c r="S1904" i="19"/>
  <c r="W1903" i="19"/>
  <c r="T1903" i="19"/>
  <c r="S1903" i="19"/>
  <c r="W1902" i="19"/>
  <c r="T1902" i="19"/>
  <c r="S1902" i="19"/>
  <c r="W1901" i="19"/>
  <c r="T1901" i="19"/>
  <c r="S1901" i="19"/>
  <c r="W1900" i="19"/>
  <c r="T1900" i="19"/>
  <c r="S1900" i="19"/>
  <c r="W1899" i="19"/>
  <c r="T1899" i="19"/>
  <c r="S1899" i="19"/>
  <c r="W1898" i="19"/>
  <c r="T1898" i="19"/>
  <c r="S1898" i="19"/>
  <c r="W1897" i="19"/>
  <c r="T1897" i="19"/>
  <c r="S1897" i="19"/>
  <c r="W1896" i="19"/>
  <c r="T1896" i="19"/>
  <c r="S1896" i="19"/>
  <c r="W1895" i="19"/>
  <c r="T1895" i="19"/>
  <c r="S1895" i="19"/>
  <c r="W1894" i="19"/>
  <c r="T1894" i="19"/>
  <c r="S1894" i="19"/>
  <c r="W1893" i="19"/>
  <c r="T1893" i="19"/>
  <c r="S1893" i="19"/>
  <c r="W1892" i="19"/>
  <c r="T1892" i="19"/>
  <c r="S1892" i="19"/>
  <c r="W1891" i="19"/>
  <c r="T1891" i="19"/>
  <c r="S1891" i="19"/>
  <c r="W1890" i="19"/>
  <c r="T1890" i="19"/>
  <c r="S1890" i="19"/>
  <c r="W1889" i="19"/>
  <c r="T1889" i="19"/>
  <c r="S1889" i="19"/>
  <c r="W1888" i="19"/>
  <c r="T1888" i="19"/>
  <c r="S1888" i="19"/>
  <c r="W1887" i="19"/>
  <c r="T1887" i="19"/>
  <c r="S1887" i="19"/>
  <c r="W1886" i="19"/>
  <c r="T1886" i="19"/>
  <c r="S1886" i="19"/>
  <c r="W1885" i="19"/>
  <c r="T1885" i="19"/>
  <c r="S1885" i="19"/>
  <c r="W1884" i="19"/>
  <c r="T1884" i="19"/>
  <c r="S1884" i="19"/>
  <c r="W1883" i="19"/>
  <c r="T1883" i="19"/>
  <c r="S1883" i="19"/>
  <c r="W1882" i="19"/>
  <c r="T1882" i="19"/>
  <c r="S1882" i="19"/>
  <c r="W1881" i="19"/>
  <c r="T1881" i="19"/>
  <c r="S1881" i="19"/>
  <c r="W1880" i="19"/>
  <c r="T1880" i="19"/>
  <c r="S1880" i="19"/>
  <c r="W1879" i="19"/>
  <c r="T1879" i="19"/>
  <c r="S1879" i="19"/>
  <c r="W1878" i="19"/>
  <c r="T1878" i="19"/>
  <c r="S1878" i="19"/>
  <c r="W1877" i="19"/>
  <c r="T1877" i="19"/>
  <c r="S1877" i="19"/>
  <c r="W1876" i="19"/>
  <c r="T1876" i="19"/>
  <c r="S1876" i="19"/>
  <c r="W1875" i="19"/>
  <c r="T1875" i="19"/>
  <c r="S1875" i="19"/>
  <c r="W1874" i="19"/>
  <c r="T1874" i="19"/>
  <c r="S1874" i="19"/>
  <c r="W1873" i="19"/>
  <c r="T1873" i="19"/>
  <c r="S1873" i="19"/>
  <c r="W1872" i="19"/>
  <c r="T1872" i="19"/>
  <c r="S1872" i="19"/>
  <c r="W1871" i="19"/>
  <c r="T1871" i="19"/>
  <c r="S1871" i="19"/>
  <c r="W1870" i="19"/>
  <c r="T1870" i="19"/>
  <c r="S1870" i="19"/>
  <c r="W1869" i="19"/>
  <c r="T1869" i="19"/>
  <c r="S1869" i="19"/>
  <c r="W1868" i="19"/>
  <c r="T1868" i="19"/>
  <c r="S1868" i="19"/>
  <c r="W1867" i="19"/>
  <c r="T1867" i="19"/>
  <c r="S1867" i="19"/>
  <c r="W1866" i="19"/>
  <c r="T1866" i="19"/>
  <c r="S1866" i="19"/>
  <c r="W1865" i="19"/>
  <c r="T1865" i="19"/>
  <c r="S1865" i="19"/>
  <c r="W1864" i="19"/>
  <c r="T1864" i="19"/>
  <c r="S1864" i="19"/>
  <c r="W1863" i="19"/>
  <c r="T1863" i="19"/>
  <c r="S1863" i="19"/>
  <c r="W1862" i="19"/>
  <c r="T1862" i="19"/>
  <c r="S1862" i="19"/>
  <c r="W1861" i="19"/>
  <c r="T1861" i="19"/>
  <c r="S1861" i="19"/>
  <c r="W1860" i="19"/>
  <c r="T1860" i="19"/>
  <c r="S1860" i="19"/>
  <c r="W1859" i="19"/>
  <c r="T1859" i="19"/>
  <c r="S1859" i="19"/>
  <c r="W1858" i="19"/>
  <c r="T1858" i="19"/>
  <c r="S1858" i="19"/>
  <c r="W1857" i="19"/>
  <c r="T1857" i="19"/>
  <c r="S1857" i="19"/>
  <c r="W1856" i="19"/>
  <c r="T1856" i="19"/>
  <c r="S1856" i="19"/>
  <c r="W1855" i="19"/>
  <c r="T1855" i="19"/>
  <c r="S1855" i="19"/>
  <c r="W1854" i="19"/>
  <c r="T1854" i="19"/>
  <c r="S1854" i="19"/>
  <c r="W1853" i="19"/>
  <c r="T1853" i="19"/>
  <c r="S1853" i="19"/>
  <c r="W1852" i="19"/>
  <c r="T1852" i="19"/>
  <c r="S1852" i="19"/>
  <c r="W1851" i="19"/>
  <c r="T1851" i="19"/>
  <c r="S1851" i="19"/>
  <c r="W1850" i="19"/>
  <c r="T1850" i="19"/>
  <c r="S1850" i="19"/>
  <c r="W1849" i="19"/>
  <c r="T1849" i="19"/>
  <c r="S1849" i="19"/>
  <c r="W1848" i="19"/>
  <c r="T1848" i="19"/>
  <c r="S1848" i="19"/>
  <c r="W1847" i="19"/>
  <c r="T1847" i="19"/>
  <c r="S1847" i="19"/>
  <c r="W1846" i="19"/>
  <c r="T1846" i="19"/>
  <c r="S1846" i="19"/>
  <c r="W1845" i="19"/>
  <c r="T1845" i="19"/>
  <c r="S1845" i="19"/>
  <c r="W1844" i="19"/>
  <c r="T1844" i="19"/>
  <c r="S1844" i="19"/>
  <c r="W1843" i="19"/>
  <c r="T1843" i="19"/>
  <c r="S1843" i="19"/>
  <c r="W1842" i="19"/>
  <c r="T1842" i="19"/>
  <c r="S1842" i="19"/>
  <c r="W1841" i="19"/>
  <c r="T1841" i="19"/>
  <c r="S1841" i="19"/>
  <c r="W1840" i="19"/>
  <c r="T1840" i="19"/>
  <c r="S1840" i="19"/>
  <c r="W1839" i="19"/>
  <c r="T1839" i="19"/>
  <c r="S1839" i="19"/>
  <c r="W1838" i="19"/>
  <c r="T1838" i="19"/>
  <c r="S1838" i="19"/>
  <c r="W1837" i="19"/>
  <c r="T1837" i="19"/>
  <c r="S1837" i="19"/>
  <c r="W1836" i="19"/>
  <c r="T1836" i="19"/>
  <c r="S1836" i="19"/>
  <c r="W1835" i="19"/>
  <c r="T1835" i="19"/>
  <c r="S1835" i="19"/>
  <c r="W1834" i="19"/>
  <c r="T1834" i="19"/>
  <c r="S1834" i="19"/>
  <c r="W1833" i="19"/>
  <c r="T1833" i="19"/>
  <c r="S1833" i="19"/>
  <c r="W1832" i="19"/>
  <c r="T1832" i="19"/>
  <c r="S1832" i="19"/>
  <c r="W1831" i="19"/>
  <c r="T1831" i="19"/>
  <c r="S1831" i="19"/>
  <c r="W1830" i="19"/>
  <c r="T1830" i="19"/>
  <c r="S1830" i="19"/>
  <c r="W1829" i="19"/>
  <c r="T1829" i="19"/>
  <c r="S1829" i="19"/>
  <c r="W1828" i="19"/>
  <c r="T1828" i="19"/>
  <c r="S1828" i="19"/>
  <c r="W1827" i="19"/>
  <c r="T1827" i="19"/>
  <c r="S1827" i="19"/>
  <c r="W1826" i="19"/>
  <c r="T1826" i="19"/>
  <c r="S1826" i="19"/>
  <c r="W1825" i="19"/>
  <c r="T1825" i="19"/>
  <c r="S1825" i="19"/>
  <c r="W1824" i="19"/>
  <c r="T1824" i="19"/>
  <c r="S1824" i="19"/>
  <c r="W1823" i="19"/>
  <c r="T1823" i="19"/>
  <c r="S1823" i="19"/>
  <c r="W1822" i="19"/>
  <c r="T1822" i="19"/>
  <c r="S1822" i="19"/>
  <c r="W1821" i="19"/>
  <c r="T1821" i="19"/>
  <c r="S1821" i="19"/>
  <c r="W1820" i="19"/>
  <c r="T1820" i="19"/>
  <c r="S1820" i="19"/>
  <c r="W1819" i="19"/>
  <c r="T1819" i="19"/>
  <c r="S1819" i="19"/>
  <c r="W1818" i="19"/>
  <c r="T1818" i="19"/>
  <c r="S1818" i="19"/>
  <c r="W1817" i="19"/>
  <c r="T1817" i="19"/>
  <c r="S1817" i="19"/>
  <c r="W1816" i="19"/>
  <c r="T1816" i="19"/>
  <c r="S1816" i="19"/>
  <c r="W1815" i="19"/>
  <c r="T1815" i="19"/>
  <c r="S1815" i="19"/>
  <c r="W1814" i="19"/>
  <c r="T1814" i="19"/>
  <c r="S1814" i="19"/>
  <c r="W1813" i="19"/>
  <c r="T1813" i="19"/>
  <c r="S1813" i="19"/>
  <c r="W1812" i="19"/>
  <c r="T1812" i="19"/>
  <c r="S1812" i="19"/>
  <c r="W1811" i="19"/>
  <c r="T1811" i="19"/>
  <c r="S1811" i="19"/>
  <c r="W1810" i="19"/>
  <c r="T1810" i="19"/>
  <c r="S1810" i="19"/>
  <c r="W1809" i="19"/>
  <c r="T1809" i="19"/>
  <c r="S1809" i="19"/>
  <c r="W1808" i="19"/>
  <c r="T1808" i="19"/>
  <c r="S1808" i="19"/>
  <c r="W1807" i="19"/>
  <c r="T1807" i="19"/>
  <c r="S1807" i="19"/>
  <c r="W1806" i="19"/>
  <c r="T1806" i="19"/>
  <c r="S1806" i="19"/>
  <c r="W1805" i="19"/>
  <c r="T1805" i="19"/>
  <c r="S1805" i="19"/>
  <c r="W1804" i="19"/>
  <c r="T1804" i="19"/>
  <c r="S1804" i="19"/>
  <c r="W1803" i="19"/>
  <c r="T1803" i="19"/>
  <c r="S1803" i="19"/>
  <c r="W1802" i="19"/>
  <c r="T1802" i="19"/>
  <c r="S1802" i="19"/>
  <c r="W1801" i="19"/>
  <c r="T1801" i="19"/>
  <c r="S1801" i="19"/>
  <c r="W1800" i="19"/>
  <c r="T1800" i="19"/>
  <c r="S1800" i="19"/>
  <c r="W1799" i="19"/>
  <c r="T1799" i="19"/>
  <c r="S1799" i="19"/>
  <c r="W1798" i="19"/>
  <c r="T1798" i="19"/>
  <c r="S1798" i="19"/>
  <c r="W1797" i="19"/>
  <c r="T1797" i="19"/>
  <c r="S1797" i="19"/>
  <c r="W1796" i="19"/>
  <c r="T1796" i="19"/>
  <c r="S1796" i="19"/>
  <c r="W1795" i="19"/>
  <c r="T1795" i="19"/>
  <c r="S1795" i="19"/>
  <c r="W1794" i="19"/>
  <c r="T1794" i="19"/>
  <c r="S1794" i="19"/>
  <c r="W1793" i="19"/>
  <c r="T1793" i="19"/>
  <c r="S1793" i="19"/>
  <c r="W1792" i="19"/>
  <c r="T1792" i="19"/>
  <c r="S1792" i="19"/>
  <c r="W1791" i="19"/>
  <c r="T1791" i="19"/>
  <c r="S1791" i="19"/>
  <c r="W1790" i="19"/>
  <c r="T1790" i="19"/>
  <c r="S1790" i="19"/>
  <c r="W1789" i="19"/>
  <c r="T1789" i="19"/>
  <c r="S1789" i="19"/>
  <c r="W1788" i="19"/>
  <c r="T1788" i="19"/>
  <c r="S1788" i="19"/>
  <c r="W1787" i="19"/>
  <c r="T1787" i="19"/>
  <c r="S1787" i="19"/>
  <c r="W1786" i="19"/>
  <c r="T1786" i="19"/>
  <c r="S1786" i="19"/>
  <c r="W1785" i="19"/>
  <c r="T1785" i="19"/>
  <c r="S1785" i="19"/>
  <c r="W1784" i="19"/>
  <c r="T1784" i="19"/>
  <c r="S1784" i="19"/>
  <c r="W1783" i="19"/>
  <c r="T1783" i="19"/>
  <c r="S1783" i="19"/>
  <c r="W1782" i="19"/>
  <c r="T1782" i="19"/>
  <c r="S1782" i="19"/>
  <c r="W1781" i="19"/>
  <c r="T1781" i="19"/>
  <c r="S1781" i="19"/>
  <c r="W1780" i="19"/>
  <c r="T1780" i="19"/>
  <c r="S1780" i="19"/>
  <c r="W1779" i="19"/>
  <c r="T1779" i="19"/>
  <c r="S1779" i="19"/>
  <c r="W1778" i="19"/>
  <c r="T1778" i="19"/>
  <c r="S1778" i="19"/>
  <c r="W1777" i="19"/>
  <c r="T1777" i="19"/>
  <c r="S1777" i="19"/>
  <c r="W1776" i="19"/>
  <c r="T1776" i="19"/>
  <c r="S1776" i="19"/>
  <c r="W1775" i="19"/>
  <c r="T1775" i="19"/>
  <c r="S1775" i="19"/>
  <c r="W1774" i="19"/>
  <c r="T1774" i="19"/>
  <c r="S1774" i="19"/>
  <c r="W1773" i="19"/>
  <c r="T1773" i="19"/>
  <c r="S1773" i="19"/>
  <c r="W1772" i="19"/>
  <c r="T1772" i="19"/>
  <c r="S1772" i="19"/>
  <c r="W1771" i="19"/>
  <c r="T1771" i="19"/>
  <c r="S1771" i="19"/>
  <c r="W1770" i="19"/>
  <c r="T1770" i="19"/>
  <c r="S1770" i="19"/>
  <c r="W1769" i="19"/>
  <c r="T1769" i="19"/>
  <c r="S1769" i="19"/>
  <c r="W1768" i="19"/>
  <c r="T1768" i="19"/>
  <c r="S1768" i="19"/>
  <c r="W1767" i="19"/>
  <c r="T1767" i="19"/>
  <c r="S1767" i="19"/>
  <c r="W1766" i="19"/>
  <c r="T1766" i="19"/>
  <c r="S1766" i="19"/>
  <c r="W1765" i="19"/>
  <c r="T1765" i="19"/>
  <c r="S1765" i="19"/>
  <c r="W1764" i="19"/>
  <c r="T1764" i="19"/>
  <c r="S1764" i="19"/>
  <c r="W1763" i="19"/>
  <c r="T1763" i="19"/>
  <c r="S1763" i="19"/>
  <c r="W1762" i="19"/>
  <c r="T1762" i="19"/>
  <c r="S1762" i="19"/>
  <c r="W1761" i="19"/>
  <c r="T1761" i="19"/>
  <c r="S1761" i="19"/>
  <c r="W1760" i="19"/>
  <c r="T1760" i="19"/>
  <c r="S1760" i="19"/>
  <c r="W1759" i="19"/>
  <c r="T1759" i="19"/>
  <c r="S1759" i="19"/>
  <c r="W1758" i="19"/>
  <c r="T1758" i="19"/>
  <c r="S1758" i="19"/>
  <c r="W1757" i="19"/>
  <c r="T1757" i="19"/>
  <c r="S1757" i="19"/>
  <c r="W1756" i="19"/>
  <c r="T1756" i="19"/>
  <c r="S1756" i="19"/>
  <c r="W1755" i="19"/>
  <c r="T1755" i="19"/>
  <c r="S1755" i="19"/>
  <c r="W1754" i="19"/>
  <c r="T1754" i="19"/>
  <c r="S1754" i="19"/>
  <c r="W1753" i="19"/>
  <c r="T1753" i="19"/>
  <c r="S1753" i="19"/>
  <c r="W1752" i="19"/>
  <c r="T1752" i="19"/>
  <c r="S1752" i="19"/>
  <c r="W1751" i="19"/>
  <c r="T1751" i="19"/>
  <c r="S1751" i="19"/>
  <c r="W1750" i="19"/>
  <c r="T1750" i="19"/>
  <c r="S1750" i="19"/>
  <c r="W1749" i="19"/>
  <c r="T1749" i="19"/>
  <c r="S1749" i="19"/>
  <c r="W1748" i="19"/>
  <c r="T1748" i="19"/>
  <c r="S1748" i="19"/>
  <c r="W1747" i="19"/>
  <c r="T1747" i="19"/>
  <c r="S1747" i="19"/>
  <c r="W1746" i="19"/>
  <c r="T1746" i="19"/>
  <c r="S1746" i="19"/>
  <c r="W1745" i="19"/>
  <c r="T1745" i="19"/>
  <c r="S1745" i="19"/>
  <c r="W1744" i="19"/>
  <c r="T1744" i="19"/>
  <c r="S1744" i="19"/>
  <c r="W1743" i="19"/>
  <c r="T1743" i="19"/>
  <c r="S1743" i="19"/>
  <c r="W1742" i="19"/>
  <c r="T1742" i="19"/>
  <c r="S1742" i="19"/>
  <c r="W1741" i="19"/>
  <c r="T1741" i="19"/>
  <c r="S1741" i="19"/>
  <c r="W1740" i="19"/>
  <c r="T1740" i="19"/>
  <c r="S1740" i="19"/>
  <c r="W1739" i="19"/>
  <c r="T1739" i="19"/>
  <c r="S1739" i="19"/>
  <c r="W1738" i="19"/>
  <c r="T1738" i="19"/>
  <c r="S1738" i="19"/>
  <c r="W1737" i="19"/>
  <c r="T1737" i="19"/>
  <c r="S1737" i="19"/>
  <c r="W1736" i="19"/>
  <c r="T1736" i="19"/>
  <c r="S1736" i="19"/>
  <c r="W1735" i="19"/>
  <c r="T1735" i="19"/>
  <c r="S1735" i="19"/>
  <c r="W1734" i="19"/>
  <c r="T1734" i="19"/>
  <c r="S1734" i="19"/>
  <c r="W1733" i="19"/>
  <c r="T1733" i="19"/>
  <c r="S1733" i="19"/>
  <c r="W1732" i="19"/>
  <c r="T1732" i="19"/>
  <c r="S1732" i="19"/>
  <c r="W1731" i="19"/>
  <c r="T1731" i="19"/>
  <c r="S1731" i="19"/>
  <c r="W1730" i="19"/>
  <c r="T1730" i="19"/>
  <c r="S1730" i="19"/>
  <c r="W1729" i="19"/>
  <c r="T1729" i="19"/>
  <c r="S1729" i="19"/>
  <c r="W1728" i="19"/>
  <c r="T1728" i="19"/>
  <c r="S1728" i="19"/>
  <c r="W1727" i="19"/>
  <c r="T1727" i="19"/>
  <c r="S1727" i="19"/>
  <c r="W1726" i="19"/>
  <c r="T1726" i="19"/>
  <c r="S1726" i="19"/>
  <c r="W1725" i="19"/>
  <c r="T1725" i="19"/>
  <c r="S1725" i="19"/>
  <c r="W1724" i="19"/>
  <c r="T1724" i="19"/>
  <c r="S1724" i="19"/>
  <c r="W1723" i="19"/>
  <c r="T1723" i="19"/>
  <c r="S1723" i="19"/>
  <c r="W1722" i="19"/>
  <c r="T1722" i="19"/>
  <c r="S1722" i="19"/>
  <c r="W1721" i="19"/>
  <c r="T1721" i="19"/>
  <c r="S1721" i="19"/>
  <c r="W1720" i="19"/>
  <c r="T1720" i="19"/>
  <c r="S1720" i="19"/>
  <c r="W1719" i="19"/>
  <c r="T1719" i="19"/>
  <c r="S1719" i="19"/>
  <c r="W1718" i="19"/>
  <c r="T1718" i="19"/>
  <c r="S1718" i="19"/>
  <c r="W1717" i="19"/>
  <c r="T1717" i="19"/>
  <c r="S1717" i="19"/>
  <c r="W1716" i="19"/>
  <c r="T1716" i="19"/>
  <c r="S1716" i="19"/>
  <c r="W1715" i="19"/>
  <c r="T1715" i="19"/>
  <c r="S1715" i="19"/>
  <c r="W1714" i="19"/>
  <c r="T1714" i="19"/>
  <c r="S1714" i="19"/>
  <c r="W1713" i="19"/>
  <c r="T1713" i="19"/>
  <c r="S1713" i="19"/>
  <c r="W1712" i="19"/>
  <c r="T1712" i="19"/>
  <c r="S1712" i="19"/>
  <c r="W1711" i="19"/>
  <c r="T1711" i="19"/>
  <c r="S1711" i="19"/>
  <c r="W1710" i="19"/>
  <c r="T1710" i="19"/>
  <c r="S1710" i="19"/>
  <c r="W1709" i="19"/>
  <c r="T1709" i="19"/>
  <c r="S1709" i="19"/>
  <c r="W1708" i="19"/>
  <c r="T1708" i="19"/>
  <c r="S1708" i="19"/>
  <c r="W1707" i="19"/>
  <c r="T1707" i="19"/>
  <c r="S1707" i="19"/>
  <c r="W1706" i="19"/>
  <c r="T1706" i="19"/>
  <c r="S1706" i="19"/>
  <c r="W1705" i="19"/>
  <c r="T1705" i="19"/>
  <c r="S1705" i="19"/>
  <c r="W1704" i="19"/>
  <c r="T1704" i="19"/>
  <c r="S1704" i="19"/>
  <c r="W1703" i="19"/>
  <c r="T1703" i="19"/>
  <c r="S1703" i="19"/>
  <c r="W1702" i="19"/>
  <c r="T1702" i="19"/>
  <c r="S1702" i="19"/>
  <c r="W1701" i="19"/>
  <c r="T1701" i="19"/>
  <c r="S1701" i="19"/>
  <c r="W1700" i="19"/>
  <c r="T1700" i="19"/>
  <c r="S1700" i="19"/>
  <c r="W1699" i="19"/>
  <c r="T1699" i="19"/>
  <c r="S1699" i="19"/>
  <c r="W1698" i="19"/>
  <c r="T1698" i="19"/>
  <c r="S1698" i="19"/>
  <c r="W1697" i="19"/>
  <c r="T1697" i="19"/>
  <c r="S1697" i="19"/>
  <c r="W1696" i="19"/>
  <c r="T1696" i="19"/>
  <c r="S1696" i="19"/>
  <c r="W1695" i="19"/>
  <c r="T1695" i="19"/>
  <c r="S1695" i="19"/>
  <c r="W1694" i="19"/>
  <c r="T1694" i="19"/>
  <c r="S1694" i="19"/>
  <c r="W1693" i="19"/>
  <c r="T1693" i="19"/>
  <c r="S1693" i="19"/>
  <c r="W1692" i="19"/>
  <c r="T1692" i="19"/>
  <c r="S1692" i="19"/>
  <c r="W1691" i="19"/>
  <c r="T1691" i="19"/>
  <c r="S1691" i="19"/>
  <c r="W1690" i="19"/>
  <c r="T1690" i="19"/>
  <c r="S1690" i="19"/>
  <c r="W1689" i="19"/>
  <c r="T1689" i="19"/>
  <c r="S1689" i="19"/>
  <c r="W1688" i="19"/>
  <c r="T1688" i="19"/>
  <c r="S1688" i="19"/>
  <c r="W1687" i="19"/>
  <c r="T1687" i="19"/>
  <c r="S1687" i="19"/>
  <c r="W1686" i="19"/>
  <c r="T1686" i="19"/>
  <c r="S1686" i="19"/>
  <c r="W1685" i="19"/>
  <c r="T1685" i="19"/>
  <c r="S1685" i="19"/>
  <c r="W1684" i="19"/>
  <c r="T1684" i="19"/>
  <c r="S1684" i="19"/>
  <c r="W1683" i="19"/>
  <c r="T1683" i="19"/>
  <c r="S1683" i="19"/>
  <c r="W1682" i="19"/>
  <c r="T1682" i="19"/>
  <c r="S1682" i="19"/>
  <c r="W1681" i="19"/>
  <c r="T1681" i="19"/>
  <c r="S1681" i="19"/>
  <c r="W1680" i="19"/>
  <c r="T1680" i="19"/>
  <c r="S1680" i="19"/>
  <c r="W1679" i="19"/>
  <c r="T1679" i="19"/>
  <c r="S1679" i="19"/>
  <c r="W1678" i="19"/>
  <c r="T1678" i="19"/>
  <c r="S1678" i="19"/>
  <c r="W1677" i="19"/>
  <c r="T1677" i="19"/>
  <c r="S1677" i="19"/>
  <c r="W1676" i="19"/>
  <c r="T1676" i="19"/>
  <c r="S1676" i="19"/>
  <c r="W1675" i="19"/>
  <c r="T1675" i="19"/>
  <c r="S1675" i="19"/>
  <c r="W1674" i="19"/>
  <c r="T1674" i="19"/>
  <c r="S1674" i="19"/>
  <c r="W1673" i="19"/>
  <c r="T1673" i="19"/>
  <c r="S1673" i="19"/>
  <c r="W1672" i="19"/>
  <c r="T1672" i="19"/>
  <c r="S1672" i="19"/>
  <c r="W1671" i="19"/>
  <c r="T1671" i="19"/>
  <c r="S1671" i="19"/>
  <c r="W1670" i="19"/>
  <c r="T1670" i="19"/>
  <c r="S1670" i="19"/>
  <c r="W1669" i="19"/>
  <c r="T1669" i="19"/>
  <c r="S1669" i="19"/>
  <c r="W1668" i="19"/>
  <c r="T1668" i="19"/>
  <c r="S1668" i="19"/>
  <c r="W1667" i="19"/>
  <c r="T1667" i="19"/>
  <c r="S1667" i="19"/>
  <c r="W1666" i="19"/>
  <c r="T1666" i="19"/>
  <c r="S1666" i="19"/>
  <c r="W1665" i="19"/>
  <c r="T1665" i="19"/>
  <c r="S1665" i="19"/>
  <c r="W1664" i="19"/>
  <c r="T1664" i="19"/>
  <c r="S1664" i="19"/>
  <c r="W1663" i="19"/>
  <c r="T1663" i="19"/>
  <c r="S1663" i="19"/>
  <c r="W1662" i="19"/>
  <c r="T1662" i="19"/>
  <c r="S1662" i="19"/>
  <c r="W1661" i="19"/>
  <c r="T1661" i="19"/>
  <c r="S1661" i="19"/>
  <c r="W1660" i="19"/>
  <c r="T1660" i="19"/>
  <c r="S1660" i="19"/>
  <c r="W1659" i="19"/>
  <c r="T1659" i="19"/>
  <c r="S1659" i="19"/>
  <c r="W1658" i="19"/>
  <c r="T1658" i="19"/>
  <c r="S1658" i="19"/>
  <c r="W1657" i="19"/>
  <c r="T1657" i="19"/>
  <c r="S1657" i="19"/>
  <c r="W1656" i="19"/>
  <c r="T1656" i="19"/>
  <c r="S1656" i="19"/>
  <c r="W1655" i="19"/>
  <c r="T1655" i="19"/>
  <c r="S1655" i="19"/>
  <c r="W1654" i="19"/>
  <c r="T1654" i="19"/>
  <c r="S1654" i="19"/>
  <c r="W1653" i="19"/>
  <c r="T1653" i="19"/>
  <c r="S1653" i="19"/>
  <c r="W1652" i="19"/>
  <c r="T1652" i="19"/>
  <c r="S1652" i="19"/>
  <c r="W1651" i="19"/>
  <c r="T1651" i="19"/>
  <c r="S1651" i="19"/>
  <c r="W1650" i="19"/>
  <c r="T1650" i="19"/>
  <c r="S1650" i="19"/>
  <c r="W1649" i="19"/>
  <c r="T1649" i="19"/>
  <c r="S1649" i="19"/>
  <c r="W1648" i="19"/>
  <c r="T1648" i="19"/>
  <c r="S1648" i="19"/>
  <c r="W1647" i="19"/>
  <c r="T1647" i="19"/>
  <c r="S1647" i="19"/>
  <c r="W1646" i="19"/>
  <c r="T1646" i="19"/>
  <c r="S1646" i="19"/>
  <c r="W1645" i="19"/>
  <c r="T1645" i="19"/>
  <c r="S1645" i="19"/>
  <c r="W1644" i="19"/>
  <c r="T1644" i="19"/>
  <c r="S1644" i="19"/>
  <c r="W1643" i="19"/>
  <c r="T1643" i="19"/>
  <c r="S1643" i="19"/>
  <c r="W1642" i="19"/>
  <c r="T1642" i="19"/>
  <c r="S1642" i="19"/>
  <c r="W1641" i="19"/>
  <c r="T1641" i="19"/>
  <c r="S1641" i="19"/>
  <c r="W1640" i="19"/>
  <c r="T1640" i="19"/>
  <c r="S1640" i="19"/>
  <c r="W1639" i="19"/>
  <c r="T1639" i="19"/>
  <c r="S1639" i="19"/>
  <c r="W1638" i="19"/>
  <c r="T1638" i="19"/>
  <c r="S1638" i="19"/>
  <c r="W1637" i="19"/>
  <c r="T1637" i="19"/>
  <c r="S1637" i="19"/>
  <c r="W1636" i="19"/>
  <c r="T1636" i="19"/>
  <c r="S1636" i="19"/>
  <c r="W1635" i="19"/>
  <c r="T1635" i="19"/>
  <c r="S1635" i="19"/>
  <c r="W1634" i="19"/>
  <c r="T1634" i="19"/>
  <c r="S1634" i="19"/>
  <c r="W1633" i="19"/>
  <c r="T1633" i="19"/>
  <c r="S1633" i="19"/>
  <c r="W1632" i="19"/>
  <c r="T1632" i="19"/>
  <c r="S1632" i="19"/>
  <c r="W1631" i="19"/>
  <c r="T1631" i="19"/>
  <c r="S1631" i="19"/>
  <c r="W1630" i="19"/>
  <c r="T1630" i="19"/>
  <c r="S1630" i="19"/>
  <c r="W1629" i="19"/>
  <c r="T1629" i="19"/>
  <c r="S1629" i="19"/>
  <c r="W1628" i="19"/>
  <c r="T1628" i="19"/>
  <c r="S1628" i="19"/>
  <c r="W1627" i="19"/>
  <c r="T1627" i="19"/>
  <c r="S1627" i="19"/>
  <c r="W1626" i="19"/>
  <c r="T1626" i="19"/>
  <c r="S1626" i="19"/>
  <c r="W1625" i="19"/>
  <c r="T1625" i="19"/>
  <c r="S1625" i="19"/>
  <c r="W1624" i="19"/>
  <c r="T1624" i="19"/>
  <c r="S1624" i="19"/>
  <c r="W1623" i="19"/>
  <c r="T1623" i="19"/>
  <c r="S1623" i="19"/>
  <c r="W1622" i="19"/>
  <c r="T1622" i="19"/>
  <c r="S1622" i="19"/>
  <c r="W1621" i="19"/>
  <c r="T1621" i="19"/>
  <c r="S1621" i="19"/>
  <c r="W1620" i="19"/>
  <c r="T1620" i="19"/>
  <c r="S1620" i="19"/>
  <c r="W1619" i="19"/>
  <c r="T1619" i="19"/>
  <c r="S1619" i="19"/>
  <c r="W1618" i="19"/>
  <c r="T1618" i="19"/>
  <c r="S1618" i="19"/>
  <c r="W1617" i="19"/>
  <c r="T1617" i="19"/>
  <c r="S1617" i="19"/>
  <c r="W1616" i="19"/>
  <c r="T1616" i="19"/>
  <c r="S1616" i="19"/>
  <c r="W1615" i="19"/>
  <c r="T1615" i="19"/>
  <c r="S1615" i="19"/>
  <c r="W1614" i="19"/>
  <c r="T1614" i="19"/>
  <c r="S1614" i="19"/>
  <c r="W1613" i="19"/>
  <c r="T1613" i="19"/>
  <c r="S1613" i="19"/>
  <c r="W1612" i="19"/>
  <c r="T1612" i="19"/>
  <c r="S1612" i="19"/>
  <c r="W1611" i="19"/>
  <c r="T1611" i="19"/>
  <c r="S1611" i="19"/>
  <c r="W1610" i="19"/>
  <c r="T1610" i="19"/>
  <c r="S1610" i="19"/>
  <c r="W1609" i="19"/>
  <c r="T1609" i="19"/>
  <c r="S1609" i="19"/>
  <c r="W1608" i="19"/>
  <c r="T1608" i="19"/>
  <c r="S1608" i="19"/>
  <c r="W1607" i="19"/>
  <c r="T1607" i="19"/>
  <c r="S1607" i="19"/>
  <c r="W1606" i="19"/>
  <c r="T1606" i="19"/>
  <c r="S1606" i="19"/>
  <c r="W1605" i="19"/>
  <c r="T1605" i="19"/>
  <c r="S1605" i="19"/>
  <c r="W1604" i="19"/>
  <c r="T1604" i="19"/>
  <c r="S1604" i="19"/>
  <c r="W1603" i="19"/>
  <c r="T1603" i="19"/>
  <c r="S1603" i="19"/>
  <c r="W1602" i="19"/>
  <c r="T1602" i="19"/>
  <c r="S1602" i="19"/>
  <c r="W1601" i="19"/>
  <c r="T1601" i="19"/>
  <c r="S1601" i="19"/>
  <c r="W1600" i="19"/>
  <c r="T1600" i="19"/>
  <c r="S1600" i="19"/>
  <c r="W1599" i="19"/>
  <c r="T1599" i="19"/>
  <c r="S1599" i="19"/>
  <c r="W1598" i="19"/>
  <c r="T1598" i="19"/>
  <c r="S1598" i="19"/>
  <c r="W1597" i="19"/>
  <c r="T1597" i="19"/>
  <c r="S1597" i="19"/>
  <c r="W1596" i="19"/>
  <c r="T1596" i="19"/>
  <c r="S1596" i="19"/>
  <c r="W1595" i="19"/>
  <c r="T1595" i="19"/>
  <c r="S1595" i="19"/>
  <c r="W1594" i="19"/>
  <c r="T1594" i="19"/>
  <c r="S1594" i="19"/>
  <c r="W1593" i="19"/>
  <c r="T1593" i="19"/>
  <c r="S1593" i="19"/>
  <c r="W1592" i="19"/>
  <c r="T1592" i="19"/>
  <c r="S1592" i="19"/>
  <c r="W1591" i="19"/>
  <c r="T1591" i="19"/>
  <c r="S1591" i="19"/>
  <c r="W1590" i="19"/>
  <c r="T1590" i="19"/>
  <c r="S1590" i="19"/>
  <c r="W1589" i="19"/>
  <c r="T1589" i="19"/>
  <c r="S1589" i="19"/>
  <c r="W1588" i="19"/>
  <c r="T1588" i="19"/>
  <c r="S1588" i="19"/>
  <c r="W1587" i="19"/>
  <c r="T1587" i="19"/>
  <c r="S1587" i="19"/>
  <c r="W1586" i="19"/>
  <c r="T1586" i="19"/>
  <c r="S1586" i="19"/>
  <c r="W1585" i="19"/>
  <c r="T1585" i="19"/>
  <c r="S1585" i="19"/>
  <c r="W1584" i="19"/>
  <c r="T1584" i="19"/>
  <c r="S1584" i="19"/>
  <c r="W1583" i="19"/>
  <c r="T1583" i="19"/>
  <c r="S1583" i="19"/>
  <c r="W1582" i="19"/>
  <c r="T1582" i="19"/>
  <c r="S1582" i="19"/>
  <c r="W1581" i="19"/>
  <c r="T1581" i="19"/>
  <c r="S1581" i="19"/>
  <c r="W1580" i="19"/>
  <c r="T1580" i="19"/>
  <c r="S1580" i="19"/>
  <c r="W1579" i="19"/>
  <c r="T1579" i="19"/>
  <c r="S1579" i="19"/>
  <c r="W1578" i="19"/>
  <c r="T1578" i="19"/>
  <c r="S1578" i="19"/>
  <c r="W1577" i="19"/>
  <c r="T1577" i="19"/>
  <c r="S1577" i="19"/>
  <c r="W1576" i="19"/>
  <c r="T1576" i="19"/>
  <c r="S1576" i="19"/>
  <c r="W1575" i="19"/>
  <c r="T1575" i="19"/>
  <c r="S1575" i="19"/>
  <c r="W1574" i="19"/>
  <c r="T1574" i="19"/>
  <c r="S1574" i="19"/>
  <c r="W1573" i="19"/>
  <c r="T1573" i="19"/>
  <c r="S1573" i="19"/>
  <c r="W1572" i="19"/>
  <c r="T1572" i="19"/>
  <c r="S1572" i="19"/>
  <c r="W1571" i="19"/>
  <c r="T1571" i="19"/>
  <c r="S1571" i="19"/>
  <c r="W1570" i="19"/>
  <c r="T1570" i="19"/>
  <c r="S1570" i="19"/>
  <c r="W1569" i="19"/>
  <c r="T1569" i="19"/>
  <c r="S1569" i="19"/>
  <c r="W1568" i="19"/>
  <c r="T1568" i="19"/>
  <c r="S1568" i="19"/>
  <c r="W1567" i="19"/>
  <c r="T1567" i="19"/>
  <c r="S1567" i="19"/>
  <c r="W1566" i="19"/>
  <c r="T1566" i="19"/>
  <c r="S1566" i="19"/>
  <c r="W1565" i="19"/>
  <c r="T1565" i="19"/>
  <c r="S1565" i="19"/>
  <c r="W1564" i="19"/>
  <c r="T1564" i="19"/>
  <c r="S1564" i="19"/>
  <c r="W1563" i="19"/>
  <c r="T1563" i="19"/>
  <c r="S1563" i="19"/>
  <c r="W1562" i="19"/>
  <c r="T1562" i="19"/>
  <c r="S1562" i="19"/>
  <c r="W1561" i="19"/>
  <c r="T1561" i="19"/>
  <c r="S1561" i="19"/>
  <c r="W1560" i="19"/>
  <c r="T1560" i="19"/>
  <c r="S1560" i="19"/>
  <c r="W1559" i="19"/>
  <c r="T1559" i="19"/>
  <c r="S1559" i="19"/>
  <c r="W1558" i="19"/>
  <c r="T1558" i="19"/>
  <c r="S1558" i="19"/>
  <c r="W1557" i="19"/>
  <c r="T1557" i="19"/>
  <c r="S1557" i="19"/>
  <c r="W1556" i="19"/>
  <c r="T1556" i="19"/>
  <c r="S1556" i="19"/>
  <c r="W1555" i="19"/>
  <c r="T1555" i="19"/>
  <c r="S1555" i="19"/>
  <c r="W1554" i="19"/>
  <c r="T1554" i="19"/>
  <c r="S1554" i="19"/>
  <c r="W1553" i="19"/>
  <c r="T1553" i="19"/>
  <c r="S1553" i="19"/>
  <c r="W1552" i="19"/>
  <c r="T1552" i="19"/>
  <c r="S1552" i="19"/>
  <c r="W1551" i="19"/>
  <c r="T1551" i="19"/>
  <c r="S1551" i="19"/>
  <c r="W1550" i="19"/>
  <c r="T1550" i="19"/>
  <c r="S1550" i="19"/>
  <c r="W1549" i="19"/>
  <c r="T1549" i="19"/>
  <c r="S1549" i="19"/>
  <c r="W1548" i="19"/>
  <c r="T1548" i="19"/>
  <c r="S1548" i="19"/>
  <c r="W1547" i="19"/>
  <c r="T1547" i="19"/>
  <c r="S1547" i="19"/>
  <c r="W1546" i="19"/>
  <c r="T1546" i="19"/>
  <c r="S1546" i="19"/>
  <c r="W1545" i="19"/>
  <c r="T1545" i="19"/>
  <c r="S1545" i="19"/>
  <c r="W1544" i="19"/>
  <c r="T1544" i="19"/>
  <c r="S1544" i="19"/>
  <c r="W1543" i="19"/>
  <c r="T1543" i="19"/>
  <c r="S1543" i="19"/>
  <c r="W1542" i="19"/>
  <c r="T1542" i="19"/>
  <c r="S1542" i="19"/>
  <c r="W1541" i="19"/>
  <c r="T1541" i="19"/>
  <c r="S1541" i="19"/>
  <c r="W1540" i="19"/>
  <c r="T1540" i="19"/>
  <c r="S1540" i="19"/>
  <c r="W1539" i="19"/>
  <c r="T1539" i="19"/>
  <c r="S1539" i="19"/>
  <c r="W1538" i="19"/>
  <c r="T1538" i="19"/>
  <c r="S1538" i="19"/>
  <c r="W1537" i="19"/>
  <c r="T1537" i="19"/>
  <c r="S1537" i="19"/>
  <c r="W1536" i="19"/>
  <c r="T1536" i="19"/>
  <c r="S1536" i="19"/>
  <c r="W1535" i="19"/>
  <c r="T1535" i="19"/>
  <c r="S1535" i="19"/>
  <c r="W1534" i="19"/>
  <c r="T1534" i="19"/>
  <c r="S1534" i="19"/>
  <c r="W1533" i="19"/>
  <c r="T1533" i="19"/>
  <c r="S1533" i="19"/>
  <c r="W1532" i="19"/>
  <c r="T1532" i="19"/>
  <c r="S1532" i="19"/>
  <c r="W1531" i="19"/>
  <c r="T1531" i="19"/>
  <c r="S1531" i="19"/>
  <c r="W1530" i="19"/>
  <c r="T1530" i="19"/>
  <c r="S1530" i="19"/>
  <c r="W1529" i="19"/>
  <c r="T1529" i="19"/>
  <c r="S1529" i="19"/>
  <c r="W1528" i="19"/>
  <c r="T1528" i="19"/>
  <c r="S1528" i="19"/>
  <c r="W1527" i="19"/>
  <c r="T1527" i="19"/>
  <c r="S1527" i="19"/>
  <c r="W1526" i="19"/>
  <c r="T1526" i="19"/>
  <c r="S1526" i="19"/>
  <c r="W1525" i="19"/>
  <c r="T1525" i="19"/>
  <c r="S1525" i="19"/>
  <c r="W1524" i="19"/>
  <c r="T1524" i="19"/>
  <c r="S1524" i="19"/>
  <c r="W1523" i="19"/>
  <c r="T1523" i="19"/>
  <c r="S1523" i="19"/>
  <c r="W1522" i="19"/>
  <c r="T1522" i="19"/>
  <c r="S1522" i="19"/>
  <c r="W1521" i="19"/>
  <c r="T1521" i="19"/>
  <c r="S1521" i="19"/>
  <c r="W1520" i="19"/>
  <c r="T1520" i="19"/>
  <c r="S1520" i="19"/>
  <c r="W1519" i="19"/>
  <c r="T1519" i="19"/>
  <c r="S1519" i="19"/>
  <c r="W1518" i="19"/>
  <c r="T1518" i="19"/>
  <c r="S1518" i="19"/>
  <c r="W1517" i="19"/>
  <c r="T1517" i="19"/>
  <c r="S1517" i="19"/>
  <c r="W1516" i="19"/>
  <c r="T1516" i="19"/>
  <c r="S1516" i="19"/>
  <c r="W1515" i="19"/>
  <c r="T1515" i="19"/>
  <c r="S1515" i="19"/>
  <c r="W1514" i="19"/>
  <c r="T1514" i="19"/>
  <c r="S1514" i="19"/>
  <c r="W1513" i="19"/>
  <c r="T1513" i="19"/>
  <c r="S1513" i="19"/>
  <c r="W1512" i="19"/>
  <c r="T1512" i="19"/>
  <c r="S1512" i="19"/>
  <c r="W1511" i="19"/>
  <c r="T1511" i="19"/>
  <c r="S1511" i="19"/>
  <c r="W1510" i="19"/>
  <c r="T1510" i="19"/>
  <c r="S1510" i="19"/>
  <c r="W1509" i="19"/>
  <c r="T1509" i="19"/>
  <c r="S1509" i="19"/>
  <c r="W1508" i="19"/>
  <c r="T1508" i="19"/>
  <c r="S1508" i="19"/>
  <c r="W1507" i="19"/>
  <c r="T1507" i="19"/>
  <c r="S1507" i="19"/>
  <c r="W1506" i="19"/>
  <c r="T1506" i="19"/>
  <c r="S1506" i="19"/>
  <c r="W1505" i="19"/>
  <c r="T1505" i="19"/>
  <c r="S1505" i="19"/>
  <c r="W1504" i="19"/>
  <c r="T1504" i="19"/>
  <c r="S1504" i="19"/>
  <c r="W1503" i="19"/>
  <c r="T1503" i="19"/>
  <c r="S1503" i="19"/>
  <c r="W1502" i="19"/>
  <c r="T1502" i="19"/>
  <c r="S1502" i="19"/>
  <c r="W1501" i="19"/>
  <c r="T1501" i="19"/>
  <c r="S1501" i="19"/>
  <c r="W1500" i="19"/>
  <c r="T1500" i="19"/>
  <c r="S1500" i="19"/>
  <c r="W1499" i="19"/>
  <c r="T1499" i="19"/>
  <c r="S1499" i="19"/>
  <c r="W1498" i="19"/>
  <c r="T1498" i="19"/>
  <c r="S1498" i="19"/>
  <c r="W1497" i="19"/>
  <c r="T1497" i="19"/>
  <c r="S1497" i="19"/>
  <c r="W1496" i="19"/>
  <c r="T1496" i="19"/>
  <c r="S1496" i="19"/>
  <c r="W1495" i="19"/>
  <c r="T1495" i="19"/>
  <c r="S1495" i="19"/>
  <c r="W1494" i="19"/>
  <c r="T1494" i="19"/>
  <c r="S1494" i="19"/>
  <c r="W1493" i="19"/>
  <c r="T1493" i="19"/>
  <c r="S1493" i="19"/>
  <c r="W1492" i="19"/>
  <c r="T1492" i="19"/>
  <c r="S1492" i="19"/>
  <c r="W1491" i="19"/>
  <c r="T1491" i="19"/>
  <c r="S1491" i="19"/>
  <c r="W1490" i="19"/>
  <c r="T1490" i="19"/>
  <c r="S1490" i="19"/>
  <c r="W1489" i="19"/>
  <c r="T1489" i="19"/>
  <c r="S1489" i="19"/>
  <c r="W1488" i="19"/>
  <c r="T1488" i="19"/>
  <c r="S1488" i="19"/>
  <c r="W1487" i="19"/>
  <c r="T1487" i="19"/>
  <c r="S1487" i="19"/>
  <c r="W1486" i="19"/>
  <c r="T1486" i="19"/>
  <c r="S1486" i="19"/>
  <c r="W1485" i="19"/>
  <c r="T1485" i="19"/>
  <c r="S1485" i="19"/>
  <c r="W1484" i="19"/>
  <c r="T1484" i="19"/>
  <c r="S1484" i="19"/>
  <c r="W1483" i="19"/>
  <c r="T1483" i="19"/>
  <c r="S1483" i="19"/>
  <c r="W1482" i="19"/>
  <c r="T1482" i="19"/>
  <c r="S1482" i="19"/>
  <c r="W1481" i="19"/>
  <c r="T1481" i="19"/>
  <c r="S1481" i="19"/>
  <c r="W1480" i="19"/>
  <c r="T1480" i="19"/>
  <c r="S1480" i="19"/>
  <c r="W1479" i="19"/>
  <c r="T1479" i="19"/>
  <c r="S1479" i="19"/>
  <c r="W1478" i="19"/>
  <c r="T1478" i="19"/>
  <c r="S1478" i="19"/>
  <c r="W1477" i="19"/>
  <c r="T1477" i="19"/>
  <c r="S1477" i="19"/>
  <c r="W1476" i="19"/>
  <c r="T1476" i="19"/>
  <c r="S1476" i="19"/>
  <c r="W1475" i="19"/>
  <c r="T1475" i="19"/>
  <c r="S1475" i="19"/>
  <c r="W1474" i="19"/>
  <c r="T1474" i="19"/>
  <c r="S1474" i="19"/>
  <c r="W1473" i="19"/>
  <c r="T1473" i="19"/>
  <c r="S1473" i="19"/>
  <c r="W1472" i="19"/>
  <c r="T1472" i="19"/>
  <c r="S1472" i="19"/>
  <c r="W1471" i="19"/>
  <c r="T1471" i="19"/>
  <c r="S1471" i="19"/>
  <c r="W1470" i="19"/>
  <c r="T1470" i="19"/>
  <c r="S1470" i="19"/>
  <c r="W1469" i="19"/>
  <c r="T1469" i="19"/>
  <c r="S1469" i="19"/>
  <c r="W1468" i="19"/>
  <c r="T1468" i="19"/>
  <c r="S1468" i="19"/>
  <c r="W1467" i="19"/>
  <c r="T1467" i="19"/>
  <c r="S1467" i="19"/>
  <c r="W1466" i="19"/>
  <c r="T1466" i="19"/>
  <c r="S1466" i="19"/>
  <c r="W1465" i="19"/>
  <c r="T1465" i="19"/>
  <c r="S1465" i="19"/>
  <c r="W1464" i="19"/>
  <c r="T1464" i="19"/>
  <c r="S1464" i="19"/>
  <c r="W1463" i="19"/>
  <c r="T1463" i="19"/>
  <c r="S1463" i="19"/>
  <c r="W1462" i="19"/>
  <c r="T1462" i="19"/>
  <c r="S1462" i="19"/>
  <c r="W1461" i="19"/>
  <c r="T1461" i="19"/>
  <c r="S1461" i="19"/>
  <c r="W1460" i="19"/>
  <c r="T1460" i="19"/>
  <c r="S1460" i="19"/>
  <c r="W1459" i="19"/>
  <c r="T1459" i="19"/>
  <c r="S1459" i="19"/>
  <c r="W1458" i="19"/>
  <c r="T1458" i="19"/>
  <c r="S1458" i="19"/>
  <c r="W1457" i="19"/>
  <c r="T1457" i="19"/>
  <c r="S1457" i="19"/>
  <c r="W1456" i="19"/>
  <c r="T1456" i="19"/>
  <c r="S1456" i="19"/>
  <c r="W1455" i="19"/>
  <c r="T1455" i="19"/>
  <c r="S1455" i="19"/>
  <c r="W1454" i="19"/>
  <c r="T1454" i="19"/>
  <c r="S1454" i="19"/>
  <c r="W1453" i="19"/>
  <c r="T1453" i="19"/>
  <c r="S1453" i="19"/>
  <c r="W1452" i="19"/>
  <c r="T1452" i="19"/>
  <c r="S1452" i="19"/>
  <c r="W1451" i="19"/>
  <c r="T1451" i="19"/>
  <c r="S1451" i="19"/>
  <c r="W1450" i="19"/>
  <c r="T1450" i="19"/>
  <c r="S1450" i="19"/>
  <c r="W1449" i="19"/>
  <c r="T1449" i="19"/>
  <c r="S1449" i="19"/>
  <c r="W1448" i="19"/>
  <c r="T1448" i="19"/>
  <c r="S1448" i="19"/>
  <c r="W1447" i="19"/>
  <c r="T1447" i="19"/>
  <c r="S1447" i="19"/>
  <c r="W1446" i="19"/>
  <c r="T1446" i="19"/>
  <c r="S1446" i="19"/>
  <c r="W1445" i="19"/>
  <c r="T1445" i="19"/>
  <c r="S1445" i="19"/>
  <c r="W1444" i="19"/>
  <c r="T1444" i="19"/>
  <c r="S1444" i="19"/>
  <c r="W1443" i="19"/>
  <c r="T1443" i="19"/>
  <c r="S1443" i="19"/>
  <c r="W1442" i="19"/>
  <c r="T1442" i="19"/>
  <c r="S1442" i="19"/>
  <c r="W1441" i="19"/>
  <c r="T1441" i="19"/>
  <c r="S1441" i="19"/>
  <c r="W1440" i="19"/>
  <c r="T1440" i="19"/>
  <c r="S1440" i="19"/>
  <c r="W1439" i="19"/>
  <c r="T1439" i="19"/>
  <c r="S1439" i="19"/>
  <c r="W1438" i="19"/>
  <c r="T1438" i="19"/>
  <c r="S1438" i="19"/>
  <c r="W1437" i="19"/>
  <c r="T1437" i="19"/>
  <c r="S1437" i="19"/>
  <c r="W1436" i="19"/>
  <c r="T1436" i="19"/>
  <c r="S1436" i="19"/>
  <c r="W1435" i="19"/>
  <c r="T1435" i="19"/>
  <c r="S1435" i="19"/>
  <c r="W1434" i="19"/>
  <c r="T1434" i="19"/>
  <c r="S1434" i="19"/>
  <c r="W1433" i="19"/>
  <c r="T1433" i="19"/>
  <c r="S1433" i="19"/>
  <c r="W1432" i="19"/>
  <c r="T1432" i="19"/>
  <c r="S1432" i="19"/>
  <c r="W1431" i="19"/>
  <c r="T1431" i="19"/>
  <c r="S1431" i="19"/>
  <c r="W1430" i="19"/>
  <c r="T1430" i="19"/>
  <c r="S1430" i="19"/>
  <c r="W1429" i="19"/>
  <c r="T1429" i="19"/>
  <c r="S1429" i="19"/>
  <c r="W1428" i="19"/>
  <c r="T1428" i="19"/>
  <c r="S1428" i="19"/>
  <c r="W1427" i="19"/>
  <c r="T1427" i="19"/>
  <c r="S1427" i="19"/>
  <c r="W1426" i="19"/>
  <c r="T1426" i="19"/>
  <c r="S1426" i="19"/>
  <c r="W1425" i="19"/>
  <c r="T1425" i="19"/>
  <c r="S1425" i="19"/>
  <c r="W1424" i="19"/>
  <c r="T1424" i="19"/>
  <c r="S1424" i="19"/>
  <c r="W1423" i="19"/>
  <c r="T1423" i="19"/>
  <c r="S1423" i="19"/>
  <c r="W1422" i="19"/>
  <c r="T1422" i="19"/>
  <c r="S1422" i="19"/>
  <c r="W1421" i="19"/>
  <c r="T1421" i="19"/>
  <c r="S1421" i="19"/>
  <c r="W1420" i="19"/>
  <c r="T1420" i="19"/>
  <c r="S1420" i="19"/>
  <c r="W1419" i="19"/>
  <c r="T1419" i="19"/>
  <c r="S1419" i="19"/>
  <c r="W1418" i="19"/>
  <c r="T1418" i="19"/>
  <c r="S1418" i="19"/>
  <c r="W1417" i="19"/>
  <c r="T1417" i="19"/>
  <c r="S1417" i="19"/>
  <c r="W1416" i="19"/>
  <c r="T1416" i="19"/>
  <c r="S1416" i="19"/>
  <c r="W1415" i="19"/>
  <c r="T1415" i="19"/>
  <c r="S1415" i="19"/>
  <c r="W1414" i="19"/>
  <c r="T1414" i="19"/>
  <c r="S1414" i="19"/>
  <c r="W1413" i="19"/>
  <c r="T1413" i="19"/>
  <c r="S1413" i="19"/>
  <c r="W1412" i="19"/>
  <c r="T1412" i="19"/>
  <c r="S1412" i="19"/>
  <c r="W1411" i="19"/>
  <c r="T1411" i="19"/>
  <c r="S1411" i="19"/>
  <c r="W1410" i="19"/>
  <c r="T1410" i="19"/>
  <c r="S1410" i="19"/>
  <c r="W1409" i="19"/>
  <c r="T1409" i="19"/>
  <c r="S1409" i="19"/>
  <c r="W1408" i="19"/>
  <c r="T1408" i="19"/>
  <c r="S1408" i="19"/>
  <c r="W1407" i="19"/>
  <c r="T1407" i="19"/>
  <c r="S1407" i="19"/>
  <c r="W1406" i="19"/>
  <c r="T1406" i="19"/>
  <c r="S1406" i="19"/>
  <c r="W1405" i="19"/>
  <c r="T1405" i="19"/>
  <c r="S1405" i="19"/>
  <c r="W1404" i="19"/>
  <c r="T1404" i="19"/>
  <c r="S1404" i="19"/>
  <c r="W1403" i="19"/>
  <c r="T1403" i="19"/>
  <c r="S1403" i="19"/>
  <c r="W1402" i="19"/>
  <c r="T1402" i="19"/>
  <c r="S1402" i="19"/>
  <c r="W1401" i="19"/>
  <c r="T1401" i="19"/>
  <c r="S1401" i="19"/>
  <c r="W1400" i="19"/>
  <c r="T1400" i="19"/>
  <c r="S1400" i="19"/>
  <c r="W1399" i="19"/>
  <c r="T1399" i="19"/>
  <c r="S1399" i="19"/>
  <c r="W1398" i="19"/>
  <c r="T1398" i="19"/>
  <c r="S1398" i="19"/>
  <c r="W1397" i="19"/>
  <c r="T1397" i="19"/>
  <c r="S1397" i="19"/>
  <c r="W1396" i="19"/>
  <c r="T1396" i="19"/>
  <c r="S1396" i="19"/>
  <c r="W1395" i="19"/>
  <c r="T1395" i="19"/>
  <c r="S1395" i="19"/>
  <c r="W1394" i="19"/>
  <c r="T1394" i="19"/>
  <c r="S1394" i="19"/>
  <c r="W1393" i="19"/>
  <c r="T1393" i="19"/>
  <c r="S1393" i="19"/>
  <c r="W1392" i="19"/>
  <c r="T1392" i="19"/>
  <c r="S1392" i="19"/>
  <c r="W1391" i="19"/>
  <c r="T1391" i="19"/>
  <c r="S1391" i="19"/>
  <c r="W1390" i="19"/>
  <c r="T1390" i="19"/>
  <c r="S1390" i="19"/>
  <c r="W1389" i="19"/>
  <c r="T1389" i="19"/>
  <c r="S1389" i="19"/>
  <c r="W1388" i="19"/>
  <c r="T1388" i="19"/>
  <c r="S1388" i="19"/>
  <c r="W1387" i="19"/>
  <c r="T1387" i="19"/>
  <c r="S1387" i="19"/>
  <c r="W1386" i="19"/>
  <c r="T1386" i="19"/>
  <c r="S1386" i="19"/>
  <c r="W1385" i="19"/>
  <c r="T1385" i="19"/>
  <c r="S1385" i="19"/>
  <c r="W1384" i="19"/>
  <c r="T1384" i="19"/>
  <c r="S1384" i="19"/>
  <c r="W1383" i="19"/>
  <c r="T1383" i="19"/>
  <c r="S1383" i="19"/>
  <c r="W1382" i="19"/>
  <c r="T1382" i="19"/>
  <c r="S1382" i="19"/>
  <c r="W1381" i="19"/>
  <c r="T1381" i="19"/>
  <c r="S1381" i="19"/>
  <c r="W1380" i="19"/>
  <c r="T1380" i="19"/>
  <c r="S1380" i="19"/>
  <c r="W1379" i="19"/>
  <c r="T1379" i="19"/>
  <c r="S1379" i="19"/>
  <c r="W1378" i="19"/>
  <c r="T1378" i="19"/>
  <c r="S1378" i="19"/>
  <c r="W1377" i="19"/>
  <c r="T1377" i="19"/>
  <c r="S1377" i="19"/>
  <c r="W1376" i="19"/>
  <c r="T1376" i="19"/>
  <c r="S1376" i="19"/>
  <c r="W1375" i="19"/>
  <c r="T1375" i="19"/>
  <c r="S1375" i="19"/>
  <c r="W1374" i="19"/>
  <c r="T1374" i="19"/>
  <c r="S1374" i="19"/>
  <c r="W1373" i="19"/>
  <c r="T1373" i="19"/>
  <c r="S1373" i="19"/>
  <c r="W1372" i="19"/>
  <c r="T1372" i="19"/>
  <c r="S1372" i="19"/>
  <c r="W1371" i="19"/>
  <c r="T1371" i="19"/>
  <c r="S1371" i="19"/>
  <c r="W1370" i="19"/>
  <c r="T1370" i="19"/>
  <c r="S1370" i="19"/>
  <c r="W1369" i="19"/>
  <c r="T1369" i="19"/>
  <c r="S1369" i="19"/>
  <c r="W1368" i="19"/>
  <c r="T1368" i="19"/>
  <c r="S1368" i="19"/>
  <c r="W1367" i="19"/>
  <c r="T1367" i="19"/>
  <c r="S1367" i="19"/>
  <c r="W1366" i="19"/>
  <c r="T1366" i="19"/>
  <c r="S1366" i="19"/>
  <c r="W1365" i="19"/>
  <c r="T1365" i="19"/>
  <c r="S1365" i="19"/>
  <c r="W1364" i="19"/>
  <c r="T1364" i="19"/>
  <c r="S1364" i="19"/>
  <c r="W1363" i="19"/>
  <c r="T1363" i="19"/>
  <c r="S1363" i="19"/>
  <c r="W1362" i="19"/>
  <c r="T1362" i="19"/>
  <c r="S1362" i="19"/>
  <c r="W1361" i="19"/>
  <c r="T1361" i="19"/>
  <c r="S1361" i="19"/>
  <c r="W1360" i="19"/>
  <c r="T1360" i="19"/>
  <c r="S1360" i="19"/>
  <c r="W1359" i="19"/>
  <c r="T1359" i="19"/>
  <c r="S1359" i="19"/>
  <c r="W1358" i="19"/>
  <c r="T1358" i="19"/>
  <c r="S1358" i="19"/>
  <c r="W1357" i="19"/>
  <c r="T1357" i="19"/>
  <c r="S1357" i="19"/>
  <c r="W1356" i="19"/>
  <c r="T1356" i="19"/>
  <c r="S1356" i="19"/>
  <c r="W1355" i="19"/>
  <c r="T1355" i="19"/>
  <c r="S1355" i="19"/>
  <c r="W1354" i="19"/>
  <c r="T1354" i="19"/>
  <c r="S1354" i="19"/>
  <c r="W1353" i="19"/>
  <c r="T1353" i="19"/>
  <c r="S1353" i="19"/>
  <c r="W1352" i="19"/>
  <c r="T1352" i="19"/>
  <c r="S1352" i="19"/>
  <c r="W1351" i="19"/>
  <c r="T1351" i="19"/>
  <c r="S1351" i="19"/>
  <c r="W1350" i="19"/>
  <c r="T1350" i="19"/>
  <c r="S1350" i="19"/>
  <c r="W1349" i="19"/>
  <c r="T1349" i="19"/>
  <c r="S1349" i="19"/>
  <c r="W1348" i="19"/>
  <c r="T1348" i="19"/>
  <c r="S1348" i="19"/>
  <c r="W1347" i="19"/>
  <c r="T1347" i="19"/>
  <c r="S1347" i="19"/>
  <c r="W1346" i="19"/>
  <c r="T1346" i="19"/>
  <c r="S1346" i="19"/>
  <c r="W1345" i="19"/>
  <c r="T1345" i="19"/>
  <c r="S1345" i="19"/>
  <c r="W1344" i="19"/>
  <c r="T1344" i="19"/>
  <c r="S1344" i="19"/>
  <c r="W1343" i="19"/>
  <c r="T1343" i="19"/>
  <c r="S1343" i="19"/>
  <c r="W1342" i="19"/>
  <c r="T1342" i="19"/>
  <c r="S1342" i="19"/>
  <c r="W1341" i="19"/>
  <c r="T1341" i="19"/>
  <c r="S1341" i="19"/>
  <c r="W1340" i="19"/>
  <c r="T1340" i="19"/>
  <c r="S1340" i="19"/>
  <c r="W1339" i="19"/>
  <c r="T1339" i="19"/>
  <c r="S1339" i="19"/>
  <c r="W1338" i="19"/>
  <c r="T1338" i="19"/>
  <c r="S1338" i="19"/>
  <c r="W1337" i="19"/>
  <c r="T1337" i="19"/>
  <c r="S1337" i="19"/>
  <c r="W1336" i="19"/>
  <c r="T1336" i="19"/>
  <c r="S1336" i="19"/>
  <c r="W1335" i="19"/>
  <c r="T1335" i="19"/>
  <c r="S1335" i="19"/>
  <c r="W1334" i="19"/>
  <c r="T1334" i="19"/>
  <c r="S1334" i="19"/>
  <c r="W1333" i="19"/>
  <c r="T1333" i="19"/>
  <c r="S1333" i="19"/>
  <c r="W1332" i="19"/>
  <c r="T1332" i="19"/>
  <c r="S1332" i="19"/>
  <c r="W1331" i="19"/>
  <c r="T1331" i="19"/>
  <c r="S1331" i="19"/>
  <c r="W1330" i="19"/>
  <c r="T1330" i="19"/>
  <c r="S1330" i="19"/>
  <c r="W1329" i="19"/>
  <c r="T1329" i="19"/>
  <c r="S1329" i="19"/>
  <c r="W1328" i="19"/>
  <c r="T1328" i="19"/>
  <c r="S1328" i="19"/>
  <c r="W1327" i="19"/>
  <c r="T1327" i="19"/>
  <c r="S1327" i="19"/>
  <c r="W1326" i="19"/>
  <c r="T1326" i="19"/>
  <c r="S1326" i="19"/>
  <c r="W1325" i="19"/>
  <c r="T1325" i="19"/>
  <c r="S1325" i="19"/>
  <c r="W1324" i="19"/>
  <c r="T1324" i="19"/>
  <c r="S1324" i="19"/>
  <c r="W1323" i="19"/>
  <c r="T1323" i="19"/>
  <c r="S1323" i="19"/>
  <c r="W1322" i="19"/>
  <c r="T1322" i="19"/>
  <c r="S1322" i="19"/>
  <c r="W1321" i="19"/>
  <c r="T1321" i="19"/>
  <c r="S1321" i="19"/>
  <c r="W1320" i="19"/>
  <c r="T1320" i="19"/>
  <c r="S1320" i="19"/>
  <c r="W1319" i="19"/>
  <c r="T1319" i="19"/>
  <c r="S1319" i="19"/>
  <c r="W1318" i="19"/>
  <c r="T1318" i="19"/>
  <c r="S1318" i="19"/>
  <c r="W1317" i="19"/>
  <c r="T1317" i="19"/>
  <c r="S1317" i="19"/>
  <c r="W1316" i="19"/>
  <c r="T1316" i="19"/>
  <c r="S1316" i="19"/>
  <c r="W1315" i="19"/>
  <c r="T1315" i="19"/>
  <c r="S1315" i="19"/>
  <c r="W1314" i="19"/>
  <c r="T1314" i="19"/>
  <c r="S1314" i="19"/>
  <c r="W1313" i="19"/>
  <c r="T1313" i="19"/>
  <c r="S1313" i="19"/>
  <c r="W1312" i="19"/>
  <c r="T1312" i="19"/>
  <c r="S1312" i="19"/>
  <c r="W1311" i="19"/>
  <c r="T1311" i="19"/>
  <c r="S1311" i="19"/>
  <c r="W1310" i="19"/>
  <c r="T1310" i="19"/>
  <c r="S1310" i="19"/>
  <c r="W1309" i="19"/>
  <c r="T1309" i="19"/>
  <c r="S1309" i="19"/>
  <c r="W1308" i="19"/>
  <c r="T1308" i="19"/>
  <c r="S1308" i="19"/>
  <c r="W1307" i="19"/>
  <c r="T1307" i="19"/>
  <c r="S1307" i="19"/>
  <c r="W1306" i="19"/>
  <c r="T1306" i="19"/>
  <c r="S1306" i="19"/>
  <c r="W1305" i="19"/>
  <c r="T1305" i="19"/>
  <c r="S1305" i="19"/>
  <c r="W1304" i="19"/>
  <c r="T1304" i="19"/>
  <c r="S1304" i="19"/>
  <c r="W1303" i="19"/>
  <c r="T1303" i="19"/>
  <c r="S1303" i="19"/>
  <c r="W1302" i="19"/>
  <c r="T1302" i="19"/>
  <c r="S1302" i="19"/>
  <c r="W1301" i="19"/>
  <c r="T1301" i="19"/>
  <c r="S1301" i="19"/>
  <c r="W1300" i="19"/>
  <c r="T1300" i="19"/>
  <c r="S1300" i="19"/>
  <c r="W1299" i="19"/>
  <c r="T1299" i="19"/>
  <c r="S1299" i="19"/>
  <c r="W1298" i="19"/>
  <c r="T1298" i="19"/>
  <c r="S1298" i="19"/>
  <c r="W1297" i="19"/>
  <c r="T1297" i="19"/>
  <c r="S1297" i="19"/>
  <c r="W1296" i="19"/>
  <c r="T1296" i="19"/>
  <c r="S1296" i="19"/>
  <c r="W1295" i="19"/>
  <c r="T1295" i="19"/>
  <c r="S1295" i="19"/>
  <c r="W1294" i="19"/>
  <c r="T1294" i="19"/>
  <c r="S1294" i="19"/>
  <c r="W1293" i="19"/>
  <c r="T1293" i="19"/>
  <c r="S1293" i="19"/>
  <c r="W1292" i="19"/>
  <c r="T1292" i="19"/>
  <c r="S1292" i="19"/>
  <c r="W1291" i="19"/>
  <c r="T1291" i="19"/>
  <c r="S1291" i="19"/>
  <c r="W1290" i="19"/>
  <c r="T1290" i="19"/>
  <c r="S1290" i="19"/>
  <c r="W1289" i="19"/>
  <c r="T1289" i="19"/>
  <c r="S1289" i="19"/>
  <c r="W1288" i="19"/>
  <c r="T1288" i="19"/>
  <c r="S1288" i="19"/>
  <c r="W1287" i="19"/>
  <c r="T1287" i="19"/>
  <c r="S1287" i="19"/>
  <c r="W1286" i="19"/>
  <c r="T1286" i="19"/>
  <c r="S1286" i="19"/>
  <c r="W1285" i="19"/>
  <c r="T1285" i="19"/>
  <c r="S1285" i="19"/>
  <c r="W1284" i="19"/>
  <c r="T1284" i="19"/>
  <c r="S1284" i="19"/>
  <c r="W1283" i="19"/>
  <c r="T1283" i="19"/>
  <c r="S1283" i="19"/>
  <c r="W1282" i="19"/>
  <c r="T1282" i="19"/>
  <c r="S1282" i="19"/>
  <c r="W1281" i="19"/>
  <c r="T1281" i="19"/>
  <c r="S1281" i="19"/>
  <c r="W1280" i="19"/>
  <c r="T1280" i="19"/>
  <c r="S1280" i="19"/>
  <c r="W1279" i="19"/>
  <c r="T1279" i="19"/>
  <c r="S1279" i="19"/>
  <c r="W1278" i="19"/>
  <c r="T1278" i="19"/>
  <c r="S1278" i="19"/>
  <c r="W1277" i="19"/>
  <c r="T1277" i="19"/>
  <c r="S1277" i="19"/>
  <c r="W1276" i="19"/>
  <c r="T1276" i="19"/>
  <c r="S1276" i="19"/>
  <c r="W1275" i="19"/>
  <c r="T1275" i="19"/>
  <c r="S1275" i="19"/>
  <c r="W1274" i="19"/>
  <c r="T1274" i="19"/>
  <c r="S1274" i="19"/>
  <c r="W1273" i="19"/>
  <c r="T1273" i="19"/>
  <c r="S1273" i="19"/>
  <c r="W1272" i="19"/>
  <c r="T1272" i="19"/>
  <c r="S1272" i="19"/>
  <c r="W1271" i="19"/>
  <c r="T1271" i="19"/>
  <c r="S1271" i="19"/>
  <c r="W1270" i="19"/>
  <c r="T1270" i="19"/>
  <c r="S1270" i="19"/>
  <c r="W1269" i="19"/>
  <c r="T1269" i="19"/>
  <c r="S1269" i="19"/>
  <c r="W1268" i="19"/>
  <c r="T1268" i="19"/>
  <c r="S1268" i="19"/>
  <c r="W1267" i="19"/>
  <c r="T1267" i="19"/>
  <c r="S1267" i="19"/>
  <c r="W1266" i="19"/>
  <c r="T1266" i="19"/>
  <c r="S1266" i="19"/>
  <c r="W1265" i="19"/>
  <c r="T1265" i="19"/>
  <c r="S1265" i="19"/>
  <c r="W1264" i="19"/>
  <c r="T1264" i="19"/>
  <c r="S1264" i="19"/>
  <c r="W1263" i="19"/>
  <c r="T1263" i="19"/>
  <c r="S1263" i="19"/>
  <c r="W1262" i="19"/>
  <c r="T1262" i="19"/>
  <c r="S1262" i="19"/>
  <c r="W1261" i="19"/>
  <c r="T1261" i="19"/>
  <c r="S1261" i="19"/>
  <c r="W1260" i="19"/>
  <c r="T1260" i="19"/>
  <c r="S1260" i="19"/>
  <c r="W1259" i="19"/>
  <c r="T1259" i="19"/>
  <c r="S1259" i="19"/>
  <c r="W1258" i="19"/>
  <c r="T1258" i="19"/>
  <c r="S1258" i="19"/>
  <c r="W1257" i="19"/>
  <c r="T1257" i="19"/>
  <c r="S1257" i="19"/>
  <c r="W1256" i="19"/>
  <c r="T1256" i="19"/>
  <c r="S1256" i="19"/>
  <c r="W1255" i="19"/>
  <c r="T1255" i="19"/>
  <c r="S1255" i="19"/>
  <c r="W1254" i="19"/>
  <c r="T1254" i="19"/>
  <c r="S1254" i="19"/>
  <c r="W1253" i="19"/>
  <c r="T1253" i="19"/>
  <c r="S1253" i="19"/>
  <c r="W1252" i="19"/>
  <c r="T1252" i="19"/>
  <c r="S1252" i="19"/>
  <c r="W1251" i="19"/>
  <c r="T1251" i="19"/>
  <c r="S1251" i="19"/>
  <c r="W1250" i="19"/>
  <c r="T1250" i="19"/>
  <c r="S1250" i="19"/>
  <c r="W1249" i="19"/>
  <c r="T1249" i="19"/>
  <c r="S1249" i="19"/>
  <c r="W1248" i="19"/>
  <c r="T1248" i="19"/>
  <c r="S1248" i="19"/>
  <c r="W1247" i="19"/>
  <c r="T1247" i="19"/>
  <c r="S1247" i="19"/>
  <c r="W1246" i="19"/>
  <c r="T1246" i="19"/>
  <c r="S1246" i="19"/>
  <c r="W1245" i="19"/>
  <c r="T1245" i="19"/>
  <c r="S1245" i="19"/>
  <c r="W1244" i="19"/>
  <c r="T1244" i="19"/>
  <c r="S1244" i="19"/>
  <c r="W1243" i="19"/>
  <c r="T1243" i="19"/>
  <c r="S1243" i="19"/>
  <c r="W1242" i="19"/>
  <c r="T1242" i="19"/>
  <c r="S1242" i="19"/>
  <c r="W1241" i="19"/>
  <c r="T1241" i="19"/>
  <c r="S1241" i="19"/>
  <c r="W1240" i="19"/>
  <c r="T1240" i="19"/>
  <c r="S1240" i="19"/>
  <c r="W1239" i="19"/>
  <c r="T1239" i="19"/>
  <c r="S1239" i="19"/>
  <c r="W1238" i="19"/>
  <c r="T1238" i="19"/>
  <c r="S1238" i="19"/>
  <c r="W1237" i="19"/>
  <c r="T1237" i="19"/>
  <c r="S1237" i="19"/>
  <c r="W1236" i="19"/>
  <c r="T1236" i="19"/>
  <c r="S1236" i="19"/>
  <c r="W1235" i="19"/>
  <c r="T1235" i="19"/>
  <c r="S1235" i="19"/>
  <c r="W1234" i="19"/>
  <c r="T1234" i="19"/>
  <c r="S1234" i="19"/>
  <c r="W1233" i="19"/>
  <c r="T1233" i="19"/>
  <c r="S1233" i="19"/>
  <c r="W1232" i="19"/>
  <c r="T1232" i="19"/>
  <c r="S1232" i="19"/>
  <c r="W1231" i="19"/>
  <c r="T1231" i="19"/>
  <c r="S1231" i="19"/>
  <c r="W1230" i="19"/>
  <c r="T1230" i="19"/>
  <c r="S1230" i="19"/>
  <c r="W1229" i="19"/>
  <c r="T1229" i="19"/>
  <c r="S1229" i="19"/>
  <c r="W1228" i="19"/>
  <c r="T1228" i="19"/>
  <c r="S1228" i="19"/>
  <c r="W1227" i="19"/>
  <c r="T1227" i="19"/>
  <c r="S1227" i="19"/>
  <c r="W1226" i="19"/>
  <c r="T1226" i="19"/>
  <c r="S1226" i="19"/>
  <c r="W1225" i="19"/>
  <c r="T1225" i="19"/>
  <c r="S1225" i="19"/>
  <c r="W1224" i="19"/>
  <c r="T1224" i="19"/>
  <c r="S1224" i="19"/>
  <c r="W1223" i="19"/>
  <c r="T1223" i="19"/>
  <c r="S1223" i="19"/>
  <c r="W1222" i="19"/>
  <c r="T1222" i="19"/>
  <c r="S1222" i="19"/>
  <c r="W1221" i="19"/>
  <c r="T1221" i="19"/>
  <c r="S1221" i="19"/>
  <c r="W1220" i="19"/>
  <c r="T1220" i="19"/>
  <c r="S1220" i="19"/>
  <c r="W1219" i="19"/>
  <c r="T1219" i="19"/>
  <c r="S1219" i="19"/>
  <c r="W1218" i="19"/>
  <c r="T1218" i="19"/>
  <c r="S1218" i="19"/>
  <c r="W1217" i="19"/>
  <c r="T1217" i="19"/>
  <c r="S1217" i="19"/>
  <c r="W1216" i="19"/>
  <c r="T1216" i="19"/>
  <c r="S1216" i="19"/>
  <c r="W1215" i="19"/>
  <c r="T1215" i="19"/>
  <c r="S1215" i="19"/>
  <c r="W1214" i="19"/>
  <c r="T1214" i="19"/>
  <c r="S1214" i="19"/>
  <c r="W1213" i="19"/>
  <c r="T1213" i="19"/>
  <c r="S1213" i="19"/>
  <c r="W1212" i="19"/>
  <c r="T1212" i="19"/>
  <c r="S1212" i="19"/>
  <c r="W1211" i="19"/>
  <c r="T1211" i="19"/>
  <c r="S1211" i="19"/>
  <c r="W1210" i="19"/>
  <c r="T1210" i="19"/>
  <c r="S1210" i="19"/>
  <c r="W1209" i="19"/>
  <c r="T1209" i="19"/>
  <c r="S1209" i="19"/>
  <c r="W1208" i="19"/>
  <c r="T1208" i="19"/>
  <c r="S1208" i="19"/>
  <c r="W1207" i="19"/>
  <c r="T1207" i="19"/>
  <c r="S1207" i="19"/>
  <c r="W1206" i="19"/>
  <c r="T1206" i="19"/>
  <c r="S1206" i="19"/>
  <c r="W1205" i="19"/>
  <c r="T1205" i="19"/>
  <c r="S1205" i="19"/>
  <c r="W1204" i="19"/>
  <c r="T1204" i="19"/>
  <c r="S1204" i="19"/>
  <c r="W1203" i="19"/>
  <c r="T1203" i="19"/>
  <c r="S1203" i="19"/>
  <c r="W1202" i="19"/>
  <c r="T1202" i="19"/>
  <c r="S1202" i="19"/>
  <c r="W1201" i="19"/>
  <c r="T1201" i="19"/>
  <c r="S1201" i="19"/>
  <c r="W1200" i="19"/>
  <c r="T1200" i="19"/>
  <c r="S1200" i="19"/>
  <c r="W1199" i="19"/>
  <c r="T1199" i="19"/>
  <c r="S1199" i="19"/>
  <c r="W1198" i="19"/>
  <c r="T1198" i="19"/>
  <c r="S1198" i="19"/>
  <c r="W1197" i="19"/>
  <c r="T1197" i="19"/>
  <c r="S1197" i="19"/>
  <c r="W1196" i="19"/>
  <c r="T1196" i="19"/>
  <c r="S1196" i="19"/>
  <c r="W1195" i="19"/>
  <c r="T1195" i="19"/>
  <c r="S1195" i="19"/>
  <c r="W1194" i="19"/>
  <c r="T1194" i="19"/>
  <c r="S1194" i="19"/>
  <c r="W1193" i="19"/>
  <c r="T1193" i="19"/>
  <c r="S1193" i="19"/>
  <c r="W1192" i="19"/>
  <c r="T1192" i="19"/>
  <c r="S1192" i="19"/>
  <c r="W1191" i="19"/>
  <c r="T1191" i="19"/>
  <c r="S1191" i="19"/>
  <c r="W1190" i="19"/>
  <c r="T1190" i="19"/>
  <c r="S1190" i="19"/>
  <c r="W1189" i="19"/>
  <c r="T1189" i="19"/>
  <c r="S1189" i="19"/>
  <c r="W1188" i="19"/>
  <c r="T1188" i="19"/>
  <c r="S1188" i="19"/>
  <c r="W1187" i="19"/>
  <c r="T1187" i="19"/>
  <c r="S1187" i="19"/>
  <c r="W1186" i="19"/>
  <c r="T1186" i="19"/>
  <c r="S1186" i="19"/>
  <c r="W1185" i="19"/>
  <c r="T1185" i="19"/>
  <c r="S1185" i="19"/>
  <c r="W1184" i="19"/>
  <c r="T1184" i="19"/>
  <c r="S1184" i="19"/>
  <c r="W1183" i="19"/>
  <c r="T1183" i="19"/>
  <c r="S1183" i="19"/>
  <c r="W1182" i="19"/>
  <c r="T1182" i="19"/>
  <c r="S1182" i="19"/>
  <c r="W1181" i="19"/>
  <c r="T1181" i="19"/>
  <c r="S1181" i="19"/>
  <c r="W1180" i="19"/>
  <c r="T1180" i="19"/>
  <c r="S1180" i="19"/>
  <c r="W1179" i="19"/>
  <c r="T1179" i="19"/>
  <c r="S1179" i="19"/>
  <c r="W1178" i="19"/>
  <c r="T1178" i="19"/>
  <c r="S1178" i="19"/>
  <c r="W1177" i="19"/>
  <c r="T1177" i="19"/>
  <c r="S1177" i="19"/>
  <c r="W1176" i="19"/>
  <c r="T1176" i="19"/>
  <c r="S1176" i="19"/>
  <c r="W1175" i="19"/>
  <c r="T1175" i="19"/>
  <c r="S1175" i="19"/>
  <c r="W1174" i="19"/>
  <c r="T1174" i="19"/>
  <c r="S1174" i="19"/>
  <c r="W1173" i="19"/>
  <c r="T1173" i="19"/>
  <c r="S1173" i="19"/>
  <c r="W1172" i="19"/>
  <c r="T1172" i="19"/>
  <c r="S1172" i="19"/>
  <c r="W1171" i="19"/>
  <c r="T1171" i="19"/>
  <c r="S1171" i="19"/>
  <c r="W1170" i="19"/>
  <c r="T1170" i="19"/>
  <c r="S1170" i="19"/>
  <c r="W1169" i="19"/>
  <c r="T1169" i="19"/>
  <c r="S1169" i="19"/>
  <c r="W1168" i="19"/>
  <c r="T1168" i="19"/>
  <c r="S1168" i="19"/>
  <c r="W1167" i="19"/>
  <c r="T1167" i="19"/>
  <c r="S1167" i="19"/>
  <c r="W1166" i="19"/>
  <c r="T1166" i="19"/>
  <c r="S1166" i="19"/>
  <c r="W1165" i="19"/>
  <c r="T1165" i="19"/>
  <c r="S1165" i="19"/>
  <c r="W1164" i="19"/>
  <c r="T1164" i="19"/>
  <c r="S1164" i="19"/>
  <c r="W1163" i="19"/>
  <c r="T1163" i="19"/>
  <c r="S1163" i="19"/>
  <c r="W1162" i="19"/>
  <c r="T1162" i="19"/>
  <c r="S1162" i="19"/>
  <c r="W1161" i="19"/>
  <c r="T1161" i="19"/>
  <c r="S1161" i="19"/>
  <c r="W1160" i="19"/>
  <c r="T1160" i="19"/>
  <c r="S1160" i="19"/>
  <c r="W1159" i="19"/>
  <c r="T1159" i="19"/>
  <c r="S1159" i="19"/>
  <c r="W1158" i="19"/>
  <c r="T1158" i="19"/>
  <c r="S1158" i="19"/>
  <c r="W1157" i="19"/>
  <c r="T1157" i="19"/>
  <c r="S1157" i="19"/>
  <c r="W1156" i="19"/>
  <c r="T1156" i="19"/>
  <c r="S1156" i="19"/>
  <c r="W1155" i="19"/>
  <c r="T1155" i="19"/>
  <c r="S1155" i="19"/>
  <c r="W1154" i="19"/>
  <c r="T1154" i="19"/>
  <c r="S1154" i="19"/>
  <c r="W1153" i="19"/>
  <c r="T1153" i="19"/>
  <c r="S1153" i="19"/>
  <c r="W1152" i="19"/>
  <c r="T1152" i="19"/>
  <c r="S1152" i="19"/>
  <c r="W1151" i="19"/>
  <c r="T1151" i="19"/>
  <c r="S1151" i="19"/>
  <c r="W1150" i="19"/>
  <c r="T1150" i="19"/>
  <c r="S1150" i="19"/>
  <c r="W1149" i="19"/>
  <c r="T1149" i="19"/>
  <c r="S1149" i="19"/>
  <c r="W1148" i="19"/>
  <c r="T1148" i="19"/>
  <c r="S1148" i="19"/>
  <c r="W1147" i="19"/>
  <c r="T1147" i="19"/>
  <c r="S1147" i="19"/>
  <c r="W1146" i="19"/>
  <c r="T1146" i="19"/>
  <c r="S1146" i="19"/>
  <c r="W1145" i="19"/>
  <c r="T1145" i="19"/>
  <c r="S1145" i="19"/>
  <c r="W1144" i="19"/>
  <c r="T1144" i="19"/>
  <c r="S1144" i="19"/>
  <c r="W1143" i="19"/>
  <c r="T1143" i="19"/>
  <c r="S1143" i="19"/>
  <c r="W1142" i="19"/>
  <c r="T1142" i="19"/>
  <c r="S1142" i="19"/>
  <c r="W1141" i="19"/>
  <c r="T1141" i="19"/>
  <c r="S1141" i="19"/>
  <c r="W1140" i="19"/>
  <c r="T1140" i="19"/>
  <c r="S1140" i="19"/>
  <c r="W1139" i="19"/>
  <c r="T1139" i="19"/>
  <c r="S1139" i="19"/>
  <c r="W1138" i="19"/>
  <c r="T1138" i="19"/>
  <c r="S1138" i="19"/>
  <c r="W1137" i="19"/>
  <c r="T1137" i="19"/>
  <c r="S1137" i="19"/>
  <c r="W1136" i="19"/>
  <c r="T1136" i="19"/>
  <c r="S1136" i="19"/>
  <c r="W1135" i="19"/>
  <c r="T1135" i="19"/>
  <c r="S1135" i="19"/>
  <c r="W1134" i="19"/>
  <c r="T1134" i="19"/>
  <c r="S1134" i="19"/>
  <c r="W1133" i="19"/>
  <c r="T1133" i="19"/>
  <c r="S1133" i="19"/>
  <c r="W1132" i="19"/>
  <c r="T1132" i="19"/>
  <c r="S1132" i="19"/>
  <c r="W1131" i="19"/>
  <c r="T1131" i="19"/>
  <c r="S1131" i="19"/>
  <c r="W1130" i="19"/>
  <c r="T1130" i="19"/>
  <c r="S1130" i="19"/>
  <c r="W1129" i="19"/>
  <c r="T1129" i="19"/>
  <c r="S1129" i="19"/>
  <c r="W1128" i="19"/>
  <c r="T1128" i="19"/>
  <c r="S1128" i="19"/>
  <c r="W1127" i="19"/>
  <c r="T1127" i="19"/>
  <c r="S1127" i="19"/>
  <c r="W1126" i="19"/>
  <c r="T1126" i="19"/>
  <c r="S1126" i="19"/>
  <c r="W1125" i="19"/>
  <c r="T1125" i="19"/>
  <c r="S1125" i="19"/>
  <c r="W1124" i="19"/>
  <c r="T1124" i="19"/>
  <c r="S1124" i="19"/>
  <c r="W1123" i="19"/>
  <c r="T1123" i="19"/>
  <c r="S1123" i="19"/>
  <c r="W1122" i="19"/>
  <c r="T1122" i="19"/>
  <c r="S1122" i="19"/>
  <c r="W1121" i="19"/>
  <c r="T1121" i="19"/>
  <c r="S1121" i="19"/>
  <c r="W1120" i="19"/>
  <c r="T1120" i="19"/>
  <c r="S1120" i="19"/>
  <c r="W1119" i="19"/>
  <c r="T1119" i="19"/>
  <c r="S1119" i="19"/>
  <c r="W1118" i="19"/>
  <c r="T1118" i="19"/>
  <c r="S1118" i="19"/>
  <c r="W1117" i="19"/>
  <c r="T1117" i="19"/>
  <c r="S1117" i="19"/>
  <c r="W1116" i="19"/>
  <c r="T1116" i="19"/>
  <c r="S1116" i="19"/>
  <c r="W1115" i="19"/>
  <c r="T1115" i="19"/>
  <c r="S1115" i="19"/>
  <c r="W1114" i="19"/>
  <c r="T1114" i="19"/>
  <c r="S1114" i="19"/>
  <c r="W1113" i="19"/>
  <c r="T1113" i="19"/>
  <c r="S1113" i="19"/>
  <c r="W1112" i="19"/>
  <c r="T1112" i="19"/>
  <c r="S1112" i="19"/>
  <c r="W1111" i="19"/>
  <c r="T1111" i="19"/>
  <c r="S1111" i="19"/>
  <c r="W1110" i="19"/>
  <c r="T1110" i="19"/>
  <c r="S1110" i="19"/>
  <c r="W1109" i="19"/>
  <c r="T1109" i="19"/>
  <c r="S1109" i="19"/>
  <c r="W1108" i="19"/>
  <c r="T1108" i="19"/>
  <c r="S1108" i="19"/>
  <c r="W1107" i="19"/>
  <c r="T1107" i="19"/>
  <c r="S1107" i="19"/>
  <c r="W1106" i="19"/>
  <c r="T1106" i="19"/>
  <c r="S1106" i="19"/>
  <c r="W1105" i="19"/>
  <c r="T1105" i="19"/>
  <c r="S1105" i="19"/>
  <c r="W1104" i="19"/>
  <c r="T1104" i="19"/>
  <c r="S1104" i="19"/>
  <c r="W1103" i="19"/>
  <c r="T1103" i="19"/>
  <c r="S1103" i="19"/>
  <c r="W1102" i="19"/>
  <c r="T1102" i="19"/>
  <c r="S1102" i="19"/>
  <c r="W1101" i="19"/>
  <c r="T1101" i="19"/>
  <c r="S1101" i="19"/>
  <c r="W1100" i="19"/>
  <c r="T1100" i="19"/>
  <c r="S1100" i="19"/>
  <c r="W1099" i="19"/>
  <c r="T1099" i="19"/>
  <c r="S1099" i="19"/>
  <c r="W1098" i="19"/>
  <c r="T1098" i="19"/>
  <c r="S1098" i="19"/>
  <c r="W1097" i="19"/>
  <c r="T1097" i="19"/>
  <c r="S1097" i="19"/>
  <c r="W1096" i="19"/>
  <c r="T1096" i="19"/>
  <c r="S1096" i="19"/>
  <c r="W1095" i="19"/>
  <c r="T1095" i="19"/>
  <c r="S1095" i="19"/>
  <c r="W1094" i="19"/>
  <c r="T1094" i="19"/>
  <c r="S1094" i="19"/>
  <c r="W1093" i="19"/>
  <c r="T1093" i="19"/>
  <c r="S1093" i="19"/>
  <c r="W1092" i="19"/>
  <c r="T1092" i="19"/>
  <c r="S1092" i="19"/>
  <c r="W1091" i="19"/>
  <c r="T1091" i="19"/>
  <c r="S1091" i="19"/>
  <c r="W1090" i="19"/>
  <c r="T1090" i="19"/>
  <c r="S1090" i="19"/>
  <c r="W1089" i="19"/>
  <c r="T1089" i="19"/>
  <c r="S1089" i="19"/>
  <c r="W1088" i="19"/>
  <c r="T1088" i="19"/>
  <c r="S1088" i="19"/>
  <c r="W1087" i="19"/>
  <c r="T1087" i="19"/>
  <c r="S1087" i="19"/>
  <c r="W1086" i="19"/>
  <c r="T1086" i="19"/>
  <c r="S1086" i="19"/>
  <c r="W1085" i="19"/>
  <c r="T1085" i="19"/>
  <c r="S1085" i="19"/>
  <c r="W1084" i="19"/>
  <c r="T1084" i="19"/>
  <c r="S1084" i="19"/>
  <c r="W1083" i="19"/>
  <c r="T1083" i="19"/>
  <c r="S1083" i="19"/>
  <c r="W1082" i="19"/>
  <c r="T1082" i="19"/>
  <c r="S1082" i="19"/>
  <c r="W1081" i="19"/>
  <c r="T1081" i="19"/>
  <c r="S1081" i="19"/>
  <c r="W1080" i="19"/>
  <c r="T1080" i="19"/>
  <c r="S1080" i="19"/>
  <c r="W1079" i="19"/>
  <c r="T1079" i="19"/>
  <c r="S1079" i="19"/>
  <c r="W1078" i="19"/>
  <c r="T1078" i="19"/>
  <c r="S1078" i="19"/>
  <c r="W1077" i="19"/>
  <c r="T1077" i="19"/>
  <c r="S1077" i="19"/>
  <c r="W1076" i="19"/>
  <c r="T1076" i="19"/>
  <c r="S1076" i="19"/>
  <c r="W1075" i="19"/>
  <c r="T1075" i="19"/>
  <c r="S1075" i="19"/>
  <c r="W1074" i="19"/>
  <c r="T1074" i="19"/>
  <c r="S1074" i="19"/>
  <c r="W1073" i="19"/>
  <c r="T1073" i="19"/>
  <c r="S1073" i="19"/>
  <c r="W1072" i="19"/>
  <c r="T1072" i="19"/>
  <c r="S1072" i="19"/>
  <c r="W1071" i="19"/>
  <c r="T1071" i="19"/>
  <c r="S1071" i="19"/>
  <c r="W1070" i="19"/>
  <c r="T1070" i="19"/>
  <c r="S1070" i="19"/>
  <c r="W1069" i="19"/>
  <c r="T1069" i="19"/>
  <c r="S1069" i="19"/>
  <c r="W1068" i="19"/>
  <c r="T1068" i="19"/>
  <c r="S1068" i="19"/>
  <c r="W1067" i="19"/>
  <c r="T1067" i="19"/>
  <c r="S1067" i="19"/>
  <c r="W1066" i="19"/>
  <c r="T1066" i="19"/>
  <c r="S1066" i="19"/>
  <c r="W1065" i="19"/>
  <c r="T1065" i="19"/>
  <c r="S1065" i="19"/>
  <c r="W1064" i="19"/>
  <c r="T1064" i="19"/>
  <c r="S1064" i="19"/>
  <c r="W1063" i="19"/>
  <c r="T1063" i="19"/>
  <c r="S1063" i="19"/>
  <c r="W1062" i="19"/>
  <c r="T1062" i="19"/>
  <c r="S1062" i="19"/>
  <c r="W1061" i="19"/>
  <c r="T1061" i="19"/>
  <c r="S1061" i="19"/>
  <c r="W1060" i="19"/>
  <c r="T1060" i="19"/>
  <c r="S1060" i="19"/>
  <c r="W1059" i="19"/>
  <c r="T1059" i="19"/>
  <c r="S1059" i="19"/>
  <c r="W1058" i="19"/>
  <c r="T1058" i="19"/>
  <c r="S1058" i="19"/>
  <c r="W1057" i="19"/>
  <c r="T1057" i="19"/>
  <c r="S1057" i="19"/>
  <c r="W1056" i="19"/>
  <c r="T1056" i="19"/>
  <c r="S1056" i="19"/>
  <c r="W1055" i="19"/>
  <c r="T1055" i="19"/>
  <c r="S1055" i="19"/>
  <c r="W1054" i="19"/>
  <c r="T1054" i="19"/>
  <c r="S1054" i="19"/>
  <c r="W1053" i="19"/>
  <c r="T1053" i="19"/>
  <c r="S1053" i="19"/>
  <c r="W1052" i="19"/>
  <c r="T1052" i="19"/>
  <c r="S1052" i="19"/>
  <c r="W1051" i="19"/>
  <c r="T1051" i="19"/>
  <c r="S1051" i="19"/>
  <c r="W1050" i="19"/>
  <c r="T1050" i="19"/>
  <c r="S1050" i="19"/>
  <c r="W1049" i="19"/>
  <c r="T1049" i="19"/>
  <c r="S1049" i="19"/>
  <c r="W1048" i="19"/>
  <c r="T1048" i="19"/>
  <c r="S1048" i="19"/>
  <c r="W1047" i="19"/>
  <c r="T1047" i="19"/>
  <c r="S1047" i="19"/>
  <c r="W1046" i="19"/>
  <c r="T1046" i="19"/>
  <c r="S1046" i="19"/>
  <c r="W1045" i="19"/>
  <c r="T1045" i="19"/>
  <c r="S1045" i="19"/>
  <c r="W1044" i="19"/>
  <c r="T1044" i="19"/>
  <c r="S1044" i="19"/>
  <c r="W1043" i="19"/>
  <c r="T1043" i="19"/>
  <c r="S1043" i="19"/>
  <c r="W1042" i="19"/>
  <c r="T1042" i="19"/>
  <c r="S1042" i="19"/>
  <c r="W1041" i="19"/>
  <c r="T1041" i="19"/>
  <c r="S1041" i="19"/>
  <c r="W1040" i="19"/>
  <c r="T1040" i="19"/>
  <c r="S1040" i="19"/>
  <c r="W1039" i="19"/>
  <c r="T1039" i="19"/>
  <c r="S1039" i="19"/>
  <c r="W1038" i="19"/>
  <c r="T1038" i="19"/>
  <c r="S1038" i="19"/>
  <c r="W1037" i="19"/>
  <c r="T1037" i="19"/>
  <c r="S1037" i="19"/>
  <c r="W1036" i="19"/>
  <c r="T1036" i="19"/>
  <c r="S1036" i="19"/>
  <c r="W1035" i="19"/>
  <c r="T1035" i="19"/>
  <c r="S1035" i="19"/>
  <c r="W1034" i="19"/>
  <c r="T1034" i="19"/>
  <c r="S1034" i="19"/>
  <c r="W1033" i="19"/>
  <c r="T1033" i="19"/>
  <c r="S1033" i="19"/>
  <c r="W1032" i="19"/>
  <c r="T1032" i="19"/>
  <c r="S1032" i="19"/>
  <c r="W1031" i="19"/>
  <c r="T1031" i="19"/>
  <c r="S1031" i="19"/>
  <c r="W1030" i="19"/>
  <c r="T1030" i="19"/>
  <c r="S1030" i="19"/>
  <c r="W1029" i="19"/>
  <c r="T1029" i="19"/>
  <c r="S1029" i="19"/>
  <c r="W1028" i="19"/>
  <c r="T1028" i="19"/>
  <c r="S1028" i="19"/>
  <c r="W1027" i="19"/>
  <c r="T1027" i="19"/>
  <c r="S1027" i="19"/>
  <c r="W1026" i="19"/>
  <c r="T1026" i="19"/>
  <c r="S1026" i="19"/>
  <c r="W1025" i="19"/>
  <c r="T1025" i="19"/>
  <c r="S1025" i="19"/>
  <c r="W1024" i="19"/>
  <c r="T1024" i="19"/>
  <c r="S1024" i="19"/>
  <c r="W1023" i="19"/>
  <c r="T1023" i="19"/>
  <c r="S1023" i="19"/>
  <c r="W1022" i="19"/>
  <c r="T1022" i="19"/>
  <c r="S1022" i="19"/>
  <c r="W1021" i="19"/>
  <c r="T1021" i="19"/>
  <c r="S1021" i="19"/>
  <c r="W1020" i="19"/>
  <c r="T1020" i="19"/>
  <c r="S1020" i="19"/>
  <c r="W1019" i="19"/>
  <c r="T1019" i="19"/>
  <c r="S1019" i="19"/>
  <c r="W1018" i="19"/>
  <c r="T1018" i="19"/>
  <c r="S1018" i="19"/>
  <c r="W1017" i="19"/>
  <c r="T1017" i="19"/>
  <c r="S1017" i="19"/>
  <c r="W1016" i="19"/>
  <c r="T1016" i="19"/>
  <c r="S1016" i="19"/>
  <c r="W1015" i="19"/>
  <c r="T1015" i="19"/>
  <c r="S1015" i="19"/>
  <c r="W1014" i="19"/>
  <c r="T1014" i="19"/>
  <c r="S1014" i="19"/>
  <c r="W1013" i="19"/>
  <c r="T1013" i="19"/>
  <c r="S1013" i="19"/>
  <c r="W1012" i="19"/>
  <c r="T1012" i="19"/>
  <c r="S1012" i="19"/>
  <c r="W1011" i="19"/>
  <c r="T1011" i="19"/>
  <c r="S1011" i="19"/>
  <c r="W1010" i="19"/>
  <c r="T1010" i="19"/>
  <c r="S1010" i="19"/>
  <c r="W1009" i="19"/>
  <c r="T1009" i="19"/>
  <c r="S1009" i="19"/>
  <c r="W1008" i="19"/>
  <c r="T1008" i="19"/>
  <c r="S1008" i="19"/>
  <c r="W1007" i="19"/>
  <c r="T1007" i="19"/>
  <c r="S1007" i="19"/>
  <c r="W1006" i="19"/>
  <c r="T1006" i="19"/>
  <c r="S1006" i="19"/>
  <c r="W1005" i="19"/>
  <c r="T1005" i="19"/>
  <c r="S1005" i="19"/>
  <c r="W1004" i="19"/>
  <c r="T1004" i="19"/>
  <c r="S1004" i="19"/>
  <c r="W1003" i="19"/>
  <c r="T1003" i="19"/>
  <c r="S1003" i="19"/>
  <c r="W1002" i="19"/>
  <c r="T1002" i="19"/>
  <c r="S1002" i="19"/>
  <c r="W1001" i="19"/>
  <c r="T1001" i="19"/>
  <c r="S1001" i="19"/>
  <c r="W1000" i="19"/>
  <c r="T1000" i="19"/>
  <c r="S1000" i="19"/>
  <c r="W999" i="19"/>
  <c r="T999" i="19"/>
  <c r="S999" i="19"/>
  <c r="W998" i="19"/>
  <c r="T998" i="19"/>
  <c r="S998" i="19"/>
  <c r="W997" i="19"/>
  <c r="T997" i="19"/>
  <c r="S997" i="19"/>
  <c r="W996" i="19"/>
  <c r="T996" i="19"/>
  <c r="S996" i="19"/>
  <c r="W995" i="19"/>
  <c r="T995" i="19"/>
  <c r="S995" i="19"/>
  <c r="W994" i="19"/>
  <c r="T994" i="19"/>
  <c r="S994" i="19"/>
  <c r="W993" i="19"/>
  <c r="T993" i="19"/>
  <c r="S993" i="19"/>
  <c r="W992" i="19"/>
  <c r="T992" i="19"/>
  <c r="S992" i="19"/>
  <c r="W991" i="19"/>
  <c r="T991" i="19"/>
  <c r="S991" i="19"/>
  <c r="W990" i="19"/>
  <c r="T990" i="19"/>
  <c r="S990" i="19"/>
  <c r="W989" i="19"/>
  <c r="T989" i="19"/>
  <c r="S989" i="19"/>
  <c r="W988" i="19"/>
  <c r="T988" i="19"/>
  <c r="S988" i="19"/>
  <c r="W987" i="19"/>
  <c r="T987" i="19"/>
  <c r="S987" i="19"/>
  <c r="W986" i="19"/>
  <c r="T986" i="19"/>
  <c r="S986" i="19"/>
  <c r="W985" i="19"/>
  <c r="T985" i="19"/>
  <c r="S985" i="19"/>
  <c r="W984" i="19"/>
  <c r="T984" i="19"/>
  <c r="S984" i="19"/>
  <c r="W983" i="19"/>
  <c r="T983" i="19"/>
  <c r="S983" i="19"/>
  <c r="W982" i="19"/>
  <c r="T982" i="19"/>
  <c r="S982" i="19"/>
  <c r="W981" i="19"/>
  <c r="T981" i="19"/>
  <c r="S981" i="19"/>
  <c r="W980" i="19"/>
  <c r="T980" i="19"/>
  <c r="S980" i="19"/>
  <c r="W979" i="19"/>
  <c r="T979" i="19"/>
  <c r="S979" i="19"/>
  <c r="W978" i="19"/>
  <c r="T978" i="19"/>
  <c r="S978" i="19"/>
  <c r="W977" i="19"/>
  <c r="T977" i="19"/>
  <c r="S977" i="19"/>
  <c r="W976" i="19"/>
  <c r="T976" i="19"/>
  <c r="S976" i="19"/>
  <c r="W975" i="19"/>
  <c r="T975" i="19"/>
  <c r="S975" i="19"/>
  <c r="W974" i="19"/>
  <c r="T974" i="19"/>
  <c r="S974" i="19"/>
  <c r="W973" i="19"/>
  <c r="T973" i="19"/>
  <c r="S973" i="19"/>
  <c r="W972" i="19"/>
  <c r="T972" i="19"/>
  <c r="S972" i="19"/>
  <c r="W971" i="19"/>
  <c r="T971" i="19"/>
  <c r="S971" i="19"/>
  <c r="W970" i="19"/>
  <c r="T970" i="19"/>
  <c r="S970" i="19"/>
  <c r="W969" i="19"/>
  <c r="T969" i="19"/>
  <c r="S969" i="19"/>
  <c r="W968" i="19"/>
  <c r="T968" i="19"/>
  <c r="S968" i="19"/>
  <c r="W967" i="19"/>
  <c r="T967" i="19"/>
  <c r="S967" i="19"/>
  <c r="W966" i="19"/>
  <c r="T966" i="19"/>
  <c r="S966" i="19"/>
  <c r="W965" i="19"/>
  <c r="T965" i="19"/>
  <c r="S965" i="19"/>
  <c r="W964" i="19"/>
  <c r="T964" i="19"/>
  <c r="S964" i="19"/>
  <c r="W963" i="19"/>
  <c r="T963" i="19"/>
  <c r="S963" i="19"/>
  <c r="W962" i="19"/>
  <c r="T962" i="19"/>
  <c r="S962" i="19"/>
  <c r="W961" i="19"/>
  <c r="T961" i="19"/>
  <c r="S961" i="19"/>
  <c r="W960" i="19"/>
  <c r="T960" i="19"/>
  <c r="S960" i="19"/>
  <c r="W959" i="19"/>
  <c r="T959" i="19"/>
  <c r="S959" i="19"/>
  <c r="W958" i="19"/>
  <c r="T958" i="19"/>
  <c r="S958" i="19"/>
  <c r="W957" i="19"/>
  <c r="T957" i="19"/>
  <c r="S957" i="19"/>
  <c r="W956" i="19"/>
  <c r="T956" i="19"/>
  <c r="S956" i="19"/>
  <c r="W955" i="19"/>
  <c r="T955" i="19"/>
  <c r="S955" i="19"/>
  <c r="W954" i="19"/>
  <c r="T954" i="19"/>
  <c r="S954" i="19"/>
  <c r="W953" i="19"/>
  <c r="T953" i="19"/>
  <c r="S953" i="19"/>
  <c r="W952" i="19"/>
  <c r="T952" i="19"/>
  <c r="S952" i="19"/>
  <c r="W951" i="19"/>
  <c r="T951" i="19"/>
  <c r="S951" i="19"/>
  <c r="W950" i="19"/>
  <c r="T950" i="19"/>
  <c r="S950" i="19"/>
  <c r="W949" i="19"/>
  <c r="T949" i="19"/>
  <c r="S949" i="19"/>
  <c r="W948" i="19"/>
  <c r="T948" i="19"/>
  <c r="S948" i="19"/>
  <c r="W947" i="19"/>
  <c r="T947" i="19"/>
  <c r="S947" i="19"/>
  <c r="W946" i="19"/>
  <c r="T946" i="19"/>
  <c r="S946" i="19"/>
  <c r="W945" i="19"/>
  <c r="T945" i="19"/>
  <c r="S945" i="19"/>
  <c r="W944" i="19"/>
  <c r="T944" i="19"/>
  <c r="S944" i="19"/>
  <c r="W943" i="19"/>
  <c r="T943" i="19"/>
  <c r="S943" i="19"/>
  <c r="W942" i="19"/>
  <c r="T942" i="19"/>
  <c r="S942" i="19"/>
  <c r="W941" i="19"/>
  <c r="T941" i="19"/>
  <c r="S941" i="19"/>
  <c r="W940" i="19"/>
  <c r="T940" i="19"/>
  <c r="S940" i="19"/>
  <c r="W939" i="19"/>
  <c r="T939" i="19"/>
  <c r="S939" i="19"/>
  <c r="W938" i="19"/>
  <c r="T938" i="19"/>
  <c r="S938" i="19"/>
  <c r="W937" i="19"/>
  <c r="T937" i="19"/>
  <c r="S937" i="19"/>
  <c r="W936" i="19"/>
  <c r="T936" i="19"/>
  <c r="S936" i="19"/>
  <c r="W935" i="19"/>
  <c r="T935" i="19"/>
  <c r="S935" i="19"/>
  <c r="W934" i="19"/>
  <c r="T934" i="19"/>
  <c r="S934" i="19"/>
  <c r="W933" i="19"/>
  <c r="T933" i="19"/>
  <c r="S933" i="19"/>
  <c r="W932" i="19"/>
  <c r="T932" i="19"/>
  <c r="S932" i="19"/>
  <c r="W931" i="19"/>
  <c r="T931" i="19"/>
  <c r="S931" i="19"/>
  <c r="W930" i="19"/>
  <c r="T930" i="19"/>
  <c r="S930" i="19"/>
  <c r="W929" i="19"/>
  <c r="T929" i="19"/>
  <c r="S929" i="19"/>
  <c r="W928" i="19"/>
  <c r="T928" i="19"/>
  <c r="S928" i="19"/>
  <c r="W927" i="19"/>
  <c r="T927" i="19"/>
  <c r="S927" i="19"/>
  <c r="W926" i="19"/>
  <c r="T926" i="19"/>
  <c r="S926" i="19"/>
  <c r="W925" i="19"/>
  <c r="T925" i="19"/>
  <c r="S925" i="19"/>
  <c r="W924" i="19"/>
  <c r="T924" i="19"/>
  <c r="S924" i="19"/>
  <c r="W923" i="19"/>
  <c r="T923" i="19"/>
  <c r="S923" i="19"/>
  <c r="W922" i="19"/>
  <c r="T922" i="19"/>
  <c r="S922" i="19"/>
  <c r="W921" i="19"/>
  <c r="T921" i="19"/>
  <c r="S921" i="19"/>
  <c r="W920" i="19"/>
  <c r="T920" i="19"/>
  <c r="S920" i="19"/>
  <c r="W919" i="19"/>
  <c r="T919" i="19"/>
  <c r="S919" i="19"/>
  <c r="W918" i="19"/>
  <c r="T918" i="19"/>
  <c r="S918" i="19"/>
  <c r="W917" i="19"/>
  <c r="T917" i="19"/>
  <c r="S917" i="19"/>
  <c r="W916" i="19"/>
  <c r="T916" i="19"/>
  <c r="S916" i="19"/>
  <c r="W915" i="19"/>
  <c r="T915" i="19"/>
  <c r="S915" i="19"/>
  <c r="W914" i="19"/>
  <c r="T914" i="19"/>
  <c r="S914" i="19"/>
  <c r="W913" i="19"/>
  <c r="T913" i="19"/>
  <c r="S913" i="19"/>
  <c r="W912" i="19"/>
  <c r="T912" i="19"/>
  <c r="S912" i="19"/>
  <c r="W911" i="19"/>
  <c r="T911" i="19"/>
  <c r="S911" i="19"/>
  <c r="W910" i="19"/>
  <c r="T910" i="19"/>
  <c r="S910" i="19"/>
  <c r="W909" i="19"/>
  <c r="T909" i="19"/>
  <c r="S909" i="19"/>
  <c r="W908" i="19"/>
  <c r="T908" i="19"/>
  <c r="S908" i="19"/>
  <c r="W907" i="19"/>
  <c r="T907" i="19"/>
  <c r="S907" i="19"/>
  <c r="W906" i="19"/>
  <c r="T906" i="19"/>
  <c r="S906" i="19"/>
  <c r="W905" i="19"/>
  <c r="T905" i="19"/>
  <c r="S905" i="19"/>
  <c r="W904" i="19"/>
  <c r="T904" i="19"/>
  <c r="S904" i="19"/>
  <c r="W903" i="19"/>
  <c r="T903" i="19"/>
  <c r="S903" i="19"/>
  <c r="W902" i="19"/>
  <c r="T902" i="19"/>
  <c r="S902" i="19"/>
  <c r="W901" i="19"/>
  <c r="T901" i="19"/>
  <c r="S901" i="19"/>
  <c r="W900" i="19"/>
  <c r="T900" i="19"/>
  <c r="S900" i="19"/>
  <c r="W899" i="19"/>
  <c r="T899" i="19"/>
  <c r="S899" i="19"/>
  <c r="W898" i="19"/>
  <c r="T898" i="19"/>
  <c r="S898" i="19"/>
  <c r="W897" i="19"/>
  <c r="T897" i="19"/>
  <c r="S897" i="19"/>
  <c r="W896" i="19"/>
  <c r="T896" i="19"/>
  <c r="S896" i="19"/>
  <c r="W895" i="19"/>
  <c r="T895" i="19"/>
  <c r="S895" i="19"/>
  <c r="W894" i="19"/>
  <c r="T894" i="19"/>
  <c r="S894" i="19"/>
  <c r="W893" i="19"/>
  <c r="T893" i="19"/>
  <c r="S893" i="19"/>
  <c r="W892" i="19"/>
  <c r="T892" i="19"/>
  <c r="S892" i="19"/>
  <c r="W891" i="19"/>
  <c r="T891" i="19"/>
  <c r="S891" i="19"/>
  <c r="W890" i="19"/>
  <c r="T890" i="19"/>
  <c r="S890" i="19"/>
  <c r="W889" i="19"/>
  <c r="T889" i="19"/>
  <c r="S889" i="19"/>
  <c r="W888" i="19"/>
  <c r="T888" i="19"/>
  <c r="S888" i="19"/>
  <c r="W887" i="19"/>
  <c r="T887" i="19"/>
  <c r="S887" i="19"/>
  <c r="W886" i="19"/>
  <c r="T886" i="19"/>
  <c r="S886" i="19"/>
  <c r="W885" i="19"/>
  <c r="T885" i="19"/>
  <c r="S885" i="19"/>
  <c r="W884" i="19"/>
  <c r="T884" i="19"/>
  <c r="S884" i="19"/>
  <c r="W883" i="19"/>
  <c r="T883" i="19"/>
  <c r="S883" i="19"/>
  <c r="W882" i="19"/>
  <c r="T882" i="19"/>
  <c r="S882" i="19"/>
  <c r="W881" i="19"/>
  <c r="T881" i="19"/>
  <c r="S881" i="19"/>
  <c r="W880" i="19"/>
  <c r="T880" i="19"/>
  <c r="S880" i="19"/>
  <c r="W879" i="19"/>
  <c r="T879" i="19"/>
  <c r="S879" i="19"/>
  <c r="W878" i="19"/>
  <c r="T878" i="19"/>
  <c r="S878" i="19"/>
  <c r="W877" i="19"/>
  <c r="T877" i="19"/>
  <c r="S877" i="19"/>
  <c r="W876" i="19"/>
  <c r="T876" i="19"/>
  <c r="S876" i="19"/>
  <c r="W875" i="19"/>
  <c r="T875" i="19"/>
  <c r="S875" i="19"/>
  <c r="W874" i="19"/>
  <c r="T874" i="19"/>
  <c r="S874" i="19"/>
  <c r="W873" i="19"/>
  <c r="T873" i="19"/>
  <c r="S873" i="19"/>
  <c r="W872" i="19"/>
  <c r="T872" i="19"/>
  <c r="S872" i="19"/>
  <c r="W871" i="19"/>
  <c r="T871" i="19"/>
  <c r="S871" i="19"/>
  <c r="W870" i="19"/>
  <c r="T870" i="19"/>
  <c r="S870" i="19"/>
  <c r="W869" i="19"/>
  <c r="T869" i="19"/>
  <c r="S869" i="19"/>
  <c r="W868" i="19"/>
  <c r="T868" i="19"/>
  <c r="S868" i="19"/>
  <c r="W867" i="19"/>
  <c r="T867" i="19"/>
  <c r="S867" i="19"/>
  <c r="W866" i="19"/>
  <c r="T866" i="19"/>
  <c r="S866" i="19"/>
  <c r="W865" i="19"/>
  <c r="T865" i="19"/>
  <c r="S865" i="19"/>
  <c r="W864" i="19"/>
  <c r="T864" i="19"/>
  <c r="S864" i="19"/>
  <c r="W863" i="19"/>
  <c r="T863" i="19"/>
  <c r="S863" i="19"/>
  <c r="W862" i="19"/>
  <c r="T862" i="19"/>
  <c r="S862" i="19"/>
  <c r="W861" i="19"/>
  <c r="T861" i="19"/>
  <c r="S861" i="19"/>
  <c r="W860" i="19"/>
  <c r="T860" i="19"/>
  <c r="S860" i="19"/>
  <c r="W859" i="19"/>
  <c r="T859" i="19"/>
  <c r="S859" i="19"/>
  <c r="W858" i="19"/>
  <c r="T858" i="19"/>
  <c r="S858" i="19"/>
  <c r="W857" i="19"/>
  <c r="T857" i="19"/>
  <c r="S857" i="19"/>
  <c r="W856" i="19"/>
  <c r="T856" i="19"/>
  <c r="S856" i="19"/>
  <c r="W855" i="19"/>
  <c r="T855" i="19"/>
  <c r="S855" i="19"/>
  <c r="W854" i="19"/>
  <c r="T854" i="19"/>
  <c r="S854" i="19"/>
  <c r="W853" i="19"/>
  <c r="T853" i="19"/>
  <c r="S853" i="19"/>
  <c r="W852" i="19"/>
  <c r="T852" i="19"/>
  <c r="S852" i="19"/>
  <c r="W851" i="19"/>
  <c r="T851" i="19"/>
  <c r="S851" i="19"/>
  <c r="W850" i="19"/>
  <c r="T850" i="19"/>
  <c r="S850" i="19"/>
  <c r="W849" i="19"/>
  <c r="T849" i="19"/>
  <c r="S849" i="19"/>
  <c r="W848" i="19"/>
  <c r="T848" i="19"/>
  <c r="S848" i="19"/>
  <c r="W847" i="19"/>
  <c r="T847" i="19"/>
  <c r="S847" i="19"/>
  <c r="W846" i="19"/>
  <c r="T846" i="19"/>
  <c r="S846" i="19"/>
  <c r="W845" i="19"/>
  <c r="T845" i="19"/>
  <c r="S845" i="19"/>
  <c r="W844" i="19"/>
  <c r="T844" i="19"/>
  <c r="S844" i="19"/>
  <c r="W843" i="19"/>
  <c r="T843" i="19"/>
  <c r="S843" i="19"/>
  <c r="W842" i="19"/>
  <c r="T842" i="19"/>
  <c r="S842" i="19"/>
  <c r="W841" i="19"/>
  <c r="T841" i="19"/>
  <c r="S841" i="19"/>
  <c r="W840" i="19"/>
  <c r="T840" i="19"/>
  <c r="S840" i="19"/>
  <c r="W839" i="19"/>
  <c r="T839" i="19"/>
  <c r="S839" i="19"/>
  <c r="W838" i="19"/>
  <c r="T838" i="19"/>
  <c r="S838" i="19"/>
  <c r="W837" i="19"/>
  <c r="T837" i="19"/>
  <c r="S837" i="19"/>
  <c r="W836" i="19"/>
  <c r="T836" i="19"/>
  <c r="S836" i="19"/>
  <c r="W835" i="19"/>
  <c r="T835" i="19"/>
  <c r="S835" i="19"/>
  <c r="W834" i="19"/>
  <c r="T834" i="19"/>
  <c r="S834" i="19"/>
  <c r="W833" i="19"/>
  <c r="T833" i="19"/>
  <c r="S833" i="19"/>
  <c r="W832" i="19"/>
  <c r="T832" i="19"/>
  <c r="S832" i="19"/>
  <c r="W831" i="19"/>
  <c r="T831" i="19"/>
  <c r="S831" i="19"/>
  <c r="W830" i="19"/>
  <c r="T830" i="19"/>
  <c r="S830" i="19"/>
  <c r="W829" i="19"/>
  <c r="T829" i="19"/>
  <c r="S829" i="19"/>
  <c r="W828" i="19"/>
  <c r="T828" i="19"/>
  <c r="S828" i="19"/>
  <c r="W827" i="19"/>
  <c r="T827" i="19"/>
  <c r="S827" i="19"/>
  <c r="W826" i="19"/>
  <c r="T826" i="19"/>
  <c r="S826" i="19"/>
  <c r="W825" i="19"/>
  <c r="T825" i="19"/>
  <c r="S825" i="19"/>
  <c r="W824" i="19"/>
  <c r="T824" i="19"/>
  <c r="S824" i="19"/>
  <c r="W823" i="19"/>
  <c r="T823" i="19"/>
  <c r="S823" i="19"/>
  <c r="W822" i="19"/>
  <c r="T822" i="19"/>
  <c r="S822" i="19"/>
  <c r="W821" i="19"/>
  <c r="T821" i="19"/>
  <c r="S821" i="19"/>
  <c r="W820" i="19"/>
  <c r="T820" i="19"/>
  <c r="S820" i="19"/>
  <c r="W819" i="19"/>
  <c r="T819" i="19"/>
  <c r="S819" i="19"/>
  <c r="W818" i="19"/>
  <c r="T818" i="19"/>
  <c r="S818" i="19"/>
  <c r="W817" i="19"/>
  <c r="T817" i="19"/>
  <c r="S817" i="19"/>
  <c r="W816" i="19"/>
  <c r="T816" i="19"/>
  <c r="S816" i="19"/>
  <c r="W815" i="19"/>
  <c r="T815" i="19"/>
  <c r="S815" i="19"/>
  <c r="W814" i="19"/>
  <c r="T814" i="19"/>
  <c r="S814" i="19"/>
  <c r="W813" i="19"/>
  <c r="T813" i="19"/>
  <c r="S813" i="19"/>
  <c r="W812" i="19"/>
  <c r="T812" i="19"/>
  <c r="S812" i="19"/>
  <c r="W811" i="19"/>
  <c r="T811" i="19"/>
  <c r="S811" i="19"/>
  <c r="W810" i="19"/>
  <c r="T810" i="19"/>
  <c r="S810" i="19"/>
  <c r="W809" i="19"/>
  <c r="T809" i="19"/>
  <c r="S809" i="19"/>
  <c r="W808" i="19"/>
  <c r="T808" i="19"/>
  <c r="S808" i="19"/>
  <c r="W807" i="19"/>
  <c r="T807" i="19"/>
  <c r="S807" i="19"/>
  <c r="W806" i="19"/>
  <c r="T806" i="19"/>
  <c r="S806" i="19"/>
  <c r="W805" i="19"/>
  <c r="T805" i="19"/>
  <c r="S805" i="19"/>
  <c r="W804" i="19"/>
  <c r="T804" i="19"/>
  <c r="S804" i="19"/>
  <c r="W803" i="19"/>
  <c r="T803" i="19"/>
  <c r="S803" i="19"/>
  <c r="W802" i="19"/>
  <c r="T802" i="19"/>
  <c r="S802" i="19"/>
  <c r="W801" i="19"/>
  <c r="T801" i="19"/>
  <c r="S801" i="19"/>
  <c r="W800" i="19"/>
  <c r="T800" i="19"/>
  <c r="S800" i="19"/>
  <c r="W799" i="19"/>
  <c r="T799" i="19"/>
  <c r="S799" i="19"/>
  <c r="W798" i="19"/>
  <c r="T798" i="19"/>
  <c r="S798" i="19"/>
  <c r="W797" i="19"/>
  <c r="T797" i="19"/>
  <c r="S797" i="19"/>
  <c r="W796" i="19"/>
  <c r="T796" i="19"/>
  <c r="S796" i="19"/>
  <c r="W795" i="19"/>
  <c r="T795" i="19"/>
  <c r="S795" i="19"/>
  <c r="W794" i="19"/>
  <c r="T794" i="19"/>
  <c r="S794" i="19"/>
  <c r="W793" i="19"/>
  <c r="T793" i="19"/>
  <c r="S793" i="19"/>
  <c r="W792" i="19"/>
  <c r="T792" i="19"/>
  <c r="S792" i="19"/>
  <c r="W791" i="19"/>
  <c r="T791" i="19"/>
  <c r="S791" i="19"/>
  <c r="W790" i="19"/>
  <c r="T790" i="19"/>
  <c r="S790" i="19"/>
  <c r="W789" i="19"/>
  <c r="T789" i="19"/>
  <c r="S789" i="19"/>
  <c r="W788" i="19"/>
  <c r="T788" i="19"/>
  <c r="S788" i="19"/>
  <c r="W787" i="19"/>
  <c r="T787" i="19"/>
  <c r="S787" i="19"/>
  <c r="W786" i="19"/>
  <c r="T786" i="19"/>
  <c r="S786" i="19"/>
  <c r="W785" i="19"/>
  <c r="T785" i="19"/>
  <c r="S785" i="19"/>
  <c r="W784" i="19"/>
  <c r="T784" i="19"/>
  <c r="S784" i="19"/>
  <c r="W783" i="19"/>
  <c r="T783" i="19"/>
  <c r="S783" i="19"/>
  <c r="W782" i="19"/>
  <c r="T782" i="19"/>
  <c r="S782" i="19"/>
  <c r="W781" i="19"/>
  <c r="T781" i="19"/>
  <c r="S781" i="19"/>
  <c r="W780" i="19"/>
  <c r="T780" i="19"/>
  <c r="S780" i="19"/>
  <c r="W779" i="19"/>
  <c r="T779" i="19"/>
  <c r="S779" i="19"/>
  <c r="W778" i="19"/>
  <c r="T778" i="19"/>
  <c r="S778" i="19"/>
  <c r="W777" i="19"/>
  <c r="T777" i="19"/>
  <c r="S777" i="19"/>
  <c r="W776" i="19"/>
  <c r="T776" i="19"/>
  <c r="S776" i="19"/>
  <c r="W775" i="19"/>
  <c r="T775" i="19"/>
  <c r="S775" i="19"/>
  <c r="W774" i="19"/>
  <c r="T774" i="19"/>
  <c r="S774" i="19"/>
  <c r="W773" i="19"/>
  <c r="T773" i="19"/>
  <c r="S773" i="19"/>
  <c r="W772" i="19"/>
  <c r="T772" i="19"/>
  <c r="S772" i="19"/>
  <c r="W771" i="19"/>
  <c r="T771" i="19"/>
  <c r="S771" i="19"/>
  <c r="W770" i="19"/>
  <c r="T770" i="19"/>
  <c r="S770" i="19"/>
  <c r="W769" i="19"/>
  <c r="T769" i="19"/>
  <c r="S769" i="19"/>
  <c r="W768" i="19"/>
  <c r="T768" i="19"/>
  <c r="S768" i="19"/>
  <c r="W767" i="19"/>
  <c r="T767" i="19"/>
  <c r="S767" i="19"/>
  <c r="W766" i="19"/>
  <c r="T766" i="19"/>
  <c r="S766" i="19"/>
  <c r="W765" i="19"/>
  <c r="T765" i="19"/>
  <c r="S765" i="19"/>
  <c r="W764" i="19"/>
  <c r="T764" i="19"/>
  <c r="S764" i="19"/>
  <c r="W763" i="19"/>
  <c r="T763" i="19"/>
  <c r="S763" i="19"/>
  <c r="W762" i="19"/>
  <c r="T762" i="19"/>
  <c r="S762" i="19"/>
  <c r="W761" i="19"/>
  <c r="T761" i="19"/>
  <c r="S761" i="19"/>
  <c r="W760" i="19"/>
  <c r="T760" i="19"/>
  <c r="S760" i="19"/>
  <c r="W759" i="19"/>
  <c r="T759" i="19"/>
  <c r="S759" i="19"/>
  <c r="W758" i="19"/>
  <c r="T758" i="19"/>
  <c r="S758" i="19"/>
  <c r="W757" i="19"/>
  <c r="T757" i="19"/>
  <c r="S757" i="19"/>
  <c r="W756" i="19"/>
  <c r="T756" i="19"/>
  <c r="S756" i="19"/>
  <c r="W755" i="19"/>
  <c r="T755" i="19"/>
  <c r="S755" i="19"/>
  <c r="W754" i="19"/>
  <c r="T754" i="19"/>
  <c r="S754" i="19"/>
  <c r="W753" i="19"/>
  <c r="T753" i="19"/>
  <c r="S753" i="19"/>
  <c r="W752" i="19"/>
  <c r="T752" i="19"/>
  <c r="S752" i="19"/>
  <c r="W751" i="19"/>
  <c r="T751" i="19"/>
  <c r="S751" i="19"/>
  <c r="W750" i="19"/>
  <c r="T750" i="19"/>
  <c r="S750" i="19"/>
  <c r="W749" i="19"/>
  <c r="T749" i="19"/>
  <c r="S749" i="19"/>
  <c r="W748" i="19"/>
  <c r="T748" i="19"/>
  <c r="S748" i="19"/>
  <c r="W747" i="19"/>
  <c r="T747" i="19"/>
  <c r="S747" i="19"/>
  <c r="W746" i="19"/>
  <c r="T746" i="19"/>
  <c r="S746" i="19"/>
  <c r="W745" i="19"/>
  <c r="T745" i="19"/>
  <c r="S745" i="19"/>
  <c r="W744" i="19"/>
  <c r="T744" i="19"/>
  <c r="S744" i="19"/>
  <c r="W743" i="19"/>
  <c r="T743" i="19"/>
  <c r="S743" i="19"/>
  <c r="W742" i="19"/>
  <c r="T742" i="19"/>
  <c r="S742" i="19"/>
  <c r="W741" i="19"/>
  <c r="T741" i="19"/>
  <c r="S741" i="19"/>
  <c r="W740" i="19"/>
  <c r="T740" i="19"/>
  <c r="S740" i="19"/>
  <c r="W739" i="19"/>
  <c r="T739" i="19"/>
  <c r="S739" i="19"/>
  <c r="W738" i="19"/>
  <c r="T738" i="19"/>
  <c r="S738" i="19"/>
  <c r="W737" i="19"/>
  <c r="T737" i="19"/>
  <c r="S737" i="19"/>
  <c r="W736" i="19"/>
  <c r="T736" i="19"/>
  <c r="S736" i="19"/>
  <c r="W735" i="19"/>
  <c r="T735" i="19"/>
  <c r="S735" i="19"/>
  <c r="W734" i="19"/>
  <c r="T734" i="19"/>
  <c r="S734" i="19"/>
  <c r="W733" i="19"/>
  <c r="T733" i="19"/>
  <c r="S733" i="19"/>
  <c r="W732" i="19"/>
  <c r="T732" i="19"/>
  <c r="S732" i="19"/>
  <c r="W731" i="19"/>
  <c r="T731" i="19"/>
  <c r="S731" i="19"/>
  <c r="W730" i="19"/>
  <c r="T730" i="19"/>
  <c r="S730" i="19"/>
  <c r="W729" i="19"/>
  <c r="T729" i="19"/>
  <c r="S729" i="19"/>
  <c r="W728" i="19"/>
  <c r="T728" i="19"/>
  <c r="S728" i="19"/>
  <c r="W727" i="19"/>
  <c r="T727" i="19"/>
  <c r="S727" i="19"/>
  <c r="W726" i="19"/>
  <c r="T726" i="19"/>
  <c r="S726" i="19"/>
  <c r="W725" i="19"/>
  <c r="T725" i="19"/>
  <c r="S725" i="19"/>
  <c r="W724" i="19"/>
  <c r="T724" i="19"/>
  <c r="S724" i="19"/>
  <c r="W723" i="19"/>
  <c r="T723" i="19"/>
  <c r="S723" i="19"/>
  <c r="W722" i="19"/>
  <c r="T722" i="19"/>
  <c r="S722" i="19"/>
  <c r="W721" i="19"/>
  <c r="T721" i="19"/>
  <c r="S721" i="19"/>
  <c r="W720" i="19"/>
  <c r="T720" i="19"/>
  <c r="S720" i="19"/>
  <c r="W719" i="19"/>
  <c r="T719" i="19"/>
  <c r="S719" i="19"/>
  <c r="W718" i="19"/>
  <c r="T718" i="19"/>
  <c r="S718" i="19"/>
  <c r="W717" i="19"/>
  <c r="T717" i="19"/>
  <c r="S717" i="19"/>
  <c r="W716" i="19"/>
  <c r="T716" i="19"/>
  <c r="S716" i="19"/>
  <c r="W715" i="19"/>
  <c r="T715" i="19"/>
  <c r="S715" i="19"/>
  <c r="W714" i="19"/>
  <c r="T714" i="19"/>
  <c r="S714" i="19"/>
  <c r="W713" i="19"/>
  <c r="T713" i="19"/>
  <c r="S713" i="19"/>
  <c r="W712" i="19"/>
  <c r="T712" i="19"/>
  <c r="S712" i="19"/>
  <c r="W711" i="19"/>
  <c r="T711" i="19"/>
  <c r="S711" i="19"/>
  <c r="W710" i="19"/>
  <c r="T710" i="19"/>
  <c r="S710" i="19"/>
  <c r="W709" i="19"/>
  <c r="T709" i="19"/>
  <c r="S709" i="19"/>
  <c r="W708" i="19"/>
  <c r="T708" i="19"/>
  <c r="S708" i="19"/>
  <c r="W707" i="19"/>
  <c r="T707" i="19"/>
  <c r="S707" i="19"/>
  <c r="W706" i="19"/>
  <c r="T706" i="19"/>
  <c r="S706" i="19"/>
  <c r="W705" i="19"/>
  <c r="T705" i="19"/>
  <c r="S705" i="19"/>
  <c r="W704" i="19"/>
  <c r="T704" i="19"/>
  <c r="S704" i="19"/>
  <c r="W703" i="19"/>
  <c r="T703" i="19"/>
  <c r="S703" i="19"/>
  <c r="W702" i="19"/>
  <c r="T702" i="19"/>
  <c r="S702" i="19"/>
  <c r="W701" i="19"/>
  <c r="T701" i="19"/>
  <c r="S701" i="19"/>
  <c r="W700" i="19"/>
  <c r="T700" i="19"/>
  <c r="S700" i="19"/>
  <c r="W699" i="19"/>
  <c r="T699" i="19"/>
  <c r="S699" i="19"/>
  <c r="W698" i="19"/>
  <c r="T698" i="19"/>
  <c r="S698" i="19"/>
  <c r="W697" i="19"/>
  <c r="T697" i="19"/>
  <c r="S697" i="19"/>
  <c r="W696" i="19"/>
  <c r="T696" i="19"/>
  <c r="S696" i="19"/>
  <c r="W695" i="19"/>
  <c r="T695" i="19"/>
  <c r="S695" i="19"/>
  <c r="W694" i="19"/>
  <c r="T694" i="19"/>
  <c r="S694" i="19"/>
  <c r="W693" i="19"/>
  <c r="T693" i="19"/>
  <c r="S693" i="19"/>
  <c r="W692" i="19"/>
  <c r="T692" i="19"/>
  <c r="S692" i="19"/>
  <c r="W691" i="19"/>
  <c r="T691" i="19"/>
  <c r="S691" i="19"/>
  <c r="W690" i="19"/>
  <c r="T690" i="19"/>
  <c r="S690" i="19"/>
  <c r="W689" i="19"/>
  <c r="T689" i="19"/>
  <c r="S689" i="19"/>
  <c r="W688" i="19"/>
  <c r="T688" i="19"/>
  <c r="S688" i="19"/>
  <c r="W687" i="19"/>
  <c r="T687" i="19"/>
  <c r="S687" i="19"/>
  <c r="W686" i="19"/>
  <c r="T686" i="19"/>
  <c r="S686" i="19"/>
  <c r="W685" i="19"/>
  <c r="T685" i="19"/>
  <c r="S685" i="19"/>
  <c r="W684" i="19"/>
  <c r="T684" i="19"/>
  <c r="S684" i="19"/>
  <c r="W683" i="19"/>
  <c r="T683" i="19"/>
  <c r="S683" i="19"/>
  <c r="W682" i="19"/>
  <c r="T682" i="19"/>
  <c r="S682" i="19"/>
  <c r="W681" i="19"/>
  <c r="T681" i="19"/>
  <c r="S681" i="19"/>
  <c r="W680" i="19"/>
  <c r="T680" i="19"/>
  <c r="S680" i="19"/>
  <c r="W679" i="19"/>
  <c r="T679" i="19"/>
  <c r="S679" i="19"/>
  <c r="W678" i="19"/>
  <c r="T678" i="19"/>
  <c r="S678" i="19"/>
  <c r="W677" i="19"/>
  <c r="T677" i="19"/>
  <c r="S677" i="19"/>
  <c r="W676" i="19"/>
  <c r="T676" i="19"/>
  <c r="S676" i="19"/>
  <c r="W675" i="19"/>
  <c r="T675" i="19"/>
  <c r="S675" i="19"/>
  <c r="W674" i="19"/>
  <c r="T674" i="19"/>
  <c r="S674" i="19"/>
  <c r="W673" i="19"/>
  <c r="T673" i="19"/>
  <c r="S673" i="19"/>
  <c r="W672" i="19"/>
  <c r="T672" i="19"/>
  <c r="S672" i="19"/>
  <c r="W671" i="19"/>
  <c r="T671" i="19"/>
  <c r="S671" i="19"/>
  <c r="W670" i="19"/>
  <c r="T670" i="19"/>
  <c r="S670" i="19"/>
  <c r="W669" i="19"/>
  <c r="T669" i="19"/>
  <c r="S669" i="19"/>
  <c r="W668" i="19"/>
  <c r="T668" i="19"/>
  <c r="S668" i="19"/>
  <c r="W667" i="19"/>
  <c r="T667" i="19"/>
  <c r="S667" i="19"/>
  <c r="W666" i="19"/>
  <c r="T666" i="19"/>
  <c r="S666" i="19"/>
  <c r="W665" i="19"/>
  <c r="T665" i="19"/>
  <c r="S665" i="19"/>
  <c r="W664" i="19"/>
  <c r="T664" i="19"/>
  <c r="S664" i="19"/>
  <c r="W663" i="19"/>
  <c r="T663" i="19"/>
  <c r="S663" i="19"/>
  <c r="W662" i="19"/>
  <c r="T662" i="19"/>
  <c r="S662" i="19"/>
  <c r="W661" i="19"/>
  <c r="T661" i="19"/>
  <c r="S661" i="19"/>
  <c r="W660" i="19"/>
  <c r="T660" i="19"/>
  <c r="S660" i="19"/>
  <c r="W659" i="19"/>
  <c r="T659" i="19"/>
  <c r="S659" i="19"/>
  <c r="W658" i="19"/>
  <c r="T658" i="19"/>
  <c r="S658" i="19"/>
  <c r="W657" i="19"/>
  <c r="T657" i="19"/>
  <c r="S657" i="19"/>
  <c r="W656" i="19"/>
  <c r="T656" i="19"/>
  <c r="S656" i="19"/>
  <c r="W655" i="19"/>
  <c r="T655" i="19"/>
  <c r="S655" i="19"/>
  <c r="W654" i="19"/>
  <c r="T654" i="19"/>
  <c r="S654" i="19"/>
  <c r="W653" i="19"/>
  <c r="T653" i="19"/>
  <c r="S653" i="19"/>
  <c r="W652" i="19"/>
  <c r="T652" i="19"/>
  <c r="S652" i="19"/>
  <c r="W651" i="19"/>
  <c r="T651" i="19"/>
  <c r="S651" i="19"/>
  <c r="W650" i="19"/>
  <c r="T650" i="19"/>
  <c r="S650" i="19"/>
  <c r="W649" i="19"/>
  <c r="T649" i="19"/>
  <c r="S649" i="19"/>
  <c r="W648" i="19"/>
  <c r="T648" i="19"/>
  <c r="S648" i="19"/>
  <c r="W647" i="19"/>
  <c r="T647" i="19"/>
  <c r="S647" i="19"/>
  <c r="W646" i="19"/>
  <c r="T646" i="19"/>
  <c r="S646" i="19"/>
  <c r="W645" i="19"/>
  <c r="T645" i="19"/>
  <c r="S645" i="19"/>
  <c r="W644" i="19"/>
  <c r="T644" i="19"/>
  <c r="S644" i="19"/>
  <c r="W643" i="19"/>
  <c r="T643" i="19"/>
  <c r="S643" i="19"/>
  <c r="W642" i="19"/>
  <c r="T642" i="19"/>
  <c r="S642" i="19"/>
  <c r="W641" i="19"/>
  <c r="T641" i="19"/>
  <c r="S641" i="19"/>
  <c r="W640" i="19"/>
  <c r="T640" i="19"/>
  <c r="S640" i="19"/>
  <c r="W639" i="19"/>
  <c r="T639" i="19"/>
  <c r="S639" i="19"/>
  <c r="W638" i="19"/>
  <c r="T638" i="19"/>
  <c r="S638" i="19"/>
  <c r="W637" i="19"/>
  <c r="T637" i="19"/>
  <c r="S637" i="19"/>
  <c r="W636" i="19"/>
  <c r="T636" i="19"/>
  <c r="S636" i="19"/>
  <c r="W635" i="19"/>
  <c r="T635" i="19"/>
  <c r="S635" i="19"/>
  <c r="W634" i="19"/>
  <c r="T634" i="19"/>
  <c r="S634" i="19"/>
  <c r="W633" i="19"/>
  <c r="T633" i="19"/>
  <c r="S633" i="19"/>
  <c r="W632" i="19"/>
  <c r="T632" i="19"/>
  <c r="S632" i="19"/>
  <c r="W631" i="19"/>
  <c r="T631" i="19"/>
  <c r="S631" i="19"/>
  <c r="W630" i="19"/>
  <c r="T630" i="19"/>
  <c r="S630" i="19"/>
  <c r="W629" i="19"/>
  <c r="T629" i="19"/>
  <c r="S629" i="19"/>
  <c r="W628" i="19"/>
  <c r="T628" i="19"/>
  <c r="S628" i="19"/>
  <c r="W627" i="19"/>
  <c r="T627" i="19"/>
  <c r="S627" i="19"/>
  <c r="W626" i="19"/>
  <c r="T626" i="19"/>
  <c r="S626" i="19"/>
  <c r="W625" i="19"/>
  <c r="T625" i="19"/>
  <c r="S625" i="19"/>
  <c r="W624" i="19"/>
  <c r="T624" i="19"/>
  <c r="S624" i="19"/>
  <c r="W623" i="19"/>
  <c r="T623" i="19"/>
  <c r="S623" i="19"/>
  <c r="W622" i="19"/>
  <c r="T622" i="19"/>
  <c r="S622" i="19"/>
  <c r="W621" i="19"/>
  <c r="T621" i="19"/>
  <c r="S621" i="19"/>
  <c r="W620" i="19"/>
  <c r="T620" i="19"/>
  <c r="S620" i="19"/>
  <c r="W619" i="19"/>
  <c r="T619" i="19"/>
  <c r="S619" i="19"/>
  <c r="W618" i="19"/>
  <c r="T618" i="19"/>
  <c r="S618" i="19"/>
  <c r="W617" i="19"/>
  <c r="T617" i="19"/>
  <c r="S617" i="19"/>
  <c r="W616" i="19"/>
  <c r="T616" i="19"/>
  <c r="S616" i="19"/>
  <c r="W615" i="19"/>
  <c r="T615" i="19"/>
  <c r="S615" i="19"/>
  <c r="W614" i="19"/>
  <c r="T614" i="19"/>
  <c r="S614" i="19"/>
  <c r="W613" i="19"/>
  <c r="T613" i="19"/>
  <c r="S613" i="19"/>
  <c r="W612" i="19"/>
  <c r="T612" i="19"/>
  <c r="S612" i="19"/>
  <c r="W611" i="19"/>
  <c r="T611" i="19"/>
  <c r="S611" i="19"/>
  <c r="W610" i="19"/>
  <c r="T610" i="19"/>
  <c r="S610" i="19"/>
  <c r="W609" i="19"/>
  <c r="T609" i="19"/>
  <c r="S609" i="19"/>
  <c r="W608" i="19"/>
  <c r="T608" i="19"/>
  <c r="S608" i="19"/>
  <c r="W607" i="19"/>
  <c r="T607" i="19"/>
  <c r="S607" i="19"/>
  <c r="W606" i="19"/>
  <c r="T606" i="19"/>
  <c r="S606" i="19"/>
  <c r="W605" i="19"/>
  <c r="T605" i="19"/>
  <c r="S605" i="19"/>
  <c r="W604" i="19"/>
  <c r="T604" i="19"/>
  <c r="S604" i="19"/>
  <c r="W603" i="19"/>
  <c r="T603" i="19"/>
  <c r="S603" i="19"/>
  <c r="W602" i="19"/>
  <c r="T602" i="19"/>
  <c r="S602" i="19"/>
  <c r="W601" i="19"/>
  <c r="T601" i="19"/>
  <c r="S601" i="19"/>
  <c r="W600" i="19"/>
  <c r="T600" i="19"/>
  <c r="S600" i="19"/>
  <c r="W599" i="19"/>
  <c r="T599" i="19"/>
  <c r="S599" i="19"/>
  <c r="W598" i="19"/>
  <c r="T598" i="19"/>
  <c r="S598" i="19"/>
  <c r="W597" i="19"/>
  <c r="T597" i="19"/>
  <c r="S597" i="19"/>
  <c r="W596" i="19"/>
  <c r="T596" i="19"/>
  <c r="S596" i="19"/>
  <c r="W595" i="19"/>
  <c r="T595" i="19"/>
  <c r="S595" i="19"/>
  <c r="W594" i="19"/>
  <c r="T594" i="19"/>
  <c r="S594" i="19"/>
  <c r="W593" i="19"/>
  <c r="T593" i="19"/>
  <c r="S593" i="19"/>
  <c r="W592" i="19"/>
  <c r="T592" i="19"/>
  <c r="S592" i="19"/>
  <c r="W591" i="19"/>
  <c r="T591" i="19"/>
  <c r="S591" i="19"/>
  <c r="W590" i="19"/>
  <c r="T590" i="19"/>
  <c r="S590" i="19"/>
  <c r="W589" i="19"/>
  <c r="T589" i="19"/>
  <c r="S589" i="19"/>
  <c r="W588" i="19"/>
  <c r="T588" i="19"/>
  <c r="S588" i="19"/>
  <c r="W587" i="19"/>
  <c r="T587" i="19"/>
  <c r="S587" i="19"/>
  <c r="W586" i="19"/>
  <c r="T586" i="19"/>
  <c r="S586" i="19"/>
  <c r="W585" i="19"/>
  <c r="T585" i="19"/>
  <c r="S585" i="19"/>
  <c r="W584" i="19"/>
  <c r="T584" i="19"/>
  <c r="S584" i="19"/>
  <c r="W583" i="19"/>
  <c r="T583" i="19"/>
  <c r="S583" i="19"/>
  <c r="W582" i="19"/>
  <c r="T582" i="19"/>
  <c r="S582" i="19"/>
  <c r="W581" i="19"/>
  <c r="T581" i="19"/>
  <c r="S581" i="19"/>
  <c r="W580" i="19"/>
  <c r="T580" i="19"/>
  <c r="S580" i="19"/>
  <c r="W579" i="19"/>
  <c r="T579" i="19"/>
  <c r="S579" i="19"/>
  <c r="W578" i="19"/>
  <c r="T578" i="19"/>
  <c r="S578" i="19"/>
  <c r="W577" i="19"/>
  <c r="T577" i="19"/>
  <c r="S577" i="19"/>
  <c r="W576" i="19"/>
  <c r="T576" i="19"/>
  <c r="S576" i="19"/>
  <c r="W575" i="19"/>
  <c r="T575" i="19"/>
  <c r="S575" i="19"/>
  <c r="W574" i="19"/>
  <c r="T574" i="19"/>
  <c r="S574" i="19"/>
  <c r="W573" i="19"/>
  <c r="T573" i="19"/>
  <c r="S573" i="19"/>
  <c r="W572" i="19"/>
  <c r="T572" i="19"/>
  <c r="S572" i="19"/>
  <c r="W571" i="19"/>
  <c r="T571" i="19"/>
  <c r="S571" i="19"/>
  <c r="W570" i="19"/>
  <c r="T570" i="19"/>
  <c r="S570" i="19"/>
  <c r="W569" i="19"/>
  <c r="T569" i="19"/>
  <c r="S569" i="19"/>
  <c r="W568" i="19"/>
  <c r="T568" i="19"/>
  <c r="S568" i="19"/>
  <c r="W567" i="19"/>
  <c r="T567" i="19"/>
  <c r="S567" i="19"/>
  <c r="W566" i="19"/>
  <c r="T566" i="19"/>
  <c r="S566" i="19"/>
  <c r="W565" i="19"/>
  <c r="T565" i="19"/>
  <c r="S565" i="19"/>
  <c r="W564" i="19"/>
  <c r="T564" i="19"/>
  <c r="S564" i="19"/>
  <c r="W563" i="19"/>
  <c r="T563" i="19"/>
  <c r="S563" i="19"/>
  <c r="W562" i="19"/>
  <c r="T562" i="19"/>
  <c r="S562" i="19"/>
  <c r="W561" i="19"/>
  <c r="T561" i="19"/>
  <c r="S561" i="19"/>
  <c r="W560" i="19"/>
  <c r="T560" i="19"/>
  <c r="S560" i="19"/>
  <c r="W559" i="19"/>
  <c r="T559" i="19"/>
  <c r="S559" i="19"/>
  <c r="W558" i="19"/>
  <c r="T558" i="19"/>
  <c r="S558" i="19"/>
  <c r="W557" i="19"/>
  <c r="T557" i="19"/>
  <c r="S557" i="19"/>
  <c r="W556" i="19"/>
  <c r="T556" i="19"/>
  <c r="S556" i="19"/>
  <c r="W555" i="19"/>
  <c r="T555" i="19"/>
  <c r="S555" i="19"/>
  <c r="W554" i="19"/>
  <c r="T554" i="19"/>
  <c r="S554" i="19"/>
  <c r="W553" i="19"/>
  <c r="T553" i="19"/>
  <c r="S553" i="19"/>
  <c r="W552" i="19"/>
  <c r="T552" i="19"/>
  <c r="S552" i="19"/>
  <c r="W551" i="19"/>
  <c r="T551" i="19"/>
  <c r="S551" i="19"/>
  <c r="W550" i="19"/>
  <c r="T550" i="19"/>
  <c r="S550" i="19"/>
  <c r="W549" i="19"/>
  <c r="T549" i="19"/>
  <c r="S549" i="19"/>
  <c r="W548" i="19"/>
  <c r="T548" i="19"/>
  <c r="S548" i="19"/>
  <c r="W547" i="19"/>
  <c r="T547" i="19"/>
  <c r="S547" i="19"/>
  <c r="W546" i="19"/>
  <c r="T546" i="19"/>
  <c r="S546" i="19"/>
  <c r="W545" i="19"/>
  <c r="T545" i="19"/>
  <c r="S545" i="19"/>
  <c r="W544" i="19"/>
  <c r="T544" i="19"/>
  <c r="S544" i="19"/>
  <c r="W543" i="19"/>
  <c r="T543" i="19"/>
  <c r="S543" i="19"/>
  <c r="W542" i="19"/>
  <c r="T542" i="19"/>
  <c r="S542" i="19"/>
  <c r="W541" i="19"/>
  <c r="T541" i="19"/>
  <c r="S541" i="19"/>
  <c r="W540" i="19"/>
  <c r="T540" i="19"/>
  <c r="S540" i="19"/>
  <c r="W539" i="19"/>
  <c r="T539" i="19"/>
  <c r="S539" i="19"/>
  <c r="W538" i="19"/>
  <c r="T538" i="19"/>
  <c r="S538" i="19"/>
  <c r="W537" i="19"/>
  <c r="T537" i="19"/>
  <c r="S537" i="19"/>
  <c r="W536" i="19"/>
  <c r="T536" i="19"/>
  <c r="S536" i="19"/>
  <c r="W535" i="19"/>
  <c r="T535" i="19"/>
  <c r="S535" i="19"/>
  <c r="W534" i="19"/>
  <c r="T534" i="19"/>
  <c r="S534" i="19"/>
  <c r="W533" i="19"/>
  <c r="T533" i="19"/>
  <c r="S533" i="19"/>
  <c r="W532" i="19"/>
  <c r="T532" i="19"/>
  <c r="S532" i="19"/>
  <c r="W531" i="19"/>
  <c r="T531" i="19"/>
  <c r="S531" i="19"/>
  <c r="W530" i="19"/>
  <c r="T530" i="19"/>
  <c r="S530" i="19"/>
  <c r="W529" i="19"/>
  <c r="T529" i="19"/>
  <c r="S529" i="19"/>
  <c r="W528" i="19"/>
  <c r="T528" i="19"/>
  <c r="S528" i="19"/>
  <c r="W527" i="19"/>
  <c r="T527" i="19"/>
  <c r="S527" i="19"/>
  <c r="W526" i="19"/>
  <c r="T526" i="19"/>
  <c r="S526" i="19"/>
  <c r="W525" i="19"/>
  <c r="T525" i="19"/>
  <c r="S525" i="19"/>
  <c r="W524" i="19"/>
  <c r="T524" i="19"/>
  <c r="S524" i="19"/>
  <c r="W523" i="19"/>
  <c r="T523" i="19"/>
  <c r="S523" i="19"/>
  <c r="W522" i="19"/>
  <c r="T522" i="19"/>
  <c r="S522" i="19"/>
  <c r="W521" i="19"/>
  <c r="T521" i="19"/>
  <c r="S521" i="19"/>
  <c r="W520" i="19"/>
  <c r="T520" i="19"/>
  <c r="S520" i="19"/>
  <c r="W519" i="19"/>
  <c r="T519" i="19"/>
  <c r="S519" i="19"/>
  <c r="W518" i="19"/>
  <c r="T518" i="19"/>
  <c r="S518" i="19"/>
  <c r="W517" i="19"/>
  <c r="T517" i="19"/>
  <c r="S517" i="19"/>
  <c r="W516" i="19"/>
  <c r="T516" i="19"/>
  <c r="S516" i="19"/>
  <c r="W515" i="19"/>
  <c r="T515" i="19"/>
  <c r="S515" i="19"/>
  <c r="W514" i="19"/>
  <c r="T514" i="19"/>
  <c r="S514" i="19"/>
  <c r="W513" i="19"/>
  <c r="T513" i="19"/>
  <c r="S513" i="19"/>
  <c r="W512" i="19"/>
  <c r="T512" i="19"/>
  <c r="S512" i="19"/>
  <c r="W511" i="19"/>
  <c r="T511" i="19"/>
  <c r="S511" i="19"/>
  <c r="W510" i="19"/>
  <c r="T510" i="19"/>
  <c r="S510" i="19"/>
  <c r="W509" i="19"/>
  <c r="T509" i="19"/>
  <c r="S509" i="19"/>
  <c r="W508" i="19"/>
  <c r="T508" i="19"/>
  <c r="S508" i="19"/>
  <c r="W507" i="19"/>
  <c r="T507" i="19"/>
  <c r="S507" i="19"/>
  <c r="W506" i="19"/>
  <c r="T506" i="19"/>
  <c r="S506" i="19"/>
  <c r="W505" i="19"/>
  <c r="T505" i="19"/>
  <c r="S505" i="19"/>
  <c r="W504" i="19"/>
  <c r="T504" i="19"/>
  <c r="S504" i="19"/>
  <c r="W503" i="19"/>
  <c r="T503" i="19"/>
  <c r="S503" i="19"/>
  <c r="W502" i="19"/>
  <c r="T502" i="19"/>
  <c r="S502" i="19"/>
  <c r="W501" i="19"/>
  <c r="T501" i="19"/>
  <c r="S501" i="19"/>
  <c r="W500" i="19"/>
  <c r="T500" i="19"/>
  <c r="S500" i="19"/>
  <c r="W499" i="19"/>
  <c r="T499" i="19"/>
  <c r="S499" i="19"/>
  <c r="W498" i="19"/>
  <c r="T498" i="19"/>
  <c r="S498" i="19"/>
  <c r="W497" i="19"/>
  <c r="T497" i="19"/>
  <c r="S497" i="19"/>
  <c r="W496" i="19"/>
  <c r="T496" i="19"/>
  <c r="S496" i="19"/>
  <c r="W495" i="19"/>
  <c r="T495" i="19"/>
  <c r="S495" i="19"/>
  <c r="W494" i="19"/>
  <c r="T494" i="19"/>
  <c r="S494" i="19"/>
  <c r="W493" i="19"/>
  <c r="T493" i="19"/>
  <c r="S493" i="19"/>
  <c r="W492" i="19"/>
  <c r="T492" i="19"/>
  <c r="S492" i="19"/>
  <c r="W491" i="19"/>
  <c r="T491" i="19"/>
  <c r="S491" i="19"/>
  <c r="W490" i="19"/>
  <c r="T490" i="19"/>
  <c r="S490" i="19"/>
  <c r="W489" i="19"/>
  <c r="T489" i="19"/>
  <c r="S489" i="19"/>
  <c r="W488" i="19"/>
  <c r="T488" i="19"/>
  <c r="S488" i="19"/>
  <c r="W487" i="19"/>
  <c r="T487" i="19"/>
  <c r="S487" i="19"/>
  <c r="W486" i="19"/>
  <c r="T486" i="19"/>
  <c r="S486" i="19"/>
  <c r="W485" i="19"/>
  <c r="T485" i="19"/>
  <c r="S485" i="19"/>
  <c r="W484" i="19"/>
  <c r="T484" i="19"/>
  <c r="S484" i="19"/>
  <c r="W483" i="19"/>
  <c r="T483" i="19"/>
  <c r="S483" i="19"/>
  <c r="W482" i="19"/>
  <c r="T482" i="19"/>
  <c r="S482" i="19"/>
  <c r="W481" i="19"/>
  <c r="T481" i="19"/>
  <c r="S481" i="19"/>
  <c r="W480" i="19"/>
  <c r="T480" i="19"/>
  <c r="S480" i="19"/>
  <c r="W479" i="19"/>
  <c r="T479" i="19"/>
  <c r="S479" i="19"/>
  <c r="W478" i="19"/>
  <c r="T478" i="19"/>
  <c r="S478" i="19"/>
  <c r="W477" i="19"/>
  <c r="T477" i="19"/>
  <c r="S477" i="19"/>
  <c r="W476" i="19"/>
  <c r="T476" i="19"/>
  <c r="S476" i="19"/>
  <c r="W475" i="19"/>
  <c r="T475" i="19"/>
  <c r="S475" i="19"/>
  <c r="W474" i="19"/>
  <c r="T474" i="19"/>
  <c r="S474" i="19"/>
  <c r="W473" i="19"/>
  <c r="T473" i="19"/>
  <c r="S473" i="19"/>
  <c r="W472" i="19"/>
  <c r="T472" i="19"/>
  <c r="S472" i="19"/>
  <c r="W471" i="19"/>
  <c r="T471" i="19"/>
  <c r="S471" i="19"/>
  <c r="W470" i="19"/>
  <c r="T470" i="19"/>
  <c r="S470" i="19"/>
  <c r="W469" i="19"/>
  <c r="T469" i="19"/>
  <c r="S469" i="19"/>
  <c r="W468" i="19"/>
  <c r="T468" i="19"/>
  <c r="S468" i="19"/>
  <c r="W467" i="19"/>
  <c r="T467" i="19"/>
  <c r="S467" i="19"/>
  <c r="W466" i="19"/>
  <c r="T466" i="19"/>
  <c r="S466" i="19"/>
  <c r="W465" i="19"/>
  <c r="T465" i="19"/>
  <c r="S465" i="19"/>
  <c r="W464" i="19"/>
  <c r="T464" i="19"/>
  <c r="S464" i="19"/>
  <c r="W463" i="19"/>
  <c r="T463" i="19"/>
  <c r="S463" i="19"/>
  <c r="W462" i="19"/>
  <c r="T462" i="19"/>
  <c r="S462" i="19"/>
  <c r="W461" i="19"/>
  <c r="T461" i="19"/>
  <c r="S461" i="19"/>
  <c r="W460" i="19"/>
  <c r="T460" i="19"/>
  <c r="S460" i="19"/>
  <c r="W459" i="19"/>
  <c r="T459" i="19"/>
  <c r="S459" i="19"/>
  <c r="W458" i="19"/>
  <c r="T458" i="19"/>
  <c r="S458" i="19"/>
  <c r="W457" i="19"/>
  <c r="T457" i="19"/>
  <c r="S457" i="19"/>
  <c r="W456" i="19"/>
  <c r="T456" i="19"/>
  <c r="S456" i="19"/>
  <c r="W455" i="19"/>
  <c r="T455" i="19"/>
  <c r="S455" i="19"/>
  <c r="W454" i="19"/>
  <c r="T454" i="19"/>
  <c r="S454" i="19"/>
  <c r="W453" i="19"/>
  <c r="T453" i="19"/>
  <c r="S453" i="19"/>
  <c r="W452" i="19"/>
  <c r="T452" i="19"/>
  <c r="S452" i="19"/>
  <c r="W451" i="19"/>
  <c r="T451" i="19"/>
  <c r="S451" i="19"/>
  <c r="W450" i="19"/>
  <c r="T450" i="19"/>
  <c r="S450" i="19"/>
  <c r="W449" i="19"/>
  <c r="T449" i="19"/>
  <c r="S449" i="19"/>
  <c r="W448" i="19"/>
  <c r="T448" i="19"/>
  <c r="S448" i="19"/>
  <c r="W447" i="19"/>
  <c r="T447" i="19"/>
  <c r="S447" i="19"/>
  <c r="W446" i="19"/>
  <c r="T446" i="19"/>
  <c r="S446" i="19"/>
  <c r="W445" i="19"/>
  <c r="T445" i="19"/>
  <c r="S445" i="19"/>
  <c r="W444" i="19"/>
  <c r="T444" i="19"/>
  <c r="S444" i="19"/>
  <c r="W443" i="19"/>
  <c r="T443" i="19"/>
  <c r="S443" i="19"/>
  <c r="W442" i="19"/>
  <c r="T442" i="19"/>
  <c r="S442" i="19"/>
  <c r="W441" i="19"/>
  <c r="T441" i="19"/>
  <c r="S441" i="19"/>
  <c r="W440" i="19"/>
  <c r="T440" i="19"/>
  <c r="S440" i="19"/>
  <c r="W439" i="19"/>
  <c r="T439" i="19"/>
  <c r="S439" i="19"/>
  <c r="W438" i="19"/>
  <c r="T438" i="19"/>
  <c r="S438" i="19"/>
  <c r="W437" i="19"/>
  <c r="T437" i="19"/>
  <c r="S437" i="19"/>
  <c r="W436" i="19"/>
  <c r="T436" i="19"/>
  <c r="S436" i="19"/>
  <c r="W435" i="19"/>
  <c r="T435" i="19"/>
  <c r="S435" i="19"/>
  <c r="W434" i="19"/>
  <c r="T434" i="19"/>
  <c r="S434" i="19"/>
  <c r="W433" i="19"/>
  <c r="T433" i="19"/>
  <c r="S433" i="19"/>
  <c r="W432" i="19"/>
  <c r="T432" i="19"/>
  <c r="S432" i="19"/>
  <c r="W431" i="19"/>
  <c r="T431" i="19"/>
  <c r="S431" i="19"/>
  <c r="W430" i="19"/>
  <c r="T430" i="19"/>
  <c r="S430" i="19"/>
  <c r="W429" i="19"/>
  <c r="T429" i="19"/>
  <c r="S429" i="19"/>
  <c r="W428" i="19"/>
  <c r="T428" i="19"/>
  <c r="S428" i="19"/>
  <c r="W427" i="19"/>
  <c r="T427" i="19"/>
  <c r="S427" i="19"/>
  <c r="W426" i="19"/>
  <c r="T426" i="19"/>
  <c r="S426" i="19"/>
  <c r="W425" i="19"/>
  <c r="T425" i="19"/>
  <c r="S425" i="19"/>
  <c r="W424" i="19"/>
  <c r="T424" i="19"/>
  <c r="S424" i="19"/>
  <c r="W423" i="19"/>
  <c r="T423" i="19"/>
  <c r="S423" i="19"/>
  <c r="W422" i="19"/>
  <c r="T422" i="19"/>
  <c r="S422" i="19"/>
  <c r="W421" i="19"/>
  <c r="T421" i="19"/>
  <c r="S421" i="19"/>
  <c r="W420" i="19"/>
  <c r="T420" i="19"/>
  <c r="S420" i="19"/>
  <c r="W419" i="19"/>
  <c r="T419" i="19"/>
  <c r="S419" i="19"/>
  <c r="W418" i="19"/>
  <c r="T418" i="19"/>
  <c r="S418" i="19"/>
  <c r="W417" i="19"/>
  <c r="T417" i="19"/>
  <c r="S417" i="19"/>
  <c r="W416" i="19"/>
  <c r="T416" i="19"/>
  <c r="S416" i="19"/>
  <c r="W415" i="19"/>
  <c r="T415" i="19"/>
  <c r="S415" i="19"/>
  <c r="W414" i="19"/>
  <c r="T414" i="19"/>
  <c r="S414" i="19"/>
  <c r="W413" i="19"/>
  <c r="T413" i="19"/>
  <c r="S413" i="19"/>
  <c r="W412" i="19"/>
  <c r="T412" i="19"/>
  <c r="S412" i="19"/>
  <c r="W411" i="19"/>
  <c r="T411" i="19"/>
  <c r="S411" i="19"/>
  <c r="W410" i="19"/>
  <c r="T410" i="19"/>
  <c r="S410" i="19"/>
  <c r="W409" i="19"/>
  <c r="T409" i="19"/>
  <c r="S409" i="19"/>
  <c r="W408" i="19"/>
  <c r="T408" i="19"/>
  <c r="S408" i="19"/>
  <c r="W407" i="19"/>
  <c r="T407" i="19"/>
  <c r="S407" i="19"/>
  <c r="W406" i="19"/>
  <c r="T406" i="19"/>
  <c r="S406" i="19"/>
  <c r="W405" i="19"/>
  <c r="T405" i="19"/>
  <c r="S405" i="19"/>
  <c r="W404" i="19"/>
  <c r="T404" i="19"/>
  <c r="S404" i="19"/>
  <c r="W403" i="19"/>
  <c r="T403" i="19"/>
  <c r="S403" i="19"/>
  <c r="W402" i="19"/>
  <c r="T402" i="19"/>
  <c r="S402" i="19"/>
  <c r="W401" i="19"/>
  <c r="T401" i="19"/>
  <c r="S401" i="19"/>
  <c r="W400" i="19"/>
  <c r="T400" i="19"/>
  <c r="S400" i="19"/>
  <c r="W399" i="19"/>
  <c r="T399" i="19"/>
  <c r="S399" i="19"/>
  <c r="W398" i="19"/>
  <c r="T398" i="19"/>
  <c r="S398" i="19"/>
  <c r="W397" i="19"/>
  <c r="T397" i="19"/>
  <c r="S397" i="19"/>
  <c r="W396" i="19"/>
  <c r="T396" i="19"/>
  <c r="S396" i="19"/>
  <c r="W395" i="19"/>
  <c r="T395" i="19"/>
  <c r="S395" i="19"/>
  <c r="W394" i="19"/>
  <c r="T394" i="19"/>
  <c r="S394" i="19"/>
  <c r="W393" i="19"/>
  <c r="T393" i="19"/>
  <c r="S393" i="19"/>
  <c r="W392" i="19"/>
  <c r="T392" i="19"/>
  <c r="S392" i="19"/>
  <c r="W391" i="19"/>
  <c r="T391" i="19"/>
  <c r="S391" i="19"/>
  <c r="W390" i="19"/>
  <c r="T390" i="19"/>
  <c r="S390" i="19"/>
  <c r="W389" i="19"/>
  <c r="T389" i="19"/>
  <c r="S389" i="19"/>
  <c r="W388" i="19"/>
  <c r="T388" i="19"/>
  <c r="S388" i="19"/>
  <c r="W387" i="19"/>
  <c r="T387" i="19"/>
  <c r="S387" i="19"/>
  <c r="W386" i="19"/>
  <c r="T386" i="19"/>
  <c r="S386" i="19"/>
  <c r="W385" i="19"/>
  <c r="T385" i="19"/>
  <c r="S385" i="19"/>
  <c r="W384" i="19"/>
  <c r="T384" i="19"/>
  <c r="S384" i="19"/>
  <c r="W383" i="19"/>
  <c r="T383" i="19"/>
  <c r="S383" i="19"/>
  <c r="W382" i="19"/>
  <c r="T382" i="19"/>
  <c r="S382" i="19"/>
  <c r="W381" i="19"/>
  <c r="T381" i="19"/>
  <c r="S381" i="19"/>
  <c r="W380" i="19"/>
  <c r="T380" i="19"/>
  <c r="S380" i="19"/>
  <c r="W379" i="19"/>
  <c r="T379" i="19"/>
  <c r="S379" i="19"/>
  <c r="W378" i="19"/>
  <c r="T378" i="19"/>
  <c r="S378" i="19"/>
  <c r="W377" i="19"/>
  <c r="T377" i="19"/>
  <c r="S377" i="19"/>
  <c r="W376" i="19"/>
  <c r="T376" i="19"/>
  <c r="S376" i="19"/>
  <c r="W375" i="19"/>
  <c r="T375" i="19"/>
  <c r="S375" i="19"/>
  <c r="W374" i="19"/>
  <c r="T374" i="19"/>
  <c r="S374" i="19"/>
  <c r="W373" i="19"/>
  <c r="T373" i="19"/>
  <c r="S373" i="19"/>
  <c r="W372" i="19"/>
  <c r="T372" i="19"/>
  <c r="S372" i="19"/>
  <c r="W371" i="19"/>
  <c r="T371" i="19"/>
  <c r="S371" i="19"/>
  <c r="W370" i="19"/>
  <c r="T370" i="19"/>
  <c r="S370" i="19"/>
  <c r="W369" i="19"/>
  <c r="T369" i="19"/>
  <c r="S369" i="19"/>
  <c r="W368" i="19"/>
  <c r="T368" i="19"/>
  <c r="S368" i="19"/>
  <c r="W367" i="19"/>
  <c r="T367" i="19"/>
  <c r="S367" i="19"/>
  <c r="W366" i="19"/>
  <c r="T366" i="19"/>
  <c r="S366" i="19"/>
  <c r="W365" i="19"/>
  <c r="T365" i="19"/>
  <c r="S365" i="19"/>
  <c r="W364" i="19"/>
  <c r="T364" i="19"/>
  <c r="S364" i="19"/>
  <c r="W363" i="19"/>
  <c r="T363" i="19"/>
  <c r="S363" i="19"/>
  <c r="W362" i="19"/>
  <c r="T362" i="19"/>
  <c r="S362" i="19"/>
  <c r="W361" i="19"/>
  <c r="T361" i="19"/>
  <c r="S361" i="19"/>
  <c r="W360" i="19"/>
  <c r="T360" i="19"/>
  <c r="S360" i="19"/>
  <c r="W359" i="19"/>
  <c r="T359" i="19"/>
  <c r="S359" i="19"/>
  <c r="W358" i="19"/>
  <c r="T358" i="19"/>
  <c r="S358" i="19"/>
  <c r="W357" i="19"/>
  <c r="T357" i="19"/>
  <c r="S357" i="19"/>
  <c r="W356" i="19"/>
  <c r="T356" i="19"/>
  <c r="S356" i="19"/>
  <c r="W355" i="19"/>
  <c r="T355" i="19"/>
  <c r="S355" i="19"/>
  <c r="W354" i="19"/>
  <c r="T354" i="19"/>
  <c r="S354" i="19"/>
  <c r="W353" i="19"/>
  <c r="T353" i="19"/>
  <c r="S353" i="19"/>
  <c r="W352" i="19"/>
  <c r="T352" i="19"/>
  <c r="S352" i="19"/>
  <c r="W351" i="19"/>
  <c r="T351" i="19"/>
  <c r="S351" i="19"/>
  <c r="W350" i="19"/>
  <c r="T350" i="19"/>
  <c r="S350" i="19"/>
  <c r="W349" i="19"/>
  <c r="T349" i="19"/>
  <c r="S349" i="19"/>
  <c r="W348" i="19"/>
  <c r="T348" i="19"/>
  <c r="S348" i="19"/>
  <c r="W347" i="19"/>
  <c r="T347" i="19"/>
  <c r="S347" i="19"/>
  <c r="W346" i="19"/>
  <c r="T346" i="19"/>
  <c r="S346" i="19"/>
  <c r="W345" i="19"/>
  <c r="T345" i="19"/>
  <c r="S345" i="19"/>
  <c r="W344" i="19"/>
  <c r="T344" i="19"/>
  <c r="S344" i="19"/>
  <c r="W343" i="19"/>
  <c r="T343" i="19"/>
  <c r="S343" i="19"/>
  <c r="W342" i="19"/>
  <c r="T342" i="19"/>
  <c r="S342" i="19"/>
  <c r="W341" i="19"/>
  <c r="T341" i="19"/>
  <c r="S341" i="19"/>
  <c r="W340" i="19"/>
  <c r="T340" i="19"/>
  <c r="S340" i="19"/>
  <c r="W339" i="19"/>
  <c r="T339" i="19"/>
  <c r="S339" i="19"/>
  <c r="W338" i="19"/>
  <c r="T338" i="19"/>
  <c r="S338" i="19"/>
  <c r="W337" i="19"/>
  <c r="T337" i="19"/>
  <c r="S337" i="19"/>
  <c r="W336" i="19"/>
  <c r="T336" i="19"/>
  <c r="S336" i="19"/>
  <c r="W335" i="19"/>
  <c r="T335" i="19"/>
  <c r="S335" i="19"/>
  <c r="W334" i="19"/>
  <c r="T334" i="19"/>
  <c r="S334" i="19"/>
  <c r="W333" i="19"/>
  <c r="T333" i="19"/>
  <c r="S333" i="19"/>
  <c r="W332" i="19"/>
  <c r="T332" i="19"/>
  <c r="S332" i="19"/>
  <c r="W331" i="19"/>
  <c r="T331" i="19"/>
  <c r="S331" i="19"/>
  <c r="W330" i="19"/>
  <c r="T330" i="19"/>
  <c r="S330" i="19"/>
  <c r="W329" i="19"/>
  <c r="T329" i="19"/>
  <c r="S329" i="19"/>
  <c r="W328" i="19"/>
  <c r="T328" i="19"/>
  <c r="S328" i="19"/>
  <c r="W327" i="19"/>
  <c r="T327" i="19"/>
  <c r="S327" i="19"/>
  <c r="W326" i="19"/>
  <c r="T326" i="19"/>
  <c r="S326" i="19"/>
  <c r="W325" i="19"/>
  <c r="T325" i="19"/>
  <c r="S325" i="19"/>
  <c r="W324" i="19"/>
  <c r="T324" i="19"/>
  <c r="S324" i="19"/>
  <c r="W323" i="19"/>
  <c r="T323" i="19"/>
  <c r="S323" i="19"/>
  <c r="W322" i="19"/>
  <c r="T322" i="19"/>
  <c r="S322" i="19"/>
  <c r="W321" i="19"/>
  <c r="T321" i="19"/>
  <c r="S321" i="19"/>
  <c r="W320" i="19"/>
  <c r="T320" i="19"/>
  <c r="S320" i="19"/>
  <c r="W319" i="19"/>
  <c r="T319" i="19"/>
  <c r="S319" i="19"/>
  <c r="W318" i="19"/>
  <c r="T318" i="19"/>
  <c r="S318" i="19"/>
  <c r="W317" i="19"/>
  <c r="T317" i="19"/>
  <c r="S317" i="19"/>
  <c r="W316" i="19"/>
  <c r="T316" i="19"/>
  <c r="S316" i="19"/>
  <c r="W315" i="19"/>
  <c r="T315" i="19"/>
  <c r="S315" i="19"/>
  <c r="W314" i="19"/>
  <c r="T314" i="19"/>
  <c r="S314" i="19"/>
  <c r="W313" i="19"/>
  <c r="T313" i="19"/>
  <c r="S313" i="19"/>
  <c r="W312" i="19"/>
  <c r="T312" i="19"/>
  <c r="S312" i="19"/>
  <c r="W311" i="19"/>
  <c r="T311" i="19"/>
  <c r="S311" i="19"/>
  <c r="W310" i="19"/>
  <c r="T310" i="19"/>
  <c r="S310" i="19"/>
  <c r="W309" i="19"/>
  <c r="T309" i="19"/>
  <c r="S309" i="19"/>
  <c r="W308" i="19"/>
  <c r="T308" i="19"/>
  <c r="S308" i="19"/>
  <c r="W307" i="19"/>
  <c r="T307" i="19"/>
  <c r="S307" i="19"/>
  <c r="W306" i="19"/>
  <c r="T306" i="19"/>
  <c r="S306" i="19"/>
  <c r="W305" i="19"/>
  <c r="T305" i="19"/>
  <c r="S305" i="19"/>
  <c r="W304" i="19"/>
  <c r="T304" i="19"/>
  <c r="S304" i="19"/>
  <c r="W303" i="19"/>
  <c r="T303" i="19"/>
  <c r="S303" i="19"/>
  <c r="W302" i="19"/>
  <c r="T302" i="19"/>
  <c r="S302" i="19"/>
  <c r="W301" i="19"/>
  <c r="T301" i="19"/>
  <c r="S301" i="19"/>
  <c r="W300" i="19"/>
  <c r="T300" i="19"/>
  <c r="S300" i="19"/>
  <c r="W299" i="19"/>
  <c r="T299" i="19"/>
  <c r="S299" i="19"/>
  <c r="W298" i="19"/>
  <c r="T298" i="19"/>
  <c r="S298" i="19"/>
  <c r="W297" i="19"/>
  <c r="T297" i="19"/>
  <c r="S297" i="19"/>
  <c r="W296" i="19"/>
  <c r="T296" i="19"/>
  <c r="S296" i="19"/>
  <c r="W295" i="19"/>
  <c r="T295" i="19"/>
  <c r="S295" i="19"/>
  <c r="W294" i="19"/>
  <c r="T294" i="19"/>
  <c r="S294" i="19"/>
  <c r="W293" i="19"/>
  <c r="T293" i="19"/>
  <c r="S293" i="19"/>
  <c r="W292" i="19"/>
  <c r="T292" i="19"/>
  <c r="S292" i="19"/>
  <c r="W291" i="19"/>
  <c r="T291" i="19"/>
  <c r="S291" i="19"/>
  <c r="W290" i="19"/>
  <c r="T290" i="19"/>
  <c r="S290" i="19"/>
  <c r="W289" i="19"/>
  <c r="T289" i="19"/>
  <c r="S289" i="19"/>
  <c r="W288" i="19"/>
  <c r="T288" i="19"/>
  <c r="S288" i="19"/>
  <c r="W287" i="19"/>
  <c r="T287" i="19"/>
  <c r="S287" i="19"/>
  <c r="W286" i="19"/>
  <c r="T286" i="19"/>
  <c r="S286" i="19"/>
  <c r="W285" i="19"/>
  <c r="T285" i="19"/>
  <c r="S285" i="19"/>
  <c r="W284" i="19"/>
  <c r="T284" i="19"/>
  <c r="S284" i="19"/>
  <c r="W283" i="19"/>
  <c r="T283" i="19"/>
  <c r="S283" i="19"/>
  <c r="W282" i="19"/>
  <c r="T282" i="19"/>
  <c r="S282" i="19"/>
  <c r="W281" i="19"/>
  <c r="T281" i="19"/>
  <c r="S281" i="19"/>
  <c r="W280" i="19"/>
  <c r="T280" i="19"/>
  <c r="S280" i="19"/>
  <c r="W279" i="19"/>
  <c r="T279" i="19"/>
  <c r="S279" i="19"/>
  <c r="W278" i="19"/>
  <c r="T278" i="19"/>
  <c r="S278" i="19"/>
  <c r="W277" i="19"/>
  <c r="T277" i="19"/>
  <c r="S277" i="19"/>
  <c r="W276" i="19"/>
  <c r="T276" i="19"/>
  <c r="S276" i="19"/>
  <c r="W275" i="19"/>
  <c r="T275" i="19"/>
  <c r="S275" i="19"/>
  <c r="W274" i="19"/>
  <c r="T274" i="19"/>
  <c r="S274" i="19"/>
  <c r="W273" i="19"/>
  <c r="T273" i="19"/>
  <c r="S273" i="19"/>
  <c r="W272" i="19"/>
  <c r="T272" i="19"/>
  <c r="S272" i="19"/>
  <c r="W271" i="19"/>
  <c r="T271" i="19"/>
  <c r="S271" i="19"/>
  <c r="W270" i="19"/>
  <c r="T270" i="19"/>
  <c r="S270" i="19"/>
  <c r="W269" i="19"/>
  <c r="T269" i="19"/>
  <c r="S269" i="19"/>
  <c r="W268" i="19"/>
  <c r="T268" i="19"/>
  <c r="S268" i="19"/>
  <c r="W267" i="19"/>
  <c r="T267" i="19"/>
  <c r="S267" i="19"/>
  <c r="W266" i="19"/>
  <c r="T266" i="19"/>
  <c r="S266" i="19"/>
  <c r="W265" i="19"/>
  <c r="T265" i="19"/>
  <c r="S265" i="19"/>
  <c r="W264" i="19"/>
  <c r="T264" i="19"/>
  <c r="S264" i="19"/>
  <c r="W263" i="19"/>
  <c r="T263" i="19"/>
  <c r="S263" i="19"/>
  <c r="W262" i="19"/>
  <c r="T262" i="19"/>
  <c r="S262" i="19"/>
  <c r="W261" i="19"/>
  <c r="T261" i="19"/>
  <c r="S261" i="19"/>
  <c r="W260" i="19"/>
  <c r="T260" i="19"/>
  <c r="S260" i="19"/>
  <c r="W259" i="19"/>
  <c r="T259" i="19"/>
  <c r="S259" i="19"/>
  <c r="W258" i="19"/>
  <c r="T258" i="19"/>
  <c r="S258" i="19"/>
  <c r="W257" i="19"/>
  <c r="T257" i="19"/>
  <c r="S257" i="19"/>
  <c r="W256" i="19"/>
  <c r="T256" i="19"/>
  <c r="S256" i="19"/>
  <c r="W255" i="19"/>
  <c r="T255" i="19"/>
  <c r="S255" i="19"/>
  <c r="W254" i="19"/>
  <c r="T254" i="19"/>
  <c r="S254" i="19"/>
  <c r="W253" i="19"/>
  <c r="T253" i="19"/>
  <c r="S253" i="19"/>
  <c r="W252" i="19"/>
  <c r="T252" i="19"/>
  <c r="S252" i="19"/>
  <c r="W251" i="19"/>
  <c r="T251" i="19"/>
  <c r="S251" i="19"/>
  <c r="W250" i="19"/>
  <c r="T250" i="19"/>
  <c r="S250" i="19"/>
  <c r="W249" i="19"/>
  <c r="T249" i="19"/>
  <c r="S249" i="19"/>
  <c r="W248" i="19"/>
  <c r="T248" i="19"/>
  <c r="S248" i="19"/>
  <c r="W247" i="19"/>
  <c r="T247" i="19"/>
  <c r="S247" i="19"/>
  <c r="W246" i="19"/>
  <c r="T246" i="19"/>
  <c r="S246" i="19"/>
  <c r="W245" i="19"/>
  <c r="T245" i="19"/>
  <c r="S245" i="19"/>
  <c r="W244" i="19"/>
  <c r="T244" i="19"/>
  <c r="S244" i="19"/>
  <c r="W243" i="19"/>
  <c r="T243" i="19"/>
  <c r="S243" i="19"/>
  <c r="W242" i="19"/>
  <c r="T242" i="19"/>
  <c r="S242" i="19"/>
  <c r="W241" i="19"/>
  <c r="T241" i="19"/>
  <c r="S241" i="19"/>
  <c r="W240" i="19"/>
  <c r="T240" i="19"/>
  <c r="S240" i="19"/>
  <c r="W239" i="19"/>
  <c r="T239" i="19"/>
  <c r="S239" i="19"/>
  <c r="W238" i="19"/>
  <c r="T238" i="19"/>
  <c r="S238" i="19"/>
  <c r="W237" i="19"/>
  <c r="T237" i="19"/>
  <c r="S237" i="19"/>
  <c r="W236" i="19"/>
  <c r="T236" i="19"/>
  <c r="S236" i="19"/>
  <c r="W235" i="19"/>
  <c r="T235" i="19"/>
  <c r="S235" i="19"/>
  <c r="W234" i="19"/>
  <c r="T234" i="19"/>
  <c r="S234" i="19"/>
  <c r="W233" i="19"/>
  <c r="T233" i="19"/>
  <c r="S233" i="19"/>
  <c r="W232" i="19"/>
  <c r="T232" i="19"/>
  <c r="S232" i="19"/>
  <c r="W231" i="19"/>
  <c r="T231" i="19"/>
  <c r="S231" i="19"/>
  <c r="W230" i="19"/>
  <c r="T230" i="19"/>
  <c r="S230" i="19"/>
  <c r="W229" i="19"/>
  <c r="T229" i="19"/>
  <c r="S229" i="19"/>
  <c r="W228" i="19"/>
  <c r="T228" i="19"/>
  <c r="S228" i="19"/>
  <c r="W227" i="19"/>
  <c r="T227" i="19"/>
  <c r="S227" i="19"/>
  <c r="W226" i="19"/>
  <c r="T226" i="19"/>
  <c r="S226" i="19"/>
  <c r="W225" i="19"/>
  <c r="T225" i="19"/>
  <c r="S225" i="19"/>
  <c r="W224" i="19"/>
  <c r="T224" i="19"/>
  <c r="S224" i="19"/>
  <c r="W223" i="19"/>
  <c r="T223" i="19"/>
  <c r="S223" i="19"/>
  <c r="W222" i="19"/>
  <c r="T222" i="19"/>
  <c r="S222" i="19"/>
  <c r="W221" i="19"/>
  <c r="T221" i="19"/>
  <c r="S221" i="19"/>
  <c r="W220" i="19"/>
  <c r="T220" i="19"/>
  <c r="S220" i="19"/>
  <c r="W219" i="19"/>
  <c r="T219" i="19"/>
  <c r="S219" i="19"/>
  <c r="W218" i="19"/>
  <c r="T218" i="19"/>
  <c r="S218" i="19"/>
  <c r="W217" i="19"/>
  <c r="T217" i="19"/>
  <c r="S217" i="19"/>
  <c r="W216" i="19"/>
  <c r="T216" i="19"/>
  <c r="S216" i="19"/>
  <c r="W215" i="19"/>
  <c r="T215" i="19"/>
  <c r="S215" i="19"/>
  <c r="W214" i="19"/>
  <c r="T214" i="19"/>
  <c r="S214" i="19"/>
  <c r="W213" i="19"/>
  <c r="T213" i="19"/>
  <c r="S213" i="19"/>
  <c r="W212" i="19"/>
  <c r="T212" i="19"/>
  <c r="S212" i="19"/>
  <c r="W211" i="19"/>
  <c r="T211" i="19"/>
  <c r="S211" i="19"/>
  <c r="W210" i="19"/>
  <c r="T210" i="19"/>
  <c r="S210" i="19"/>
  <c r="W209" i="19"/>
  <c r="T209" i="19"/>
  <c r="S209" i="19"/>
  <c r="W208" i="19"/>
  <c r="T208" i="19"/>
  <c r="S208" i="19"/>
  <c r="W207" i="19"/>
  <c r="T207" i="19"/>
  <c r="S207" i="19"/>
  <c r="W206" i="19"/>
  <c r="T206" i="19"/>
  <c r="S206" i="19"/>
  <c r="W205" i="19"/>
  <c r="T205" i="19"/>
  <c r="S205" i="19"/>
  <c r="W204" i="19"/>
  <c r="T204" i="19"/>
  <c r="S204" i="19"/>
  <c r="W203" i="19"/>
  <c r="T203" i="19"/>
  <c r="S203" i="19"/>
  <c r="W202" i="19"/>
  <c r="T202" i="19"/>
  <c r="S202" i="19"/>
  <c r="W201" i="19"/>
  <c r="T201" i="19"/>
  <c r="S201" i="19"/>
  <c r="W200" i="19"/>
  <c r="T200" i="19"/>
  <c r="S200" i="19"/>
  <c r="W199" i="19"/>
  <c r="T199" i="19"/>
  <c r="S199" i="19"/>
  <c r="W198" i="19"/>
  <c r="T198" i="19"/>
  <c r="S198" i="19"/>
  <c r="W197" i="19"/>
  <c r="T197" i="19"/>
  <c r="S197" i="19"/>
  <c r="W196" i="19"/>
  <c r="T196" i="19"/>
  <c r="S196" i="19"/>
  <c r="W195" i="19"/>
  <c r="T195" i="19"/>
  <c r="S195" i="19"/>
  <c r="W194" i="19"/>
  <c r="T194" i="19"/>
  <c r="S194" i="19"/>
  <c r="W193" i="19"/>
  <c r="T193" i="19"/>
  <c r="S193" i="19"/>
  <c r="W192" i="19"/>
  <c r="T192" i="19"/>
  <c r="S192" i="19"/>
  <c r="W191" i="19"/>
  <c r="T191" i="19"/>
  <c r="S191" i="19"/>
  <c r="W190" i="19"/>
  <c r="T190" i="19"/>
  <c r="S190" i="19"/>
  <c r="W189" i="19"/>
  <c r="T189" i="19"/>
  <c r="S189" i="19"/>
  <c r="W188" i="19"/>
  <c r="T188" i="19"/>
  <c r="S188" i="19"/>
  <c r="W187" i="19"/>
  <c r="T187" i="19"/>
  <c r="S187" i="19"/>
  <c r="W186" i="19"/>
  <c r="T186" i="19"/>
  <c r="S186" i="19"/>
  <c r="W185" i="19"/>
  <c r="T185" i="19"/>
  <c r="S185" i="19"/>
  <c r="W184" i="19"/>
  <c r="T184" i="19"/>
  <c r="S184" i="19"/>
  <c r="W183" i="19"/>
  <c r="T183" i="19"/>
  <c r="S183" i="19"/>
  <c r="W182" i="19"/>
  <c r="T182" i="19"/>
  <c r="S182" i="19"/>
  <c r="W181" i="19"/>
  <c r="T181" i="19"/>
  <c r="S181" i="19"/>
  <c r="W180" i="19"/>
  <c r="T180" i="19"/>
  <c r="S180" i="19"/>
  <c r="W179" i="19"/>
  <c r="T179" i="19"/>
  <c r="S179" i="19"/>
  <c r="W178" i="19"/>
  <c r="T178" i="19"/>
  <c r="S178" i="19"/>
  <c r="W177" i="19"/>
  <c r="T177" i="19"/>
  <c r="S177" i="19"/>
  <c r="W176" i="19"/>
  <c r="T176" i="19"/>
  <c r="S176" i="19"/>
  <c r="W175" i="19"/>
  <c r="T175" i="19"/>
  <c r="S175" i="19"/>
  <c r="W174" i="19"/>
  <c r="T174" i="19"/>
  <c r="S174" i="19"/>
  <c r="W173" i="19"/>
  <c r="T173" i="19"/>
  <c r="S173" i="19"/>
  <c r="W172" i="19"/>
  <c r="T172" i="19"/>
  <c r="S172" i="19"/>
  <c r="W171" i="19"/>
  <c r="T171" i="19"/>
  <c r="S171" i="19"/>
  <c r="W170" i="19"/>
  <c r="T170" i="19"/>
  <c r="S170" i="19"/>
  <c r="W169" i="19"/>
  <c r="T169" i="19"/>
  <c r="S169" i="19"/>
  <c r="W168" i="19"/>
  <c r="T168" i="19"/>
  <c r="S168" i="19"/>
  <c r="W167" i="19"/>
  <c r="T167" i="19"/>
  <c r="S167" i="19"/>
  <c r="W166" i="19"/>
  <c r="T166" i="19"/>
  <c r="S166" i="19"/>
  <c r="W165" i="19"/>
  <c r="T165" i="19"/>
  <c r="S165" i="19"/>
  <c r="W164" i="19"/>
  <c r="T164" i="19"/>
  <c r="S164" i="19"/>
  <c r="W163" i="19"/>
  <c r="T163" i="19"/>
  <c r="S163" i="19"/>
  <c r="W162" i="19"/>
  <c r="T162" i="19"/>
  <c r="S162" i="19"/>
  <c r="W161" i="19"/>
  <c r="T161" i="19"/>
  <c r="S161" i="19"/>
  <c r="W160" i="19"/>
  <c r="T160" i="19"/>
  <c r="S160" i="19"/>
  <c r="W159" i="19"/>
  <c r="T159" i="19"/>
  <c r="S159" i="19"/>
  <c r="W158" i="19"/>
  <c r="T158" i="19"/>
  <c r="S158" i="19"/>
  <c r="W157" i="19"/>
  <c r="T157" i="19"/>
  <c r="S157" i="19"/>
  <c r="W156" i="19"/>
  <c r="T156" i="19"/>
  <c r="S156" i="19"/>
  <c r="W155" i="19"/>
  <c r="T155" i="19"/>
  <c r="S155" i="19"/>
  <c r="W154" i="19"/>
  <c r="T154" i="19"/>
  <c r="S154" i="19"/>
  <c r="W153" i="19"/>
  <c r="T153" i="19"/>
  <c r="S153" i="19"/>
  <c r="W152" i="19"/>
  <c r="T152" i="19"/>
  <c r="S152" i="19"/>
  <c r="W151" i="19"/>
  <c r="T151" i="19"/>
  <c r="S151" i="19"/>
  <c r="W150" i="19"/>
  <c r="T150" i="19"/>
  <c r="S150" i="19"/>
  <c r="W149" i="19"/>
  <c r="T149" i="19"/>
  <c r="S149" i="19"/>
  <c r="W148" i="19"/>
  <c r="T148" i="19"/>
  <c r="S148" i="19"/>
  <c r="W147" i="19"/>
  <c r="T147" i="19"/>
  <c r="S147" i="19"/>
  <c r="W146" i="19"/>
  <c r="T146" i="19"/>
  <c r="S146" i="19"/>
  <c r="W145" i="19"/>
  <c r="T145" i="19"/>
  <c r="S145" i="19"/>
  <c r="W144" i="19"/>
  <c r="T144" i="19"/>
  <c r="S144" i="19"/>
  <c r="W143" i="19"/>
  <c r="T143" i="19"/>
  <c r="S143" i="19"/>
  <c r="W142" i="19"/>
  <c r="T142" i="19"/>
  <c r="S142" i="19"/>
  <c r="W141" i="19"/>
  <c r="T141" i="19"/>
  <c r="S141" i="19"/>
  <c r="W140" i="19"/>
  <c r="T140" i="19"/>
  <c r="S140" i="19"/>
  <c r="W139" i="19"/>
  <c r="T139" i="19"/>
  <c r="S139" i="19"/>
  <c r="W138" i="19"/>
  <c r="T138" i="19"/>
  <c r="S138" i="19"/>
  <c r="W137" i="19"/>
  <c r="T137" i="19"/>
  <c r="S137" i="19"/>
  <c r="W136" i="19"/>
  <c r="T136" i="19"/>
  <c r="S136" i="19"/>
  <c r="W135" i="19"/>
  <c r="T135" i="19"/>
  <c r="S135" i="19"/>
  <c r="W134" i="19"/>
  <c r="T134" i="19"/>
  <c r="S134" i="19"/>
  <c r="W133" i="19"/>
  <c r="T133" i="19"/>
  <c r="S133" i="19"/>
  <c r="W132" i="19"/>
  <c r="T132" i="19"/>
  <c r="S132" i="19"/>
  <c r="W131" i="19"/>
  <c r="T131" i="19"/>
  <c r="S131" i="19"/>
  <c r="W130" i="19"/>
  <c r="T130" i="19"/>
  <c r="S130" i="19"/>
  <c r="W129" i="19"/>
  <c r="T129" i="19"/>
  <c r="S129" i="19"/>
  <c r="W128" i="19"/>
  <c r="T128" i="19"/>
  <c r="S128" i="19"/>
  <c r="W127" i="19"/>
  <c r="T127" i="19"/>
  <c r="S127" i="19"/>
  <c r="W126" i="19"/>
  <c r="T126" i="19"/>
  <c r="S126" i="19"/>
  <c r="W125" i="19"/>
  <c r="T125" i="19"/>
  <c r="S125" i="19"/>
  <c r="W124" i="19"/>
  <c r="T124" i="19"/>
  <c r="S124" i="19"/>
  <c r="W123" i="19"/>
  <c r="T123" i="19"/>
  <c r="S123" i="19"/>
  <c r="W122" i="19"/>
  <c r="T122" i="19"/>
  <c r="S122" i="19"/>
  <c r="W121" i="19"/>
  <c r="T121" i="19"/>
  <c r="S121" i="19"/>
  <c r="W120" i="19"/>
  <c r="T120" i="19"/>
  <c r="S120" i="19"/>
  <c r="W119" i="19"/>
  <c r="T119" i="19"/>
  <c r="S119" i="19"/>
  <c r="W118" i="19"/>
  <c r="T118" i="19"/>
  <c r="S118" i="19"/>
  <c r="W117" i="19"/>
  <c r="T117" i="19"/>
  <c r="S117" i="19"/>
  <c r="W116" i="19"/>
  <c r="T116" i="19"/>
  <c r="S116" i="19"/>
  <c r="W115" i="19"/>
  <c r="T115" i="19"/>
  <c r="S115" i="19"/>
  <c r="W114" i="19"/>
  <c r="T114" i="19"/>
  <c r="S114" i="19"/>
  <c r="W113" i="19"/>
  <c r="T113" i="19"/>
  <c r="S113" i="19"/>
  <c r="W112" i="19"/>
  <c r="T112" i="19"/>
  <c r="S112" i="19"/>
  <c r="W111" i="19"/>
  <c r="T111" i="19"/>
  <c r="S111" i="19"/>
  <c r="W110" i="19"/>
  <c r="T110" i="19"/>
  <c r="S110" i="19"/>
  <c r="W109" i="19"/>
  <c r="T109" i="19"/>
  <c r="S109" i="19"/>
  <c r="W108" i="19"/>
  <c r="T108" i="19"/>
  <c r="S108" i="19"/>
  <c r="W107" i="19"/>
  <c r="T107" i="19"/>
  <c r="S107" i="19"/>
  <c r="W106" i="19"/>
  <c r="T106" i="19"/>
  <c r="S106" i="19"/>
  <c r="W105" i="19"/>
  <c r="T105" i="19"/>
  <c r="S105" i="19"/>
  <c r="W104" i="19"/>
  <c r="T104" i="19"/>
  <c r="S104" i="19"/>
  <c r="W103" i="19"/>
  <c r="T103" i="19"/>
  <c r="S103" i="19"/>
  <c r="W102" i="19"/>
  <c r="T102" i="19"/>
  <c r="S102" i="19"/>
  <c r="W101" i="19"/>
  <c r="T101" i="19"/>
  <c r="S101" i="19"/>
  <c r="W100" i="19"/>
  <c r="T100" i="19"/>
  <c r="S100" i="19"/>
  <c r="W99" i="19"/>
  <c r="T99" i="19"/>
  <c r="S99" i="19"/>
  <c r="W98" i="19"/>
  <c r="T98" i="19"/>
  <c r="S98" i="19"/>
  <c r="W97" i="19"/>
  <c r="T97" i="19"/>
  <c r="S97" i="19"/>
  <c r="W96" i="19"/>
  <c r="T96" i="19"/>
  <c r="S96" i="19"/>
  <c r="W95" i="19"/>
  <c r="T95" i="19"/>
  <c r="S95" i="19"/>
  <c r="W94" i="19"/>
  <c r="T94" i="19"/>
  <c r="S94" i="19"/>
  <c r="W93" i="19"/>
  <c r="T93" i="19"/>
  <c r="S93" i="19"/>
  <c r="W92" i="19"/>
  <c r="T92" i="19"/>
  <c r="S92" i="19"/>
  <c r="W91" i="19"/>
  <c r="T91" i="19"/>
  <c r="S91" i="19"/>
  <c r="W90" i="19"/>
  <c r="T90" i="19"/>
  <c r="S90" i="19"/>
  <c r="W89" i="19"/>
  <c r="T89" i="19"/>
  <c r="S89" i="19"/>
  <c r="W88" i="19"/>
  <c r="T88" i="19"/>
  <c r="S88" i="19"/>
  <c r="W87" i="19"/>
  <c r="T87" i="19"/>
  <c r="S87" i="19"/>
  <c r="W86" i="19"/>
  <c r="T86" i="19"/>
  <c r="S86" i="19"/>
  <c r="W85" i="19"/>
  <c r="T85" i="19"/>
  <c r="S85" i="19"/>
  <c r="W84" i="19"/>
  <c r="T84" i="19"/>
  <c r="S84" i="19"/>
  <c r="W83" i="19"/>
  <c r="T83" i="19"/>
  <c r="S83" i="19"/>
  <c r="W82" i="19"/>
  <c r="T82" i="19"/>
  <c r="S82" i="19"/>
  <c r="W81" i="19"/>
  <c r="T81" i="19"/>
  <c r="S81" i="19"/>
  <c r="W80" i="19"/>
  <c r="T80" i="19"/>
  <c r="S80" i="19"/>
  <c r="W79" i="19"/>
  <c r="T79" i="19"/>
  <c r="S79" i="19"/>
  <c r="W78" i="19"/>
  <c r="T78" i="19"/>
  <c r="S78" i="19"/>
  <c r="W77" i="19"/>
  <c r="T77" i="19"/>
  <c r="S77" i="19"/>
  <c r="W76" i="19"/>
  <c r="T76" i="19"/>
  <c r="S76" i="19"/>
  <c r="W75" i="19"/>
  <c r="T75" i="19"/>
  <c r="S75" i="19"/>
  <c r="W74" i="19"/>
  <c r="T74" i="19"/>
  <c r="S74" i="19"/>
  <c r="W73" i="19"/>
  <c r="T73" i="19"/>
  <c r="S73" i="19"/>
  <c r="W72" i="19"/>
  <c r="T72" i="19"/>
  <c r="S72" i="19"/>
  <c r="W71" i="19"/>
  <c r="T71" i="19"/>
  <c r="S71" i="19"/>
  <c r="W70" i="19"/>
  <c r="T70" i="19"/>
  <c r="S70" i="19"/>
  <c r="W69" i="19"/>
  <c r="T69" i="19"/>
  <c r="S69" i="19"/>
  <c r="W68" i="19"/>
  <c r="T68" i="19"/>
  <c r="S68" i="19"/>
  <c r="W67" i="19"/>
  <c r="T67" i="19"/>
  <c r="S67" i="19"/>
  <c r="W66" i="19"/>
  <c r="T66" i="19"/>
  <c r="S66" i="19"/>
  <c r="W65" i="19"/>
  <c r="T65" i="19"/>
  <c r="S65" i="19"/>
  <c r="W64" i="19"/>
  <c r="T64" i="19"/>
  <c r="S64" i="19"/>
  <c r="W63" i="19"/>
  <c r="T63" i="19"/>
  <c r="S63" i="19"/>
  <c r="W62" i="19"/>
  <c r="T62" i="19"/>
  <c r="S62" i="19"/>
  <c r="W61" i="19"/>
  <c r="T61" i="19"/>
  <c r="S61" i="19"/>
  <c r="W60" i="19"/>
  <c r="T60" i="19"/>
  <c r="S60" i="19"/>
  <c r="W59" i="19"/>
  <c r="T59" i="19"/>
  <c r="S59" i="19"/>
  <c r="W58" i="19"/>
  <c r="T58" i="19"/>
  <c r="S58" i="19"/>
  <c r="W57" i="19"/>
  <c r="T57" i="19"/>
  <c r="S57" i="19"/>
  <c r="W56" i="19"/>
  <c r="T56" i="19"/>
  <c r="S56" i="19"/>
  <c r="W55" i="19"/>
  <c r="T55" i="19"/>
  <c r="S55" i="19"/>
  <c r="W54" i="19"/>
  <c r="T54" i="19"/>
  <c r="S54" i="19"/>
  <c r="W53" i="19"/>
  <c r="T53" i="19"/>
  <c r="S53" i="19"/>
  <c r="W52" i="19"/>
  <c r="T52" i="19"/>
  <c r="S52" i="19"/>
  <c r="W51" i="19"/>
  <c r="T51" i="19"/>
  <c r="S51" i="19"/>
  <c r="W50" i="19"/>
  <c r="T50" i="19"/>
  <c r="S50" i="19"/>
  <c r="W49" i="19"/>
  <c r="T49" i="19"/>
  <c r="S49" i="19"/>
  <c r="W48" i="19"/>
  <c r="T48" i="19"/>
  <c r="S48" i="19"/>
  <c r="W47" i="19"/>
  <c r="T47" i="19"/>
  <c r="S47" i="19"/>
  <c r="W46" i="19"/>
  <c r="T46" i="19"/>
  <c r="S46" i="19"/>
  <c r="W45" i="19"/>
  <c r="T45" i="19"/>
  <c r="S45" i="19"/>
  <c r="W44" i="19"/>
  <c r="T44" i="19"/>
  <c r="S44" i="19"/>
  <c r="W43" i="19"/>
  <c r="T43" i="19"/>
  <c r="S43" i="19"/>
  <c r="W42" i="19"/>
  <c r="T42" i="19"/>
  <c r="S42" i="19"/>
  <c r="W41" i="19"/>
  <c r="T41" i="19"/>
  <c r="S41" i="19"/>
  <c r="W40" i="19"/>
  <c r="T40" i="19"/>
  <c r="S40" i="19"/>
  <c r="W39" i="19"/>
  <c r="T39" i="19"/>
  <c r="S39" i="19"/>
  <c r="W38" i="19"/>
  <c r="T38" i="19"/>
  <c r="S38" i="19"/>
  <c r="W37" i="19"/>
  <c r="T37" i="19"/>
  <c r="S37" i="19"/>
  <c r="W36" i="19"/>
  <c r="T36" i="19"/>
  <c r="S36" i="19"/>
  <c r="W35" i="19"/>
  <c r="T35" i="19"/>
  <c r="S35" i="19"/>
  <c r="W34" i="19"/>
  <c r="T34" i="19"/>
  <c r="S34" i="19"/>
  <c r="W33" i="19"/>
  <c r="T33" i="19"/>
  <c r="S33" i="19"/>
  <c r="W32" i="19"/>
  <c r="T32" i="19"/>
  <c r="S32" i="19"/>
  <c r="W31" i="19"/>
  <c r="T31" i="19"/>
  <c r="S31" i="19"/>
  <c r="W30" i="19"/>
  <c r="T30" i="19"/>
  <c r="S30" i="19"/>
  <c r="W29" i="19"/>
  <c r="T29" i="19"/>
  <c r="S29" i="19"/>
  <c r="W28" i="19"/>
  <c r="T28" i="19"/>
  <c r="S28" i="19"/>
  <c r="W27" i="19"/>
  <c r="T27" i="19"/>
  <c r="S27" i="19"/>
  <c r="W26" i="19"/>
  <c r="T26" i="19"/>
  <c r="S26" i="19"/>
  <c r="W25" i="19"/>
  <c r="T25" i="19"/>
  <c r="S25" i="19"/>
  <c r="W24" i="19"/>
  <c r="T24" i="19"/>
  <c r="S24" i="19"/>
  <c r="W23" i="19"/>
  <c r="T23" i="19"/>
  <c r="S23" i="19"/>
  <c r="W22" i="19"/>
  <c r="T22" i="19"/>
  <c r="S22" i="19"/>
  <c r="W21" i="19"/>
  <c r="T21" i="19"/>
  <c r="S21" i="19"/>
  <c r="W20" i="19"/>
  <c r="T20" i="19"/>
  <c r="S20" i="19"/>
  <c r="W19" i="19"/>
  <c r="T19" i="19"/>
  <c r="S19" i="19"/>
  <c r="W18" i="19"/>
  <c r="T18" i="19"/>
  <c r="S18" i="19"/>
  <c r="W17" i="19"/>
  <c r="T17" i="19"/>
  <c r="S17" i="19"/>
  <c r="W16" i="19"/>
  <c r="T16" i="19"/>
  <c r="S16" i="19"/>
  <c r="W15" i="19"/>
  <c r="T15" i="19"/>
  <c r="S15" i="19"/>
  <c r="W14" i="19"/>
  <c r="T14" i="19"/>
  <c r="S14" i="19"/>
  <c r="W13" i="19"/>
  <c r="T13" i="19"/>
  <c r="S13" i="19"/>
  <c r="W12" i="19"/>
  <c r="T12" i="19"/>
  <c r="S12" i="19"/>
  <c r="W11" i="19"/>
  <c r="T11" i="19"/>
  <c r="S11" i="19"/>
  <c r="W10" i="19"/>
  <c r="T10" i="19"/>
  <c r="S10" i="19"/>
  <c r="W9" i="19"/>
  <c r="T9" i="19"/>
  <c r="S9" i="19"/>
  <c r="W8" i="19"/>
  <c r="T8" i="19"/>
  <c r="S8" i="19"/>
  <c r="W7" i="19"/>
  <c r="T7" i="19"/>
  <c r="S7" i="19"/>
  <c r="W6" i="19"/>
  <c r="T6" i="19"/>
  <c r="S6" i="19"/>
  <c r="D127" i="3"/>
  <c r="G55" i="20" l="1"/>
  <c r="K36" i="20"/>
  <c r="E20" i="20"/>
  <c r="E17" i="22" s="1"/>
  <c r="G54" i="20"/>
  <c r="D56" i="20"/>
  <c r="C56" i="20"/>
  <c r="U2340" i="19"/>
  <c r="U2339" i="19"/>
  <c r="U2338" i="19"/>
  <c r="U2337" i="19"/>
  <c r="U2336" i="19"/>
  <c r="U2335" i="19"/>
  <c r="U2334" i="19"/>
  <c r="U2333" i="19"/>
  <c r="U2332" i="19"/>
  <c r="U2331" i="19"/>
  <c r="U2330" i="19"/>
  <c r="U2329" i="19"/>
  <c r="U2328" i="19"/>
  <c r="U2327" i="19"/>
  <c r="U2326" i="19"/>
  <c r="U2325" i="19"/>
  <c r="U2324" i="19"/>
  <c r="U2323" i="19"/>
  <c r="U2322" i="19"/>
  <c r="U2321" i="19"/>
  <c r="U2320" i="19"/>
  <c r="U2319" i="19"/>
  <c r="U2318" i="19"/>
  <c r="U2317" i="19"/>
  <c r="U2316" i="19"/>
  <c r="U2315" i="19"/>
  <c r="U2314" i="19"/>
  <c r="G53" i="20"/>
  <c r="G56" i="20" s="1"/>
  <c r="H56" i="20"/>
  <c r="M37" i="20"/>
  <c r="L36" i="20"/>
  <c r="N36" i="20" s="1"/>
  <c r="M36" i="20"/>
  <c r="M35" i="20"/>
  <c r="M34" i="20"/>
  <c r="L34" i="20"/>
  <c r="G17" i="22"/>
  <c r="D57" i="21"/>
  <c r="U2313" i="19"/>
  <c r="U2312" i="19"/>
  <c r="U2311" i="19"/>
  <c r="U2310" i="19"/>
  <c r="U2309" i="19"/>
  <c r="U2308" i="19"/>
  <c r="U2307" i="19"/>
  <c r="U2306" i="19"/>
  <c r="U2305" i="19"/>
  <c r="U2304" i="19"/>
  <c r="U2303" i="19"/>
  <c r="U2302" i="19"/>
  <c r="U2301" i="19"/>
  <c r="U2300" i="19"/>
  <c r="U2299" i="19"/>
  <c r="U2298" i="19"/>
  <c r="U2297" i="19"/>
  <c r="U2296" i="19"/>
  <c r="U2295" i="19"/>
  <c r="U2294" i="19"/>
  <c r="U2293" i="19"/>
  <c r="U2292" i="19"/>
  <c r="U2291" i="19"/>
  <c r="U2290" i="19"/>
  <c r="U2289" i="19"/>
  <c r="U2288" i="19"/>
  <c r="U2287" i="19"/>
  <c r="U2286" i="19"/>
  <c r="U2285" i="19"/>
  <c r="U2284" i="19"/>
  <c r="U2283" i="19"/>
  <c r="U2282" i="19"/>
  <c r="U2281" i="19"/>
  <c r="U2280" i="19"/>
  <c r="U2279" i="19"/>
  <c r="U2278" i="19"/>
  <c r="U2277" i="19"/>
  <c r="U2276" i="19"/>
  <c r="U2275" i="19"/>
  <c r="U2274" i="19"/>
  <c r="U2273" i="19"/>
  <c r="U2272" i="19"/>
  <c r="U2271" i="19"/>
  <c r="U2270" i="19"/>
  <c r="U2269" i="19"/>
  <c r="U2268" i="19"/>
  <c r="U2267" i="19"/>
  <c r="U2266" i="19"/>
  <c r="U2265" i="19"/>
  <c r="U2264" i="19"/>
  <c r="U2263" i="19"/>
  <c r="U2262" i="19"/>
  <c r="U2261" i="19"/>
  <c r="U2260" i="19"/>
  <c r="U2259" i="19"/>
  <c r="U2258" i="19"/>
  <c r="U2257" i="19"/>
  <c r="U2256" i="19"/>
  <c r="U2255" i="19"/>
  <c r="U2254" i="19"/>
  <c r="U2253" i="19"/>
  <c r="U2252" i="19"/>
  <c r="U2251" i="19"/>
  <c r="U2250" i="19"/>
  <c r="U2249" i="19"/>
  <c r="U2248" i="19"/>
  <c r="U2247" i="19"/>
  <c r="U2246" i="19"/>
  <c r="U2245" i="19"/>
  <c r="U2244" i="19"/>
  <c r="U2243" i="19"/>
  <c r="U2242" i="19"/>
  <c r="U2241" i="19"/>
  <c r="U2240" i="19"/>
  <c r="U2239" i="19"/>
  <c r="U2238" i="19"/>
  <c r="U2237" i="19"/>
  <c r="U2236" i="19"/>
  <c r="U2235" i="19"/>
  <c r="U2234" i="19"/>
  <c r="U2233" i="19"/>
  <c r="U2232" i="19"/>
  <c r="U2231" i="19"/>
  <c r="U2230" i="19"/>
  <c r="U2229" i="19"/>
  <c r="U2228" i="19"/>
  <c r="U2227" i="19"/>
  <c r="U2226" i="19"/>
  <c r="U2225" i="19"/>
  <c r="U2224" i="19"/>
  <c r="U2223" i="19"/>
  <c r="U2222" i="19"/>
  <c r="U2221" i="19"/>
  <c r="U2220" i="19"/>
  <c r="U2219" i="19"/>
  <c r="U2218" i="19"/>
  <c r="U2217" i="19"/>
  <c r="U2216" i="19"/>
  <c r="U2215" i="19"/>
  <c r="U2214" i="19"/>
  <c r="U2213" i="19"/>
  <c r="U2212" i="19"/>
  <c r="U2211" i="19"/>
  <c r="U2210" i="19"/>
  <c r="U2209" i="19"/>
  <c r="U2208" i="19"/>
  <c r="U2207" i="19"/>
  <c r="U2206" i="19"/>
  <c r="U2205" i="19"/>
  <c r="U2204" i="19"/>
  <c r="U2203" i="19"/>
  <c r="U2202" i="19"/>
  <c r="U2201" i="19"/>
  <c r="U2200" i="19"/>
  <c r="U2199" i="19"/>
  <c r="U2198" i="19"/>
  <c r="U2197" i="19"/>
  <c r="U2196" i="19"/>
  <c r="U2195" i="19"/>
  <c r="U2194" i="19"/>
  <c r="U2193" i="19"/>
  <c r="U2192" i="19"/>
  <c r="U2191" i="19"/>
  <c r="U2190" i="19"/>
  <c r="U2189" i="19"/>
  <c r="U2188" i="19"/>
  <c r="U2187" i="19"/>
  <c r="U2186" i="19"/>
  <c r="U2185" i="19"/>
  <c r="U2184" i="19"/>
  <c r="U2183" i="19"/>
  <c r="U2182" i="19"/>
  <c r="U2181" i="19"/>
  <c r="U2180" i="19"/>
  <c r="U2179" i="19"/>
  <c r="U2178" i="19"/>
  <c r="U2177" i="19"/>
  <c r="U2176" i="19"/>
  <c r="U2175" i="19"/>
  <c r="U2174" i="19"/>
  <c r="U2173" i="19"/>
  <c r="U2172" i="19"/>
  <c r="U2171" i="19"/>
  <c r="U2170" i="19"/>
  <c r="U2169" i="19"/>
  <c r="U2168" i="19"/>
  <c r="U2167" i="19"/>
  <c r="U2166" i="19"/>
  <c r="U2165" i="19"/>
  <c r="U2164" i="19"/>
  <c r="U2163" i="19"/>
  <c r="U2162" i="19"/>
  <c r="U2161" i="19"/>
  <c r="U2160" i="19"/>
  <c r="U2159" i="19"/>
  <c r="U2158" i="19"/>
  <c r="U2157" i="19"/>
  <c r="U2156" i="19"/>
  <c r="U2155" i="19"/>
  <c r="U2154" i="19"/>
  <c r="U2153" i="19"/>
  <c r="U2152" i="19"/>
  <c r="U2151" i="19"/>
  <c r="U2150" i="19"/>
  <c r="U2149" i="19"/>
  <c r="U2148" i="19"/>
  <c r="U2147" i="19"/>
  <c r="U2146" i="19"/>
  <c r="U2145" i="19"/>
  <c r="U2144" i="19"/>
  <c r="U2143" i="19"/>
  <c r="U2142" i="19"/>
  <c r="U2141" i="19"/>
  <c r="U2140" i="19"/>
  <c r="U2139" i="19"/>
  <c r="U2138" i="19"/>
  <c r="U2137" i="19"/>
  <c r="U2136" i="19"/>
  <c r="U2135" i="19"/>
  <c r="U2134" i="19"/>
  <c r="U2133" i="19"/>
  <c r="U2132" i="19"/>
  <c r="U2131" i="19"/>
  <c r="U2130" i="19"/>
  <c r="U2129" i="19"/>
  <c r="U2128" i="19"/>
  <c r="U2127" i="19"/>
  <c r="U2126" i="19"/>
  <c r="U2125" i="19"/>
  <c r="U2124" i="19"/>
  <c r="U2123" i="19"/>
  <c r="U2122" i="19"/>
  <c r="U2121" i="19"/>
  <c r="U2120" i="19"/>
  <c r="U2119" i="19"/>
  <c r="U2118" i="19"/>
  <c r="U2117" i="19"/>
  <c r="U2116" i="19"/>
  <c r="U2115" i="19"/>
  <c r="U2114" i="19"/>
  <c r="U2113" i="19"/>
  <c r="U2112" i="19"/>
  <c r="U2111" i="19"/>
  <c r="U2110" i="19"/>
  <c r="U2109" i="19"/>
  <c r="U2108" i="19"/>
  <c r="U2107" i="19"/>
  <c r="U2106" i="19"/>
  <c r="U2105" i="19"/>
  <c r="U2104" i="19"/>
  <c r="U2103" i="19"/>
  <c r="U2102" i="19"/>
  <c r="U2101" i="19"/>
  <c r="U2100" i="19"/>
  <c r="U2099" i="19"/>
  <c r="U2098" i="19"/>
  <c r="U2097" i="19"/>
  <c r="U2096" i="19"/>
  <c r="U2095" i="19"/>
  <c r="U2094" i="19"/>
  <c r="U2093" i="19"/>
  <c r="U2092" i="19"/>
  <c r="U2091" i="19"/>
  <c r="U2090" i="19"/>
  <c r="U2089" i="19"/>
  <c r="U2088" i="19"/>
  <c r="U2087" i="19"/>
  <c r="U2086" i="19"/>
  <c r="U2085" i="19"/>
  <c r="U2084" i="19"/>
  <c r="U2083" i="19"/>
  <c r="U2082" i="19"/>
  <c r="U2081" i="19"/>
  <c r="U2080" i="19"/>
  <c r="U2079" i="19"/>
  <c r="U2078" i="19"/>
  <c r="U2077" i="19"/>
  <c r="U2076" i="19"/>
  <c r="U2075" i="19"/>
  <c r="U2074" i="19"/>
  <c r="U2073" i="19"/>
  <c r="U2072" i="19"/>
  <c r="U2071" i="19"/>
  <c r="U2070" i="19"/>
  <c r="U2069" i="19"/>
  <c r="U2068" i="19"/>
  <c r="U2067" i="19"/>
  <c r="U2066" i="19"/>
  <c r="U2065" i="19"/>
  <c r="U2064" i="19"/>
  <c r="U2063" i="19"/>
  <c r="U2062" i="19"/>
  <c r="U2061" i="19"/>
  <c r="U2060" i="19"/>
  <c r="U2059" i="19"/>
  <c r="U2058" i="19"/>
  <c r="U2057" i="19"/>
  <c r="U2056" i="19"/>
  <c r="U2055" i="19"/>
  <c r="U2054" i="19"/>
  <c r="U2053" i="19"/>
  <c r="U2052" i="19"/>
  <c r="U2051" i="19"/>
  <c r="U2050" i="19"/>
  <c r="U2049" i="19"/>
  <c r="U2048" i="19"/>
  <c r="U2047" i="19"/>
  <c r="U2046" i="19"/>
  <c r="U2045" i="19"/>
  <c r="U2044" i="19"/>
  <c r="U2043" i="19"/>
  <c r="U2042" i="19"/>
  <c r="U2041" i="19"/>
  <c r="U2040" i="19"/>
  <c r="U2039" i="19"/>
  <c r="U2038" i="19"/>
  <c r="U2037" i="19"/>
  <c r="U2036" i="19"/>
  <c r="U2035" i="19"/>
  <c r="U2034" i="19"/>
  <c r="U2033" i="19"/>
  <c r="U2032" i="19"/>
  <c r="U2031" i="19"/>
  <c r="U2030" i="19"/>
  <c r="U2029" i="19"/>
  <c r="U2028" i="19"/>
  <c r="U2027" i="19"/>
  <c r="U2026" i="19"/>
  <c r="U2025" i="19"/>
  <c r="U2024" i="19"/>
  <c r="U2023" i="19"/>
  <c r="U2022" i="19"/>
  <c r="U2021" i="19"/>
  <c r="U2020" i="19"/>
  <c r="U2019" i="19"/>
  <c r="U2018" i="19"/>
  <c r="U2017" i="19"/>
  <c r="U2016" i="19"/>
  <c r="U2015" i="19"/>
  <c r="U2014" i="19"/>
  <c r="U2013" i="19"/>
  <c r="U2012" i="19"/>
  <c r="U2011" i="19"/>
  <c r="U2010" i="19"/>
  <c r="U2009" i="19"/>
  <c r="U2008" i="19"/>
  <c r="U2007" i="19"/>
  <c r="U2006" i="19"/>
  <c r="U2005" i="19"/>
  <c r="U2004" i="19"/>
  <c r="U2003" i="19"/>
  <c r="U2002" i="19"/>
  <c r="U2001" i="19"/>
  <c r="U2000" i="19"/>
  <c r="U1999" i="19"/>
  <c r="U1998" i="19"/>
  <c r="U1997" i="19"/>
  <c r="U1996" i="19"/>
  <c r="U1995" i="19"/>
  <c r="U1994" i="19"/>
  <c r="U1993" i="19"/>
  <c r="U1992" i="19"/>
  <c r="U1991" i="19"/>
  <c r="U1990" i="19"/>
  <c r="U1989" i="19"/>
  <c r="U1988" i="19"/>
  <c r="U1987" i="19"/>
  <c r="U1986" i="19"/>
  <c r="U1985" i="19"/>
  <c r="U1984" i="19"/>
  <c r="U1983" i="19"/>
  <c r="U1982" i="19"/>
  <c r="U1981" i="19"/>
  <c r="U1980" i="19"/>
  <c r="U1979" i="19"/>
  <c r="U1978" i="19"/>
  <c r="U1977" i="19"/>
  <c r="U1976" i="19"/>
  <c r="U1975" i="19"/>
  <c r="U1974" i="19"/>
  <c r="U1973" i="19"/>
  <c r="U1972" i="19"/>
  <c r="U1971" i="19"/>
  <c r="U1970" i="19"/>
  <c r="U1969" i="19"/>
  <c r="U1968" i="19"/>
  <c r="U1967" i="19"/>
  <c r="U1966" i="19"/>
  <c r="U1965" i="19"/>
  <c r="U1964" i="19"/>
  <c r="U1963" i="19"/>
  <c r="U1962" i="19"/>
  <c r="U1961" i="19"/>
  <c r="U1960" i="19"/>
  <c r="U1959" i="19"/>
  <c r="U1958" i="19"/>
  <c r="U1957" i="19"/>
  <c r="U1956" i="19"/>
  <c r="U1955" i="19"/>
  <c r="U1954" i="19"/>
  <c r="U1953" i="19"/>
  <c r="U1952" i="19"/>
  <c r="U1951" i="19"/>
  <c r="U1950" i="19"/>
  <c r="U1949" i="19"/>
  <c r="U1948" i="19"/>
  <c r="U1947" i="19"/>
  <c r="U1946" i="19"/>
  <c r="U1945" i="19"/>
  <c r="U1944" i="19"/>
  <c r="U1943" i="19"/>
  <c r="U1942" i="19"/>
  <c r="U1941" i="19"/>
  <c r="U1940" i="19"/>
  <c r="U1939" i="19"/>
  <c r="U1938" i="19"/>
  <c r="U1937" i="19"/>
  <c r="U1936" i="19"/>
  <c r="U1935" i="19"/>
  <c r="U1934" i="19"/>
  <c r="U1933" i="19"/>
  <c r="U1932" i="19"/>
  <c r="U1931" i="19"/>
  <c r="U1930" i="19"/>
  <c r="U1929" i="19"/>
  <c r="U1928" i="19"/>
  <c r="U1927" i="19"/>
  <c r="U1926" i="19"/>
  <c r="U1925" i="19"/>
  <c r="U1924" i="19"/>
  <c r="U1923" i="19"/>
  <c r="U1922" i="19"/>
  <c r="U1921" i="19"/>
  <c r="U1920" i="19"/>
  <c r="U1919" i="19"/>
  <c r="U1918" i="19"/>
  <c r="U1917" i="19"/>
  <c r="U1916" i="19"/>
  <c r="U1915" i="19"/>
  <c r="U1914" i="19"/>
  <c r="U1913" i="19"/>
  <c r="U1912" i="19"/>
  <c r="U1911" i="19"/>
  <c r="U1910" i="19"/>
  <c r="U1909" i="19"/>
  <c r="U1908" i="19"/>
  <c r="U1907" i="19"/>
  <c r="U1906" i="19"/>
  <c r="U1905" i="19"/>
  <c r="U1904" i="19"/>
  <c r="U1903" i="19"/>
  <c r="U1902" i="19"/>
  <c r="U1901" i="19"/>
  <c r="U1900" i="19"/>
  <c r="U1899" i="19"/>
  <c r="U1898" i="19"/>
  <c r="U1897" i="19"/>
  <c r="U1896" i="19"/>
  <c r="U1895" i="19"/>
  <c r="U1894" i="19"/>
  <c r="U1462" i="19"/>
  <c r="U1461" i="19"/>
  <c r="U1460" i="19"/>
  <c r="U1456" i="19"/>
  <c r="U1454" i="19"/>
  <c r="U1453" i="19"/>
  <c r="U1452" i="19"/>
  <c r="U1446" i="19"/>
  <c r="U1444" i="19"/>
  <c r="U1442" i="19"/>
  <c r="U1441" i="19"/>
  <c r="U1439" i="19"/>
  <c r="U1438" i="19"/>
  <c r="U1437" i="19"/>
  <c r="U1436" i="19"/>
  <c r="U1435" i="19"/>
  <c r="U1430" i="19"/>
  <c r="U1429" i="19"/>
  <c r="U1428" i="19"/>
  <c r="U1427" i="19"/>
  <c r="U1424" i="19"/>
  <c r="U1421" i="19"/>
  <c r="U1420" i="19"/>
  <c r="U1418" i="19"/>
  <c r="U1417" i="19"/>
  <c r="U1412" i="19"/>
  <c r="U1411" i="19"/>
  <c r="U1410" i="19"/>
  <c r="U1409" i="19"/>
  <c r="U1408" i="19"/>
  <c r="U1407" i="19"/>
  <c r="U1406" i="19"/>
  <c r="U1405" i="19"/>
  <c r="U1402" i="19"/>
  <c r="U1400" i="19"/>
  <c r="U1389" i="19"/>
  <c r="U1385" i="19"/>
  <c r="U1384" i="19"/>
  <c r="U1382" i="19"/>
  <c r="U1378" i="19"/>
  <c r="U1373" i="19"/>
  <c r="U1371" i="19"/>
  <c r="U1367" i="19"/>
  <c r="U1364" i="19"/>
  <c r="U1360" i="19"/>
  <c r="U1358" i="19"/>
  <c r="U1356" i="19"/>
  <c r="U1354" i="19"/>
  <c r="U1349" i="19"/>
  <c r="U1343" i="19"/>
  <c r="U1337" i="19"/>
  <c r="U1336" i="19"/>
  <c r="U1327" i="19"/>
  <c r="U1325" i="19"/>
  <c r="U1322" i="19"/>
  <c r="U1320" i="19"/>
  <c r="U1317" i="19"/>
  <c r="U1312" i="19"/>
  <c r="U1308" i="19"/>
  <c r="U1299" i="19"/>
  <c r="U1295" i="19"/>
  <c r="U1293" i="19"/>
  <c r="U1283" i="19"/>
  <c r="U1274" i="19"/>
  <c r="U1270" i="19"/>
  <c r="U1267" i="19"/>
  <c r="U1265" i="19"/>
  <c r="U1264" i="19"/>
  <c r="U1305" i="19"/>
  <c r="U1303" i="19"/>
  <c r="U1300" i="19"/>
  <c r="U1298" i="19"/>
  <c r="U1296" i="19"/>
  <c r="U1292" i="19"/>
  <c r="U1284" i="19"/>
  <c r="U1280" i="19"/>
  <c r="U1276" i="19"/>
  <c r="U1275" i="19"/>
  <c r="U1272" i="19"/>
  <c r="U1893" i="19"/>
  <c r="U1892" i="19"/>
  <c r="U1891" i="19"/>
  <c r="U1890" i="19"/>
  <c r="U1889" i="19"/>
  <c r="U1888" i="19"/>
  <c r="U1887" i="19"/>
  <c r="U1886" i="19"/>
  <c r="U1885" i="19"/>
  <c r="U1884" i="19"/>
  <c r="U1883" i="19"/>
  <c r="U1882" i="19"/>
  <c r="U1881" i="19"/>
  <c r="U1880" i="19"/>
  <c r="U1879" i="19"/>
  <c r="U1878" i="19"/>
  <c r="U1877" i="19"/>
  <c r="U1876" i="19"/>
  <c r="U1875" i="19"/>
  <c r="U1874" i="19"/>
  <c r="U1873" i="19"/>
  <c r="U1872" i="19"/>
  <c r="U1871" i="19"/>
  <c r="U1870" i="19"/>
  <c r="U1869" i="19"/>
  <c r="U1868" i="19"/>
  <c r="U1867" i="19"/>
  <c r="U1866" i="19"/>
  <c r="U1865" i="19"/>
  <c r="U1864" i="19"/>
  <c r="U1863" i="19"/>
  <c r="U1862" i="19"/>
  <c r="U1861" i="19"/>
  <c r="U1860" i="19"/>
  <c r="U1859" i="19"/>
  <c r="U1858" i="19"/>
  <c r="U1857" i="19"/>
  <c r="U1856" i="19"/>
  <c r="U1855" i="19"/>
  <c r="U1854" i="19"/>
  <c r="U1853" i="19"/>
  <c r="U1852" i="19"/>
  <c r="U1851" i="19"/>
  <c r="U1850" i="19"/>
  <c r="U1849" i="19"/>
  <c r="U1848" i="19"/>
  <c r="U1847" i="19"/>
  <c r="U1846" i="19"/>
  <c r="U1845" i="19"/>
  <c r="U1844" i="19"/>
  <c r="U1843" i="19"/>
  <c r="U1842" i="19"/>
  <c r="U1841" i="19"/>
  <c r="U1840" i="19"/>
  <c r="U1839" i="19"/>
  <c r="U1838" i="19"/>
  <c r="U1837" i="19"/>
  <c r="U1836" i="19"/>
  <c r="U1835" i="19"/>
  <c r="U1834" i="19"/>
  <c r="U1833" i="19"/>
  <c r="U1832" i="19"/>
  <c r="U1831" i="19"/>
  <c r="U1830" i="19"/>
  <c r="U1829" i="19"/>
  <c r="U1828" i="19"/>
  <c r="U1827" i="19"/>
  <c r="U1826" i="19"/>
  <c r="U1825" i="19"/>
  <c r="U1824" i="19"/>
  <c r="U1823" i="19"/>
  <c r="U1822" i="19"/>
  <c r="U1821" i="19"/>
  <c r="U1820" i="19"/>
  <c r="U1819" i="19"/>
  <c r="U1818" i="19"/>
  <c r="U1817" i="19"/>
  <c r="U1816" i="19"/>
  <c r="U1815" i="19"/>
  <c r="U1814" i="19"/>
  <c r="U1813" i="19"/>
  <c r="U1812" i="19"/>
  <c r="U1811" i="19"/>
  <c r="U1810" i="19"/>
  <c r="U1809" i="19"/>
  <c r="U1808" i="19"/>
  <c r="U1807" i="19"/>
  <c r="U1806" i="19"/>
  <c r="U1805" i="19"/>
  <c r="U1804" i="19"/>
  <c r="U1803" i="19"/>
  <c r="U1802" i="19"/>
  <c r="U1801" i="19"/>
  <c r="U1800" i="19"/>
  <c r="U1799" i="19"/>
  <c r="U1798" i="19"/>
  <c r="U1797" i="19"/>
  <c r="U1796" i="19"/>
  <c r="U1795" i="19"/>
  <c r="U1794" i="19"/>
  <c r="U1793" i="19"/>
  <c r="U1792" i="19"/>
  <c r="U1791" i="19"/>
  <c r="U1790" i="19"/>
  <c r="U1789" i="19"/>
  <c r="U1788" i="19"/>
  <c r="U1787" i="19"/>
  <c r="U1786" i="19"/>
  <c r="U1785" i="19"/>
  <c r="U1784" i="19"/>
  <c r="U1783" i="19"/>
  <c r="U1782" i="19"/>
  <c r="U1781" i="19"/>
  <c r="U1780" i="19"/>
  <c r="U1779" i="19"/>
  <c r="U1778" i="19"/>
  <c r="U1777" i="19"/>
  <c r="U1776" i="19"/>
  <c r="U1775" i="19"/>
  <c r="U1774" i="19"/>
  <c r="U1773" i="19"/>
  <c r="U1772" i="19"/>
  <c r="U1771" i="19"/>
  <c r="U1770" i="19"/>
  <c r="U1769" i="19"/>
  <c r="U1768" i="19"/>
  <c r="U1767" i="19"/>
  <c r="U1766" i="19"/>
  <c r="U1765" i="19"/>
  <c r="U1764" i="19"/>
  <c r="U1763" i="19"/>
  <c r="U1762" i="19"/>
  <c r="U1761" i="19"/>
  <c r="U1760" i="19"/>
  <c r="U1759" i="19"/>
  <c r="U1758" i="19"/>
  <c r="U1757" i="19"/>
  <c r="U1756" i="19"/>
  <c r="U1755" i="19"/>
  <c r="U1754" i="19"/>
  <c r="U1753" i="19"/>
  <c r="U1752" i="19"/>
  <c r="U1751" i="19"/>
  <c r="U1750" i="19"/>
  <c r="U1749" i="19"/>
  <c r="U1748" i="19"/>
  <c r="U1747" i="19"/>
  <c r="U1746" i="19"/>
  <c r="U1745" i="19"/>
  <c r="U1744" i="19"/>
  <c r="U1743" i="19"/>
  <c r="U1742" i="19"/>
  <c r="U1741" i="19"/>
  <c r="U1740" i="19"/>
  <c r="U1739" i="19"/>
  <c r="U1738" i="19"/>
  <c r="U1737" i="19"/>
  <c r="U1736" i="19"/>
  <c r="U1735" i="19"/>
  <c r="U1734" i="19"/>
  <c r="U1733" i="19"/>
  <c r="U1732" i="19"/>
  <c r="U1731" i="19"/>
  <c r="U1730" i="19"/>
  <c r="U1729" i="19"/>
  <c r="U1728" i="19"/>
  <c r="U1727" i="19"/>
  <c r="U1726" i="19"/>
  <c r="U1725" i="19"/>
  <c r="U1724" i="19"/>
  <c r="U1723" i="19"/>
  <c r="U1722" i="19"/>
  <c r="U1721" i="19"/>
  <c r="U1720" i="19"/>
  <c r="U1719" i="19"/>
  <c r="U1718" i="19"/>
  <c r="U1717" i="19"/>
  <c r="U1716" i="19"/>
  <c r="U1715" i="19"/>
  <c r="U1714" i="19"/>
  <c r="U1713" i="19"/>
  <c r="U1712" i="19"/>
  <c r="U1711" i="19"/>
  <c r="U1710" i="19"/>
  <c r="U1709" i="19"/>
  <c r="U1708" i="19"/>
  <c r="U1707" i="19"/>
  <c r="U1706" i="19"/>
  <c r="U1705" i="19"/>
  <c r="U1704" i="19"/>
  <c r="U1703" i="19"/>
  <c r="U1702" i="19"/>
  <c r="U1701" i="19"/>
  <c r="U1700" i="19"/>
  <c r="U1699" i="19"/>
  <c r="U1698" i="19"/>
  <c r="U1697" i="19"/>
  <c r="U1696" i="19"/>
  <c r="U1695" i="19"/>
  <c r="U1694" i="19"/>
  <c r="U1693" i="19"/>
  <c r="U1692" i="19"/>
  <c r="U1691" i="19"/>
  <c r="U1690" i="19"/>
  <c r="U1689" i="19"/>
  <c r="U1688" i="19"/>
  <c r="U1687" i="19"/>
  <c r="U1686" i="19"/>
  <c r="U1685" i="19"/>
  <c r="U1684" i="19"/>
  <c r="U1683" i="19"/>
  <c r="U1682" i="19"/>
  <c r="U1681" i="19"/>
  <c r="U1680" i="19"/>
  <c r="U1679" i="19"/>
  <c r="U1678" i="19"/>
  <c r="U1677" i="19"/>
  <c r="U1676" i="19"/>
  <c r="U1675" i="19"/>
  <c r="U1674" i="19"/>
  <c r="U1673" i="19"/>
  <c r="U1672" i="19"/>
  <c r="U1671" i="19"/>
  <c r="U1670" i="19"/>
  <c r="U1669" i="19"/>
  <c r="U1668" i="19"/>
  <c r="U1667" i="19"/>
  <c r="U1666" i="19"/>
  <c r="U1665" i="19"/>
  <c r="U1664" i="19"/>
  <c r="U1663" i="19"/>
  <c r="U1662" i="19"/>
  <c r="U1661" i="19"/>
  <c r="U1660" i="19"/>
  <c r="U1659" i="19"/>
  <c r="U1658" i="19"/>
  <c r="U1657" i="19"/>
  <c r="U1656" i="19"/>
  <c r="U1655" i="19"/>
  <c r="U1654" i="19"/>
  <c r="U1653" i="19"/>
  <c r="U1652" i="19"/>
  <c r="U1651" i="19"/>
  <c r="U1650" i="19"/>
  <c r="U1649" i="19"/>
  <c r="U1648" i="19"/>
  <c r="U1647" i="19"/>
  <c r="U1646" i="19"/>
  <c r="U1645" i="19"/>
  <c r="U1644" i="19"/>
  <c r="U1643" i="19"/>
  <c r="U1642" i="19"/>
  <c r="U1641" i="19"/>
  <c r="U1640" i="19"/>
  <c r="U1639" i="19"/>
  <c r="U1638" i="19"/>
  <c r="U1637" i="19"/>
  <c r="U1636" i="19"/>
  <c r="U1635" i="19"/>
  <c r="U1634" i="19"/>
  <c r="U1633" i="19"/>
  <c r="U1632" i="19"/>
  <c r="U1631" i="19"/>
  <c r="U1630" i="19"/>
  <c r="U1629" i="19"/>
  <c r="U1628" i="19"/>
  <c r="U1627" i="19"/>
  <c r="U1626" i="19"/>
  <c r="U1625" i="19"/>
  <c r="U1624" i="19"/>
  <c r="U1623" i="19"/>
  <c r="U1622" i="19"/>
  <c r="U1621" i="19"/>
  <c r="U1620" i="19"/>
  <c r="U1619" i="19"/>
  <c r="U1618" i="19"/>
  <c r="U1617" i="19"/>
  <c r="U1616" i="19"/>
  <c r="U1615" i="19"/>
  <c r="U1614" i="19"/>
  <c r="U1613" i="19"/>
  <c r="U1612" i="19"/>
  <c r="U1611" i="19"/>
  <c r="U1610" i="19"/>
  <c r="U1609" i="19"/>
  <c r="U1608" i="19"/>
  <c r="U1607" i="19"/>
  <c r="U1606" i="19"/>
  <c r="U1605" i="19"/>
  <c r="U1604" i="19"/>
  <c r="U1603" i="19"/>
  <c r="U1602" i="19"/>
  <c r="U1601" i="19"/>
  <c r="U1600" i="19"/>
  <c r="U1599" i="19"/>
  <c r="U1598" i="19"/>
  <c r="U1597" i="19"/>
  <c r="U1596" i="19"/>
  <c r="U1595" i="19"/>
  <c r="U1594" i="19"/>
  <c r="U1593" i="19"/>
  <c r="U1592" i="19"/>
  <c r="U1591" i="19"/>
  <c r="U1590" i="19"/>
  <c r="U1589" i="19"/>
  <c r="U1588" i="19"/>
  <c r="U1587" i="19"/>
  <c r="U1586" i="19"/>
  <c r="U1585" i="19"/>
  <c r="U1584" i="19"/>
  <c r="U1583" i="19"/>
  <c r="U1582" i="19"/>
  <c r="U1581" i="19"/>
  <c r="U1580" i="19"/>
  <c r="U1579" i="19"/>
  <c r="U1578" i="19"/>
  <c r="U1577" i="19"/>
  <c r="U1576" i="19"/>
  <c r="U1575" i="19"/>
  <c r="U1574" i="19"/>
  <c r="U1573" i="19"/>
  <c r="U1572" i="19"/>
  <c r="U1571" i="19"/>
  <c r="U1570" i="19"/>
  <c r="U1569" i="19"/>
  <c r="U1568" i="19"/>
  <c r="U1567" i="19"/>
  <c r="U1566" i="19"/>
  <c r="U1565" i="19"/>
  <c r="U1564" i="19"/>
  <c r="U1563" i="19"/>
  <c r="U1562" i="19"/>
  <c r="U1561" i="19"/>
  <c r="U1560" i="19"/>
  <c r="U1559" i="19"/>
  <c r="U1558" i="19"/>
  <c r="U1557" i="19"/>
  <c r="U1556" i="19"/>
  <c r="U1555" i="19"/>
  <c r="U1554" i="19"/>
  <c r="U1553" i="19"/>
  <c r="U1552" i="19"/>
  <c r="U1551" i="19"/>
  <c r="U1550" i="19"/>
  <c r="U1549" i="19"/>
  <c r="U1548" i="19"/>
  <c r="U1547" i="19"/>
  <c r="U1546" i="19"/>
  <c r="U1545" i="19"/>
  <c r="U1544" i="19"/>
  <c r="U1543" i="19"/>
  <c r="U1542" i="19"/>
  <c r="U1541" i="19"/>
  <c r="U1540" i="19"/>
  <c r="U1539" i="19"/>
  <c r="U1538" i="19"/>
  <c r="U1537" i="19"/>
  <c r="U1536" i="19"/>
  <c r="U1535" i="19"/>
  <c r="U1534" i="19"/>
  <c r="U1533" i="19"/>
  <c r="U1532" i="19"/>
  <c r="U1531" i="19"/>
  <c r="U1530" i="19"/>
  <c r="U1529" i="19"/>
  <c r="U1528" i="19"/>
  <c r="U1527" i="19"/>
  <c r="U1526" i="19"/>
  <c r="U1525" i="19"/>
  <c r="U1524" i="19"/>
  <c r="U1523" i="19"/>
  <c r="U1522" i="19"/>
  <c r="U1521" i="19"/>
  <c r="U1520" i="19"/>
  <c r="U1519" i="19"/>
  <c r="U1518" i="19"/>
  <c r="U1517" i="19"/>
  <c r="U1516" i="19"/>
  <c r="U1515" i="19"/>
  <c r="U1514" i="19"/>
  <c r="U1513" i="19"/>
  <c r="U1512" i="19"/>
  <c r="U1511" i="19"/>
  <c r="U1510" i="19"/>
  <c r="U1509" i="19"/>
  <c r="U1508" i="19"/>
  <c r="U1507" i="19"/>
  <c r="U1506" i="19"/>
  <c r="U1505" i="19"/>
  <c r="U1504" i="19"/>
  <c r="U1503" i="19"/>
  <c r="U1502" i="19"/>
  <c r="U1501" i="19"/>
  <c r="U1500" i="19"/>
  <c r="U1499" i="19"/>
  <c r="U1498" i="19"/>
  <c r="U1497" i="19"/>
  <c r="U1496" i="19"/>
  <c r="U1495" i="19"/>
  <c r="U1494" i="19"/>
  <c r="U1493" i="19"/>
  <c r="U1492" i="19"/>
  <c r="U1491" i="19"/>
  <c r="U1490" i="19"/>
  <c r="U1489" i="19"/>
  <c r="U1488" i="19"/>
  <c r="U1487" i="19"/>
  <c r="U1486" i="19"/>
  <c r="U1485" i="19"/>
  <c r="U1484" i="19"/>
  <c r="U1483" i="19"/>
  <c r="U1482" i="19"/>
  <c r="U1481" i="19"/>
  <c r="U1480" i="19"/>
  <c r="U1479" i="19"/>
  <c r="U1478" i="19"/>
  <c r="U1477" i="19"/>
  <c r="U1476" i="19"/>
  <c r="U1475" i="19"/>
  <c r="U1474" i="19"/>
  <c r="U1473" i="19"/>
  <c r="U1472" i="19"/>
  <c r="U1471" i="19"/>
  <c r="U1470" i="19"/>
  <c r="U1469" i="19"/>
  <c r="U1468" i="19"/>
  <c r="U1467" i="19"/>
  <c r="U1466" i="19"/>
  <c r="U1465" i="19"/>
  <c r="U1464" i="19"/>
  <c r="U1463" i="19"/>
  <c r="U1459" i="19"/>
  <c r="U1458" i="19"/>
  <c r="U1457" i="19"/>
  <c r="U1455" i="19"/>
  <c r="U1451" i="19"/>
  <c r="U1450" i="19"/>
  <c r="U1449" i="19"/>
  <c r="U1448" i="19"/>
  <c r="U1447" i="19"/>
  <c r="U1445" i="19"/>
  <c r="U1443" i="19"/>
  <c r="U1440" i="19"/>
  <c r="U1434" i="19"/>
  <c r="U1433" i="19"/>
  <c r="U1432" i="19"/>
  <c r="U1431" i="19"/>
  <c r="U1426" i="19"/>
  <c r="U1425" i="19"/>
  <c r="U1423" i="19"/>
  <c r="U1422" i="19"/>
  <c r="U1419" i="19"/>
  <c r="U1416" i="19"/>
  <c r="U1415" i="19"/>
  <c r="U1414" i="19"/>
  <c r="U1413" i="19"/>
  <c r="U1404" i="19"/>
  <c r="U1403" i="19"/>
  <c r="U1401" i="19"/>
  <c r="U1399" i="19"/>
  <c r="U1398" i="19"/>
  <c r="U1397" i="19"/>
  <c r="U1396" i="19"/>
  <c r="U1395" i="19"/>
  <c r="U1394" i="19"/>
  <c r="U1393" i="19"/>
  <c r="U1388" i="19"/>
  <c r="U1386" i="19"/>
  <c r="U1381" i="19"/>
  <c r="U1379" i="19"/>
  <c r="U1377" i="19"/>
  <c r="U1375" i="19"/>
  <c r="U1372" i="19"/>
  <c r="U1366" i="19"/>
  <c r="U1363" i="19"/>
  <c r="U1355" i="19"/>
  <c r="U1353" i="19"/>
  <c r="U1352" i="19"/>
  <c r="U1348" i="19"/>
  <c r="U1346" i="19"/>
  <c r="U1342" i="19"/>
  <c r="U1341" i="19"/>
  <c r="U1339" i="19"/>
  <c r="U1333" i="19"/>
  <c r="U1331" i="19"/>
  <c r="U1324" i="19"/>
  <c r="U1323" i="19"/>
  <c r="U1321" i="19"/>
  <c r="U1314" i="19"/>
  <c r="U1309" i="19"/>
  <c r="U1307" i="19"/>
  <c r="U1306" i="19"/>
  <c r="U1291" i="19"/>
  <c r="U1287" i="19"/>
  <c r="U1286" i="19"/>
  <c r="U1271" i="19"/>
  <c r="U1266" i="19"/>
  <c r="U1351" i="19"/>
  <c r="U1344" i="19"/>
  <c r="U1340" i="19"/>
  <c r="U1338" i="19"/>
  <c r="U1335" i="19"/>
  <c r="U1332" i="19"/>
  <c r="U1329" i="19"/>
  <c r="U1328" i="19"/>
  <c r="U1326" i="19"/>
  <c r="U1319" i="19"/>
  <c r="U1318" i="19"/>
  <c r="U1316" i="19"/>
  <c r="U1315" i="19"/>
  <c r="U1313" i="19"/>
  <c r="U1311" i="19"/>
  <c r="U1310" i="19"/>
  <c r="U1302" i="19"/>
  <c r="U1301" i="19"/>
  <c r="U1297" i="19"/>
  <c r="U1294" i="19"/>
  <c r="U1289" i="19"/>
  <c r="U1281" i="19"/>
  <c r="U1278" i="19"/>
  <c r="U1273" i="19"/>
  <c r="U1269" i="19"/>
  <c r="U1268" i="19"/>
  <c r="U128" i="19"/>
  <c r="E19" i="20"/>
  <c r="U127" i="19"/>
  <c r="U126" i="19"/>
  <c r="U125" i="19"/>
  <c r="U124" i="19"/>
  <c r="U123" i="19"/>
  <c r="U122" i="19"/>
  <c r="U121" i="19"/>
  <c r="U120" i="19"/>
  <c r="U119" i="19"/>
  <c r="U118" i="19"/>
  <c r="U117" i="19"/>
  <c r="U116" i="19"/>
  <c r="U115" i="19"/>
  <c r="U114" i="19"/>
  <c r="U113" i="19"/>
  <c r="U112" i="19"/>
  <c r="U111" i="19"/>
  <c r="U110" i="19"/>
  <c r="U109" i="19"/>
  <c r="U108" i="19"/>
  <c r="U107" i="19"/>
  <c r="U106" i="19"/>
  <c r="U105" i="19"/>
  <c r="U104" i="19"/>
  <c r="U103" i="19"/>
  <c r="U102" i="19"/>
  <c r="U101" i="19"/>
  <c r="U100" i="19"/>
  <c r="U99" i="19"/>
  <c r="U98" i="19"/>
  <c r="U97" i="19"/>
  <c r="U96" i="19"/>
  <c r="U95" i="19"/>
  <c r="U94" i="19"/>
  <c r="U93" i="19"/>
  <c r="U92" i="19"/>
  <c r="U91" i="19"/>
  <c r="U90" i="19"/>
  <c r="U89" i="19"/>
  <c r="U88" i="19"/>
  <c r="U87" i="19"/>
  <c r="U86" i="19"/>
  <c r="U85" i="19"/>
  <c r="U84" i="19"/>
  <c r="U83" i="19"/>
  <c r="U82" i="19"/>
  <c r="U81" i="19"/>
  <c r="U80" i="19"/>
  <c r="U79" i="19"/>
  <c r="U78" i="19"/>
  <c r="U77" i="19"/>
  <c r="U76" i="19"/>
  <c r="U75" i="19"/>
  <c r="U74" i="19"/>
  <c r="U73" i="19"/>
  <c r="U72" i="19"/>
  <c r="U71" i="19"/>
  <c r="U70" i="19"/>
  <c r="U69" i="19"/>
  <c r="U68" i="19"/>
  <c r="U67" i="19"/>
  <c r="U66" i="19"/>
  <c r="U65" i="19"/>
  <c r="U64" i="19"/>
  <c r="U63" i="19"/>
  <c r="U62" i="19"/>
  <c r="U61" i="19"/>
  <c r="U60" i="19"/>
  <c r="U59" i="19"/>
  <c r="U58" i="19"/>
  <c r="U1392" i="19"/>
  <c r="U1391" i="19"/>
  <c r="U1390" i="19"/>
  <c r="U1387" i="19"/>
  <c r="U1383" i="19"/>
  <c r="U1380" i="19"/>
  <c r="U1376" i="19"/>
  <c r="U1374" i="19"/>
  <c r="U1370" i="19"/>
  <c r="U1369" i="19"/>
  <c r="U1368" i="19"/>
  <c r="U1365" i="19"/>
  <c r="U1362" i="19"/>
  <c r="U1361" i="19"/>
  <c r="U1359" i="19"/>
  <c r="U1357" i="19"/>
  <c r="U1350" i="19"/>
  <c r="U1347" i="19"/>
  <c r="U1345" i="19"/>
  <c r="U1334" i="19"/>
  <c r="U1330" i="19"/>
  <c r="U1304" i="19"/>
  <c r="U1290" i="19"/>
  <c r="U1288" i="19"/>
  <c r="U1285" i="19"/>
  <c r="U1282" i="19"/>
  <c r="U1279" i="19"/>
  <c r="U1277" i="19"/>
  <c r="U2481" i="19"/>
  <c r="U2480" i="19"/>
  <c r="U57" i="19"/>
  <c r="U56" i="19"/>
  <c r="U55" i="19"/>
  <c r="U54" i="19"/>
  <c r="U53" i="19"/>
  <c r="U52" i="19"/>
  <c r="U51" i="19"/>
  <c r="U50" i="19"/>
  <c r="U49" i="19"/>
  <c r="U48" i="19"/>
  <c r="U47" i="19"/>
  <c r="U46" i="19"/>
  <c r="U45" i="19"/>
  <c r="U44" i="19"/>
  <c r="U43" i="19"/>
  <c r="U42" i="19"/>
  <c r="U41" i="19"/>
  <c r="U40" i="19"/>
  <c r="U39" i="19"/>
  <c r="U38" i="19"/>
  <c r="U37" i="19"/>
  <c r="U36" i="19"/>
  <c r="U35" i="19"/>
  <c r="U34" i="19"/>
  <c r="U33" i="19"/>
  <c r="U32" i="19"/>
  <c r="U31" i="19"/>
  <c r="U30" i="19"/>
  <c r="U29" i="19"/>
  <c r="U28" i="19"/>
  <c r="U27" i="19"/>
  <c r="U26" i="19"/>
  <c r="U25" i="19"/>
  <c r="U24" i="19"/>
  <c r="U23" i="19"/>
  <c r="U22" i="19"/>
  <c r="U21" i="19"/>
  <c r="U20" i="19"/>
  <c r="U19" i="19"/>
  <c r="U18" i="19"/>
  <c r="U17" i="19"/>
  <c r="U16" i="19"/>
  <c r="U15" i="19"/>
  <c r="U14" i="19"/>
  <c r="U13" i="19"/>
  <c r="U12" i="19"/>
  <c r="U11" i="19"/>
  <c r="U10" i="19"/>
  <c r="U9" i="19"/>
  <c r="U8" i="19"/>
  <c r="U7" i="19"/>
  <c r="U6" i="19"/>
  <c r="U1263" i="19"/>
  <c r="U1262" i="19"/>
  <c r="U1261" i="19"/>
  <c r="U1260" i="19"/>
  <c r="U1259" i="19"/>
  <c r="U1258" i="19"/>
  <c r="U1257" i="19"/>
  <c r="U1256" i="19"/>
  <c r="U1255" i="19"/>
  <c r="U1254" i="19"/>
  <c r="U1253" i="19"/>
  <c r="U1252" i="19"/>
  <c r="U1251" i="19"/>
  <c r="U1250" i="19"/>
  <c r="U1249" i="19"/>
  <c r="U1248" i="19"/>
  <c r="U1247" i="19"/>
  <c r="U1246" i="19"/>
  <c r="U1245" i="19"/>
  <c r="U1244" i="19"/>
  <c r="U1243" i="19"/>
  <c r="U1242" i="19"/>
  <c r="U1241" i="19"/>
  <c r="U1240" i="19"/>
  <c r="U1239" i="19"/>
  <c r="U1238" i="19"/>
  <c r="U1237" i="19"/>
  <c r="U1236" i="19"/>
  <c r="U1235" i="19"/>
  <c r="U1234" i="19"/>
  <c r="U1233" i="19"/>
  <c r="U1232" i="19"/>
  <c r="U1231" i="19"/>
  <c r="U1230" i="19"/>
  <c r="U1229" i="19"/>
  <c r="U1228" i="19"/>
  <c r="U1227" i="19"/>
  <c r="U1226" i="19"/>
  <c r="U1225" i="19"/>
  <c r="U1224" i="19"/>
  <c r="U1223" i="19"/>
  <c r="U1222" i="19"/>
  <c r="U1221" i="19"/>
  <c r="U1220" i="19"/>
  <c r="U1219" i="19"/>
  <c r="U1218" i="19"/>
  <c r="U1217" i="19"/>
  <c r="U1216" i="19"/>
  <c r="U1215" i="19"/>
  <c r="U1214" i="19"/>
  <c r="U1213" i="19"/>
  <c r="U1212" i="19"/>
  <c r="U1211" i="19"/>
  <c r="U1210" i="19"/>
  <c r="U1209" i="19"/>
  <c r="U1208" i="19"/>
  <c r="U1207" i="19"/>
  <c r="U1206" i="19"/>
  <c r="U1205" i="19"/>
  <c r="U1204" i="19"/>
  <c r="U1203" i="19"/>
  <c r="U1202" i="19"/>
  <c r="U1201" i="19"/>
  <c r="U1200" i="19"/>
  <c r="U1199" i="19"/>
  <c r="U1198" i="19"/>
  <c r="U1197" i="19"/>
  <c r="U1196" i="19"/>
  <c r="U1195" i="19"/>
  <c r="U1194" i="19"/>
  <c r="U1193" i="19"/>
  <c r="U1192" i="19"/>
  <c r="U1191" i="19"/>
  <c r="U1190" i="19"/>
  <c r="U1189" i="19"/>
  <c r="U1188" i="19"/>
  <c r="U1187" i="19"/>
  <c r="U1186" i="19"/>
  <c r="U1185" i="19"/>
  <c r="U1184" i="19"/>
  <c r="U1183" i="19"/>
  <c r="U1182" i="19"/>
  <c r="U1181" i="19"/>
  <c r="U1180" i="19"/>
  <c r="U1179" i="19"/>
  <c r="U1178" i="19"/>
  <c r="U1177" i="19"/>
  <c r="U1176" i="19"/>
  <c r="U1175" i="19"/>
  <c r="U1174" i="19"/>
  <c r="U1173" i="19"/>
  <c r="U1172" i="19"/>
  <c r="U1171" i="19"/>
  <c r="U1170" i="19"/>
  <c r="U1169" i="19"/>
  <c r="U1168" i="19"/>
  <c r="U1167" i="19"/>
  <c r="U1166" i="19"/>
  <c r="U1165" i="19"/>
  <c r="U1164" i="19"/>
  <c r="U1163" i="19"/>
  <c r="U1162" i="19"/>
  <c r="U1161" i="19"/>
  <c r="U1160" i="19"/>
  <c r="U1159" i="19"/>
  <c r="U1158" i="19"/>
  <c r="U1157" i="19"/>
  <c r="U1156" i="19"/>
  <c r="U1155" i="19"/>
  <c r="U1154" i="19"/>
  <c r="U1153" i="19"/>
  <c r="U1152" i="19"/>
  <c r="U1151" i="19"/>
  <c r="U1150" i="19"/>
  <c r="U1149" i="19"/>
  <c r="U1148" i="19"/>
  <c r="U1147" i="19"/>
  <c r="U1146" i="19"/>
  <c r="U1145" i="19"/>
  <c r="U1144" i="19"/>
  <c r="U1143" i="19"/>
  <c r="U1142" i="19"/>
  <c r="U1141" i="19"/>
  <c r="U1140" i="19"/>
  <c r="U1139" i="19"/>
  <c r="U1138" i="19"/>
  <c r="U1137" i="19"/>
  <c r="U1136" i="19"/>
  <c r="U1135" i="19"/>
  <c r="U1134" i="19"/>
  <c r="U1133" i="19"/>
  <c r="U1132" i="19"/>
  <c r="U1131" i="19"/>
  <c r="U1130" i="19"/>
  <c r="U1129" i="19"/>
  <c r="U1128" i="19"/>
  <c r="U1127" i="19"/>
  <c r="U1126" i="19"/>
  <c r="U1125" i="19"/>
  <c r="U1124" i="19"/>
  <c r="U1123" i="19"/>
  <c r="U1122" i="19"/>
  <c r="U1121" i="19"/>
  <c r="U1120" i="19"/>
  <c r="U1119" i="19"/>
  <c r="U1118" i="19"/>
  <c r="U1117" i="19"/>
  <c r="U1116" i="19"/>
  <c r="U1115" i="19"/>
  <c r="U1114" i="19"/>
  <c r="U1113" i="19"/>
  <c r="U1112" i="19"/>
  <c r="U1111" i="19"/>
  <c r="U1110" i="19"/>
  <c r="U1109" i="19"/>
  <c r="U1108" i="19"/>
  <c r="U1107" i="19"/>
  <c r="U1106" i="19"/>
  <c r="U1105" i="19"/>
  <c r="U1104" i="19"/>
  <c r="U1103" i="19"/>
  <c r="U1102" i="19"/>
  <c r="U1101" i="19"/>
  <c r="U1100" i="19"/>
  <c r="U1099" i="19"/>
  <c r="U1098" i="19"/>
  <c r="U1097" i="19"/>
  <c r="U1096" i="19"/>
  <c r="U1095" i="19"/>
  <c r="U1094" i="19"/>
  <c r="U1093" i="19"/>
  <c r="U1092" i="19"/>
  <c r="U1091" i="19"/>
  <c r="U1090" i="19"/>
  <c r="U1089" i="19"/>
  <c r="U1088" i="19"/>
  <c r="U1087" i="19"/>
  <c r="U1086" i="19"/>
  <c r="U1085" i="19"/>
  <c r="U1084" i="19"/>
  <c r="U1083" i="19"/>
  <c r="U1082" i="19"/>
  <c r="U1081" i="19"/>
  <c r="U1080" i="19"/>
  <c r="U1079" i="19"/>
  <c r="U1078" i="19"/>
  <c r="U1077" i="19"/>
  <c r="U1076" i="19"/>
  <c r="U1075" i="19"/>
  <c r="U1074" i="19"/>
  <c r="U1073" i="19"/>
  <c r="U1072" i="19"/>
  <c r="U1071" i="19"/>
  <c r="U1070" i="19"/>
  <c r="U1069" i="19"/>
  <c r="U1068" i="19"/>
  <c r="U1067" i="19"/>
  <c r="U1066" i="19"/>
  <c r="U1065" i="19"/>
  <c r="U1064" i="19"/>
  <c r="U1063" i="19"/>
  <c r="U1062" i="19"/>
  <c r="U1061" i="19"/>
  <c r="U1060" i="19"/>
  <c r="U1059" i="19"/>
  <c r="U1058" i="19"/>
  <c r="U1057" i="19"/>
  <c r="U1056" i="19"/>
  <c r="U1055" i="19"/>
  <c r="U1054" i="19"/>
  <c r="U825" i="19"/>
  <c r="U824" i="19"/>
  <c r="U823" i="19"/>
  <c r="U822" i="19"/>
  <c r="U820" i="19"/>
  <c r="U818" i="19"/>
  <c r="U816" i="19"/>
  <c r="U814" i="19"/>
  <c r="U813" i="19"/>
  <c r="U812" i="19"/>
  <c r="U809" i="19"/>
  <c r="U808" i="19"/>
  <c r="U807" i="19"/>
  <c r="U804" i="19"/>
  <c r="U803" i="19"/>
  <c r="U802" i="19"/>
  <c r="U800" i="19"/>
  <c r="U797" i="19"/>
  <c r="U795" i="19"/>
  <c r="U794" i="19"/>
  <c r="U793" i="19"/>
  <c r="U791" i="19"/>
  <c r="U790" i="19"/>
  <c r="U788" i="19"/>
  <c r="U785" i="19"/>
  <c r="U784" i="19"/>
  <c r="U781" i="19"/>
  <c r="U779" i="19"/>
  <c r="U776" i="19"/>
  <c r="U774" i="19"/>
  <c r="U773" i="19"/>
  <c r="U771" i="19"/>
  <c r="U769" i="19"/>
  <c r="U768" i="19"/>
  <c r="U767" i="19"/>
  <c r="U764" i="19"/>
  <c r="U762" i="19"/>
  <c r="U760" i="19"/>
  <c r="U756" i="19"/>
  <c r="U754" i="19"/>
  <c r="U751" i="19"/>
  <c r="U749" i="19"/>
  <c r="U748" i="19"/>
  <c r="U746" i="19"/>
  <c r="U743" i="19"/>
  <c r="U741" i="19"/>
  <c r="U739" i="19"/>
  <c r="U738" i="19"/>
  <c r="U736" i="19"/>
  <c r="U733" i="19"/>
  <c r="U731" i="19"/>
  <c r="U730" i="19"/>
  <c r="U729" i="19"/>
  <c r="U728" i="19"/>
  <c r="U726" i="19"/>
  <c r="U725" i="19"/>
  <c r="U724" i="19"/>
  <c r="U723" i="19"/>
  <c r="U722" i="19"/>
  <c r="U721" i="19"/>
  <c r="U717" i="19"/>
  <c r="U715" i="19"/>
  <c r="U712" i="19"/>
  <c r="U710" i="19"/>
  <c r="U709" i="19"/>
  <c r="U707" i="19"/>
  <c r="U706" i="19"/>
  <c r="U702" i="19"/>
  <c r="U700" i="19"/>
  <c r="U698" i="19"/>
  <c r="U696" i="19"/>
  <c r="U695" i="19"/>
  <c r="U693" i="19"/>
  <c r="U692" i="19"/>
  <c r="U691" i="19"/>
  <c r="U689" i="19"/>
  <c r="U687" i="19"/>
  <c r="U685" i="19"/>
  <c r="U683" i="19"/>
  <c r="U682" i="19"/>
  <c r="U681" i="19"/>
  <c r="U680" i="19"/>
  <c r="U679" i="19"/>
  <c r="U678" i="19"/>
  <c r="U672" i="19"/>
  <c r="U670" i="19"/>
  <c r="U669" i="19"/>
  <c r="U666" i="19"/>
  <c r="U662" i="19"/>
  <c r="U660" i="19"/>
  <c r="U658" i="19"/>
  <c r="U655" i="19"/>
  <c r="U654" i="19"/>
  <c r="U653" i="19"/>
  <c r="U652" i="19"/>
  <c r="U650" i="19"/>
  <c r="U649" i="19"/>
  <c r="U648" i="19"/>
  <c r="U646" i="19"/>
  <c r="U644" i="19"/>
  <c r="U643" i="19"/>
  <c r="U642" i="19"/>
  <c r="U640" i="19"/>
  <c r="U636" i="19"/>
  <c r="U635" i="19"/>
  <c r="U634" i="19"/>
  <c r="U632" i="19"/>
  <c r="U630" i="19"/>
  <c r="U629" i="19"/>
  <c r="U625" i="19"/>
  <c r="U623" i="19"/>
  <c r="U622" i="19"/>
  <c r="U617" i="19"/>
  <c r="U614" i="19"/>
  <c r="U613" i="19"/>
  <c r="U612" i="19"/>
  <c r="U609" i="19"/>
  <c r="U608" i="19"/>
  <c r="U604" i="19"/>
  <c r="U603" i="19"/>
  <c r="U602" i="19"/>
  <c r="U601" i="19"/>
  <c r="U600" i="19"/>
  <c r="U599" i="19"/>
  <c r="U598" i="19"/>
  <c r="U596" i="19"/>
  <c r="U595" i="19"/>
  <c r="U594" i="19"/>
  <c r="U591" i="19"/>
  <c r="U589" i="19"/>
  <c r="U586" i="19"/>
  <c r="U585" i="19"/>
  <c r="U584" i="19"/>
  <c r="U582" i="19"/>
  <c r="U581" i="19"/>
  <c r="U580" i="19"/>
  <c r="U579" i="19"/>
  <c r="U578" i="19"/>
  <c r="U573" i="19"/>
  <c r="U572" i="19"/>
  <c r="U571" i="19"/>
  <c r="U569" i="19"/>
  <c r="U567" i="19"/>
  <c r="U566" i="19"/>
  <c r="U565" i="19"/>
  <c r="U563" i="19"/>
  <c r="U561" i="19"/>
  <c r="U560" i="19"/>
  <c r="U558" i="19"/>
  <c r="U557" i="19"/>
  <c r="U555" i="19"/>
  <c r="U552" i="19"/>
  <c r="U551" i="19"/>
  <c r="U549" i="19"/>
  <c r="U547" i="19"/>
  <c r="U545" i="19"/>
  <c r="U542" i="19"/>
  <c r="U540" i="19"/>
  <c r="U539" i="19"/>
  <c r="U537" i="19"/>
  <c r="U536" i="19"/>
  <c r="U531" i="19"/>
  <c r="U530" i="19"/>
  <c r="U528" i="19"/>
  <c r="U526" i="19"/>
  <c r="U525" i="19"/>
  <c r="U522" i="19"/>
  <c r="U521" i="19"/>
  <c r="U520" i="19"/>
  <c r="U519" i="19"/>
  <c r="U518" i="19"/>
  <c r="U516" i="19"/>
  <c r="U514" i="19"/>
  <c r="U512" i="19"/>
  <c r="U511" i="19"/>
  <c r="U510" i="19"/>
  <c r="U507" i="19"/>
  <c r="U506" i="19"/>
  <c r="U505" i="19"/>
  <c r="U504" i="19"/>
  <c r="U499" i="19"/>
  <c r="U498" i="19"/>
  <c r="U493" i="19"/>
  <c r="U490" i="19"/>
  <c r="U488" i="19"/>
  <c r="U485" i="19"/>
  <c r="U483" i="19"/>
  <c r="U481" i="19"/>
  <c r="U479" i="19"/>
  <c r="U478" i="19"/>
  <c r="U477" i="19"/>
  <c r="U474" i="19"/>
  <c r="U473" i="19"/>
  <c r="U472" i="19"/>
  <c r="U470" i="19"/>
  <c r="U468" i="19"/>
  <c r="U467" i="19"/>
  <c r="U465" i="19"/>
  <c r="U462" i="19"/>
  <c r="U460" i="19"/>
  <c r="U458" i="19"/>
  <c r="U457" i="19"/>
  <c r="U456" i="19"/>
  <c r="U455" i="19"/>
  <c r="U453" i="19"/>
  <c r="U451" i="19"/>
  <c r="U449" i="19"/>
  <c r="U445" i="19"/>
  <c r="U443" i="19"/>
  <c r="U439" i="19"/>
  <c r="U437" i="19"/>
  <c r="U436" i="19"/>
  <c r="U434" i="19"/>
  <c r="U432" i="19"/>
  <c r="U429" i="19"/>
  <c r="U426" i="19"/>
  <c r="U424" i="19"/>
  <c r="U1053" i="19"/>
  <c r="U1052" i="19"/>
  <c r="U1051" i="19"/>
  <c r="U1050" i="19"/>
  <c r="U1049" i="19"/>
  <c r="U1048" i="19"/>
  <c r="U1047" i="19"/>
  <c r="U1046" i="19"/>
  <c r="U1045" i="19"/>
  <c r="U1044" i="19"/>
  <c r="U1043" i="19"/>
  <c r="U1042" i="19"/>
  <c r="U1041" i="19"/>
  <c r="U1040" i="19"/>
  <c r="U1039" i="19"/>
  <c r="U1038" i="19"/>
  <c r="U1037" i="19"/>
  <c r="U1036" i="19"/>
  <c r="U1035" i="19"/>
  <c r="U1034" i="19"/>
  <c r="U1033" i="19"/>
  <c r="U1032" i="19"/>
  <c r="U1031" i="19"/>
  <c r="U1030" i="19"/>
  <c r="U1029" i="19"/>
  <c r="U1028" i="19"/>
  <c r="U1027" i="19"/>
  <c r="U1026" i="19"/>
  <c r="U1025" i="19"/>
  <c r="U1024" i="19"/>
  <c r="U1023" i="19"/>
  <c r="U1022" i="19"/>
  <c r="U1021" i="19"/>
  <c r="U1020" i="19"/>
  <c r="U1019" i="19"/>
  <c r="U1018" i="19"/>
  <c r="U1017" i="19"/>
  <c r="U1016" i="19"/>
  <c r="U1015" i="19"/>
  <c r="U1014" i="19"/>
  <c r="U1013" i="19"/>
  <c r="U1012" i="19"/>
  <c r="U1011" i="19"/>
  <c r="U1010" i="19"/>
  <c r="U1009" i="19"/>
  <c r="U1008" i="19"/>
  <c r="U1007" i="19"/>
  <c r="U1006" i="19"/>
  <c r="U1005" i="19"/>
  <c r="U1004" i="19"/>
  <c r="U1003" i="19"/>
  <c r="U1002" i="19"/>
  <c r="U1001" i="19"/>
  <c r="U1000" i="19"/>
  <c r="U999" i="19"/>
  <c r="U998" i="19"/>
  <c r="U997" i="19"/>
  <c r="U996" i="19"/>
  <c r="U995" i="19"/>
  <c r="U994" i="19"/>
  <c r="U993" i="19"/>
  <c r="U992" i="19"/>
  <c r="U991" i="19"/>
  <c r="U990" i="19"/>
  <c r="U989" i="19"/>
  <c r="U988" i="19"/>
  <c r="U987" i="19"/>
  <c r="U986" i="19"/>
  <c r="U985" i="19"/>
  <c r="U984" i="19"/>
  <c r="U983" i="19"/>
  <c r="U982" i="19"/>
  <c r="U981" i="19"/>
  <c r="U980" i="19"/>
  <c r="U979" i="19"/>
  <c r="U978" i="19"/>
  <c r="U977" i="19"/>
  <c r="U976" i="19"/>
  <c r="U975" i="19"/>
  <c r="U974" i="19"/>
  <c r="U973" i="19"/>
  <c r="U972" i="19"/>
  <c r="U971" i="19"/>
  <c r="U970" i="19"/>
  <c r="U969" i="19"/>
  <c r="U968" i="19"/>
  <c r="U967" i="19"/>
  <c r="U966" i="19"/>
  <c r="U965" i="19"/>
  <c r="U964" i="19"/>
  <c r="U963" i="19"/>
  <c r="U962" i="19"/>
  <c r="U961" i="19"/>
  <c r="U960" i="19"/>
  <c r="U959" i="19"/>
  <c r="U958" i="19"/>
  <c r="U957" i="19"/>
  <c r="U956" i="19"/>
  <c r="U955" i="19"/>
  <c r="U954" i="19"/>
  <c r="U953" i="19"/>
  <c r="U952" i="19"/>
  <c r="U951" i="19"/>
  <c r="U950" i="19"/>
  <c r="U949" i="19"/>
  <c r="U948" i="19"/>
  <c r="U947" i="19"/>
  <c r="U946" i="19"/>
  <c r="U945" i="19"/>
  <c r="U944" i="19"/>
  <c r="U943" i="19"/>
  <c r="U942" i="19"/>
  <c r="U941" i="19"/>
  <c r="U940" i="19"/>
  <c r="U939" i="19"/>
  <c r="U938" i="19"/>
  <c r="U937" i="19"/>
  <c r="U936" i="19"/>
  <c r="U935" i="19"/>
  <c r="U934" i="19"/>
  <c r="U933" i="19"/>
  <c r="U932" i="19"/>
  <c r="U931" i="19"/>
  <c r="U930" i="19"/>
  <c r="U929" i="19"/>
  <c r="U928" i="19"/>
  <c r="U927" i="19"/>
  <c r="U926" i="19"/>
  <c r="U925" i="19"/>
  <c r="U924" i="19"/>
  <c r="U923" i="19"/>
  <c r="U922" i="19"/>
  <c r="U921" i="19"/>
  <c r="U920" i="19"/>
  <c r="U919" i="19"/>
  <c r="U918" i="19"/>
  <c r="U917" i="19"/>
  <c r="U916" i="19"/>
  <c r="U915" i="19"/>
  <c r="U914" i="19"/>
  <c r="U913" i="19"/>
  <c r="U912" i="19"/>
  <c r="U911" i="19"/>
  <c r="U910" i="19"/>
  <c r="U909" i="19"/>
  <c r="U908" i="19"/>
  <c r="U907" i="19"/>
  <c r="U906" i="19"/>
  <c r="U905" i="19"/>
  <c r="U904" i="19"/>
  <c r="U903" i="19"/>
  <c r="U902" i="19"/>
  <c r="U901" i="19"/>
  <c r="U900" i="19"/>
  <c r="U899" i="19"/>
  <c r="U898" i="19"/>
  <c r="U897" i="19"/>
  <c r="U896" i="19"/>
  <c r="U895" i="19"/>
  <c r="U894" i="19"/>
  <c r="U893" i="19"/>
  <c r="U892" i="19"/>
  <c r="U891" i="19"/>
  <c r="U890" i="19"/>
  <c r="U889" i="19"/>
  <c r="U888" i="19"/>
  <c r="U887" i="19"/>
  <c r="U886" i="19"/>
  <c r="U885" i="19"/>
  <c r="U884" i="19"/>
  <c r="U883" i="19"/>
  <c r="U882" i="19"/>
  <c r="U881" i="19"/>
  <c r="U880" i="19"/>
  <c r="U879" i="19"/>
  <c r="U878" i="19"/>
  <c r="U877" i="19"/>
  <c r="U876" i="19"/>
  <c r="U875" i="19"/>
  <c r="U874" i="19"/>
  <c r="U873" i="19"/>
  <c r="U872" i="19"/>
  <c r="U871" i="19"/>
  <c r="U870" i="19"/>
  <c r="U869" i="19"/>
  <c r="U868" i="19"/>
  <c r="U867" i="19"/>
  <c r="U866" i="19"/>
  <c r="U865" i="19"/>
  <c r="U864" i="19"/>
  <c r="U863" i="19"/>
  <c r="U862" i="19"/>
  <c r="U861" i="19"/>
  <c r="U860" i="19"/>
  <c r="U859" i="19"/>
  <c r="U858" i="19"/>
  <c r="U857" i="19"/>
  <c r="U856" i="19"/>
  <c r="U855" i="19"/>
  <c r="U854" i="19"/>
  <c r="U853" i="19"/>
  <c r="U852" i="19"/>
  <c r="U851" i="19"/>
  <c r="U850" i="19"/>
  <c r="U849" i="19"/>
  <c r="U848" i="19"/>
  <c r="U847" i="19"/>
  <c r="U846" i="19"/>
  <c r="U845" i="19"/>
  <c r="U844" i="19"/>
  <c r="U843" i="19"/>
  <c r="U842" i="19"/>
  <c r="U841" i="19"/>
  <c r="U840" i="19"/>
  <c r="U839" i="19"/>
  <c r="U838" i="19"/>
  <c r="U837" i="19"/>
  <c r="U836" i="19"/>
  <c r="U835" i="19"/>
  <c r="U834" i="19"/>
  <c r="U833" i="19"/>
  <c r="U832" i="19"/>
  <c r="U831" i="19"/>
  <c r="U830" i="19"/>
  <c r="U829" i="19"/>
  <c r="U828" i="19"/>
  <c r="U827" i="19"/>
  <c r="U826" i="19"/>
  <c r="U821" i="19"/>
  <c r="U819" i="19"/>
  <c r="U817" i="19"/>
  <c r="U815" i="19"/>
  <c r="U811" i="19"/>
  <c r="U810" i="19"/>
  <c r="U806" i="19"/>
  <c r="U805" i="19"/>
  <c r="U801" i="19"/>
  <c r="U799" i="19"/>
  <c r="U798" i="19"/>
  <c r="U796" i="19"/>
  <c r="U792" i="19"/>
  <c r="U789" i="19"/>
  <c r="U787" i="19"/>
  <c r="U786" i="19"/>
  <c r="U783" i="19"/>
  <c r="U782" i="19"/>
  <c r="U780" i="19"/>
  <c r="U778" i="19"/>
  <c r="U777" i="19"/>
  <c r="U775" i="19"/>
  <c r="U772" i="19"/>
  <c r="U770" i="19"/>
  <c r="U766" i="19"/>
  <c r="U765" i="19"/>
  <c r="U763" i="19"/>
  <c r="U761" i="19"/>
  <c r="U759" i="19"/>
  <c r="U758" i="19"/>
  <c r="U757" i="19"/>
  <c r="U755" i="19"/>
  <c r="U753" i="19"/>
  <c r="U752" i="19"/>
  <c r="U750" i="19"/>
  <c r="U747" i="19"/>
  <c r="U745" i="19"/>
  <c r="U744" i="19"/>
  <c r="U742" i="19"/>
  <c r="U740" i="19"/>
  <c r="U737" i="19"/>
  <c r="U735" i="19"/>
  <c r="U734" i="19"/>
  <c r="U732" i="19"/>
  <c r="U727" i="19"/>
  <c r="U720" i="19"/>
  <c r="U719" i="19"/>
  <c r="U718" i="19"/>
  <c r="U716" i="19"/>
  <c r="U714" i="19"/>
  <c r="U713" i="19"/>
  <c r="U711" i="19"/>
  <c r="U708" i="19"/>
  <c r="U705" i="19"/>
  <c r="U704" i="19"/>
  <c r="U703" i="19"/>
  <c r="U701" i="19"/>
  <c r="U699" i="19"/>
  <c r="U697" i="19"/>
  <c r="U694" i="19"/>
  <c r="U690" i="19"/>
  <c r="U688" i="19"/>
  <c r="U686" i="19"/>
  <c r="U684" i="19"/>
  <c r="U677" i="19"/>
  <c r="U676" i="19"/>
  <c r="U675" i="19"/>
  <c r="U674" i="19"/>
  <c r="U673" i="19"/>
  <c r="U671" i="19"/>
  <c r="U668" i="19"/>
  <c r="U667" i="19"/>
  <c r="U665" i="19"/>
  <c r="U664" i="19"/>
  <c r="U663" i="19"/>
  <c r="U661" i="19"/>
  <c r="U659" i="19"/>
  <c r="U657" i="19"/>
  <c r="U656" i="19"/>
  <c r="U651" i="19"/>
  <c r="U647" i="19"/>
  <c r="U645" i="19"/>
  <c r="U641" i="19"/>
  <c r="U639" i="19"/>
  <c r="U638" i="19"/>
  <c r="U637" i="19"/>
  <c r="U633" i="19"/>
  <c r="U631" i="19"/>
  <c r="U628" i="19"/>
  <c r="U627" i="19"/>
  <c r="U626" i="19"/>
  <c r="U624" i="19"/>
  <c r="U621" i="19"/>
  <c r="U620" i="19"/>
  <c r="U619" i="19"/>
  <c r="U618" i="19"/>
  <c r="U616" i="19"/>
  <c r="U615" i="19"/>
  <c r="U611" i="19"/>
  <c r="U610" i="19"/>
  <c r="U607" i="19"/>
  <c r="U606" i="19"/>
  <c r="U605" i="19"/>
  <c r="U597" i="19"/>
  <c r="U593" i="19"/>
  <c r="U592" i="19"/>
  <c r="U590" i="19"/>
  <c r="U588" i="19"/>
  <c r="U587" i="19"/>
  <c r="U583" i="19"/>
  <c r="U577" i="19"/>
  <c r="U576" i="19"/>
  <c r="U575" i="19"/>
  <c r="U574" i="19"/>
  <c r="U570" i="19"/>
  <c r="U568" i="19"/>
  <c r="U564" i="19"/>
  <c r="U562" i="19"/>
  <c r="U559" i="19"/>
  <c r="U556" i="19"/>
  <c r="U554" i="19"/>
  <c r="U553" i="19"/>
  <c r="U550" i="19"/>
  <c r="U548" i="19"/>
  <c r="U546" i="19"/>
  <c r="U544" i="19"/>
  <c r="U543" i="19"/>
  <c r="U541" i="19"/>
  <c r="U538" i="19"/>
  <c r="U535" i="19"/>
  <c r="U534" i="19"/>
  <c r="U533" i="19"/>
  <c r="U532" i="19"/>
  <c r="U529" i="19"/>
  <c r="U527" i="19"/>
  <c r="U524" i="19"/>
  <c r="U523" i="19"/>
  <c r="U517" i="19"/>
  <c r="U515" i="19"/>
  <c r="U513" i="19"/>
  <c r="U509" i="19"/>
  <c r="U508" i="19"/>
  <c r="U503" i="19"/>
  <c r="U502" i="19"/>
  <c r="U501" i="19"/>
  <c r="U500" i="19"/>
  <c r="U497" i="19"/>
  <c r="U496" i="19"/>
  <c r="U495" i="19"/>
  <c r="U494" i="19"/>
  <c r="U492" i="19"/>
  <c r="U491" i="19"/>
  <c r="U489" i="19"/>
  <c r="U487" i="19"/>
  <c r="U486" i="19"/>
  <c r="U484" i="19"/>
  <c r="U482" i="19"/>
  <c r="U480" i="19"/>
  <c r="U476" i="19"/>
  <c r="U475" i="19"/>
  <c r="U471" i="19"/>
  <c r="U469" i="19"/>
  <c r="U466" i="19"/>
  <c r="U464" i="19"/>
  <c r="U463" i="19"/>
  <c r="U461" i="19"/>
  <c r="U459" i="19"/>
  <c r="U454" i="19"/>
  <c r="U452" i="19"/>
  <c r="U450" i="19"/>
  <c r="U448" i="19"/>
  <c r="U447" i="19"/>
  <c r="U446" i="19"/>
  <c r="U444" i="19"/>
  <c r="U442" i="19"/>
  <c r="U441" i="19"/>
  <c r="U440" i="19"/>
  <c r="U438" i="19"/>
  <c r="U435" i="19"/>
  <c r="U433" i="19"/>
  <c r="U431" i="19"/>
  <c r="U430" i="19"/>
  <c r="U428" i="19"/>
  <c r="U427" i="19"/>
  <c r="U425" i="19"/>
  <c r="U2482" i="19"/>
  <c r="U2479" i="19"/>
  <c r="U423" i="19"/>
  <c r="U422" i="19"/>
  <c r="U421" i="19"/>
  <c r="U420" i="19"/>
  <c r="U419" i="19"/>
  <c r="U418" i="19"/>
  <c r="U417" i="19"/>
  <c r="U416" i="19"/>
  <c r="U415" i="19"/>
  <c r="U414" i="19"/>
  <c r="U413" i="19"/>
  <c r="U412" i="19"/>
  <c r="U411" i="19"/>
  <c r="U410" i="19"/>
  <c r="U409" i="19"/>
  <c r="U408" i="19"/>
  <c r="U407" i="19"/>
  <c r="U406" i="19"/>
  <c r="U405" i="19"/>
  <c r="U404" i="19"/>
  <c r="U403" i="19"/>
  <c r="U402" i="19"/>
  <c r="U401" i="19"/>
  <c r="U400" i="19"/>
  <c r="U399" i="19"/>
  <c r="U398" i="19"/>
  <c r="U397" i="19"/>
  <c r="U396" i="19"/>
  <c r="U395" i="19"/>
  <c r="U394" i="19"/>
  <c r="U393" i="19"/>
  <c r="U392" i="19"/>
  <c r="U391" i="19"/>
  <c r="U390" i="19"/>
  <c r="U389" i="19"/>
  <c r="U388" i="19"/>
  <c r="U387" i="19"/>
  <c r="U386" i="19"/>
  <c r="U385" i="19"/>
  <c r="U384" i="19"/>
  <c r="U383" i="19"/>
  <c r="U382" i="19"/>
  <c r="U381" i="19"/>
  <c r="U380" i="19"/>
  <c r="U379" i="19"/>
  <c r="U378" i="19"/>
  <c r="U377" i="19"/>
  <c r="U376" i="19"/>
  <c r="U375" i="19"/>
  <c r="U374" i="19"/>
  <c r="U373" i="19"/>
  <c r="U372" i="19"/>
  <c r="U371" i="19"/>
  <c r="U370" i="19"/>
  <c r="U369" i="19"/>
  <c r="U368" i="19"/>
  <c r="U367" i="19"/>
  <c r="U366" i="19"/>
  <c r="U365" i="19"/>
  <c r="U364" i="19"/>
  <c r="U363" i="19"/>
  <c r="U362" i="19"/>
  <c r="U361" i="19"/>
  <c r="U360" i="19"/>
  <c r="U359" i="19"/>
  <c r="U358" i="19"/>
  <c r="U357" i="19"/>
  <c r="U356" i="19"/>
  <c r="U355" i="19"/>
  <c r="U354" i="19"/>
  <c r="U353" i="19"/>
  <c r="U352" i="19"/>
  <c r="U351" i="19"/>
  <c r="U350" i="19"/>
  <c r="U349" i="19"/>
  <c r="U348" i="19"/>
  <c r="U347" i="19"/>
  <c r="U346" i="19"/>
  <c r="U345" i="19"/>
  <c r="U344" i="19"/>
  <c r="U343" i="19"/>
  <c r="U342" i="19"/>
  <c r="U341" i="19"/>
  <c r="U340" i="19"/>
  <c r="U339" i="19"/>
  <c r="U338" i="19"/>
  <c r="U337" i="19"/>
  <c r="U336" i="19"/>
  <c r="U335" i="19"/>
  <c r="U334" i="19"/>
  <c r="U333" i="19"/>
  <c r="U332" i="19"/>
  <c r="U331" i="19"/>
  <c r="U330" i="19"/>
  <c r="U329" i="19"/>
  <c r="U328" i="19"/>
  <c r="U327" i="19"/>
  <c r="U326" i="19"/>
  <c r="U325" i="19"/>
  <c r="U324" i="19"/>
  <c r="U323" i="19"/>
  <c r="U322" i="19"/>
  <c r="U321" i="19"/>
  <c r="U320" i="19"/>
  <c r="U319" i="19"/>
  <c r="U318" i="19"/>
  <c r="U317" i="19"/>
  <c r="U316" i="19"/>
  <c r="U315" i="19"/>
  <c r="U314" i="19"/>
  <c r="U313" i="19"/>
  <c r="U312" i="19"/>
  <c r="U311" i="19"/>
  <c r="U310" i="19"/>
  <c r="U309" i="19"/>
  <c r="U308" i="19"/>
  <c r="U307" i="19"/>
  <c r="U306" i="19"/>
  <c r="U305" i="19"/>
  <c r="U304" i="19"/>
  <c r="U303" i="19"/>
  <c r="U302" i="19"/>
  <c r="U301" i="19"/>
  <c r="U300" i="19"/>
  <c r="U299" i="19"/>
  <c r="U298" i="19"/>
  <c r="U297" i="19"/>
  <c r="U296" i="19"/>
  <c r="U295" i="19"/>
  <c r="U294" i="19"/>
  <c r="U293" i="19"/>
  <c r="U292" i="19"/>
  <c r="U291" i="19"/>
  <c r="U290" i="19"/>
  <c r="U289" i="19"/>
  <c r="U288" i="19"/>
  <c r="U287" i="19"/>
  <c r="U286" i="19"/>
  <c r="U285" i="19"/>
  <c r="U284" i="19"/>
  <c r="U283" i="19"/>
  <c r="U282" i="19"/>
  <c r="U281" i="19"/>
  <c r="U280" i="19"/>
  <c r="U279" i="19"/>
  <c r="U278" i="19"/>
  <c r="U277" i="19"/>
  <c r="U276" i="19"/>
  <c r="U275" i="19"/>
  <c r="U274" i="19"/>
  <c r="U273" i="19"/>
  <c r="U272" i="19"/>
  <c r="U271" i="19"/>
  <c r="U270" i="19"/>
  <c r="U269" i="19"/>
  <c r="U268" i="19"/>
  <c r="U267" i="19"/>
  <c r="U266" i="19"/>
  <c r="U265" i="19"/>
  <c r="U264" i="19"/>
  <c r="U263" i="19"/>
  <c r="U262" i="19"/>
  <c r="U261" i="19"/>
  <c r="U260" i="19"/>
  <c r="U259" i="19"/>
  <c r="U258" i="19"/>
  <c r="U257" i="19"/>
  <c r="U256" i="19"/>
  <c r="U255" i="19"/>
  <c r="U254" i="19"/>
  <c r="U253" i="19"/>
  <c r="U252" i="19"/>
  <c r="U251" i="19"/>
  <c r="U250" i="19"/>
  <c r="U249" i="19"/>
  <c r="U248" i="19"/>
  <c r="U247" i="19"/>
  <c r="U246" i="19"/>
  <c r="U245" i="19"/>
  <c r="U244" i="19"/>
  <c r="U243" i="19"/>
  <c r="U242" i="19"/>
  <c r="U241" i="19"/>
  <c r="U240" i="19"/>
  <c r="U239" i="19"/>
  <c r="U238" i="19"/>
  <c r="U237" i="19"/>
  <c r="U236" i="19"/>
  <c r="U235" i="19"/>
  <c r="U234" i="19"/>
  <c r="U233" i="19"/>
  <c r="U232" i="19"/>
  <c r="U231" i="19"/>
  <c r="U230" i="19"/>
  <c r="U229" i="19"/>
  <c r="U228" i="19"/>
  <c r="U227" i="19"/>
  <c r="U226" i="19"/>
  <c r="U225" i="19"/>
  <c r="U224" i="19"/>
  <c r="U223" i="19"/>
  <c r="U222" i="19"/>
  <c r="U221" i="19"/>
  <c r="U220" i="19"/>
  <c r="U219" i="19"/>
  <c r="U218" i="19"/>
  <c r="U217" i="19"/>
  <c r="U216" i="19"/>
  <c r="U215" i="19"/>
  <c r="U214" i="19"/>
  <c r="E21" i="20"/>
  <c r="E27" i="20" s="1"/>
  <c r="U213" i="19"/>
  <c r="U212" i="19"/>
  <c r="U211" i="19"/>
  <c r="U210" i="19"/>
  <c r="U209" i="19"/>
  <c r="U208" i="19"/>
  <c r="U207" i="19"/>
  <c r="U206" i="19"/>
  <c r="U205" i="19"/>
  <c r="U204" i="19"/>
  <c r="U203" i="19"/>
  <c r="U202" i="19"/>
  <c r="U201" i="19"/>
  <c r="U200" i="19"/>
  <c r="U199" i="19"/>
  <c r="U198" i="19"/>
  <c r="U197" i="19"/>
  <c r="U196" i="19"/>
  <c r="U195" i="19"/>
  <c r="U194" i="19"/>
  <c r="U193" i="19"/>
  <c r="U192" i="19"/>
  <c r="U191" i="19"/>
  <c r="U190" i="19"/>
  <c r="U189" i="19"/>
  <c r="U188" i="19"/>
  <c r="U187" i="19"/>
  <c r="U186" i="19"/>
  <c r="U185" i="19"/>
  <c r="U184" i="19"/>
  <c r="U183" i="19"/>
  <c r="U182" i="19"/>
  <c r="U181" i="19"/>
  <c r="U180" i="19"/>
  <c r="U179" i="19"/>
  <c r="U178" i="19"/>
  <c r="U177" i="19"/>
  <c r="U176" i="19"/>
  <c r="U175" i="19"/>
  <c r="U174" i="19"/>
  <c r="U173" i="19"/>
  <c r="U172" i="19"/>
  <c r="U171" i="19"/>
  <c r="U170" i="19"/>
  <c r="U169"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U143" i="19"/>
  <c r="U142" i="19"/>
  <c r="U141" i="19"/>
  <c r="U140" i="19"/>
  <c r="U139" i="19"/>
  <c r="U138" i="19"/>
  <c r="U137" i="19"/>
  <c r="U136" i="19"/>
  <c r="U135" i="19"/>
  <c r="U134" i="19"/>
  <c r="U133" i="19"/>
  <c r="U132" i="19"/>
  <c r="U131" i="19"/>
  <c r="U130" i="19"/>
  <c r="U129" i="19"/>
  <c r="V2478" i="19"/>
  <c r="X2478" i="19"/>
  <c r="X2477" i="19"/>
  <c r="V2477" i="19"/>
  <c r="X2476" i="19"/>
  <c r="V2476" i="19"/>
  <c r="X2475" i="19"/>
  <c r="V2475" i="19"/>
  <c r="V2474" i="19"/>
  <c r="X2474" i="19"/>
  <c r="X2473" i="19"/>
  <c r="V2473" i="19"/>
  <c r="X2472" i="19"/>
  <c r="V2472" i="19"/>
  <c r="X2471" i="19"/>
  <c r="V2471" i="19"/>
  <c r="V2470" i="19"/>
  <c r="X2470" i="19"/>
  <c r="X2469" i="19"/>
  <c r="V2469" i="19"/>
  <c r="V2468" i="19"/>
  <c r="X2468" i="19"/>
  <c r="V2467" i="19"/>
  <c r="X2467" i="19"/>
  <c r="V2466" i="19"/>
  <c r="X2466" i="19"/>
  <c r="V2465" i="19"/>
  <c r="X2465" i="19"/>
  <c r="V2464" i="19"/>
  <c r="X2464" i="19"/>
  <c r="X2463" i="19"/>
  <c r="V2463" i="19"/>
  <c r="V2462" i="19"/>
  <c r="X2462" i="19"/>
  <c r="X2461" i="19"/>
  <c r="V2461" i="19"/>
  <c r="V2460" i="19"/>
  <c r="X2460" i="19"/>
  <c r="X2459" i="19"/>
  <c r="V2459" i="19"/>
  <c r="X2458" i="19"/>
  <c r="V2458" i="19"/>
  <c r="X2457" i="19"/>
  <c r="V2457" i="19"/>
  <c r="X2456" i="19"/>
  <c r="V2456" i="19"/>
  <c r="V2455" i="19"/>
  <c r="X2455" i="19"/>
  <c r="X2454" i="19"/>
  <c r="V2454" i="19"/>
  <c r="V2453" i="19"/>
  <c r="X2453" i="19"/>
  <c r="X2452" i="19"/>
  <c r="V2452" i="19"/>
  <c r="V2451" i="19"/>
  <c r="X2451" i="19"/>
  <c r="V2450" i="19"/>
  <c r="X2450" i="19"/>
  <c r="V2449" i="19"/>
  <c r="X2449" i="19"/>
  <c r="X2448" i="19"/>
  <c r="V2448" i="19"/>
  <c r="X2447" i="19"/>
  <c r="V2447" i="19"/>
  <c r="X2446" i="19"/>
  <c r="V2446" i="19"/>
  <c r="X2445" i="19"/>
  <c r="V2445" i="19"/>
  <c r="X2444" i="19"/>
  <c r="V2444" i="19"/>
  <c r="V2443" i="19"/>
  <c r="X2443" i="19"/>
  <c r="X2442" i="19"/>
  <c r="V2442" i="19"/>
  <c r="V2441" i="19"/>
  <c r="X2441" i="19"/>
  <c r="V2440" i="19"/>
  <c r="X2440" i="19"/>
  <c r="X2439" i="19"/>
  <c r="V2439" i="19"/>
  <c r="X2438" i="19"/>
  <c r="V2438" i="19"/>
  <c r="V2437" i="19"/>
  <c r="X2437" i="19"/>
  <c r="X2436" i="19"/>
  <c r="V2436" i="19"/>
  <c r="X2435" i="19"/>
  <c r="V2435" i="19"/>
  <c r="X2434" i="19"/>
  <c r="V2434" i="19"/>
  <c r="X2433" i="19"/>
  <c r="V2433" i="19"/>
  <c r="V2432" i="19"/>
  <c r="X2432" i="19"/>
  <c r="X2431" i="19"/>
  <c r="V2431" i="19"/>
  <c r="X2430" i="19"/>
  <c r="V2430" i="19"/>
  <c r="X2429" i="19"/>
  <c r="V2429" i="19"/>
  <c r="V2428" i="19"/>
  <c r="X2428" i="19"/>
  <c r="X2427" i="19"/>
  <c r="V2427" i="19"/>
  <c r="X2426" i="19"/>
  <c r="V2426" i="19"/>
  <c r="V2425" i="19"/>
  <c r="X2425" i="19"/>
  <c r="X2424" i="19"/>
  <c r="V2424" i="19"/>
  <c r="V2423" i="19"/>
  <c r="X2423" i="19"/>
  <c r="V2422" i="19"/>
  <c r="X2422" i="19"/>
  <c r="X2421" i="19"/>
  <c r="V2421" i="19"/>
  <c r="V2420" i="19"/>
  <c r="X2420" i="19"/>
  <c r="X2419" i="19"/>
  <c r="V2419" i="19"/>
  <c r="V2418" i="19"/>
  <c r="X2418" i="19"/>
  <c r="V2417" i="19"/>
  <c r="X2417" i="19"/>
  <c r="X2416" i="19"/>
  <c r="V2416" i="19"/>
  <c r="V2415" i="19"/>
  <c r="X2415" i="19"/>
  <c r="V2414" i="19"/>
  <c r="X2414" i="19"/>
  <c r="V2413" i="19"/>
  <c r="X2413" i="19"/>
  <c r="X2412" i="19"/>
  <c r="V2412" i="19"/>
  <c r="V2411" i="19"/>
  <c r="X2411" i="19"/>
  <c r="V2410" i="19"/>
  <c r="X2410" i="19"/>
  <c r="X2409" i="19"/>
  <c r="V2409" i="19"/>
  <c r="X2408" i="19"/>
  <c r="V2408" i="19"/>
  <c r="V2407" i="19"/>
  <c r="X2407" i="19"/>
  <c r="X2406" i="19"/>
  <c r="V2406" i="19"/>
  <c r="X2405" i="19"/>
  <c r="V2405" i="19"/>
  <c r="V2404" i="19"/>
  <c r="X2404" i="19"/>
  <c r="V2403" i="19"/>
  <c r="X2403" i="19"/>
  <c r="X2402" i="19"/>
  <c r="V2402" i="19"/>
  <c r="V2401" i="19"/>
  <c r="X2401" i="19"/>
  <c r="X2400" i="19"/>
  <c r="V2400" i="19"/>
  <c r="V2399" i="19"/>
  <c r="X2399" i="19"/>
  <c r="V2398" i="19"/>
  <c r="X2398" i="19"/>
  <c r="X2397" i="19"/>
  <c r="V2397" i="19"/>
  <c r="V2396" i="19"/>
  <c r="X2396" i="19"/>
  <c r="V2395" i="19"/>
  <c r="X2395" i="19"/>
  <c r="X2394" i="19"/>
  <c r="V2394" i="19"/>
  <c r="V2393" i="19"/>
  <c r="X2393" i="19"/>
  <c r="V2392" i="19"/>
  <c r="X2392" i="19"/>
  <c r="X2391" i="19"/>
  <c r="V2391" i="19"/>
  <c r="X2390" i="19"/>
  <c r="V2390" i="19"/>
  <c r="V2389" i="19"/>
  <c r="X2389" i="19"/>
  <c r="X2388" i="19"/>
  <c r="V2388" i="19"/>
  <c r="V2387" i="19"/>
  <c r="X2387" i="19"/>
  <c r="V2386" i="19"/>
  <c r="X2386" i="19"/>
  <c r="V2385" i="19"/>
  <c r="X2385" i="19"/>
  <c r="V2384" i="19"/>
  <c r="X2384" i="19"/>
  <c r="X2383" i="19"/>
  <c r="V2383" i="19"/>
  <c r="V2382" i="19"/>
  <c r="X2382" i="19"/>
  <c r="X2381" i="19"/>
  <c r="V2381" i="19"/>
  <c r="X2380" i="19"/>
  <c r="V2380" i="19"/>
  <c r="V2379" i="19"/>
  <c r="X2379" i="19"/>
  <c r="X2378" i="19"/>
  <c r="V2378" i="19"/>
  <c r="V2377" i="19"/>
  <c r="X2377" i="19"/>
  <c r="V2376" i="19"/>
  <c r="X2376" i="19"/>
  <c r="V2375" i="19"/>
  <c r="X2375" i="19"/>
  <c r="V2374" i="19"/>
  <c r="X2374" i="19"/>
  <c r="V2373" i="19"/>
  <c r="X2373" i="19"/>
  <c r="V2372" i="19"/>
  <c r="X2372" i="19"/>
  <c r="V2371" i="19"/>
  <c r="X2371" i="19"/>
  <c r="V2370" i="19"/>
  <c r="X2370" i="19"/>
  <c r="V2369" i="19"/>
  <c r="X2369" i="19"/>
  <c r="V2368" i="19"/>
  <c r="X2368" i="19"/>
  <c r="X2367" i="19"/>
  <c r="V2367" i="19"/>
  <c r="V2366" i="19"/>
  <c r="X2366" i="19"/>
  <c r="V2365" i="19"/>
  <c r="X2365" i="19"/>
  <c r="X2364" i="19"/>
  <c r="V2364" i="19"/>
  <c r="X2363" i="19"/>
  <c r="V2363" i="19"/>
  <c r="X2362" i="19"/>
  <c r="V2362" i="19"/>
  <c r="V2361" i="19"/>
  <c r="X2361" i="19"/>
  <c r="X2360" i="19"/>
  <c r="V2360" i="19"/>
  <c r="V2359" i="19"/>
  <c r="X2359" i="19"/>
  <c r="V2358" i="19"/>
  <c r="X2358" i="19"/>
  <c r="X2357" i="19"/>
  <c r="V2357" i="19"/>
  <c r="X2356" i="19"/>
  <c r="V2356" i="19"/>
  <c r="V2355" i="19"/>
  <c r="X2355" i="19"/>
  <c r="V2354" i="19"/>
  <c r="X2354" i="19"/>
  <c r="X2353" i="19"/>
  <c r="V2353" i="19"/>
  <c r="X2352" i="19"/>
  <c r="V2352" i="19"/>
  <c r="X2351" i="19"/>
  <c r="V2351" i="19"/>
  <c r="V2350" i="19"/>
  <c r="X2350" i="19"/>
  <c r="X2349" i="19"/>
  <c r="V2349" i="19"/>
  <c r="X2348" i="19"/>
  <c r="V2348" i="19"/>
  <c r="V2347" i="19"/>
  <c r="X2347" i="19"/>
  <c r="V2346" i="19"/>
  <c r="X2346" i="19"/>
  <c r="V2345" i="19"/>
  <c r="X2345" i="19"/>
  <c r="X2344" i="19"/>
  <c r="V2344" i="19"/>
  <c r="X2343" i="19"/>
  <c r="V2343" i="19"/>
  <c r="X2342" i="19"/>
  <c r="V2342" i="19"/>
  <c r="V2341" i="19"/>
  <c r="X2341" i="19"/>
  <c r="E23" i="20"/>
  <c r="E24" i="20" s="1"/>
  <c r="K35" i="20"/>
  <c r="L35" i="20" s="1"/>
  <c r="N35" i="20" s="1"/>
  <c r="K37" i="20"/>
  <c r="L37" i="20" s="1"/>
  <c r="V2314" i="19"/>
  <c r="X2314" i="19"/>
  <c r="D129" i="3"/>
  <c r="D130" i="3" s="1"/>
  <c r="D128" i="3"/>
  <c r="N37" i="20" l="1"/>
  <c r="X2340" i="19"/>
  <c r="V2340" i="19"/>
  <c r="V2339" i="19"/>
  <c r="X2339" i="19"/>
  <c r="V2338" i="19"/>
  <c r="X2338" i="19"/>
  <c r="V2337" i="19"/>
  <c r="X2337" i="19"/>
  <c r="X2336" i="19"/>
  <c r="V2336" i="19"/>
  <c r="X2335" i="19"/>
  <c r="V2335" i="19"/>
  <c r="V2334" i="19"/>
  <c r="X2334" i="19"/>
  <c r="X2333" i="19"/>
  <c r="V2333" i="19"/>
  <c r="V2332" i="19"/>
  <c r="X2332" i="19"/>
  <c r="X2331" i="19"/>
  <c r="V2331" i="19"/>
  <c r="X2330" i="19"/>
  <c r="V2330" i="19"/>
  <c r="V2329" i="19"/>
  <c r="X2329" i="19"/>
  <c r="X2328" i="19"/>
  <c r="V2328" i="19"/>
  <c r="V2327" i="19"/>
  <c r="X2327" i="19"/>
  <c r="X2326" i="19"/>
  <c r="V2326" i="19"/>
  <c r="X2325" i="19"/>
  <c r="V2325" i="19"/>
  <c r="X2324" i="19"/>
  <c r="V2324" i="19"/>
  <c r="X2323" i="19"/>
  <c r="V2323" i="19"/>
  <c r="X2322" i="19"/>
  <c r="V2322" i="19"/>
  <c r="V2321" i="19"/>
  <c r="X2321" i="19"/>
  <c r="X2320" i="19"/>
  <c r="V2320" i="19"/>
  <c r="X2319" i="19"/>
  <c r="V2319" i="19"/>
  <c r="V2318" i="19"/>
  <c r="X2318" i="19"/>
  <c r="V2317" i="19"/>
  <c r="X2317" i="19"/>
  <c r="X2316" i="19"/>
  <c r="V2316" i="19"/>
  <c r="X2315" i="19"/>
  <c r="V2315" i="19"/>
  <c r="V2313" i="19"/>
  <c r="X2313" i="19"/>
  <c r="V2312" i="19"/>
  <c r="X2312" i="19"/>
  <c r="V2311" i="19"/>
  <c r="X2311" i="19"/>
  <c r="V2310" i="19"/>
  <c r="X2310" i="19"/>
  <c r="V2309" i="19"/>
  <c r="X2309" i="19"/>
  <c r="V2308" i="19"/>
  <c r="X2308" i="19"/>
  <c r="V2307" i="19"/>
  <c r="X2307" i="19"/>
  <c r="V2306" i="19"/>
  <c r="X2306" i="19"/>
  <c r="V2305" i="19"/>
  <c r="X2305" i="19"/>
  <c r="V2304" i="19"/>
  <c r="X2304" i="19"/>
  <c r="V2303" i="19"/>
  <c r="X2303" i="19"/>
  <c r="V2302" i="19"/>
  <c r="X2302" i="19"/>
  <c r="V2301" i="19"/>
  <c r="X2301" i="19"/>
  <c r="V2300" i="19"/>
  <c r="X2300" i="19"/>
  <c r="V2299" i="19"/>
  <c r="X2299" i="19"/>
  <c r="V2298" i="19"/>
  <c r="X2298" i="19"/>
  <c r="V2297" i="19"/>
  <c r="X2297" i="19"/>
  <c r="V2296" i="19"/>
  <c r="X2296" i="19"/>
  <c r="V2295" i="19"/>
  <c r="X2295" i="19"/>
  <c r="V2294" i="19"/>
  <c r="X2294" i="19"/>
  <c r="V2293" i="19"/>
  <c r="X2293" i="19"/>
  <c r="V2292" i="19"/>
  <c r="X2292" i="19"/>
  <c r="V2291" i="19"/>
  <c r="X2291" i="19"/>
  <c r="V2290" i="19"/>
  <c r="X2290" i="19"/>
  <c r="V2289" i="19"/>
  <c r="X2289" i="19"/>
  <c r="V2288" i="19"/>
  <c r="X2288" i="19"/>
  <c r="V2287" i="19"/>
  <c r="X2287" i="19"/>
  <c r="V2286" i="19"/>
  <c r="X2286" i="19"/>
  <c r="V2285" i="19"/>
  <c r="X2285" i="19"/>
  <c r="V2284" i="19"/>
  <c r="X2284" i="19"/>
  <c r="V2283" i="19"/>
  <c r="X2283" i="19"/>
  <c r="V2282" i="19"/>
  <c r="X2282" i="19"/>
  <c r="V2281" i="19"/>
  <c r="X2281" i="19"/>
  <c r="V2280" i="19"/>
  <c r="X2280" i="19"/>
  <c r="V2279" i="19"/>
  <c r="X2279" i="19"/>
  <c r="V2278" i="19"/>
  <c r="X2278" i="19"/>
  <c r="V2277" i="19"/>
  <c r="X2277" i="19"/>
  <c r="V2276" i="19"/>
  <c r="X2276" i="19"/>
  <c r="V2275" i="19"/>
  <c r="X2275" i="19"/>
  <c r="V2274" i="19"/>
  <c r="X2274" i="19"/>
  <c r="V2273" i="19"/>
  <c r="X2273" i="19"/>
  <c r="V2272" i="19"/>
  <c r="X2272" i="19"/>
  <c r="V2271" i="19"/>
  <c r="X2271" i="19"/>
  <c r="V2270" i="19"/>
  <c r="X2270" i="19"/>
  <c r="V2269" i="19"/>
  <c r="X2269" i="19"/>
  <c r="V2268" i="19"/>
  <c r="X2268" i="19"/>
  <c r="V2267" i="19"/>
  <c r="X2267" i="19"/>
  <c r="V2266" i="19"/>
  <c r="X2266" i="19"/>
  <c r="V2265" i="19"/>
  <c r="X2265" i="19"/>
  <c r="V2264" i="19"/>
  <c r="X2264" i="19"/>
  <c r="V2263" i="19"/>
  <c r="X2263" i="19"/>
  <c r="V2262" i="19"/>
  <c r="X2262" i="19"/>
  <c r="V2261" i="19"/>
  <c r="X2261" i="19"/>
  <c r="V2260" i="19"/>
  <c r="X2260" i="19"/>
  <c r="V2259" i="19"/>
  <c r="X2259" i="19"/>
  <c r="V2258" i="19"/>
  <c r="X2258" i="19"/>
  <c r="V2257" i="19"/>
  <c r="X2257" i="19"/>
  <c r="V2256" i="19"/>
  <c r="X2256" i="19"/>
  <c r="V2255" i="19"/>
  <c r="X2255" i="19"/>
  <c r="V2254" i="19"/>
  <c r="X2254" i="19"/>
  <c r="V2253" i="19"/>
  <c r="X2253" i="19"/>
  <c r="V2252" i="19"/>
  <c r="X2252" i="19"/>
  <c r="V2251" i="19"/>
  <c r="X2251" i="19"/>
  <c r="V2250" i="19"/>
  <c r="X2250" i="19"/>
  <c r="V2249" i="19"/>
  <c r="X2249" i="19"/>
  <c r="V2248" i="19"/>
  <c r="X2248" i="19"/>
  <c r="V2247" i="19"/>
  <c r="X2247" i="19"/>
  <c r="V2246" i="19"/>
  <c r="X2246" i="19"/>
  <c r="V2245" i="19"/>
  <c r="X2245" i="19"/>
  <c r="V2244" i="19"/>
  <c r="X2244" i="19"/>
  <c r="V2243" i="19"/>
  <c r="X2243" i="19"/>
  <c r="V2242" i="19"/>
  <c r="X2242" i="19"/>
  <c r="V2241" i="19"/>
  <c r="X2241" i="19"/>
  <c r="V2240" i="19"/>
  <c r="X2240" i="19"/>
  <c r="V2239" i="19"/>
  <c r="X2239" i="19"/>
  <c r="V2238" i="19"/>
  <c r="X2238" i="19"/>
  <c r="V2237" i="19"/>
  <c r="X2237" i="19"/>
  <c r="V2236" i="19"/>
  <c r="X2236" i="19"/>
  <c r="V2235" i="19"/>
  <c r="X2235" i="19"/>
  <c r="V2234" i="19"/>
  <c r="X2234" i="19"/>
  <c r="V2233" i="19"/>
  <c r="X2233" i="19"/>
  <c r="V2232" i="19"/>
  <c r="X2232" i="19"/>
  <c r="V2231" i="19"/>
  <c r="X2231" i="19"/>
  <c r="V2230" i="19"/>
  <c r="X2230" i="19"/>
  <c r="V2229" i="19"/>
  <c r="X2229" i="19"/>
  <c r="V2228" i="19"/>
  <c r="X2228" i="19"/>
  <c r="V2227" i="19"/>
  <c r="X2227" i="19"/>
  <c r="V2226" i="19"/>
  <c r="X2226" i="19"/>
  <c r="V2225" i="19"/>
  <c r="X2225" i="19"/>
  <c r="V2224" i="19"/>
  <c r="X2224" i="19"/>
  <c r="V2223" i="19"/>
  <c r="X2223" i="19"/>
  <c r="V2222" i="19"/>
  <c r="X2222" i="19"/>
  <c r="V2221" i="19"/>
  <c r="X2221" i="19"/>
  <c r="V2220" i="19"/>
  <c r="X2220" i="19"/>
  <c r="V2219" i="19"/>
  <c r="X2219" i="19"/>
  <c r="V2218" i="19"/>
  <c r="X2218" i="19"/>
  <c r="V2217" i="19"/>
  <c r="X2217" i="19"/>
  <c r="V2216" i="19"/>
  <c r="X2216" i="19"/>
  <c r="V2215" i="19"/>
  <c r="X2215" i="19"/>
  <c r="V2214" i="19"/>
  <c r="X2214" i="19"/>
  <c r="V2213" i="19"/>
  <c r="X2213" i="19"/>
  <c r="V2212" i="19"/>
  <c r="X2212" i="19"/>
  <c r="V2211" i="19"/>
  <c r="X2211" i="19"/>
  <c r="V2210" i="19"/>
  <c r="X2210" i="19"/>
  <c r="V2209" i="19"/>
  <c r="X2209" i="19"/>
  <c r="V2208" i="19"/>
  <c r="X2208" i="19"/>
  <c r="V2207" i="19"/>
  <c r="X2207" i="19"/>
  <c r="V2206" i="19"/>
  <c r="X2206" i="19"/>
  <c r="V2205" i="19"/>
  <c r="X2205" i="19"/>
  <c r="V2204" i="19"/>
  <c r="X2204" i="19"/>
  <c r="V2203" i="19"/>
  <c r="X2203" i="19"/>
  <c r="V2202" i="19"/>
  <c r="X2202" i="19"/>
  <c r="V2201" i="19"/>
  <c r="X2201" i="19"/>
  <c r="V2200" i="19"/>
  <c r="X2200" i="19"/>
  <c r="V2199" i="19"/>
  <c r="X2199" i="19"/>
  <c r="V2198" i="19"/>
  <c r="X2198" i="19"/>
  <c r="V2197" i="19"/>
  <c r="X2197" i="19"/>
  <c r="V2196" i="19"/>
  <c r="X2196" i="19"/>
  <c r="V2195" i="19"/>
  <c r="X2195" i="19"/>
  <c r="V2194" i="19"/>
  <c r="X2194" i="19"/>
  <c r="V2193" i="19"/>
  <c r="X2193" i="19"/>
  <c r="V2192" i="19"/>
  <c r="X2192" i="19"/>
  <c r="V2191" i="19"/>
  <c r="X2191" i="19"/>
  <c r="V2190" i="19"/>
  <c r="X2190" i="19"/>
  <c r="V2189" i="19"/>
  <c r="X2189" i="19"/>
  <c r="V2188" i="19"/>
  <c r="X2188" i="19"/>
  <c r="V2187" i="19"/>
  <c r="X2187" i="19"/>
  <c r="V2186" i="19"/>
  <c r="X2186" i="19"/>
  <c r="V2185" i="19"/>
  <c r="X2185" i="19"/>
  <c r="V2184" i="19"/>
  <c r="X2184" i="19"/>
  <c r="V2183" i="19"/>
  <c r="X2183" i="19"/>
  <c r="V2182" i="19"/>
  <c r="X2182" i="19"/>
  <c r="V2181" i="19"/>
  <c r="X2181" i="19"/>
  <c r="V2180" i="19"/>
  <c r="X2180" i="19"/>
  <c r="V2179" i="19"/>
  <c r="X2179" i="19"/>
  <c r="V2178" i="19"/>
  <c r="X2178" i="19"/>
  <c r="V2177" i="19"/>
  <c r="X2177" i="19"/>
  <c r="V2176" i="19"/>
  <c r="X2176" i="19"/>
  <c r="V2175" i="19"/>
  <c r="X2175" i="19"/>
  <c r="V2174" i="19"/>
  <c r="X2174" i="19"/>
  <c r="V2173" i="19"/>
  <c r="X2173" i="19"/>
  <c r="V2172" i="19"/>
  <c r="X2172" i="19"/>
  <c r="V2171" i="19"/>
  <c r="X2171" i="19"/>
  <c r="V2170" i="19"/>
  <c r="X2170" i="19"/>
  <c r="V2169" i="19"/>
  <c r="X2169" i="19"/>
  <c r="V2168" i="19"/>
  <c r="X2168" i="19"/>
  <c r="V2167" i="19"/>
  <c r="X2167" i="19"/>
  <c r="V2166" i="19"/>
  <c r="X2166" i="19"/>
  <c r="V2165" i="19"/>
  <c r="X2165" i="19"/>
  <c r="V2164" i="19"/>
  <c r="X2164" i="19"/>
  <c r="V2163" i="19"/>
  <c r="X2163" i="19"/>
  <c r="V2162" i="19"/>
  <c r="X2162" i="19"/>
  <c r="V2161" i="19"/>
  <c r="X2161" i="19"/>
  <c r="V2160" i="19"/>
  <c r="X2160" i="19"/>
  <c r="V2159" i="19"/>
  <c r="X2159" i="19"/>
  <c r="V2158" i="19"/>
  <c r="X2158" i="19"/>
  <c r="V2157" i="19"/>
  <c r="X2157" i="19"/>
  <c r="V2156" i="19"/>
  <c r="X2156" i="19"/>
  <c r="V2155" i="19"/>
  <c r="X2155" i="19"/>
  <c r="V2154" i="19"/>
  <c r="X2154" i="19"/>
  <c r="V2153" i="19"/>
  <c r="X2153" i="19"/>
  <c r="V2152" i="19"/>
  <c r="X2152" i="19"/>
  <c r="V2151" i="19"/>
  <c r="X2151" i="19"/>
  <c r="V2150" i="19"/>
  <c r="X2150" i="19"/>
  <c r="V2149" i="19"/>
  <c r="X2149" i="19"/>
  <c r="V2148" i="19"/>
  <c r="X2148" i="19"/>
  <c r="V2147" i="19"/>
  <c r="X2147" i="19"/>
  <c r="V2146" i="19"/>
  <c r="X2146" i="19"/>
  <c r="V2145" i="19"/>
  <c r="X2145" i="19"/>
  <c r="V2144" i="19"/>
  <c r="X2144" i="19"/>
  <c r="V2143" i="19"/>
  <c r="X2143" i="19"/>
  <c r="V2142" i="19"/>
  <c r="X2142" i="19"/>
  <c r="V2141" i="19"/>
  <c r="X2141" i="19"/>
  <c r="V2140" i="19"/>
  <c r="X2140" i="19"/>
  <c r="V2139" i="19"/>
  <c r="X2139" i="19"/>
  <c r="V2138" i="19"/>
  <c r="X2138" i="19"/>
  <c r="V2137" i="19"/>
  <c r="X2137" i="19"/>
  <c r="V2136" i="19"/>
  <c r="X2136" i="19"/>
  <c r="V2135" i="19"/>
  <c r="X2135" i="19"/>
  <c r="V2134" i="19"/>
  <c r="X2134" i="19"/>
  <c r="V2133" i="19"/>
  <c r="X2133" i="19"/>
  <c r="V2132" i="19"/>
  <c r="X2132" i="19"/>
  <c r="V2131" i="19"/>
  <c r="X2131" i="19"/>
  <c r="V2130" i="19"/>
  <c r="X2130" i="19"/>
  <c r="V2129" i="19"/>
  <c r="X2129" i="19"/>
  <c r="V2128" i="19"/>
  <c r="X2128" i="19"/>
  <c r="V2127" i="19"/>
  <c r="X2127" i="19"/>
  <c r="V2126" i="19"/>
  <c r="X2126" i="19"/>
  <c r="V2125" i="19"/>
  <c r="X2125" i="19"/>
  <c r="V2124" i="19"/>
  <c r="X2124" i="19"/>
  <c r="V2123" i="19"/>
  <c r="X2123" i="19"/>
  <c r="V2122" i="19"/>
  <c r="X2122" i="19"/>
  <c r="V2121" i="19"/>
  <c r="X2121" i="19"/>
  <c r="V2120" i="19"/>
  <c r="X2120" i="19"/>
  <c r="V2119" i="19"/>
  <c r="X2119" i="19"/>
  <c r="V2118" i="19"/>
  <c r="X2118" i="19"/>
  <c r="V2117" i="19"/>
  <c r="X2117" i="19"/>
  <c r="V2116" i="19"/>
  <c r="X2116" i="19"/>
  <c r="V2115" i="19"/>
  <c r="X2115" i="19"/>
  <c r="V2114" i="19"/>
  <c r="X2114" i="19"/>
  <c r="V2113" i="19"/>
  <c r="X2113" i="19"/>
  <c r="V2112" i="19"/>
  <c r="X2112" i="19"/>
  <c r="V2111" i="19"/>
  <c r="X2111" i="19"/>
  <c r="V2110" i="19"/>
  <c r="X2110" i="19"/>
  <c r="V2109" i="19"/>
  <c r="X2109" i="19"/>
  <c r="V2108" i="19"/>
  <c r="X2108" i="19"/>
  <c r="V2107" i="19"/>
  <c r="X2107" i="19"/>
  <c r="V2106" i="19"/>
  <c r="X2106" i="19"/>
  <c r="V2105" i="19"/>
  <c r="X2105" i="19"/>
  <c r="V2104" i="19"/>
  <c r="X2104" i="19"/>
  <c r="V2103" i="19"/>
  <c r="X2103" i="19"/>
  <c r="V2102" i="19"/>
  <c r="X2102" i="19"/>
  <c r="V2101" i="19"/>
  <c r="X2101" i="19"/>
  <c r="V2100" i="19"/>
  <c r="X2100" i="19"/>
  <c r="V2099" i="19"/>
  <c r="X2099" i="19"/>
  <c r="V2098" i="19"/>
  <c r="X2098" i="19"/>
  <c r="V2097" i="19"/>
  <c r="X2097" i="19"/>
  <c r="V2096" i="19"/>
  <c r="X2096" i="19"/>
  <c r="V2095" i="19"/>
  <c r="X2095" i="19"/>
  <c r="V2094" i="19"/>
  <c r="X2094" i="19"/>
  <c r="V2093" i="19"/>
  <c r="X2093" i="19"/>
  <c r="V2092" i="19"/>
  <c r="X2092" i="19"/>
  <c r="V2091" i="19"/>
  <c r="X2091" i="19"/>
  <c r="V2090" i="19"/>
  <c r="X2090" i="19"/>
  <c r="V2089" i="19"/>
  <c r="X2089" i="19"/>
  <c r="V2088" i="19"/>
  <c r="X2088" i="19"/>
  <c r="V2087" i="19"/>
  <c r="X2087" i="19"/>
  <c r="V2086" i="19"/>
  <c r="X2086" i="19"/>
  <c r="V2085" i="19"/>
  <c r="X2085" i="19"/>
  <c r="V2084" i="19"/>
  <c r="X2084" i="19"/>
  <c r="V2083" i="19"/>
  <c r="X2083" i="19"/>
  <c r="V2082" i="19"/>
  <c r="X2082" i="19"/>
  <c r="V2081" i="19"/>
  <c r="X2081" i="19"/>
  <c r="V2080" i="19"/>
  <c r="X2080" i="19"/>
  <c r="V2079" i="19"/>
  <c r="X2079" i="19"/>
  <c r="V2078" i="19"/>
  <c r="X2078" i="19"/>
  <c r="V2077" i="19"/>
  <c r="X2077" i="19"/>
  <c r="V2076" i="19"/>
  <c r="X2076" i="19"/>
  <c r="V2075" i="19"/>
  <c r="X2075" i="19"/>
  <c r="V2074" i="19"/>
  <c r="X2074" i="19"/>
  <c r="V2073" i="19"/>
  <c r="X2073" i="19"/>
  <c r="V2072" i="19"/>
  <c r="X2072" i="19"/>
  <c r="V2071" i="19"/>
  <c r="X2071" i="19"/>
  <c r="V2070" i="19"/>
  <c r="X2070" i="19"/>
  <c r="V2069" i="19"/>
  <c r="X2069" i="19"/>
  <c r="V2068" i="19"/>
  <c r="X2068" i="19"/>
  <c r="V2067" i="19"/>
  <c r="X2067" i="19"/>
  <c r="V2066" i="19"/>
  <c r="X2066" i="19"/>
  <c r="V2065" i="19"/>
  <c r="X2065" i="19"/>
  <c r="V2064" i="19"/>
  <c r="X2064" i="19"/>
  <c r="V2063" i="19"/>
  <c r="X2063" i="19"/>
  <c r="V2062" i="19"/>
  <c r="X2062" i="19"/>
  <c r="V2061" i="19"/>
  <c r="X2061" i="19"/>
  <c r="V2060" i="19"/>
  <c r="X2060" i="19"/>
  <c r="V2059" i="19"/>
  <c r="X2059" i="19"/>
  <c r="V2058" i="19"/>
  <c r="X2058" i="19"/>
  <c r="V2057" i="19"/>
  <c r="X2057" i="19"/>
  <c r="V2056" i="19"/>
  <c r="X2056" i="19"/>
  <c r="V2055" i="19"/>
  <c r="X2055" i="19"/>
  <c r="V2054" i="19"/>
  <c r="X2054" i="19"/>
  <c r="V2053" i="19"/>
  <c r="X2053" i="19"/>
  <c r="V2052" i="19"/>
  <c r="X2052" i="19"/>
  <c r="V2051" i="19"/>
  <c r="X2051" i="19"/>
  <c r="V2050" i="19"/>
  <c r="X2050" i="19"/>
  <c r="V2049" i="19"/>
  <c r="X2049" i="19"/>
  <c r="V2048" i="19"/>
  <c r="X2048" i="19"/>
  <c r="V2047" i="19"/>
  <c r="X2047" i="19"/>
  <c r="V2046" i="19"/>
  <c r="X2046" i="19"/>
  <c r="V2045" i="19"/>
  <c r="X2045" i="19"/>
  <c r="V2044" i="19"/>
  <c r="X2044" i="19"/>
  <c r="V2043" i="19"/>
  <c r="X2043" i="19"/>
  <c r="V2042" i="19"/>
  <c r="X2042" i="19"/>
  <c r="V2041" i="19"/>
  <c r="X2041" i="19"/>
  <c r="V2040" i="19"/>
  <c r="X2040" i="19"/>
  <c r="V2039" i="19"/>
  <c r="X2039" i="19"/>
  <c r="V2038" i="19"/>
  <c r="X2038" i="19"/>
  <c r="V2037" i="19"/>
  <c r="X2037" i="19"/>
  <c r="V2036" i="19"/>
  <c r="X2036" i="19"/>
  <c r="V2035" i="19"/>
  <c r="X2035" i="19"/>
  <c r="V2034" i="19"/>
  <c r="X2034" i="19"/>
  <c r="V2033" i="19"/>
  <c r="X2033" i="19"/>
  <c r="V2032" i="19"/>
  <c r="X2032" i="19"/>
  <c r="V2031" i="19"/>
  <c r="X2031" i="19"/>
  <c r="V2030" i="19"/>
  <c r="X2030" i="19"/>
  <c r="V2029" i="19"/>
  <c r="X2029" i="19"/>
  <c r="V2028" i="19"/>
  <c r="X2028" i="19"/>
  <c r="V2027" i="19"/>
  <c r="X2027" i="19"/>
  <c r="V2026" i="19"/>
  <c r="X2026" i="19"/>
  <c r="V2025" i="19"/>
  <c r="X2025" i="19"/>
  <c r="V2024" i="19"/>
  <c r="X2024" i="19"/>
  <c r="V2023" i="19"/>
  <c r="X2023" i="19"/>
  <c r="V2022" i="19"/>
  <c r="X2022" i="19"/>
  <c r="V2021" i="19"/>
  <c r="X2021" i="19"/>
  <c r="V2020" i="19"/>
  <c r="X2020" i="19"/>
  <c r="V2019" i="19"/>
  <c r="X2019" i="19"/>
  <c r="V2018" i="19"/>
  <c r="X2018" i="19"/>
  <c r="V2017" i="19"/>
  <c r="X2017" i="19"/>
  <c r="V2016" i="19"/>
  <c r="X2016" i="19"/>
  <c r="V2015" i="19"/>
  <c r="X2015" i="19"/>
  <c r="V2014" i="19"/>
  <c r="X2014" i="19"/>
  <c r="V2013" i="19"/>
  <c r="X2013" i="19"/>
  <c r="V2012" i="19"/>
  <c r="X2012" i="19"/>
  <c r="V2011" i="19"/>
  <c r="X2011" i="19"/>
  <c r="V2010" i="19"/>
  <c r="X2010" i="19"/>
  <c r="V2009" i="19"/>
  <c r="X2009" i="19"/>
  <c r="V2008" i="19"/>
  <c r="X2008" i="19"/>
  <c r="V2007" i="19"/>
  <c r="X2007" i="19"/>
  <c r="V2006" i="19"/>
  <c r="X2006" i="19"/>
  <c r="V2005" i="19"/>
  <c r="X2005" i="19"/>
  <c r="V2004" i="19"/>
  <c r="X2004" i="19"/>
  <c r="V2003" i="19"/>
  <c r="X2003" i="19"/>
  <c r="V2002" i="19"/>
  <c r="X2002" i="19"/>
  <c r="V2001" i="19"/>
  <c r="X2001" i="19"/>
  <c r="V2000" i="19"/>
  <c r="X2000" i="19"/>
  <c r="V1999" i="19"/>
  <c r="X1999" i="19"/>
  <c r="V1998" i="19"/>
  <c r="X1998" i="19"/>
  <c r="V1997" i="19"/>
  <c r="X1997" i="19"/>
  <c r="V1996" i="19"/>
  <c r="X1996" i="19"/>
  <c r="V1995" i="19"/>
  <c r="X1995" i="19"/>
  <c r="V1994" i="19"/>
  <c r="X1994" i="19"/>
  <c r="V1993" i="19"/>
  <c r="X1993" i="19"/>
  <c r="V1992" i="19"/>
  <c r="X1992" i="19"/>
  <c r="V1991" i="19"/>
  <c r="X1991" i="19"/>
  <c r="V1990" i="19"/>
  <c r="X1990" i="19"/>
  <c r="V1989" i="19"/>
  <c r="X1989" i="19"/>
  <c r="V1988" i="19"/>
  <c r="X1988" i="19"/>
  <c r="V1987" i="19"/>
  <c r="X1987" i="19"/>
  <c r="V1986" i="19"/>
  <c r="X1986" i="19"/>
  <c r="V1985" i="19"/>
  <c r="X1985" i="19"/>
  <c r="V1984" i="19"/>
  <c r="X1984" i="19"/>
  <c r="V1983" i="19"/>
  <c r="X1983" i="19"/>
  <c r="V1982" i="19"/>
  <c r="X1982" i="19"/>
  <c r="V1981" i="19"/>
  <c r="X1981" i="19"/>
  <c r="V1980" i="19"/>
  <c r="X1980" i="19"/>
  <c r="V1979" i="19"/>
  <c r="X1979" i="19"/>
  <c r="V1978" i="19"/>
  <c r="X1978" i="19"/>
  <c r="V1977" i="19"/>
  <c r="X1977" i="19"/>
  <c r="V1976" i="19"/>
  <c r="X1976" i="19"/>
  <c r="V1975" i="19"/>
  <c r="X1975" i="19"/>
  <c r="V1974" i="19"/>
  <c r="X1974" i="19"/>
  <c r="V1973" i="19"/>
  <c r="X1973" i="19"/>
  <c r="V1972" i="19"/>
  <c r="X1972" i="19"/>
  <c r="V1971" i="19"/>
  <c r="X1971" i="19"/>
  <c r="V1970" i="19"/>
  <c r="X1970" i="19"/>
  <c r="V1969" i="19"/>
  <c r="X1969" i="19"/>
  <c r="V1968" i="19"/>
  <c r="X1968" i="19"/>
  <c r="V1967" i="19"/>
  <c r="X1967" i="19"/>
  <c r="V1966" i="19"/>
  <c r="X1966" i="19"/>
  <c r="V1965" i="19"/>
  <c r="X1965" i="19"/>
  <c r="V1964" i="19"/>
  <c r="X1964" i="19"/>
  <c r="V1963" i="19"/>
  <c r="X1963" i="19"/>
  <c r="V1962" i="19"/>
  <c r="X1962" i="19"/>
  <c r="V1961" i="19"/>
  <c r="X1961" i="19"/>
  <c r="V1960" i="19"/>
  <c r="X1960" i="19"/>
  <c r="V1959" i="19"/>
  <c r="X1959" i="19"/>
  <c r="V1958" i="19"/>
  <c r="X1958" i="19"/>
  <c r="V1957" i="19"/>
  <c r="X1957" i="19"/>
  <c r="V1956" i="19"/>
  <c r="X1956" i="19"/>
  <c r="V1955" i="19"/>
  <c r="X1955" i="19"/>
  <c r="V1954" i="19"/>
  <c r="X1954" i="19"/>
  <c r="V1953" i="19"/>
  <c r="X1953" i="19"/>
  <c r="V1952" i="19"/>
  <c r="X1952" i="19"/>
  <c r="V1951" i="19"/>
  <c r="X1951" i="19"/>
  <c r="V1950" i="19"/>
  <c r="X1950" i="19"/>
  <c r="V1949" i="19"/>
  <c r="X1949" i="19"/>
  <c r="V1948" i="19"/>
  <c r="X1948" i="19"/>
  <c r="V1947" i="19"/>
  <c r="X1947" i="19"/>
  <c r="V1946" i="19"/>
  <c r="X1946" i="19"/>
  <c r="V1945" i="19"/>
  <c r="X1945" i="19"/>
  <c r="V1944" i="19"/>
  <c r="X1944" i="19"/>
  <c r="V1943" i="19"/>
  <c r="X1943" i="19"/>
  <c r="V1942" i="19"/>
  <c r="X1942" i="19"/>
  <c r="V1941" i="19"/>
  <c r="X1941" i="19"/>
  <c r="V1940" i="19"/>
  <c r="X1940" i="19"/>
  <c r="V1939" i="19"/>
  <c r="X1939" i="19"/>
  <c r="V1938" i="19"/>
  <c r="X1938" i="19"/>
  <c r="V1937" i="19"/>
  <c r="X1937" i="19"/>
  <c r="V1936" i="19"/>
  <c r="X1936" i="19"/>
  <c r="V1935" i="19"/>
  <c r="X1935" i="19"/>
  <c r="V1934" i="19"/>
  <c r="X1934" i="19"/>
  <c r="V1933" i="19"/>
  <c r="X1933" i="19"/>
  <c r="V1932" i="19"/>
  <c r="X1932" i="19"/>
  <c r="V1931" i="19"/>
  <c r="X1931" i="19"/>
  <c r="V1930" i="19"/>
  <c r="X1930" i="19"/>
  <c r="V1929" i="19"/>
  <c r="X1929" i="19"/>
  <c r="V1928" i="19"/>
  <c r="X1928" i="19"/>
  <c r="V1927" i="19"/>
  <c r="X1927" i="19"/>
  <c r="V1926" i="19"/>
  <c r="X1926" i="19"/>
  <c r="V1925" i="19"/>
  <c r="X1925" i="19"/>
  <c r="V1924" i="19"/>
  <c r="X1924" i="19"/>
  <c r="V1923" i="19"/>
  <c r="X1923" i="19"/>
  <c r="V1922" i="19"/>
  <c r="X1922" i="19"/>
  <c r="V1921" i="19"/>
  <c r="X1921" i="19"/>
  <c r="V1920" i="19"/>
  <c r="X1920" i="19"/>
  <c r="V1919" i="19"/>
  <c r="X1919" i="19"/>
  <c r="V1918" i="19"/>
  <c r="X1918" i="19"/>
  <c r="V1917" i="19"/>
  <c r="X1917" i="19"/>
  <c r="V1916" i="19"/>
  <c r="X1916" i="19"/>
  <c r="V1915" i="19"/>
  <c r="X1915" i="19"/>
  <c r="V1914" i="19"/>
  <c r="X1914" i="19"/>
  <c r="V1913" i="19"/>
  <c r="X1913" i="19"/>
  <c r="V1912" i="19"/>
  <c r="X1912" i="19"/>
  <c r="V1911" i="19"/>
  <c r="X1911" i="19"/>
  <c r="V1910" i="19"/>
  <c r="X1910" i="19"/>
  <c r="V1909" i="19"/>
  <c r="X1909" i="19"/>
  <c r="V1908" i="19"/>
  <c r="X1908" i="19"/>
  <c r="V1907" i="19"/>
  <c r="X1907" i="19"/>
  <c r="V1906" i="19"/>
  <c r="X1906" i="19"/>
  <c r="V1905" i="19"/>
  <c r="X1905" i="19"/>
  <c r="V1904" i="19"/>
  <c r="X1904" i="19"/>
  <c r="V1903" i="19"/>
  <c r="X1903" i="19"/>
  <c r="V1902" i="19"/>
  <c r="X1902" i="19"/>
  <c r="V1901" i="19"/>
  <c r="X1901" i="19"/>
  <c r="V1900" i="19"/>
  <c r="X1900" i="19"/>
  <c r="V1899" i="19"/>
  <c r="X1899" i="19"/>
  <c r="V1898" i="19"/>
  <c r="X1898" i="19"/>
  <c r="V1897" i="19"/>
  <c r="X1897" i="19"/>
  <c r="V1896" i="19"/>
  <c r="X1896" i="19"/>
  <c r="V1895" i="19"/>
  <c r="X1895" i="19"/>
  <c r="V1894" i="19"/>
  <c r="X1894" i="19"/>
  <c r="V1462" i="19"/>
  <c r="X1462" i="19"/>
  <c r="V1461" i="19"/>
  <c r="X1461" i="19"/>
  <c r="V1460" i="19"/>
  <c r="X1460" i="19"/>
  <c r="V1456" i="19"/>
  <c r="X1456" i="19"/>
  <c r="V1454" i="19"/>
  <c r="X1454" i="19"/>
  <c r="V1453" i="19"/>
  <c r="X1453" i="19"/>
  <c r="X1452" i="19"/>
  <c r="V1452" i="19"/>
  <c r="V1446" i="19"/>
  <c r="X1446" i="19"/>
  <c r="V1444" i="19"/>
  <c r="X1444" i="19"/>
  <c r="V1442" i="19"/>
  <c r="X1442" i="19"/>
  <c r="X1441" i="19"/>
  <c r="V1441" i="19"/>
  <c r="X1439" i="19"/>
  <c r="V1439" i="19"/>
  <c r="V1438" i="19"/>
  <c r="X1438" i="19"/>
  <c r="V1437" i="19"/>
  <c r="X1437" i="19"/>
  <c r="X1436" i="19"/>
  <c r="V1436" i="19"/>
  <c r="V1435" i="19"/>
  <c r="X1435" i="19"/>
  <c r="V1430" i="19"/>
  <c r="X1430" i="19"/>
  <c r="X1429" i="19"/>
  <c r="V1429" i="19"/>
  <c r="V1428" i="19"/>
  <c r="X1428" i="19"/>
  <c r="V1427" i="19"/>
  <c r="X1427" i="19"/>
  <c r="V1424" i="19"/>
  <c r="X1424" i="19"/>
  <c r="V1421" i="19"/>
  <c r="X1421" i="19"/>
  <c r="V1420" i="19"/>
  <c r="X1420" i="19"/>
  <c r="X1418" i="19"/>
  <c r="V1418" i="19"/>
  <c r="V1417" i="19"/>
  <c r="X1417" i="19"/>
  <c r="V1412" i="19"/>
  <c r="X1412" i="19"/>
  <c r="V1411" i="19"/>
  <c r="X1411" i="19"/>
  <c r="V1410" i="19"/>
  <c r="X1410" i="19"/>
  <c r="V1409" i="19"/>
  <c r="X1409" i="19"/>
  <c r="V1408" i="19"/>
  <c r="X1408" i="19"/>
  <c r="V1407" i="19"/>
  <c r="X1407" i="19"/>
  <c r="V1406" i="19"/>
  <c r="X1406" i="19"/>
  <c r="V1405" i="19"/>
  <c r="X1405" i="19"/>
  <c r="V1402" i="19"/>
  <c r="X1402" i="19"/>
  <c r="V1400" i="19"/>
  <c r="X1400" i="19"/>
  <c r="X1389" i="19"/>
  <c r="V1389" i="19"/>
  <c r="V1385" i="19"/>
  <c r="X1385" i="19"/>
  <c r="V1384" i="19"/>
  <c r="X1384" i="19"/>
  <c r="V1382" i="19"/>
  <c r="X1382" i="19"/>
  <c r="V1378" i="19"/>
  <c r="X1378" i="19"/>
  <c r="V1373" i="19"/>
  <c r="X1373" i="19"/>
  <c r="V1371" i="19"/>
  <c r="X1371" i="19"/>
  <c r="V1367" i="19"/>
  <c r="X1367" i="19"/>
  <c r="V1364" i="19"/>
  <c r="X1364" i="19"/>
  <c r="V1360" i="19"/>
  <c r="X1360" i="19"/>
  <c r="V1358" i="19"/>
  <c r="X1358" i="19"/>
  <c r="V1356" i="19"/>
  <c r="X1356" i="19"/>
  <c r="V1354" i="19"/>
  <c r="X1354" i="19"/>
  <c r="V1349" i="19"/>
  <c r="X1349" i="19"/>
  <c r="X1343" i="19"/>
  <c r="V1343" i="19"/>
  <c r="X1337" i="19"/>
  <c r="V1337" i="19"/>
  <c r="X1336" i="19"/>
  <c r="V1336" i="19"/>
  <c r="X1327" i="19"/>
  <c r="V1327" i="19"/>
  <c r="X1325" i="19"/>
  <c r="V1325" i="19"/>
  <c r="X1322" i="19"/>
  <c r="V1322" i="19"/>
  <c r="X1320" i="19"/>
  <c r="V1320" i="19"/>
  <c r="V1317" i="19"/>
  <c r="X1317" i="19"/>
  <c r="X1312" i="19"/>
  <c r="V1312" i="19"/>
  <c r="X1308" i="19"/>
  <c r="V1308" i="19"/>
  <c r="X1299" i="19"/>
  <c r="V1299" i="19"/>
  <c r="V1295" i="19"/>
  <c r="X1295" i="19"/>
  <c r="X1293" i="19"/>
  <c r="V1293" i="19"/>
  <c r="V1283" i="19"/>
  <c r="X1283" i="19"/>
  <c r="X1274" i="19"/>
  <c r="V1274" i="19"/>
  <c r="X1270" i="19"/>
  <c r="V1270" i="19"/>
  <c r="X1267" i="19"/>
  <c r="V1267" i="19"/>
  <c r="X1265" i="19"/>
  <c r="V1265" i="19"/>
  <c r="X1264" i="19"/>
  <c r="V1264" i="19"/>
  <c r="V1305" i="19"/>
  <c r="X1305" i="19"/>
  <c r="V1303" i="19"/>
  <c r="X1303" i="19"/>
  <c r="X1300" i="19"/>
  <c r="V1300" i="19"/>
  <c r="V1298" i="19"/>
  <c r="X1298" i="19"/>
  <c r="X1296" i="19"/>
  <c r="V1296" i="19"/>
  <c r="X1292" i="19"/>
  <c r="V1292" i="19"/>
  <c r="X1284" i="19"/>
  <c r="V1284" i="19"/>
  <c r="X1280" i="19"/>
  <c r="V1280" i="19"/>
  <c r="X1276" i="19"/>
  <c r="V1276" i="19"/>
  <c r="V1275" i="19"/>
  <c r="X1275" i="19"/>
  <c r="V1272" i="19"/>
  <c r="X1272" i="19"/>
  <c r="V1893" i="19"/>
  <c r="X1893" i="19"/>
  <c r="V1892" i="19"/>
  <c r="X1892" i="19"/>
  <c r="V1891" i="19"/>
  <c r="X1891" i="19"/>
  <c r="V1890" i="19"/>
  <c r="X1890" i="19"/>
  <c r="V1889" i="19"/>
  <c r="X1889" i="19"/>
  <c r="V1888" i="19"/>
  <c r="X1888" i="19"/>
  <c r="V1887" i="19"/>
  <c r="X1887" i="19"/>
  <c r="V1886" i="19"/>
  <c r="X1886" i="19"/>
  <c r="V1885" i="19"/>
  <c r="X1885" i="19"/>
  <c r="V1884" i="19"/>
  <c r="X1884" i="19"/>
  <c r="V1883" i="19"/>
  <c r="X1883" i="19"/>
  <c r="V1882" i="19"/>
  <c r="X1882" i="19"/>
  <c r="V1881" i="19"/>
  <c r="X1881" i="19"/>
  <c r="V1880" i="19"/>
  <c r="X1880" i="19"/>
  <c r="V1879" i="19"/>
  <c r="X1879" i="19"/>
  <c r="V1878" i="19"/>
  <c r="X1878" i="19"/>
  <c r="V1877" i="19"/>
  <c r="X1877" i="19"/>
  <c r="V1876" i="19"/>
  <c r="X1876" i="19"/>
  <c r="V1875" i="19"/>
  <c r="X1875" i="19"/>
  <c r="V1874" i="19"/>
  <c r="X1874" i="19"/>
  <c r="V1873" i="19"/>
  <c r="X1873" i="19"/>
  <c r="V1872" i="19"/>
  <c r="X1872" i="19"/>
  <c r="V1871" i="19"/>
  <c r="X1871" i="19"/>
  <c r="V1870" i="19"/>
  <c r="X1870" i="19"/>
  <c r="V1869" i="19"/>
  <c r="X1869" i="19"/>
  <c r="V1868" i="19"/>
  <c r="X1868" i="19"/>
  <c r="V1867" i="19"/>
  <c r="X1867" i="19"/>
  <c r="V1866" i="19"/>
  <c r="X1866" i="19"/>
  <c r="V1865" i="19"/>
  <c r="X1865" i="19"/>
  <c r="V1864" i="19"/>
  <c r="X1864" i="19"/>
  <c r="V1863" i="19"/>
  <c r="X1863" i="19"/>
  <c r="V1862" i="19"/>
  <c r="X1862" i="19"/>
  <c r="V1861" i="19"/>
  <c r="X1861" i="19"/>
  <c r="V1860" i="19"/>
  <c r="X1860" i="19"/>
  <c r="V1859" i="19"/>
  <c r="X1859" i="19"/>
  <c r="V1858" i="19"/>
  <c r="X1858" i="19"/>
  <c r="V1857" i="19"/>
  <c r="X1857" i="19"/>
  <c r="V1856" i="19"/>
  <c r="X1856" i="19"/>
  <c r="V1855" i="19"/>
  <c r="X1855" i="19"/>
  <c r="V1854" i="19"/>
  <c r="X1854" i="19"/>
  <c r="V1853" i="19"/>
  <c r="X1853" i="19"/>
  <c r="V1852" i="19"/>
  <c r="X1852" i="19"/>
  <c r="V1851" i="19"/>
  <c r="X1851" i="19"/>
  <c r="V1850" i="19"/>
  <c r="X1850" i="19"/>
  <c r="V1849" i="19"/>
  <c r="X1849" i="19"/>
  <c r="V1848" i="19"/>
  <c r="X1848" i="19"/>
  <c r="V1847" i="19"/>
  <c r="X1847" i="19"/>
  <c r="V1846" i="19"/>
  <c r="X1846" i="19"/>
  <c r="V1845" i="19"/>
  <c r="X1845" i="19"/>
  <c r="V1844" i="19"/>
  <c r="X1844" i="19"/>
  <c r="V1843" i="19"/>
  <c r="X1843" i="19"/>
  <c r="V1842" i="19"/>
  <c r="X1842" i="19"/>
  <c r="V1841" i="19"/>
  <c r="X1841" i="19"/>
  <c r="V1840" i="19"/>
  <c r="X1840" i="19"/>
  <c r="V1839" i="19"/>
  <c r="X1839" i="19"/>
  <c r="V1838" i="19"/>
  <c r="X1838" i="19"/>
  <c r="V1837" i="19"/>
  <c r="X1837" i="19"/>
  <c r="V1836" i="19"/>
  <c r="X1836" i="19"/>
  <c r="V1835" i="19"/>
  <c r="X1835" i="19"/>
  <c r="V1834" i="19"/>
  <c r="X1834" i="19"/>
  <c r="V1833" i="19"/>
  <c r="X1833" i="19"/>
  <c r="V1832" i="19"/>
  <c r="X1832" i="19"/>
  <c r="V1831" i="19"/>
  <c r="X1831" i="19"/>
  <c r="V1830" i="19"/>
  <c r="X1830" i="19"/>
  <c r="V1829" i="19"/>
  <c r="X1829" i="19"/>
  <c r="V1828" i="19"/>
  <c r="X1828" i="19"/>
  <c r="V1827" i="19"/>
  <c r="X1827" i="19"/>
  <c r="V1826" i="19"/>
  <c r="X1826" i="19"/>
  <c r="V1825" i="19"/>
  <c r="X1825" i="19"/>
  <c r="V1824" i="19"/>
  <c r="X1824" i="19"/>
  <c r="V1823" i="19"/>
  <c r="X1823" i="19"/>
  <c r="V1822" i="19"/>
  <c r="X1822" i="19"/>
  <c r="V1821" i="19"/>
  <c r="X1821" i="19"/>
  <c r="V1820" i="19"/>
  <c r="X1820" i="19"/>
  <c r="V1819" i="19"/>
  <c r="X1819" i="19"/>
  <c r="V1818" i="19"/>
  <c r="X1818" i="19"/>
  <c r="V1817" i="19"/>
  <c r="X1817" i="19"/>
  <c r="V1816" i="19"/>
  <c r="X1816" i="19"/>
  <c r="V1815" i="19"/>
  <c r="X1815" i="19"/>
  <c r="V1814" i="19"/>
  <c r="X1814" i="19"/>
  <c r="V1813" i="19"/>
  <c r="X1813" i="19"/>
  <c r="V1812" i="19"/>
  <c r="X1812" i="19"/>
  <c r="V1811" i="19"/>
  <c r="X1811" i="19"/>
  <c r="V1810" i="19"/>
  <c r="X1810" i="19"/>
  <c r="V1809" i="19"/>
  <c r="X1809" i="19"/>
  <c r="V1808" i="19"/>
  <c r="X1808" i="19"/>
  <c r="V1807" i="19"/>
  <c r="X1807" i="19"/>
  <c r="V1806" i="19"/>
  <c r="X1806" i="19"/>
  <c r="V1805" i="19"/>
  <c r="X1805" i="19"/>
  <c r="V1804" i="19"/>
  <c r="X1804" i="19"/>
  <c r="V1803" i="19"/>
  <c r="X1803" i="19"/>
  <c r="V1802" i="19"/>
  <c r="X1802" i="19"/>
  <c r="V1801" i="19"/>
  <c r="X1801" i="19"/>
  <c r="V1800" i="19"/>
  <c r="X1800" i="19"/>
  <c r="V1799" i="19"/>
  <c r="X1799" i="19"/>
  <c r="V1798" i="19"/>
  <c r="X1798" i="19"/>
  <c r="V1797" i="19"/>
  <c r="X1797" i="19"/>
  <c r="V1796" i="19"/>
  <c r="X1796" i="19"/>
  <c r="V1795" i="19"/>
  <c r="X1795" i="19"/>
  <c r="V1794" i="19"/>
  <c r="X1794" i="19"/>
  <c r="V1793" i="19"/>
  <c r="X1793" i="19"/>
  <c r="V1792" i="19"/>
  <c r="X1792" i="19"/>
  <c r="V1791" i="19"/>
  <c r="X1791" i="19"/>
  <c r="V1790" i="19"/>
  <c r="X1790" i="19"/>
  <c r="V1789" i="19"/>
  <c r="X1789" i="19"/>
  <c r="V1788" i="19"/>
  <c r="X1788" i="19"/>
  <c r="V1787" i="19"/>
  <c r="X1787" i="19"/>
  <c r="V1786" i="19"/>
  <c r="X1786" i="19"/>
  <c r="V1785" i="19"/>
  <c r="X1785" i="19"/>
  <c r="V1784" i="19"/>
  <c r="X1784" i="19"/>
  <c r="V1783" i="19"/>
  <c r="X1783" i="19"/>
  <c r="V1782" i="19"/>
  <c r="X1782" i="19"/>
  <c r="V1781" i="19"/>
  <c r="X1781" i="19"/>
  <c r="V1780" i="19"/>
  <c r="X1780" i="19"/>
  <c r="V1779" i="19"/>
  <c r="X1779" i="19"/>
  <c r="V1778" i="19"/>
  <c r="X1778" i="19"/>
  <c r="V1777" i="19"/>
  <c r="X1777" i="19"/>
  <c r="V1776" i="19"/>
  <c r="X1776" i="19"/>
  <c r="V1775" i="19"/>
  <c r="X1775" i="19"/>
  <c r="V1774" i="19"/>
  <c r="X1774" i="19"/>
  <c r="V1773" i="19"/>
  <c r="X1773" i="19"/>
  <c r="V1772" i="19"/>
  <c r="X1772" i="19"/>
  <c r="V1771" i="19"/>
  <c r="X1771" i="19"/>
  <c r="V1770" i="19"/>
  <c r="X1770" i="19"/>
  <c r="V1769" i="19"/>
  <c r="X1769" i="19"/>
  <c r="V1768" i="19"/>
  <c r="X1768" i="19"/>
  <c r="V1767" i="19"/>
  <c r="X1767" i="19"/>
  <c r="V1766" i="19"/>
  <c r="X1766" i="19"/>
  <c r="V1765" i="19"/>
  <c r="X1765" i="19"/>
  <c r="V1764" i="19"/>
  <c r="X1764" i="19"/>
  <c r="V1763" i="19"/>
  <c r="X1763" i="19"/>
  <c r="V1762" i="19"/>
  <c r="X1762" i="19"/>
  <c r="V1761" i="19"/>
  <c r="X1761" i="19"/>
  <c r="V1760" i="19"/>
  <c r="X1760" i="19"/>
  <c r="V1759" i="19"/>
  <c r="X1759" i="19"/>
  <c r="V1758" i="19"/>
  <c r="X1758" i="19"/>
  <c r="V1757" i="19"/>
  <c r="X1757" i="19"/>
  <c r="V1756" i="19"/>
  <c r="X1756" i="19"/>
  <c r="V1755" i="19"/>
  <c r="X1755" i="19"/>
  <c r="V1754" i="19"/>
  <c r="X1754" i="19"/>
  <c r="V1753" i="19"/>
  <c r="X1753" i="19"/>
  <c r="V1752" i="19"/>
  <c r="X1752" i="19"/>
  <c r="V1751" i="19"/>
  <c r="X1751" i="19"/>
  <c r="V1750" i="19"/>
  <c r="X1750" i="19"/>
  <c r="V1749" i="19"/>
  <c r="X1749" i="19"/>
  <c r="V1748" i="19"/>
  <c r="X1748" i="19"/>
  <c r="V1747" i="19"/>
  <c r="X1747" i="19"/>
  <c r="V1746" i="19"/>
  <c r="X1746" i="19"/>
  <c r="V1745" i="19"/>
  <c r="X1745" i="19"/>
  <c r="V1744" i="19"/>
  <c r="X1744" i="19"/>
  <c r="V1743" i="19"/>
  <c r="X1743" i="19"/>
  <c r="V1742" i="19"/>
  <c r="X1742" i="19"/>
  <c r="V1741" i="19"/>
  <c r="X1741" i="19"/>
  <c r="V1740" i="19"/>
  <c r="X1740" i="19"/>
  <c r="V1739" i="19"/>
  <c r="X1739" i="19"/>
  <c r="V1738" i="19"/>
  <c r="X1738" i="19"/>
  <c r="V1737" i="19"/>
  <c r="X1737" i="19"/>
  <c r="V1736" i="19"/>
  <c r="X1736" i="19"/>
  <c r="V1735" i="19"/>
  <c r="X1735" i="19"/>
  <c r="V1734" i="19"/>
  <c r="X1734" i="19"/>
  <c r="V1733" i="19"/>
  <c r="X1733" i="19"/>
  <c r="V1732" i="19"/>
  <c r="X1732" i="19"/>
  <c r="V1731" i="19"/>
  <c r="X1731" i="19"/>
  <c r="V1730" i="19"/>
  <c r="X1730" i="19"/>
  <c r="V1729" i="19"/>
  <c r="X1729" i="19"/>
  <c r="V1728" i="19"/>
  <c r="X1728" i="19"/>
  <c r="V1727" i="19"/>
  <c r="X1727" i="19"/>
  <c r="V1726" i="19"/>
  <c r="X1726" i="19"/>
  <c r="V1725" i="19"/>
  <c r="X1725" i="19"/>
  <c r="V1724" i="19"/>
  <c r="X1724" i="19"/>
  <c r="V1723" i="19"/>
  <c r="X1723" i="19"/>
  <c r="V1722" i="19"/>
  <c r="X1722" i="19"/>
  <c r="V1721" i="19"/>
  <c r="X1721" i="19"/>
  <c r="V1720" i="19"/>
  <c r="X1720" i="19"/>
  <c r="V1719" i="19"/>
  <c r="X1719" i="19"/>
  <c r="V1718" i="19"/>
  <c r="X1718" i="19"/>
  <c r="V1717" i="19"/>
  <c r="X1717" i="19"/>
  <c r="V1716" i="19"/>
  <c r="X1716" i="19"/>
  <c r="V1715" i="19"/>
  <c r="X1715" i="19"/>
  <c r="V1714" i="19"/>
  <c r="X1714" i="19"/>
  <c r="V1713" i="19"/>
  <c r="X1713" i="19"/>
  <c r="V1712" i="19"/>
  <c r="X1712" i="19"/>
  <c r="V1711" i="19"/>
  <c r="X1711" i="19"/>
  <c r="V1710" i="19"/>
  <c r="X1710" i="19"/>
  <c r="V1709" i="19"/>
  <c r="X1709" i="19"/>
  <c r="V1708" i="19"/>
  <c r="X1708" i="19"/>
  <c r="V1707" i="19"/>
  <c r="X1707" i="19"/>
  <c r="V1706" i="19"/>
  <c r="X1706" i="19"/>
  <c r="V1705" i="19"/>
  <c r="X1705" i="19"/>
  <c r="V1704" i="19"/>
  <c r="X1704" i="19"/>
  <c r="V1703" i="19"/>
  <c r="X1703" i="19"/>
  <c r="V1702" i="19"/>
  <c r="X1702" i="19"/>
  <c r="V1701" i="19"/>
  <c r="X1701" i="19"/>
  <c r="V1700" i="19"/>
  <c r="X1700" i="19"/>
  <c r="V1699" i="19"/>
  <c r="X1699" i="19"/>
  <c r="V1698" i="19"/>
  <c r="X1698" i="19"/>
  <c r="V1697" i="19"/>
  <c r="X1697" i="19"/>
  <c r="V1696" i="19"/>
  <c r="X1696" i="19"/>
  <c r="V1695" i="19"/>
  <c r="X1695" i="19"/>
  <c r="V1694" i="19"/>
  <c r="X1694" i="19"/>
  <c r="V1693" i="19"/>
  <c r="X1693" i="19"/>
  <c r="V1692" i="19"/>
  <c r="X1692" i="19"/>
  <c r="V1691" i="19"/>
  <c r="X1691" i="19"/>
  <c r="V1690" i="19"/>
  <c r="X1690" i="19"/>
  <c r="V1689" i="19"/>
  <c r="X1689" i="19"/>
  <c r="V1688" i="19"/>
  <c r="X1688" i="19"/>
  <c r="V1687" i="19"/>
  <c r="X1687" i="19"/>
  <c r="V1686" i="19"/>
  <c r="X1686" i="19"/>
  <c r="V1685" i="19"/>
  <c r="X1685" i="19"/>
  <c r="V1684" i="19"/>
  <c r="X1684" i="19"/>
  <c r="V1683" i="19"/>
  <c r="X1683" i="19"/>
  <c r="V1682" i="19"/>
  <c r="X1682" i="19"/>
  <c r="V1681" i="19"/>
  <c r="X1681" i="19"/>
  <c r="V1680" i="19"/>
  <c r="X1680" i="19"/>
  <c r="V1679" i="19"/>
  <c r="X1679" i="19"/>
  <c r="V1678" i="19"/>
  <c r="X1678" i="19"/>
  <c r="V1677" i="19"/>
  <c r="X1677" i="19"/>
  <c r="V1676" i="19"/>
  <c r="X1676" i="19"/>
  <c r="V1675" i="19"/>
  <c r="X1675" i="19"/>
  <c r="V1674" i="19"/>
  <c r="X1674" i="19"/>
  <c r="V1673" i="19"/>
  <c r="X1673" i="19"/>
  <c r="V1672" i="19"/>
  <c r="X1672" i="19"/>
  <c r="V1671" i="19"/>
  <c r="X1671" i="19"/>
  <c r="V1670" i="19"/>
  <c r="X1670" i="19"/>
  <c r="V1669" i="19"/>
  <c r="X1669" i="19"/>
  <c r="V1668" i="19"/>
  <c r="X1668" i="19"/>
  <c r="V1667" i="19"/>
  <c r="X1667" i="19"/>
  <c r="V1666" i="19"/>
  <c r="X1666" i="19"/>
  <c r="V1665" i="19"/>
  <c r="X1665" i="19"/>
  <c r="V1664" i="19"/>
  <c r="X1664" i="19"/>
  <c r="V1663" i="19"/>
  <c r="X1663" i="19"/>
  <c r="V1662" i="19"/>
  <c r="X1662" i="19"/>
  <c r="V1661" i="19"/>
  <c r="X1661" i="19"/>
  <c r="V1660" i="19"/>
  <c r="X1660" i="19"/>
  <c r="V1659" i="19"/>
  <c r="X1659" i="19"/>
  <c r="V1658" i="19"/>
  <c r="X1658" i="19"/>
  <c r="V1657" i="19"/>
  <c r="X1657" i="19"/>
  <c r="V1656" i="19"/>
  <c r="X1656" i="19"/>
  <c r="V1655" i="19"/>
  <c r="X1655" i="19"/>
  <c r="V1654" i="19"/>
  <c r="X1654" i="19"/>
  <c r="V1653" i="19"/>
  <c r="X1653" i="19"/>
  <c r="V1652" i="19"/>
  <c r="X1652" i="19"/>
  <c r="V1651" i="19"/>
  <c r="X1651" i="19"/>
  <c r="V1650" i="19"/>
  <c r="X1650" i="19"/>
  <c r="V1649" i="19"/>
  <c r="X1649" i="19"/>
  <c r="V1648" i="19"/>
  <c r="X1648" i="19"/>
  <c r="V1647" i="19"/>
  <c r="X1647" i="19"/>
  <c r="V1646" i="19"/>
  <c r="X1646" i="19"/>
  <c r="V1645" i="19"/>
  <c r="X1645" i="19"/>
  <c r="V1644" i="19"/>
  <c r="X1644" i="19"/>
  <c r="V1643" i="19"/>
  <c r="X1643" i="19"/>
  <c r="V1642" i="19"/>
  <c r="X1642" i="19"/>
  <c r="V1641" i="19"/>
  <c r="X1641" i="19"/>
  <c r="V1640" i="19"/>
  <c r="X1640" i="19"/>
  <c r="V1639" i="19"/>
  <c r="X1639" i="19"/>
  <c r="V1638" i="19"/>
  <c r="X1638" i="19"/>
  <c r="V1637" i="19"/>
  <c r="X1637" i="19"/>
  <c r="V1636" i="19"/>
  <c r="X1636" i="19"/>
  <c r="V1635" i="19"/>
  <c r="X1635" i="19"/>
  <c r="V1634" i="19"/>
  <c r="X1634" i="19"/>
  <c r="V1633" i="19"/>
  <c r="X1633" i="19"/>
  <c r="V1632" i="19"/>
  <c r="X1632" i="19"/>
  <c r="V1631" i="19"/>
  <c r="X1631" i="19"/>
  <c r="V1630" i="19"/>
  <c r="X1630" i="19"/>
  <c r="V1629" i="19"/>
  <c r="X1629" i="19"/>
  <c r="V1628" i="19"/>
  <c r="X1628" i="19"/>
  <c r="V1627" i="19"/>
  <c r="X1627" i="19"/>
  <c r="V1626" i="19"/>
  <c r="X1626" i="19"/>
  <c r="V1625" i="19"/>
  <c r="X1625" i="19"/>
  <c r="V1624" i="19"/>
  <c r="X1624" i="19"/>
  <c r="V1623" i="19"/>
  <c r="X1623" i="19"/>
  <c r="V1622" i="19"/>
  <c r="X1622" i="19"/>
  <c r="V1621" i="19"/>
  <c r="X1621" i="19"/>
  <c r="V1620" i="19"/>
  <c r="X1620" i="19"/>
  <c r="V1619" i="19"/>
  <c r="X1619" i="19"/>
  <c r="V1618" i="19"/>
  <c r="X1618" i="19"/>
  <c r="V1617" i="19"/>
  <c r="X1617" i="19"/>
  <c r="V1616" i="19"/>
  <c r="X1616" i="19"/>
  <c r="V1615" i="19"/>
  <c r="X1615" i="19"/>
  <c r="V1614" i="19"/>
  <c r="X1614" i="19"/>
  <c r="V1613" i="19"/>
  <c r="X1613" i="19"/>
  <c r="V1612" i="19"/>
  <c r="X1612" i="19"/>
  <c r="V1611" i="19"/>
  <c r="X1611" i="19"/>
  <c r="V1610" i="19"/>
  <c r="X1610" i="19"/>
  <c r="V1609" i="19"/>
  <c r="X1609" i="19"/>
  <c r="V1608" i="19"/>
  <c r="X1608" i="19"/>
  <c r="V1607" i="19"/>
  <c r="X1607" i="19"/>
  <c r="V1606" i="19"/>
  <c r="X1606" i="19"/>
  <c r="V1605" i="19"/>
  <c r="X1605" i="19"/>
  <c r="V1604" i="19"/>
  <c r="X1604" i="19"/>
  <c r="V1603" i="19"/>
  <c r="X1603" i="19"/>
  <c r="V1602" i="19"/>
  <c r="X1602" i="19"/>
  <c r="V1601" i="19"/>
  <c r="X1601" i="19"/>
  <c r="V1600" i="19"/>
  <c r="X1600" i="19"/>
  <c r="V1599" i="19"/>
  <c r="X1599" i="19"/>
  <c r="V1598" i="19"/>
  <c r="X1598" i="19"/>
  <c r="V1597" i="19"/>
  <c r="X1597" i="19"/>
  <c r="V1596" i="19"/>
  <c r="X1596" i="19"/>
  <c r="V1595" i="19"/>
  <c r="X1595" i="19"/>
  <c r="V1594" i="19"/>
  <c r="X1594" i="19"/>
  <c r="V1593" i="19"/>
  <c r="X1593" i="19"/>
  <c r="V1592" i="19"/>
  <c r="X1592" i="19"/>
  <c r="V1591" i="19"/>
  <c r="X1591" i="19"/>
  <c r="V1590" i="19"/>
  <c r="X1590" i="19"/>
  <c r="V1589" i="19"/>
  <c r="X1589" i="19"/>
  <c r="V1588" i="19"/>
  <c r="X1588" i="19"/>
  <c r="V1587" i="19"/>
  <c r="X1587" i="19"/>
  <c r="V1586" i="19"/>
  <c r="X1586" i="19"/>
  <c r="V1585" i="19"/>
  <c r="X1585" i="19"/>
  <c r="V1584" i="19"/>
  <c r="X1584" i="19"/>
  <c r="V1583" i="19"/>
  <c r="X1583" i="19"/>
  <c r="V1582" i="19"/>
  <c r="X1582" i="19"/>
  <c r="V1581" i="19"/>
  <c r="X1581" i="19"/>
  <c r="V1580" i="19"/>
  <c r="X1580" i="19"/>
  <c r="V1579" i="19"/>
  <c r="X1579" i="19"/>
  <c r="V1578" i="19"/>
  <c r="X1578" i="19"/>
  <c r="V1577" i="19"/>
  <c r="X1577" i="19"/>
  <c r="V1576" i="19"/>
  <c r="X1576" i="19"/>
  <c r="V1575" i="19"/>
  <c r="X1575" i="19"/>
  <c r="V1574" i="19"/>
  <c r="X1574" i="19"/>
  <c r="V1573" i="19"/>
  <c r="X1573" i="19"/>
  <c r="V1572" i="19"/>
  <c r="X1572" i="19"/>
  <c r="V1571" i="19"/>
  <c r="X1571" i="19"/>
  <c r="V1570" i="19"/>
  <c r="X1570" i="19"/>
  <c r="V1569" i="19"/>
  <c r="X1569" i="19"/>
  <c r="V1568" i="19"/>
  <c r="X1568" i="19"/>
  <c r="V1567" i="19"/>
  <c r="X1567" i="19"/>
  <c r="V1566" i="19"/>
  <c r="X1566" i="19"/>
  <c r="V1565" i="19"/>
  <c r="X1565" i="19"/>
  <c r="V1564" i="19"/>
  <c r="X1564" i="19"/>
  <c r="V1563" i="19"/>
  <c r="X1563" i="19"/>
  <c r="V1562" i="19"/>
  <c r="X1562" i="19"/>
  <c r="V1561" i="19"/>
  <c r="X1561" i="19"/>
  <c r="V1560" i="19"/>
  <c r="X1560" i="19"/>
  <c r="V1559" i="19"/>
  <c r="X1559" i="19"/>
  <c r="V1558" i="19"/>
  <c r="X1558" i="19"/>
  <c r="V1557" i="19"/>
  <c r="X1557" i="19"/>
  <c r="V1556" i="19"/>
  <c r="X1556" i="19"/>
  <c r="V1555" i="19"/>
  <c r="X1555" i="19"/>
  <c r="V1554" i="19"/>
  <c r="X1554" i="19"/>
  <c r="V1553" i="19"/>
  <c r="X1553" i="19"/>
  <c r="V1552" i="19"/>
  <c r="X1552" i="19"/>
  <c r="V1551" i="19"/>
  <c r="X1551" i="19"/>
  <c r="V1550" i="19"/>
  <c r="X1550" i="19"/>
  <c r="V1549" i="19"/>
  <c r="X1549" i="19"/>
  <c r="V1548" i="19"/>
  <c r="X1548" i="19"/>
  <c r="V1547" i="19"/>
  <c r="X1547" i="19"/>
  <c r="V1546" i="19"/>
  <c r="X1546" i="19"/>
  <c r="V1545" i="19"/>
  <c r="X1545" i="19"/>
  <c r="V1544" i="19"/>
  <c r="X1544" i="19"/>
  <c r="V1543" i="19"/>
  <c r="X1543" i="19"/>
  <c r="V1542" i="19"/>
  <c r="X1542" i="19"/>
  <c r="V1541" i="19"/>
  <c r="X1541" i="19"/>
  <c r="V1540" i="19"/>
  <c r="X1540" i="19"/>
  <c r="V1539" i="19"/>
  <c r="X1539" i="19"/>
  <c r="V1538" i="19"/>
  <c r="X1538" i="19"/>
  <c r="V1537" i="19"/>
  <c r="X1537" i="19"/>
  <c r="V1536" i="19"/>
  <c r="X1536" i="19"/>
  <c r="V1535" i="19"/>
  <c r="X1535" i="19"/>
  <c r="V1534" i="19"/>
  <c r="X1534" i="19"/>
  <c r="V1533" i="19"/>
  <c r="X1533" i="19"/>
  <c r="V1532" i="19"/>
  <c r="X1532" i="19"/>
  <c r="V1531" i="19"/>
  <c r="X1531" i="19"/>
  <c r="V1530" i="19"/>
  <c r="X1530" i="19"/>
  <c r="V1529" i="19"/>
  <c r="X1529" i="19"/>
  <c r="V1528" i="19"/>
  <c r="X1528" i="19"/>
  <c r="V1527" i="19"/>
  <c r="X1527" i="19"/>
  <c r="V1526" i="19"/>
  <c r="X1526" i="19"/>
  <c r="V1525" i="19"/>
  <c r="X1525" i="19"/>
  <c r="V1524" i="19"/>
  <c r="X1524" i="19"/>
  <c r="V1523" i="19"/>
  <c r="X1523" i="19"/>
  <c r="V1522" i="19"/>
  <c r="X1522" i="19"/>
  <c r="V1521" i="19"/>
  <c r="X1521" i="19"/>
  <c r="V1520" i="19"/>
  <c r="X1520" i="19"/>
  <c r="V1519" i="19"/>
  <c r="X1519" i="19"/>
  <c r="V1518" i="19"/>
  <c r="X1518" i="19"/>
  <c r="V1517" i="19"/>
  <c r="X1517" i="19"/>
  <c r="V1516" i="19"/>
  <c r="X1516" i="19"/>
  <c r="V1515" i="19"/>
  <c r="X1515" i="19"/>
  <c r="V1514" i="19"/>
  <c r="X1514" i="19"/>
  <c r="V1513" i="19"/>
  <c r="X1513" i="19"/>
  <c r="V1512" i="19"/>
  <c r="X1512" i="19"/>
  <c r="V1511" i="19"/>
  <c r="X1511" i="19"/>
  <c r="V1510" i="19"/>
  <c r="X1510" i="19"/>
  <c r="V1509" i="19"/>
  <c r="X1509" i="19"/>
  <c r="V1508" i="19"/>
  <c r="X1508" i="19"/>
  <c r="V1507" i="19"/>
  <c r="X1507" i="19"/>
  <c r="V1506" i="19"/>
  <c r="X1506" i="19"/>
  <c r="V1505" i="19"/>
  <c r="X1505" i="19"/>
  <c r="V1504" i="19"/>
  <c r="X1504" i="19"/>
  <c r="V1503" i="19"/>
  <c r="X1503" i="19"/>
  <c r="V1502" i="19"/>
  <c r="X1502" i="19"/>
  <c r="V1501" i="19"/>
  <c r="X1501" i="19"/>
  <c r="V1500" i="19"/>
  <c r="X1500" i="19"/>
  <c r="V1499" i="19"/>
  <c r="X1499" i="19"/>
  <c r="V1498" i="19"/>
  <c r="X1498" i="19"/>
  <c r="V1497" i="19"/>
  <c r="X1497" i="19"/>
  <c r="V1496" i="19"/>
  <c r="X1496" i="19"/>
  <c r="V1495" i="19"/>
  <c r="X1495" i="19"/>
  <c r="V1494" i="19"/>
  <c r="X1494" i="19"/>
  <c r="V1493" i="19"/>
  <c r="X1493" i="19"/>
  <c r="V1492" i="19"/>
  <c r="X1492" i="19"/>
  <c r="V1491" i="19"/>
  <c r="X1491" i="19"/>
  <c r="V1490" i="19"/>
  <c r="X1490" i="19"/>
  <c r="V1489" i="19"/>
  <c r="X1489" i="19"/>
  <c r="V1488" i="19"/>
  <c r="X1488" i="19"/>
  <c r="V1487" i="19"/>
  <c r="X1487" i="19"/>
  <c r="V1486" i="19"/>
  <c r="X1486" i="19"/>
  <c r="V1485" i="19"/>
  <c r="X1485" i="19"/>
  <c r="V1484" i="19"/>
  <c r="X1484" i="19"/>
  <c r="V1483" i="19"/>
  <c r="X1483" i="19"/>
  <c r="V1482" i="19"/>
  <c r="X1482" i="19"/>
  <c r="V1481" i="19"/>
  <c r="X1481" i="19"/>
  <c r="V1480" i="19"/>
  <c r="X1480" i="19"/>
  <c r="V1479" i="19"/>
  <c r="X1479" i="19"/>
  <c r="V1478" i="19"/>
  <c r="X1478" i="19"/>
  <c r="V1477" i="19"/>
  <c r="X1477" i="19"/>
  <c r="V1476" i="19"/>
  <c r="X1476" i="19"/>
  <c r="V1475" i="19"/>
  <c r="X1475" i="19"/>
  <c r="V1474" i="19"/>
  <c r="X1474" i="19"/>
  <c r="V1473" i="19"/>
  <c r="X1473" i="19"/>
  <c r="V1472" i="19"/>
  <c r="X1472" i="19"/>
  <c r="V1471" i="19"/>
  <c r="X1471" i="19"/>
  <c r="V1470" i="19"/>
  <c r="X1470" i="19"/>
  <c r="V1469" i="19"/>
  <c r="X1469" i="19"/>
  <c r="V1468" i="19"/>
  <c r="X1468" i="19"/>
  <c r="V1467" i="19"/>
  <c r="X1467" i="19"/>
  <c r="V1466" i="19"/>
  <c r="X1466" i="19"/>
  <c r="V1465" i="19"/>
  <c r="X1465" i="19"/>
  <c r="V1464" i="19"/>
  <c r="X1464" i="19"/>
  <c r="X1463" i="19"/>
  <c r="V1463" i="19"/>
  <c r="V1459" i="19"/>
  <c r="X1459" i="19"/>
  <c r="X1458" i="19"/>
  <c r="V1458" i="19"/>
  <c r="V1457" i="19"/>
  <c r="X1457" i="19"/>
  <c r="V1455" i="19"/>
  <c r="X1455" i="19"/>
  <c r="V1451" i="19"/>
  <c r="X1451" i="19"/>
  <c r="V1450" i="19"/>
  <c r="X1450" i="19"/>
  <c r="V1449" i="19"/>
  <c r="X1449" i="19"/>
  <c r="V1448" i="19"/>
  <c r="X1448" i="19"/>
  <c r="V1447" i="19"/>
  <c r="X1447" i="19"/>
  <c r="V1445" i="19"/>
  <c r="X1445" i="19"/>
  <c r="X1443" i="19"/>
  <c r="V1443" i="19"/>
  <c r="V1440" i="19"/>
  <c r="X1440" i="19"/>
  <c r="V1434" i="19"/>
  <c r="X1434" i="19"/>
  <c r="X1433" i="19"/>
  <c r="V1433" i="19"/>
  <c r="V1432" i="19"/>
  <c r="X1432" i="19"/>
  <c r="V1431" i="19"/>
  <c r="X1431" i="19"/>
  <c r="X1426" i="19"/>
  <c r="V1426" i="19"/>
  <c r="V1425" i="19"/>
  <c r="X1425" i="19"/>
  <c r="V1423" i="19"/>
  <c r="X1423" i="19"/>
  <c r="X1422" i="19"/>
  <c r="V1422" i="19"/>
  <c r="V1419" i="19"/>
  <c r="X1419" i="19"/>
  <c r="V1416" i="19"/>
  <c r="X1416" i="19"/>
  <c r="V1415" i="19"/>
  <c r="X1415" i="19"/>
  <c r="V1414" i="19"/>
  <c r="X1414" i="19"/>
  <c r="V1413" i="19"/>
  <c r="X1413" i="19"/>
  <c r="V1404" i="19"/>
  <c r="X1404" i="19"/>
  <c r="V1403" i="19"/>
  <c r="X1403" i="19"/>
  <c r="V1401" i="19"/>
  <c r="X1401" i="19"/>
  <c r="V1399" i="19"/>
  <c r="X1399" i="19"/>
  <c r="V1398" i="19"/>
  <c r="X1398" i="19"/>
  <c r="V1397" i="19"/>
  <c r="X1397" i="19"/>
  <c r="V1396" i="19"/>
  <c r="X1396" i="19"/>
  <c r="V1395" i="19"/>
  <c r="X1395" i="19"/>
  <c r="V1394" i="19"/>
  <c r="X1394" i="19"/>
  <c r="V1393" i="19"/>
  <c r="X1393" i="19"/>
  <c r="V1388" i="19"/>
  <c r="X1388" i="19"/>
  <c r="V1386" i="19"/>
  <c r="X1386" i="19"/>
  <c r="V1381" i="19"/>
  <c r="X1381" i="19"/>
  <c r="V1379" i="19"/>
  <c r="X1379" i="19"/>
  <c r="V1377" i="19"/>
  <c r="X1377" i="19"/>
  <c r="V1375" i="19"/>
  <c r="X1375" i="19"/>
  <c r="V1372" i="19"/>
  <c r="X1372" i="19"/>
  <c r="V1366" i="19"/>
  <c r="X1366" i="19"/>
  <c r="V1363" i="19"/>
  <c r="X1363" i="19"/>
  <c r="X1355" i="19"/>
  <c r="V1355" i="19"/>
  <c r="X1353" i="19"/>
  <c r="V1353" i="19"/>
  <c r="X1352" i="19"/>
  <c r="V1352" i="19"/>
  <c r="V1348" i="19"/>
  <c r="X1348" i="19"/>
  <c r="X1346" i="19"/>
  <c r="V1346" i="19"/>
  <c r="X1342" i="19"/>
  <c r="V1342" i="19"/>
  <c r="X1341" i="19"/>
  <c r="V1341" i="19"/>
  <c r="X1339" i="19"/>
  <c r="V1339" i="19"/>
  <c r="V1333" i="19"/>
  <c r="X1333" i="19"/>
  <c r="X1331" i="19"/>
  <c r="V1331" i="19"/>
  <c r="V1324" i="19"/>
  <c r="X1324" i="19"/>
  <c r="X1323" i="19"/>
  <c r="V1323" i="19"/>
  <c r="V1321" i="19"/>
  <c r="X1321" i="19"/>
  <c r="V1314" i="19"/>
  <c r="X1314" i="19"/>
  <c r="X1309" i="19"/>
  <c r="V1309" i="19"/>
  <c r="X1307" i="19"/>
  <c r="V1307" i="19"/>
  <c r="X1306" i="19"/>
  <c r="V1306" i="19"/>
  <c r="X1291" i="19"/>
  <c r="V1291" i="19"/>
  <c r="X1287" i="19"/>
  <c r="V1287" i="19"/>
  <c r="V1286" i="19"/>
  <c r="X1286" i="19"/>
  <c r="X1271" i="19"/>
  <c r="V1271" i="19"/>
  <c r="X1266" i="19"/>
  <c r="V1266" i="19"/>
  <c r="X1351" i="19"/>
  <c r="V1351" i="19"/>
  <c r="X1344" i="19"/>
  <c r="V1344" i="19"/>
  <c r="X1340" i="19"/>
  <c r="V1340" i="19"/>
  <c r="X1338" i="19"/>
  <c r="V1338" i="19"/>
  <c r="X1335" i="19"/>
  <c r="V1335" i="19"/>
  <c r="X1332" i="19"/>
  <c r="V1332" i="19"/>
  <c r="X1329" i="19"/>
  <c r="V1329" i="19"/>
  <c r="V1328" i="19"/>
  <c r="X1328" i="19"/>
  <c r="X1326" i="19"/>
  <c r="V1326" i="19"/>
  <c r="V1319" i="19"/>
  <c r="X1319" i="19"/>
  <c r="V1318" i="19"/>
  <c r="X1318" i="19"/>
  <c r="X1316" i="19"/>
  <c r="V1316" i="19"/>
  <c r="V1315" i="19"/>
  <c r="X1315" i="19"/>
  <c r="X1313" i="19"/>
  <c r="V1313" i="19"/>
  <c r="X1311" i="19"/>
  <c r="V1311" i="19"/>
  <c r="V1310" i="19"/>
  <c r="X1310" i="19"/>
  <c r="X1302" i="19"/>
  <c r="V1302" i="19"/>
  <c r="X1301" i="19"/>
  <c r="V1301" i="19"/>
  <c r="V1297" i="19"/>
  <c r="X1297" i="19"/>
  <c r="V1294" i="19"/>
  <c r="X1294" i="19"/>
  <c r="V1289" i="19"/>
  <c r="X1289" i="19"/>
  <c r="V1281" i="19"/>
  <c r="X1281" i="19"/>
  <c r="V1278" i="19"/>
  <c r="X1278" i="19"/>
  <c r="V1273" i="19"/>
  <c r="X1273" i="19"/>
  <c r="X1269" i="19"/>
  <c r="V1269" i="19"/>
  <c r="X1268" i="19"/>
  <c r="V1268" i="19"/>
  <c r="V128" i="19"/>
  <c r="X128" i="19"/>
  <c r="C17" i="22"/>
  <c r="D17" i="22"/>
  <c r="C64" i="20"/>
  <c r="C65" i="20"/>
  <c r="C68" i="20"/>
  <c r="C70" i="20"/>
  <c r="C72" i="20"/>
  <c r="D18" i="21"/>
  <c r="C63" i="20"/>
  <c r="C67" i="20"/>
  <c r="C69" i="20"/>
  <c r="C71" i="20"/>
  <c r="C73" i="20"/>
  <c r="C66" i="20"/>
  <c r="E26" i="20"/>
  <c r="D60" i="21" s="1"/>
  <c r="V127" i="19"/>
  <c r="X127" i="19"/>
  <c r="V126" i="19"/>
  <c r="X126" i="19"/>
  <c r="V125" i="19"/>
  <c r="X125" i="19"/>
  <c r="V124" i="19"/>
  <c r="X124" i="19"/>
  <c r="V123" i="19"/>
  <c r="X123" i="19"/>
  <c r="V122" i="19"/>
  <c r="X122" i="19"/>
  <c r="V121" i="19"/>
  <c r="X121" i="19"/>
  <c r="V120" i="19"/>
  <c r="X120" i="19"/>
  <c r="V119" i="19"/>
  <c r="X119" i="19"/>
  <c r="V118" i="19"/>
  <c r="X118" i="19"/>
  <c r="V117" i="19"/>
  <c r="X117" i="19"/>
  <c r="V116" i="19"/>
  <c r="X116" i="19"/>
  <c r="V115" i="19"/>
  <c r="X115" i="19"/>
  <c r="V114" i="19"/>
  <c r="X114" i="19"/>
  <c r="V113" i="19"/>
  <c r="X113" i="19"/>
  <c r="V112" i="19"/>
  <c r="X112" i="19"/>
  <c r="V111" i="19"/>
  <c r="X111" i="19"/>
  <c r="V110" i="19"/>
  <c r="X110" i="19"/>
  <c r="V109" i="19"/>
  <c r="X109" i="19"/>
  <c r="V108" i="19"/>
  <c r="X108" i="19"/>
  <c r="V107" i="19"/>
  <c r="X107" i="19"/>
  <c r="V106" i="19"/>
  <c r="X106" i="19"/>
  <c r="V105" i="19"/>
  <c r="X105" i="19"/>
  <c r="V104" i="19"/>
  <c r="X104" i="19"/>
  <c r="V103" i="19"/>
  <c r="X103" i="19"/>
  <c r="V102" i="19"/>
  <c r="X102" i="19"/>
  <c r="V101" i="19"/>
  <c r="X101" i="19"/>
  <c r="V100" i="19"/>
  <c r="X100" i="19"/>
  <c r="V99" i="19"/>
  <c r="X99" i="19"/>
  <c r="V98" i="19"/>
  <c r="X98" i="19"/>
  <c r="V97" i="19"/>
  <c r="X97" i="19"/>
  <c r="V96" i="19"/>
  <c r="X96" i="19"/>
  <c r="V95" i="19"/>
  <c r="X95" i="19"/>
  <c r="V94" i="19"/>
  <c r="X94" i="19"/>
  <c r="V93" i="19"/>
  <c r="X93" i="19"/>
  <c r="V92" i="19"/>
  <c r="X92" i="19"/>
  <c r="V91" i="19"/>
  <c r="X91" i="19"/>
  <c r="V90" i="19"/>
  <c r="X90" i="19"/>
  <c r="V89" i="19"/>
  <c r="X89" i="19"/>
  <c r="V88" i="19"/>
  <c r="X88" i="19"/>
  <c r="V87" i="19"/>
  <c r="X87" i="19"/>
  <c r="V86" i="19"/>
  <c r="X86" i="19"/>
  <c r="V85" i="19"/>
  <c r="X85" i="19"/>
  <c r="V84" i="19"/>
  <c r="X84" i="19"/>
  <c r="V83" i="19"/>
  <c r="X83" i="19"/>
  <c r="V82" i="19"/>
  <c r="X82" i="19"/>
  <c r="V81" i="19"/>
  <c r="X81" i="19"/>
  <c r="V80" i="19"/>
  <c r="X80" i="19"/>
  <c r="V79" i="19"/>
  <c r="X79" i="19"/>
  <c r="V78" i="19"/>
  <c r="X78" i="19"/>
  <c r="V77" i="19"/>
  <c r="X77" i="19"/>
  <c r="V76" i="19"/>
  <c r="X76" i="19"/>
  <c r="V75" i="19"/>
  <c r="X75" i="19"/>
  <c r="V74" i="19"/>
  <c r="X74" i="19"/>
  <c r="V73" i="19"/>
  <c r="X73" i="19"/>
  <c r="V72" i="19"/>
  <c r="X72" i="19"/>
  <c r="V71" i="19"/>
  <c r="X71" i="19"/>
  <c r="V70" i="19"/>
  <c r="X70" i="19"/>
  <c r="V69" i="19"/>
  <c r="X69" i="19"/>
  <c r="V68" i="19"/>
  <c r="X68" i="19"/>
  <c r="V67" i="19"/>
  <c r="X67" i="19"/>
  <c r="V66" i="19"/>
  <c r="X66" i="19"/>
  <c r="V65" i="19"/>
  <c r="X65" i="19"/>
  <c r="V64" i="19"/>
  <c r="X64" i="19"/>
  <c r="V63" i="19"/>
  <c r="X63" i="19"/>
  <c r="V62" i="19"/>
  <c r="X62" i="19"/>
  <c r="V61" i="19"/>
  <c r="X61" i="19"/>
  <c r="V60" i="19"/>
  <c r="X60" i="19"/>
  <c r="V59" i="19"/>
  <c r="X59" i="19"/>
  <c r="V58" i="19"/>
  <c r="X58" i="19"/>
  <c r="V1392" i="19"/>
  <c r="X1392" i="19"/>
  <c r="V1391" i="19"/>
  <c r="X1391" i="19"/>
  <c r="X1390" i="19"/>
  <c r="V1390" i="19"/>
  <c r="V1387" i="19"/>
  <c r="X1387" i="19"/>
  <c r="V1383" i="19"/>
  <c r="X1383" i="19"/>
  <c r="V1380" i="19"/>
  <c r="X1380" i="19"/>
  <c r="V1376" i="19"/>
  <c r="X1376" i="19"/>
  <c r="V1374" i="19"/>
  <c r="X1374" i="19"/>
  <c r="V1370" i="19"/>
  <c r="X1370" i="19"/>
  <c r="V1369" i="19"/>
  <c r="X1369" i="19"/>
  <c r="V1368" i="19"/>
  <c r="X1368" i="19"/>
  <c r="V1365" i="19"/>
  <c r="X1365" i="19"/>
  <c r="V1362" i="19"/>
  <c r="X1362" i="19"/>
  <c r="V1361" i="19"/>
  <c r="X1361" i="19"/>
  <c r="V1359" i="19"/>
  <c r="X1359" i="19"/>
  <c r="V1357" i="19"/>
  <c r="X1357" i="19"/>
  <c r="X1350" i="19"/>
  <c r="V1350" i="19"/>
  <c r="V1347" i="19"/>
  <c r="X1347" i="19"/>
  <c r="X1345" i="19"/>
  <c r="V1345" i="19"/>
  <c r="X1334" i="19"/>
  <c r="V1334" i="19"/>
  <c r="X1330" i="19"/>
  <c r="V1330" i="19"/>
  <c r="V1304" i="19"/>
  <c r="X1304" i="19"/>
  <c r="X1290" i="19"/>
  <c r="V1290" i="19"/>
  <c r="X1288" i="19"/>
  <c r="V1288" i="19"/>
  <c r="V1285" i="19"/>
  <c r="X1285" i="19"/>
  <c r="X1282" i="19"/>
  <c r="V1282" i="19"/>
  <c r="V1279" i="19"/>
  <c r="X1279" i="19"/>
  <c r="V1277" i="19"/>
  <c r="X1277" i="19"/>
  <c r="V2481" i="19"/>
  <c r="X2481" i="19"/>
  <c r="V2480" i="19"/>
  <c r="X2480" i="19"/>
  <c r="V57" i="19"/>
  <c r="X57" i="19"/>
  <c r="V56" i="19"/>
  <c r="X56" i="19"/>
  <c r="V55" i="19"/>
  <c r="X55" i="19"/>
  <c r="V54" i="19"/>
  <c r="X54" i="19"/>
  <c r="V53" i="19"/>
  <c r="X53" i="19"/>
  <c r="V52" i="19"/>
  <c r="X52" i="19"/>
  <c r="V51" i="19"/>
  <c r="X51" i="19"/>
  <c r="V50" i="19"/>
  <c r="X50" i="19"/>
  <c r="V49" i="19"/>
  <c r="X49" i="19"/>
  <c r="V48" i="19"/>
  <c r="X48" i="19"/>
  <c r="V47" i="19"/>
  <c r="X47" i="19"/>
  <c r="V46" i="19"/>
  <c r="X46" i="19"/>
  <c r="V45" i="19"/>
  <c r="X45" i="19"/>
  <c r="V44" i="19"/>
  <c r="X44" i="19"/>
  <c r="V43" i="19"/>
  <c r="X43" i="19"/>
  <c r="V42" i="19"/>
  <c r="X42" i="19"/>
  <c r="V41" i="19"/>
  <c r="X41" i="19"/>
  <c r="V40" i="19"/>
  <c r="X40" i="19"/>
  <c r="V39" i="19"/>
  <c r="X39" i="19"/>
  <c r="V38" i="19"/>
  <c r="X38" i="19"/>
  <c r="V37" i="19"/>
  <c r="X37" i="19"/>
  <c r="V36" i="19"/>
  <c r="X36" i="19"/>
  <c r="V35" i="19"/>
  <c r="X35" i="19"/>
  <c r="V34" i="19"/>
  <c r="X34" i="19"/>
  <c r="V33" i="19"/>
  <c r="X33" i="19"/>
  <c r="V32" i="19"/>
  <c r="X32" i="19"/>
  <c r="V31" i="19"/>
  <c r="X31" i="19"/>
  <c r="V30" i="19"/>
  <c r="X30" i="19"/>
  <c r="V29" i="19"/>
  <c r="X29" i="19"/>
  <c r="V28" i="19"/>
  <c r="X28" i="19"/>
  <c r="V27" i="19"/>
  <c r="X27" i="19"/>
  <c r="V26" i="19"/>
  <c r="X26" i="19"/>
  <c r="V25" i="19"/>
  <c r="X25" i="19"/>
  <c r="V24" i="19"/>
  <c r="X24" i="19"/>
  <c r="V23" i="19"/>
  <c r="X23" i="19"/>
  <c r="V22" i="19"/>
  <c r="X22" i="19"/>
  <c r="V21" i="19"/>
  <c r="X21" i="19"/>
  <c r="V20" i="19"/>
  <c r="X20" i="19"/>
  <c r="V19" i="19"/>
  <c r="X19" i="19"/>
  <c r="V18" i="19"/>
  <c r="X18" i="19"/>
  <c r="V17" i="19"/>
  <c r="X17" i="19"/>
  <c r="V16" i="19"/>
  <c r="X16" i="19"/>
  <c r="V15" i="19"/>
  <c r="X15" i="19"/>
  <c r="V14" i="19"/>
  <c r="X14" i="19"/>
  <c r="V13" i="19"/>
  <c r="X13" i="19"/>
  <c r="V12" i="19"/>
  <c r="X12" i="19"/>
  <c r="V11" i="19"/>
  <c r="X11" i="19"/>
  <c r="V10" i="19"/>
  <c r="X10" i="19"/>
  <c r="V9" i="19"/>
  <c r="X9" i="19"/>
  <c r="V8" i="19"/>
  <c r="X8" i="19"/>
  <c r="V7" i="19"/>
  <c r="X7" i="19"/>
  <c r="V6" i="19"/>
  <c r="X6" i="19"/>
  <c r="V1263" i="19"/>
  <c r="X1263" i="19"/>
  <c r="V1262" i="19"/>
  <c r="X1262" i="19"/>
  <c r="V1261" i="19"/>
  <c r="X1261" i="19"/>
  <c r="V1260" i="19"/>
  <c r="X1260" i="19"/>
  <c r="V1259" i="19"/>
  <c r="X1259" i="19"/>
  <c r="V1258" i="19"/>
  <c r="X1258" i="19"/>
  <c r="V1257" i="19"/>
  <c r="X1257" i="19"/>
  <c r="V1256" i="19"/>
  <c r="X1256" i="19"/>
  <c r="V1255" i="19"/>
  <c r="X1255" i="19"/>
  <c r="V1254" i="19"/>
  <c r="X1254" i="19"/>
  <c r="V1253" i="19"/>
  <c r="X1253" i="19"/>
  <c r="V1252" i="19"/>
  <c r="X1252" i="19"/>
  <c r="V1251" i="19"/>
  <c r="X1251" i="19"/>
  <c r="V1250" i="19"/>
  <c r="X1250" i="19"/>
  <c r="V1249" i="19"/>
  <c r="X1249" i="19"/>
  <c r="V1248" i="19"/>
  <c r="X1248" i="19"/>
  <c r="V1247" i="19"/>
  <c r="X1247" i="19"/>
  <c r="V1246" i="19"/>
  <c r="X1246" i="19"/>
  <c r="V1245" i="19"/>
  <c r="X1245" i="19"/>
  <c r="V1244" i="19"/>
  <c r="X1244" i="19"/>
  <c r="V1243" i="19"/>
  <c r="X1243" i="19"/>
  <c r="V1242" i="19"/>
  <c r="X1242" i="19"/>
  <c r="V1241" i="19"/>
  <c r="X1241" i="19"/>
  <c r="V1240" i="19"/>
  <c r="X1240" i="19"/>
  <c r="V1239" i="19"/>
  <c r="X1239" i="19"/>
  <c r="V1238" i="19"/>
  <c r="X1238" i="19"/>
  <c r="V1237" i="19"/>
  <c r="X1237" i="19"/>
  <c r="V1236" i="19"/>
  <c r="X1236" i="19"/>
  <c r="V1235" i="19"/>
  <c r="X1235" i="19"/>
  <c r="V1234" i="19"/>
  <c r="X1234" i="19"/>
  <c r="V1233" i="19"/>
  <c r="X1233" i="19"/>
  <c r="V1232" i="19"/>
  <c r="X1232" i="19"/>
  <c r="V1231" i="19"/>
  <c r="X1231" i="19"/>
  <c r="V1230" i="19"/>
  <c r="X1230" i="19"/>
  <c r="V1229" i="19"/>
  <c r="X1229" i="19"/>
  <c r="V1228" i="19"/>
  <c r="X1228" i="19"/>
  <c r="V1227" i="19"/>
  <c r="X1227" i="19"/>
  <c r="V1226" i="19"/>
  <c r="X1226" i="19"/>
  <c r="V1225" i="19"/>
  <c r="X1225" i="19"/>
  <c r="V1224" i="19"/>
  <c r="X1224" i="19"/>
  <c r="V1223" i="19"/>
  <c r="X1223" i="19"/>
  <c r="V1222" i="19"/>
  <c r="X1222" i="19"/>
  <c r="V1221" i="19"/>
  <c r="X1221" i="19"/>
  <c r="V1220" i="19"/>
  <c r="X1220" i="19"/>
  <c r="V1219" i="19"/>
  <c r="X1219" i="19"/>
  <c r="V1218" i="19"/>
  <c r="X1218" i="19"/>
  <c r="V1217" i="19"/>
  <c r="X1217" i="19"/>
  <c r="V1216" i="19"/>
  <c r="X1216" i="19"/>
  <c r="V1215" i="19"/>
  <c r="X1215" i="19"/>
  <c r="V1214" i="19"/>
  <c r="X1214" i="19"/>
  <c r="V1213" i="19"/>
  <c r="X1213" i="19"/>
  <c r="V1212" i="19"/>
  <c r="X1212" i="19"/>
  <c r="V1211" i="19"/>
  <c r="X1211" i="19"/>
  <c r="V1210" i="19"/>
  <c r="X1210" i="19"/>
  <c r="V1209" i="19"/>
  <c r="X1209" i="19"/>
  <c r="V1208" i="19"/>
  <c r="X1208" i="19"/>
  <c r="V1207" i="19"/>
  <c r="X1207" i="19"/>
  <c r="V1206" i="19"/>
  <c r="X1206" i="19"/>
  <c r="V1205" i="19"/>
  <c r="X1205" i="19"/>
  <c r="V1204" i="19"/>
  <c r="X1204" i="19"/>
  <c r="V1203" i="19"/>
  <c r="X1203" i="19"/>
  <c r="V1202" i="19"/>
  <c r="X1202" i="19"/>
  <c r="V1201" i="19"/>
  <c r="X1201" i="19"/>
  <c r="V1200" i="19"/>
  <c r="X1200" i="19"/>
  <c r="V1199" i="19"/>
  <c r="X1199" i="19"/>
  <c r="V1198" i="19"/>
  <c r="X1198" i="19"/>
  <c r="V1197" i="19"/>
  <c r="X1197" i="19"/>
  <c r="V1196" i="19"/>
  <c r="X1196" i="19"/>
  <c r="V1195" i="19"/>
  <c r="X1195" i="19"/>
  <c r="V1194" i="19"/>
  <c r="X1194" i="19"/>
  <c r="V1193" i="19"/>
  <c r="X1193" i="19"/>
  <c r="V1192" i="19"/>
  <c r="X1192" i="19"/>
  <c r="V1191" i="19"/>
  <c r="X1191" i="19"/>
  <c r="V1190" i="19"/>
  <c r="X1190" i="19"/>
  <c r="V1189" i="19"/>
  <c r="X1189" i="19"/>
  <c r="V1188" i="19"/>
  <c r="X1188" i="19"/>
  <c r="V1187" i="19"/>
  <c r="X1187" i="19"/>
  <c r="V1186" i="19"/>
  <c r="X1186" i="19"/>
  <c r="V1185" i="19"/>
  <c r="X1185" i="19"/>
  <c r="V1184" i="19"/>
  <c r="X1184" i="19"/>
  <c r="V1183" i="19"/>
  <c r="X1183" i="19"/>
  <c r="V1182" i="19"/>
  <c r="X1182" i="19"/>
  <c r="V1181" i="19"/>
  <c r="X1181" i="19"/>
  <c r="V1180" i="19"/>
  <c r="X1180" i="19"/>
  <c r="V1179" i="19"/>
  <c r="X1179" i="19"/>
  <c r="V1178" i="19"/>
  <c r="X1178" i="19"/>
  <c r="V1177" i="19"/>
  <c r="X1177" i="19"/>
  <c r="V1176" i="19"/>
  <c r="X1176" i="19"/>
  <c r="V1175" i="19"/>
  <c r="X1175" i="19"/>
  <c r="V1174" i="19"/>
  <c r="X1174" i="19"/>
  <c r="V1173" i="19"/>
  <c r="X1173" i="19"/>
  <c r="V1172" i="19"/>
  <c r="X1172" i="19"/>
  <c r="V1171" i="19"/>
  <c r="X1171" i="19"/>
  <c r="V1170" i="19"/>
  <c r="X1170" i="19"/>
  <c r="V1169" i="19"/>
  <c r="X1169" i="19"/>
  <c r="V1168" i="19"/>
  <c r="X1168" i="19"/>
  <c r="V1167" i="19"/>
  <c r="X1167" i="19"/>
  <c r="V1166" i="19"/>
  <c r="X1166" i="19"/>
  <c r="V1165" i="19"/>
  <c r="X1165" i="19"/>
  <c r="V1164" i="19"/>
  <c r="X1164" i="19"/>
  <c r="V1163" i="19"/>
  <c r="X1163" i="19"/>
  <c r="V1162" i="19"/>
  <c r="X1162" i="19"/>
  <c r="V1161" i="19"/>
  <c r="X1161" i="19"/>
  <c r="V1160" i="19"/>
  <c r="X1160" i="19"/>
  <c r="V1159" i="19"/>
  <c r="X1159" i="19"/>
  <c r="V1158" i="19"/>
  <c r="X1158" i="19"/>
  <c r="V1157" i="19"/>
  <c r="X1157" i="19"/>
  <c r="V1156" i="19"/>
  <c r="X1156" i="19"/>
  <c r="V1155" i="19"/>
  <c r="X1155" i="19"/>
  <c r="V1154" i="19"/>
  <c r="X1154" i="19"/>
  <c r="V1153" i="19"/>
  <c r="X1153" i="19"/>
  <c r="V1152" i="19"/>
  <c r="X1152" i="19"/>
  <c r="V1151" i="19"/>
  <c r="X1151" i="19"/>
  <c r="V1150" i="19"/>
  <c r="X1150" i="19"/>
  <c r="V1149" i="19"/>
  <c r="X1149" i="19"/>
  <c r="V1148" i="19"/>
  <c r="X1148" i="19"/>
  <c r="V1147" i="19"/>
  <c r="X1147" i="19"/>
  <c r="V1146" i="19"/>
  <c r="X1146" i="19"/>
  <c r="V1145" i="19"/>
  <c r="X1145" i="19"/>
  <c r="V1144" i="19"/>
  <c r="X1144" i="19"/>
  <c r="V1143" i="19"/>
  <c r="X1143" i="19"/>
  <c r="V1142" i="19"/>
  <c r="X1142" i="19"/>
  <c r="V1141" i="19"/>
  <c r="X1141" i="19"/>
  <c r="V1140" i="19"/>
  <c r="X1140" i="19"/>
  <c r="V1139" i="19"/>
  <c r="X1139" i="19"/>
  <c r="V1138" i="19"/>
  <c r="X1138" i="19"/>
  <c r="V1137" i="19"/>
  <c r="X1137" i="19"/>
  <c r="V1136" i="19"/>
  <c r="X1136" i="19"/>
  <c r="V1135" i="19"/>
  <c r="X1135" i="19"/>
  <c r="V1134" i="19"/>
  <c r="X1134" i="19"/>
  <c r="V1133" i="19"/>
  <c r="X1133" i="19"/>
  <c r="V1132" i="19"/>
  <c r="X1132" i="19"/>
  <c r="V1131" i="19"/>
  <c r="X1131" i="19"/>
  <c r="V1130" i="19"/>
  <c r="X1130" i="19"/>
  <c r="V1129" i="19"/>
  <c r="X1129" i="19"/>
  <c r="V1128" i="19"/>
  <c r="X1128" i="19"/>
  <c r="V1127" i="19"/>
  <c r="X1127" i="19"/>
  <c r="V1126" i="19"/>
  <c r="X1126" i="19"/>
  <c r="V1125" i="19"/>
  <c r="X1125" i="19"/>
  <c r="V1124" i="19"/>
  <c r="X1124" i="19"/>
  <c r="V1123" i="19"/>
  <c r="X1123" i="19"/>
  <c r="V1122" i="19"/>
  <c r="X1122" i="19"/>
  <c r="V1121" i="19"/>
  <c r="X1121" i="19"/>
  <c r="V1120" i="19"/>
  <c r="X1120" i="19"/>
  <c r="V1119" i="19"/>
  <c r="X1119" i="19"/>
  <c r="V1118" i="19"/>
  <c r="X1118" i="19"/>
  <c r="V1117" i="19"/>
  <c r="X1117" i="19"/>
  <c r="V1116" i="19"/>
  <c r="X1116" i="19"/>
  <c r="V1115" i="19"/>
  <c r="X1115" i="19"/>
  <c r="V1114" i="19"/>
  <c r="X1114" i="19"/>
  <c r="V1113" i="19"/>
  <c r="X1113" i="19"/>
  <c r="V1112" i="19"/>
  <c r="X1112" i="19"/>
  <c r="V1111" i="19"/>
  <c r="X1111" i="19"/>
  <c r="V1110" i="19"/>
  <c r="X1110" i="19"/>
  <c r="V1109" i="19"/>
  <c r="X1109" i="19"/>
  <c r="V1108" i="19"/>
  <c r="X1108" i="19"/>
  <c r="V1107" i="19"/>
  <c r="X1107" i="19"/>
  <c r="V1106" i="19"/>
  <c r="X1106" i="19"/>
  <c r="V1105" i="19"/>
  <c r="X1105" i="19"/>
  <c r="V1104" i="19"/>
  <c r="X1104" i="19"/>
  <c r="V1103" i="19"/>
  <c r="X1103" i="19"/>
  <c r="V1102" i="19"/>
  <c r="X1102" i="19"/>
  <c r="V1101" i="19"/>
  <c r="X1101" i="19"/>
  <c r="V1100" i="19"/>
  <c r="X1100" i="19"/>
  <c r="V1099" i="19"/>
  <c r="X1099" i="19"/>
  <c r="V1098" i="19"/>
  <c r="X1098" i="19"/>
  <c r="V1097" i="19"/>
  <c r="X1097" i="19"/>
  <c r="V1096" i="19"/>
  <c r="X1096" i="19"/>
  <c r="V1095" i="19"/>
  <c r="X1095" i="19"/>
  <c r="V1094" i="19"/>
  <c r="X1094" i="19"/>
  <c r="V1093" i="19"/>
  <c r="X1093" i="19"/>
  <c r="V1092" i="19"/>
  <c r="X1092" i="19"/>
  <c r="V1091" i="19"/>
  <c r="X1091" i="19"/>
  <c r="V1090" i="19"/>
  <c r="X1090" i="19"/>
  <c r="V1089" i="19"/>
  <c r="X1089" i="19"/>
  <c r="V1088" i="19"/>
  <c r="X1088" i="19"/>
  <c r="V1087" i="19"/>
  <c r="X1087" i="19"/>
  <c r="V1086" i="19"/>
  <c r="X1086" i="19"/>
  <c r="V1085" i="19"/>
  <c r="X1085" i="19"/>
  <c r="V1084" i="19"/>
  <c r="X1084" i="19"/>
  <c r="V1083" i="19"/>
  <c r="X1083" i="19"/>
  <c r="V1082" i="19"/>
  <c r="X1082" i="19"/>
  <c r="V1081" i="19"/>
  <c r="X1081" i="19"/>
  <c r="V1080" i="19"/>
  <c r="X1080" i="19"/>
  <c r="V1079" i="19"/>
  <c r="X1079" i="19"/>
  <c r="V1078" i="19"/>
  <c r="X1078" i="19"/>
  <c r="V1077" i="19"/>
  <c r="X1077" i="19"/>
  <c r="V1076" i="19"/>
  <c r="X1076" i="19"/>
  <c r="V1075" i="19"/>
  <c r="X1075" i="19"/>
  <c r="V1074" i="19"/>
  <c r="X1074" i="19"/>
  <c r="V1073" i="19"/>
  <c r="X1073" i="19"/>
  <c r="V1072" i="19"/>
  <c r="X1072" i="19"/>
  <c r="V1071" i="19"/>
  <c r="X1071" i="19"/>
  <c r="V1070" i="19"/>
  <c r="X1070" i="19"/>
  <c r="V1069" i="19"/>
  <c r="X1069" i="19"/>
  <c r="V1068" i="19"/>
  <c r="X1068" i="19"/>
  <c r="V1067" i="19"/>
  <c r="X1067" i="19"/>
  <c r="V1066" i="19"/>
  <c r="X1066" i="19"/>
  <c r="V1065" i="19"/>
  <c r="X1065" i="19"/>
  <c r="V1064" i="19"/>
  <c r="X1064" i="19"/>
  <c r="V1063" i="19"/>
  <c r="X1063" i="19"/>
  <c r="V1062" i="19"/>
  <c r="X1062" i="19"/>
  <c r="V1061" i="19"/>
  <c r="X1061" i="19"/>
  <c r="V1060" i="19"/>
  <c r="X1060" i="19"/>
  <c r="V1059" i="19"/>
  <c r="X1059" i="19"/>
  <c r="V1058" i="19"/>
  <c r="X1058" i="19"/>
  <c r="V1057" i="19"/>
  <c r="X1057" i="19"/>
  <c r="V1056" i="19"/>
  <c r="X1056" i="19"/>
  <c r="V1055" i="19"/>
  <c r="X1055" i="19"/>
  <c r="V1054" i="19"/>
  <c r="X1054" i="19"/>
  <c r="V825" i="19"/>
  <c r="X825" i="19"/>
  <c r="V824" i="19"/>
  <c r="X824" i="19"/>
  <c r="V823" i="19"/>
  <c r="X823" i="19"/>
  <c r="V822" i="19"/>
  <c r="X822" i="19"/>
  <c r="V820" i="19"/>
  <c r="X820" i="19"/>
  <c r="V818" i="19"/>
  <c r="X818" i="19"/>
  <c r="V816" i="19"/>
  <c r="X816" i="19"/>
  <c r="V814" i="19"/>
  <c r="X814" i="19"/>
  <c r="V813" i="19"/>
  <c r="X813" i="19"/>
  <c r="V812" i="19"/>
  <c r="X812" i="19"/>
  <c r="V809" i="19"/>
  <c r="X809" i="19"/>
  <c r="V808" i="19"/>
  <c r="X808" i="19"/>
  <c r="V807" i="19"/>
  <c r="X807" i="19"/>
  <c r="V804" i="19"/>
  <c r="X804" i="19"/>
  <c r="V803" i="19"/>
  <c r="X803" i="19"/>
  <c r="V802" i="19"/>
  <c r="X802" i="19"/>
  <c r="V800" i="19"/>
  <c r="X800" i="19"/>
  <c r="V797" i="19"/>
  <c r="X797" i="19"/>
  <c r="V795" i="19"/>
  <c r="X795" i="19"/>
  <c r="V794" i="19"/>
  <c r="X794" i="19"/>
  <c r="V793" i="19"/>
  <c r="X793" i="19"/>
  <c r="V791" i="19"/>
  <c r="X791" i="19"/>
  <c r="V790" i="19"/>
  <c r="X790" i="19"/>
  <c r="V788" i="19"/>
  <c r="X788" i="19"/>
  <c r="V785" i="19"/>
  <c r="X785" i="19"/>
  <c r="V784" i="19"/>
  <c r="X784" i="19"/>
  <c r="V781" i="19"/>
  <c r="X781" i="19"/>
  <c r="V779" i="19"/>
  <c r="X779" i="19"/>
  <c r="V776" i="19"/>
  <c r="X776" i="19"/>
  <c r="V774" i="19"/>
  <c r="X774" i="19"/>
  <c r="V773" i="19"/>
  <c r="X773" i="19"/>
  <c r="V771" i="19"/>
  <c r="X771" i="19"/>
  <c r="V769" i="19"/>
  <c r="X769" i="19"/>
  <c r="V768" i="19"/>
  <c r="X768" i="19"/>
  <c r="V767" i="19"/>
  <c r="X767" i="19"/>
  <c r="V764" i="19"/>
  <c r="X764" i="19"/>
  <c r="V762" i="19"/>
  <c r="X762" i="19"/>
  <c r="V760" i="19"/>
  <c r="X760" i="19"/>
  <c r="V756" i="19"/>
  <c r="X756" i="19"/>
  <c r="V754" i="19"/>
  <c r="X754" i="19"/>
  <c r="V751" i="19"/>
  <c r="X751" i="19"/>
  <c r="V749" i="19"/>
  <c r="X749" i="19"/>
  <c r="V748" i="19"/>
  <c r="X748" i="19"/>
  <c r="V746" i="19"/>
  <c r="X746" i="19"/>
  <c r="V743" i="19"/>
  <c r="X743" i="19"/>
  <c r="V741" i="19"/>
  <c r="X741" i="19"/>
  <c r="V739" i="19"/>
  <c r="X739" i="19"/>
  <c r="V738" i="19"/>
  <c r="X738" i="19"/>
  <c r="V736" i="19"/>
  <c r="X736" i="19"/>
  <c r="V733" i="19"/>
  <c r="X733" i="19"/>
  <c r="V731" i="19"/>
  <c r="X731" i="19"/>
  <c r="V730" i="19"/>
  <c r="X730" i="19"/>
  <c r="V729" i="19"/>
  <c r="X729" i="19"/>
  <c r="V728" i="19"/>
  <c r="X728" i="19"/>
  <c r="V726" i="19"/>
  <c r="X726" i="19"/>
  <c r="V725" i="19"/>
  <c r="X725" i="19"/>
  <c r="V724" i="19"/>
  <c r="X724" i="19"/>
  <c r="V723" i="19"/>
  <c r="X723" i="19"/>
  <c r="V722" i="19"/>
  <c r="X722" i="19"/>
  <c r="V721" i="19"/>
  <c r="X721" i="19"/>
  <c r="V717" i="19"/>
  <c r="X717" i="19"/>
  <c r="V715" i="19"/>
  <c r="X715" i="19"/>
  <c r="V712" i="19"/>
  <c r="X712" i="19"/>
  <c r="X710" i="19"/>
  <c r="V710" i="19"/>
  <c r="V709" i="19"/>
  <c r="X709" i="19"/>
  <c r="V707" i="19"/>
  <c r="X707" i="19"/>
  <c r="V706" i="19"/>
  <c r="X706" i="19"/>
  <c r="V702" i="19"/>
  <c r="X702" i="19"/>
  <c r="V700" i="19"/>
  <c r="X700" i="19"/>
  <c r="V698" i="19"/>
  <c r="X698" i="19"/>
  <c r="V696" i="19"/>
  <c r="X696" i="19"/>
  <c r="V695" i="19"/>
  <c r="X695" i="19"/>
  <c r="V693" i="19"/>
  <c r="X693" i="19"/>
  <c r="V692" i="19"/>
  <c r="X692" i="19"/>
  <c r="V691" i="19"/>
  <c r="X691" i="19"/>
  <c r="V689" i="19"/>
  <c r="X689" i="19"/>
  <c r="V687" i="19"/>
  <c r="X687" i="19"/>
  <c r="V685" i="19"/>
  <c r="X685" i="19"/>
  <c r="V683" i="19"/>
  <c r="X683" i="19"/>
  <c r="X682" i="19"/>
  <c r="V682" i="19"/>
  <c r="V681" i="19"/>
  <c r="X681" i="19"/>
  <c r="V680" i="19"/>
  <c r="X680" i="19"/>
  <c r="V679" i="19"/>
  <c r="X679" i="19"/>
  <c r="V678" i="19"/>
  <c r="X678" i="19"/>
  <c r="V672" i="19"/>
  <c r="X672" i="19"/>
  <c r="V670" i="19"/>
  <c r="X670" i="19"/>
  <c r="V669" i="19"/>
  <c r="X669" i="19"/>
  <c r="V666" i="19"/>
  <c r="X666" i="19"/>
  <c r="V662" i="19"/>
  <c r="X662" i="19"/>
  <c r="V660" i="19"/>
  <c r="X660" i="19"/>
  <c r="V658" i="19"/>
  <c r="X658" i="19"/>
  <c r="V655" i="19"/>
  <c r="X655" i="19"/>
  <c r="X654" i="19"/>
  <c r="V654" i="19"/>
  <c r="V653" i="19"/>
  <c r="X653" i="19"/>
  <c r="V652" i="19"/>
  <c r="X652" i="19"/>
  <c r="V650" i="19"/>
  <c r="X650" i="19"/>
  <c r="V649" i="19"/>
  <c r="X649" i="19"/>
  <c r="V648" i="19"/>
  <c r="X648" i="19"/>
  <c r="V646" i="19"/>
  <c r="X646" i="19"/>
  <c r="V644" i="19"/>
  <c r="X644" i="19"/>
  <c r="V643" i="19"/>
  <c r="X643" i="19"/>
  <c r="V642" i="19"/>
  <c r="X642" i="19"/>
  <c r="V640" i="19"/>
  <c r="X640" i="19"/>
  <c r="V636" i="19"/>
  <c r="X636" i="19"/>
  <c r="V635" i="19"/>
  <c r="X635" i="19"/>
  <c r="V634" i="19"/>
  <c r="X634" i="19"/>
  <c r="V632" i="19"/>
  <c r="X632" i="19"/>
  <c r="V630" i="19"/>
  <c r="X630" i="19"/>
  <c r="V629" i="19"/>
  <c r="X629" i="19"/>
  <c r="V625" i="19"/>
  <c r="X625" i="19"/>
  <c r="V623" i="19"/>
  <c r="X623" i="19"/>
  <c r="V622" i="19"/>
  <c r="X622" i="19"/>
  <c r="V617" i="19"/>
  <c r="X617" i="19"/>
  <c r="V614" i="19"/>
  <c r="X614" i="19"/>
  <c r="V613" i="19"/>
  <c r="X613" i="19"/>
  <c r="V612" i="19"/>
  <c r="X612" i="19"/>
  <c r="V609" i="19"/>
  <c r="X609" i="19"/>
  <c r="V608" i="19"/>
  <c r="X608" i="19"/>
  <c r="V604" i="19"/>
  <c r="X604" i="19"/>
  <c r="V603" i="19"/>
  <c r="X603" i="19"/>
  <c r="V602" i="19"/>
  <c r="X602" i="19"/>
  <c r="V601" i="19"/>
  <c r="X601" i="19"/>
  <c r="V600" i="19"/>
  <c r="X600" i="19"/>
  <c r="X599" i="19"/>
  <c r="V599" i="19"/>
  <c r="V598" i="19"/>
  <c r="X598" i="19"/>
  <c r="V596" i="19"/>
  <c r="X596" i="19"/>
  <c r="V595" i="19"/>
  <c r="X595" i="19"/>
  <c r="V594" i="19"/>
  <c r="X594" i="19"/>
  <c r="V591" i="19"/>
  <c r="X591" i="19"/>
  <c r="V589" i="19"/>
  <c r="X589" i="19"/>
  <c r="V586" i="19"/>
  <c r="X586" i="19"/>
  <c r="V585" i="19"/>
  <c r="X585" i="19"/>
  <c r="V584" i="19"/>
  <c r="X584" i="19"/>
  <c r="V582" i="19"/>
  <c r="X582" i="19"/>
  <c r="V581" i="19"/>
  <c r="X581" i="19"/>
  <c r="V580" i="19"/>
  <c r="X580" i="19"/>
  <c r="V579" i="19"/>
  <c r="X579" i="19"/>
  <c r="V578" i="19"/>
  <c r="X578" i="19"/>
  <c r="V573" i="19"/>
  <c r="X573" i="19"/>
  <c r="V572" i="19"/>
  <c r="X572" i="19"/>
  <c r="V571" i="19"/>
  <c r="X571" i="19"/>
  <c r="V569" i="19"/>
  <c r="X569" i="19"/>
  <c r="V567" i="19"/>
  <c r="X567" i="19"/>
  <c r="V566" i="19"/>
  <c r="X566" i="19"/>
  <c r="V565" i="19"/>
  <c r="X565" i="19"/>
  <c r="V563" i="19"/>
  <c r="X563" i="19"/>
  <c r="V561" i="19"/>
  <c r="X561" i="19"/>
  <c r="V560" i="19"/>
  <c r="X560" i="19"/>
  <c r="V558" i="19"/>
  <c r="X558" i="19"/>
  <c r="V557" i="19"/>
  <c r="X557" i="19"/>
  <c r="V555" i="19"/>
  <c r="X555" i="19"/>
  <c r="V552" i="19"/>
  <c r="X552" i="19"/>
  <c r="V551" i="19"/>
  <c r="X551" i="19"/>
  <c r="V549" i="19"/>
  <c r="X549" i="19"/>
  <c r="V547" i="19"/>
  <c r="X547" i="19"/>
  <c r="V545" i="19"/>
  <c r="X545" i="19"/>
  <c r="V542" i="19"/>
  <c r="X542" i="19"/>
  <c r="V540" i="19"/>
  <c r="X540" i="19"/>
  <c r="V539" i="19"/>
  <c r="X539" i="19"/>
  <c r="V537" i="19"/>
  <c r="X537" i="19"/>
  <c r="V536" i="19"/>
  <c r="X536" i="19"/>
  <c r="V531" i="19"/>
  <c r="X531" i="19"/>
  <c r="V530" i="19"/>
  <c r="X530" i="19"/>
  <c r="V528" i="19"/>
  <c r="X528" i="19"/>
  <c r="V526" i="19"/>
  <c r="X526" i="19"/>
  <c r="V525" i="19"/>
  <c r="X525" i="19"/>
  <c r="V522" i="19"/>
  <c r="X522" i="19"/>
  <c r="V521" i="19"/>
  <c r="X521" i="19"/>
  <c r="V520" i="19"/>
  <c r="X520" i="19"/>
  <c r="V519" i="19"/>
  <c r="X519" i="19"/>
  <c r="V518" i="19"/>
  <c r="X518" i="19"/>
  <c r="V516" i="19"/>
  <c r="X516" i="19"/>
  <c r="V514" i="19"/>
  <c r="X514" i="19"/>
  <c r="V512" i="19"/>
  <c r="X512" i="19"/>
  <c r="V511" i="19"/>
  <c r="X511" i="19"/>
  <c r="V510" i="19"/>
  <c r="X510" i="19"/>
  <c r="V507" i="19"/>
  <c r="X507" i="19"/>
  <c r="V506" i="19"/>
  <c r="X506" i="19"/>
  <c r="V505" i="19"/>
  <c r="X505" i="19"/>
  <c r="V504" i="19"/>
  <c r="X504" i="19"/>
  <c r="V499" i="19"/>
  <c r="X499" i="19"/>
  <c r="V498" i="19"/>
  <c r="X498" i="19"/>
  <c r="V493" i="19"/>
  <c r="X493" i="19"/>
  <c r="V490" i="19"/>
  <c r="X490" i="19"/>
  <c r="V488" i="19"/>
  <c r="X488" i="19"/>
  <c r="V485" i="19"/>
  <c r="X485" i="19"/>
  <c r="V483" i="19"/>
  <c r="X483" i="19"/>
  <c r="V481" i="19"/>
  <c r="X481" i="19"/>
  <c r="V479" i="19"/>
  <c r="X479" i="19"/>
  <c r="V478" i="19"/>
  <c r="X478" i="19"/>
  <c r="V477" i="19"/>
  <c r="X477" i="19"/>
  <c r="V474" i="19"/>
  <c r="X474" i="19"/>
  <c r="X473" i="19"/>
  <c r="V473" i="19"/>
  <c r="V472" i="19"/>
  <c r="X472" i="19"/>
  <c r="V470" i="19"/>
  <c r="X470" i="19"/>
  <c r="V468" i="19"/>
  <c r="X468" i="19"/>
  <c r="V467" i="19"/>
  <c r="X467" i="19"/>
  <c r="V465" i="19"/>
  <c r="X465" i="19"/>
  <c r="V462" i="19"/>
  <c r="X462" i="19"/>
  <c r="V460" i="19"/>
  <c r="X460" i="19"/>
  <c r="V458" i="19"/>
  <c r="X458" i="19"/>
  <c r="V457" i="19"/>
  <c r="X457" i="19"/>
  <c r="V456" i="19"/>
  <c r="X456" i="19"/>
  <c r="V455" i="19"/>
  <c r="X455" i="19"/>
  <c r="V453" i="19"/>
  <c r="X453" i="19"/>
  <c r="V451" i="19"/>
  <c r="X451" i="19"/>
  <c r="V449" i="19"/>
  <c r="X449" i="19"/>
  <c r="V445" i="19"/>
  <c r="X445" i="19"/>
  <c r="V443" i="19"/>
  <c r="X443" i="19"/>
  <c r="V439" i="19"/>
  <c r="X439" i="19"/>
  <c r="V437" i="19"/>
  <c r="X437" i="19"/>
  <c r="V436" i="19"/>
  <c r="X436" i="19"/>
  <c r="V434" i="19"/>
  <c r="X434" i="19"/>
  <c r="V432" i="19"/>
  <c r="X432" i="19"/>
  <c r="V429" i="19"/>
  <c r="X429" i="19"/>
  <c r="V426" i="19"/>
  <c r="X426" i="19"/>
  <c r="V424" i="19"/>
  <c r="X424" i="19"/>
  <c r="V1053" i="19"/>
  <c r="X1053" i="19"/>
  <c r="V1052" i="19"/>
  <c r="X1052" i="19"/>
  <c r="V1051" i="19"/>
  <c r="X1051" i="19"/>
  <c r="V1050" i="19"/>
  <c r="X1050" i="19"/>
  <c r="V1049" i="19"/>
  <c r="X1049" i="19"/>
  <c r="V1048" i="19"/>
  <c r="X1048" i="19"/>
  <c r="V1047" i="19"/>
  <c r="X1047" i="19"/>
  <c r="V1046" i="19"/>
  <c r="X1046" i="19"/>
  <c r="V1045" i="19"/>
  <c r="X1045" i="19"/>
  <c r="V1044" i="19"/>
  <c r="X1044" i="19"/>
  <c r="V1043" i="19"/>
  <c r="X1043" i="19"/>
  <c r="V1042" i="19"/>
  <c r="X1042" i="19"/>
  <c r="V1041" i="19"/>
  <c r="X1041" i="19"/>
  <c r="V1040" i="19"/>
  <c r="X1040" i="19"/>
  <c r="V1039" i="19"/>
  <c r="X1039" i="19"/>
  <c r="V1038" i="19"/>
  <c r="X1038" i="19"/>
  <c r="V1037" i="19"/>
  <c r="X1037" i="19"/>
  <c r="V1036" i="19"/>
  <c r="X1036" i="19"/>
  <c r="V1035" i="19"/>
  <c r="X1035" i="19"/>
  <c r="V1034" i="19"/>
  <c r="X1034" i="19"/>
  <c r="V1033" i="19"/>
  <c r="X1033" i="19"/>
  <c r="V1032" i="19"/>
  <c r="X1032" i="19"/>
  <c r="V1031" i="19"/>
  <c r="X1031" i="19"/>
  <c r="V1030" i="19"/>
  <c r="X1030" i="19"/>
  <c r="V1029" i="19"/>
  <c r="X1029" i="19"/>
  <c r="V1028" i="19"/>
  <c r="X1028" i="19"/>
  <c r="V1027" i="19"/>
  <c r="X1027" i="19"/>
  <c r="V1026" i="19"/>
  <c r="X1026" i="19"/>
  <c r="V1025" i="19"/>
  <c r="X1025" i="19"/>
  <c r="V1024" i="19"/>
  <c r="X1024" i="19"/>
  <c r="V1023" i="19"/>
  <c r="X1023" i="19"/>
  <c r="V1022" i="19"/>
  <c r="X1022" i="19"/>
  <c r="V1021" i="19"/>
  <c r="X1021" i="19"/>
  <c r="V1020" i="19"/>
  <c r="X1020" i="19"/>
  <c r="V1019" i="19"/>
  <c r="X1019" i="19"/>
  <c r="V1018" i="19"/>
  <c r="X1018" i="19"/>
  <c r="V1017" i="19"/>
  <c r="X1017" i="19"/>
  <c r="V1016" i="19"/>
  <c r="X1016" i="19"/>
  <c r="V1015" i="19"/>
  <c r="X1015" i="19"/>
  <c r="V1014" i="19"/>
  <c r="X1014" i="19"/>
  <c r="V1013" i="19"/>
  <c r="X1013" i="19"/>
  <c r="V1012" i="19"/>
  <c r="X1012" i="19"/>
  <c r="V1011" i="19"/>
  <c r="X1011" i="19"/>
  <c r="V1010" i="19"/>
  <c r="X1010" i="19"/>
  <c r="V1009" i="19"/>
  <c r="X1009" i="19"/>
  <c r="V1008" i="19"/>
  <c r="X1008" i="19"/>
  <c r="V1007" i="19"/>
  <c r="X1007" i="19"/>
  <c r="V1006" i="19"/>
  <c r="X1006" i="19"/>
  <c r="V1005" i="19"/>
  <c r="X1005" i="19"/>
  <c r="V1004" i="19"/>
  <c r="X1004" i="19"/>
  <c r="V1003" i="19"/>
  <c r="X1003" i="19"/>
  <c r="V1002" i="19"/>
  <c r="X1002" i="19"/>
  <c r="V1001" i="19"/>
  <c r="X1001" i="19"/>
  <c r="V1000" i="19"/>
  <c r="X1000" i="19"/>
  <c r="V999" i="19"/>
  <c r="X999" i="19"/>
  <c r="V998" i="19"/>
  <c r="X998" i="19"/>
  <c r="V997" i="19"/>
  <c r="X997" i="19"/>
  <c r="V996" i="19"/>
  <c r="X996" i="19"/>
  <c r="V995" i="19"/>
  <c r="X995" i="19"/>
  <c r="V994" i="19"/>
  <c r="X994" i="19"/>
  <c r="V993" i="19"/>
  <c r="X993" i="19"/>
  <c r="V992" i="19"/>
  <c r="X992" i="19"/>
  <c r="V991" i="19"/>
  <c r="X991" i="19"/>
  <c r="V990" i="19"/>
  <c r="X990" i="19"/>
  <c r="V989" i="19"/>
  <c r="X989" i="19"/>
  <c r="V988" i="19"/>
  <c r="X988" i="19"/>
  <c r="V987" i="19"/>
  <c r="X987" i="19"/>
  <c r="V986" i="19"/>
  <c r="X986" i="19"/>
  <c r="V985" i="19"/>
  <c r="X985" i="19"/>
  <c r="V984" i="19"/>
  <c r="X984" i="19"/>
  <c r="V983" i="19"/>
  <c r="X983" i="19"/>
  <c r="V982" i="19"/>
  <c r="X982" i="19"/>
  <c r="V981" i="19"/>
  <c r="X981" i="19"/>
  <c r="V980" i="19"/>
  <c r="X980" i="19"/>
  <c r="V979" i="19"/>
  <c r="X979" i="19"/>
  <c r="V978" i="19"/>
  <c r="X978" i="19"/>
  <c r="V977" i="19"/>
  <c r="X977" i="19"/>
  <c r="V976" i="19"/>
  <c r="X976" i="19"/>
  <c r="V975" i="19"/>
  <c r="X975" i="19"/>
  <c r="V974" i="19"/>
  <c r="X974" i="19"/>
  <c r="V973" i="19"/>
  <c r="X973" i="19"/>
  <c r="V972" i="19"/>
  <c r="X972" i="19"/>
  <c r="V971" i="19"/>
  <c r="X971" i="19"/>
  <c r="V970" i="19"/>
  <c r="X970" i="19"/>
  <c r="V969" i="19"/>
  <c r="X969" i="19"/>
  <c r="V968" i="19"/>
  <c r="X968" i="19"/>
  <c r="V967" i="19"/>
  <c r="X967" i="19"/>
  <c r="V966" i="19"/>
  <c r="X966" i="19"/>
  <c r="V965" i="19"/>
  <c r="X965" i="19"/>
  <c r="V964" i="19"/>
  <c r="X964" i="19"/>
  <c r="V963" i="19"/>
  <c r="X963" i="19"/>
  <c r="V962" i="19"/>
  <c r="X962" i="19"/>
  <c r="V961" i="19"/>
  <c r="X961" i="19"/>
  <c r="V960" i="19"/>
  <c r="X960" i="19"/>
  <c r="V959" i="19"/>
  <c r="X959" i="19"/>
  <c r="V958" i="19"/>
  <c r="X958" i="19"/>
  <c r="V957" i="19"/>
  <c r="X957" i="19"/>
  <c r="V956" i="19"/>
  <c r="X956" i="19"/>
  <c r="V955" i="19"/>
  <c r="X955" i="19"/>
  <c r="V954" i="19"/>
  <c r="X954" i="19"/>
  <c r="V953" i="19"/>
  <c r="X953" i="19"/>
  <c r="V952" i="19"/>
  <c r="X952" i="19"/>
  <c r="V951" i="19"/>
  <c r="X951" i="19"/>
  <c r="V950" i="19"/>
  <c r="X950" i="19"/>
  <c r="V949" i="19"/>
  <c r="X949" i="19"/>
  <c r="V948" i="19"/>
  <c r="X948" i="19"/>
  <c r="V947" i="19"/>
  <c r="X947" i="19"/>
  <c r="V946" i="19"/>
  <c r="X946" i="19"/>
  <c r="V945" i="19"/>
  <c r="X945" i="19"/>
  <c r="V944" i="19"/>
  <c r="X944" i="19"/>
  <c r="V943" i="19"/>
  <c r="X943" i="19"/>
  <c r="V942" i="19"/>
  <c r="X942" i="19"/>
  <c r="V941" i="19"/>
  <c r="X941" i="19"/>
  <c r="V940" i="19"/>
  <c r="X940" i="19"/>
  <c r="V939" i="19"/>
  <c r="X939" i="19"/>
  <c r="V938" i="19"/>
  <c r="X938" i="19"/>
  <c r="V937" i="19"/>
  <c r="X937" i="19"/>
  <c r="V936" i="19"/>
  <c r="X936" i="19"/>
  <c r="V935" i="19"/>
  <c r="X935" i="19"/>
  <c r="V934" i="19"/>
  <c r="X934" i="19"/>
  <c r="V933" i="19"/>
  <c r="X933" i="19"/>
  <c r="V932" i="19"/>
  <c r="X932" i="19"/>
  <c r="V931" i="19"/>
  <c r="X931" i="19"/>
  <c r="V930" i="19"/>
  <c r="X930" i="19"/>
  <c r="V929" i="19"/>
  <c r="X929" i="19"/>
  <c r="V928" i="19"/>
  <c r="X928" i="19"/>
  <c r="V927" i="19"/>
  <c r="X927" i="19"/>
  <c r="V926" i="19"/>
  <c r="X926" i="19"/>
  <c r="V925" i="19"/>
  <c r="X925" i="19"/>
  <c r="V924" i="19"/>
  <c r="X924" i="19"/>
  <c r="V923" i="19"/>
  <c r="X923" i="19"/>
  <c r="V922" i="19"/>
  <c r="X922" i="19"/>
  <c r="V921" i="19"/>
  <c r="X921" i="19"/>
  <c r="V920" i="19"/>
  <c r="X920" i="19"/>
  <c r="V919" i="19"/>
  <c r="X919" i="19"/>
  <c r="V918" i="19"/>
  <c r="X918" i="19"/>
  <c r="V917" i="19"/>
  <c r="X917" i="19"/>
  <c r="V916" i="19"/>
  <c r="X916" i="19"/>
  <c r="V915" i="19"/>
  <c r="X915" i="19"/>
  <c r="V914" i="19"/>
  <c r="X914" i="19"/>
  <c r="V913" i="19"/>
  <c r="X913" i="19"/>
  <c r="V912" i="19"/>
  <c r="X912" i="19"/>
  <c r="V911" i="19"/>
  <c r="X911" i="19"/>
  <c r="V910" i="19"/>
  <c r="X910" i="19"/>
  <c r="V909" i="19"/>
  <c r="X909" i="19"/>
  <c r="V908" i="19"/>
  <c r="X908" i="19"/>
  <c r="V907" i="19"/>
  <c r="X907" i="19"/>
  <c r="V906" i="19"/>
  <c r="X906" i="19"/>
  <c r="V905" i="19"/>
  <c r="X905" i="19"/>
  <c r="V904" i="19"/>
  <c r="X904" i="19"/>
  <c r="V903" i="19"/>
  <c r="X903" i="19"/>
  <c r="V902" i="19"/>
  <c r="X902" i="19"/>
  <c r="V901" i="19"/>
  <c r="X901" i="19"/>
  <c r="V900" i="19"/>
  <c r="X900" i="19"/>
  <c r="V899" i="19"/>
  <c r="X899" i="19"/>
  <c r="V898" i="19"/>
  <c r="X898" i="19"/>
  <c r="V897" i="19"/>
  <c r="X897" i="19"/>
  <c r="V896" i="19"/>
  <c r="X896" i="19"/>
  <c r="V895" i="19"/>
  <c r="X895" i="19"/>
  <c r="V894" i="19"/>
  <c r="X894" i="19"/>
  <c r="V893" i="19"/>
  <c r="X893" i="19"/>
  <c r="V892" i="19"/>
  <c r="X892" i="19"/>
  <c r="V891" i="19"/>
  <c r="X891" i="19"/>
  <c r="V890" i="19"/>
  <c r="X890" i="19"/>
  <c r="V889" i="19"/>
  <c r="X889" i="19"/>
  <c r="V888" i="19"/>
  <c r="X888" i="19"/>
  <c r="V887" i="19"/>
  <c r="X887" i="19"/>
  <c r="V886" i="19"/>
  <c r="X886" i="19"/>
  <c r="V885" i="19"/>
  <c r="X885" i="19"/>
  <c r="V884" i="19"/>
  <c r="X884" i="19"/>
  <c r="V883" i="19"/>
  <c r="X883" i="19"/>
  <c r="V882" i="19"/>
  <c r="X882" i="19"/>
  <c r="V881" i="19"/>
  <c r="X881" i="19"/>
  <c r="V880" i="19"/>
  <c r="X880" i="19"/>
  <c r="V879" i="19"/>
  <c r="X879" i="19"/>
  <c r="V878" i="19"/>
  <c r="X878" i="19"/>
  <c r="V877" i="19"/>
  <c r="X877" i="19"/>
  <c r="V876" i="19"/>
  <c r="X876" i="19"/>
  <c r="V875" i="19"/>
  <c r="X875" i="19"/>
  <c r="V874" i="19"/>
  <c r="X874" i="19"/>
  <c r="V873" i="19"/>
  <c r="X873" i="19"/>
  <c r="V872" i="19"/>
  <c r="X872" i="19"/>
  <c r="V871" i="19"/>
  <c r="X871" i="19"/>
  <c r="V870" i="19"/>
  <c r="X870" i="19"/>
  <c r="V869" i="19"/>
  <c r="X869" i="19"/>
  <c r="V868" i="19"/>
  <c r="X868" i="19"/>
  <c r="V867" i="19"/>
  <c r="X867" i="19"/>
  <c r="V866" i="19"/>
  <c r="X866" i="19"/>
  <c r="V865" i="19"/>
  <c r="X865" i="19"/>
  <c r="V864" i="19"/>
  <c r="X864" i="19"/>
  <c r="V863" i="19"/>
  <c r="X863" i="19"/>
  <c r="V862" i="19"/>
  <c r="X862" i="19"/>
  <c r="V861" i="19"/>
  <c r="X861" i="19"/>
  <c r="V860" i="19"/>
  <c r="X860" i="19"/>
  <c r="V859" i="19"/>
  <c r="X859" i="19"/>
  <c r="V858" i="19"/>
  <c r="X858" i="19"/>
  <c r="V857" i="19"/>
  <c r="X857" i="19"/>
  <c r="V856" i="19"/>
  <c r="X856" i="19"/>
  <c r="V855" i="19"/>
  <c r="X855" i="19"/>
  <c r="V854" i="19"/>
  <c r="X854" i="19"/>
  <c r="V853" i="19"/>
  <c r="X853" i="19"/>
  <c r="V852" i="19"/>
  <c r="X852" i="19"/>
  <c r="V851" i="19"/>
  <c r="X851" i="19"/>
  <c r="V850" i="19"/>
  <c r="X850" i="19"/>
  <c r="V849" i="19"/>
  <c r="X849" i="19"/>
  <c r="V848" i="19"/>
  <c r="X848" i="19"/>
  <c r="V847" i="19"/>
  <c r="X847" i="19"/>
  <c r="V846" i="19"/>
  <c r="X846" i="19"/>
  <c r="V845" i="19"/>
  <c r="X845" i="19"/>
  <c r="V844" i="19"/>
  <c r="X844" i="19"/>
  <c r="V843" i="19"/>
  <c r="X843" i="19"/>
  <c r="V842" i="19"/>
  <c r="X842" i="19"/>
  <c r="V841" i="19"/>
  <c r="X841" i="19"/>
  <c r="V840" i="19"/>
  <c r="X840" i="19"/>
  <c r="V839" i="19"/>
  <c r="X839" i="19"/>
  <c r="V838" i="19"/>
  <c r="X838" i="19"/>
  <c r="V837" i="19"/>
  <c r="X837" i="19"/>
  <c r="V836" i="19"/>
  <c r="X836" i="19"/>
  <c r="V835" i="19"/>
  <c r="X835" i="19"/>
  <c r="V834" i="19"/>
  <c r="X834" i="19"/>
  <c r="V833" i="19"/>
  <c r="X833" i="19"/>
  <c r="V832" i="19"/>
  <c r="X832" i="19"/>
  <c r="V831" i="19"/>
  <c r="X831" i="19"/>
  <c r="V830" i="19"/>
  <c r="X830" i="19"/>
  <c r="V829" i="19"/>
  <c r="X829" i="19"/>
  <c r="V828" i="19"/>
  <c r="X828" i="19"/>
  <c r="V827" i="19"/>
  <c r="X827" i="19"/>
  <c r="V826" i="19"/>
  <c r="X826" i="19"/>
  <c r="V821" i="19"/>
  <c r="X821" i="19"/>
  <c r="V819" i="19"/>
  <c r="X819" i="19"/>
  <c r="V817" i="19"/>
  <c r="X817" i="19"/>
  <c r="V815" i="19"/>
  <c r="X815" i="19"/>
  <c r="V811" i="19"/>
  <c r="X811" i="19"/>
  <c r="V810" i="19"/>
  <c r="X810" i="19"/>
  <c r="V806" i="19"/>
  <c r="X806" i="19"/>
  <c r="V805" i="19"/>
  <c r="X805" i="19"/>
  <c r="V801" i="19"/>
  <c r="X801" i="19"/>
  <c r="V799" i="19"/>
  <c r="X799" i="19"/>
  <c r="V798" i="19"/>
  <c r="X798" i="19"/>
  <c r="V796" i="19"/>
  <c r="X796" i="19"/>
  <c r="V792" i="19"/>
  <c r="X792" i="19"/>
  <c r="V789" i="19"/>
  <c r="X789" i="19"/>
  <c r="V787" i="19"/>
  <c r="X787" i="19"/>
  <c r="V786" i="19"/>
  <c r="X786" i="19"/>
  <c r="V783" i="19"/>
  <c r="X783" i="19"/>
  <c r="V782" i="19"/>
  <c r="X782" i="19"/>
  <c r="V780" i="19"/>
  <c r="X780" i="19"/>
  <c r="V778" i="19"/>
  <c r="X778" i="19"/>
  <c r="V777" i="19"/>
  <c r="X777" i="19"/>
  <c r="V775" i="19"/>
  <c r="X775" i="19"/>
  <c r="V772" i="19"/>
  <c r="X772" i="19"/>
  <c r="V770" i="19"/>
  <c r="X770" i="19"/>
  <c r="V766" i="19"/>
  <c r="X766" i="19"/>
  <c r="V765" i="19"/>
  <c r="X765" i="19"/>
  <c r="V763" i="19"/>
  <c r="X763" i="19"/>
  <c r="V761" i="19"/>
  <c r="X761" i="19"/>
  <c r="V759" i="19"/>
  <c r="X759" i="19"/>
  <c r="V758" i="19"/>
  <c r="X758" i="19"/>
  <c r="V757" i="19"/>
  <c r="X757" i="19"/>
  <c r="V755" i="19"/>
  <c r="X755" i="19"/>
  <c r="V753" i="19"/>
  <c r="X753" i="19"/>
  <c r="V752" i="19"/>
  <c r="X752" i="19"/>
  <c r="V750" i="19"/>
  <c r="X750" i="19"/>
  <c r="V747" i="19"/>
  <c r="X747" i="19"/>
  <c r="X745" i="19"/>
  <c r="V745" i="19"/>
  <c r="V744" i="19"/>
  <c r="X744" i="19"/>
  <c r="V742" i="19"/>
  <c r="X742" i="19"/>
  <c r="V740" i="19"/>
  <c r="X740" i="19"/>
  <c r="V737" i="19"/>
  <c r="X737" i="19"/>
  <c r="V735" i="19"/>
  <c r="X735" i="19"/>
  <c r="V734" i="19"/>
  <c r="X734" i="19"/>
  <c r="V732" i="19"/>
  <c r="X732" i="19"/>
  <c r="V727" i="19"/>
  <c r="X727" i="19"/>
  <c r="X720" i="19"/>
  <c r="V720" i="19"/>
  <c r="V719" i="19"/>
  <c r="X719" i="19"/>
  <c r="V718" i="19"/>
  <c r="X718" i="19"/>
  <c r="X716" i="19"/>
  <c r="V716" i="19"/>
  <c r="V714" i="19"/>
  <c r="X714" i="19"/>
  <c r="V713" i="19"/>
  <c r="X713" i="19"/>
  <c r="X711" i="19"/>
  <c r="V711" i="19"/>
  <c r="V708" i="19"/>
  <c r="X708" i="19"/>
  <c r="V705" i="19"/>
  <c r="X705" i="19"/>
  <c r="V704" i="19"/>
  <c r="X704" i="19"/>
  <c r="X703" i="19"/>
  <c r="V703" i="19"/>
  <c r="V701" i="19"/>
  <c r="X701" i="19"/>
  <c r="V699" i="19"/>
  <c r="X699" i="19"/>
  <c r="V697" i="19"/>
  <c r="X697" i="19"/>
  <c r="V694" i="19"/>
  <c r="X694" i="19"/>
  <c r="V690" i="19"/>
  <c r="X690" i="19"/>
  <c r="V688" i="19"/>
  <c r="X688" i="19"/>
  <c r="V686" i="19"/>
  <c r="X686" i="19"/>
  <c r="V684" i="19"/>
  <c r="X684" i="19"/>
  <c r="V677" i="19"/>
  <c r="X677" i="19"/>
  <c r="V676" i="19"/>
  <c r="X676" i="19"/>
  <c r="V675" i="19"/>
  <c r="X675" i="19"/>
  <c r="V674" i="19"/>
  <c r="X674" i="19"/>
  <c r="V673" i="19"/>
  <c r="X673" i="19"/>
  <c r="V671" i="19"/>
  <c r="X671" i="19"/>
  <c r="V668" i="19"/>
  <c r="X668" i="19"/>
  <c r="V667" i="19"/>
  <c r="X667" i="19"/>
  <c r="V665" i="19"/>
  <c r="X665" i="19"/>
  <c r="V664" i="19"/>
  <c r="X664" i="19"/>
  <c r="V663" i="19"/>
  <c r="X663" i="19"/>
  <c r="V661" i="19"/>
  <c r="X661" i="19"/>
  <c r="V659" i="19"/>
  <c r="X659" i="19"/>
  <c r="V657" i="19"/>
  <c r="X657" i="19"/>
  <c r="V656" i="19"/>
  <c r="X656" i="19"/>
  <c r="V651" i="19"/>
  <c r="X651" i="19"/>
  <c r="V647" i="19"/>
  <c r="X647" i="19"/>
  <c r="V645" i="19"/>
  <c r="X645" i="19"/>
  <c r="V641" i="19"/>
  <c r="X641" i="19"/>
  <c r="V639" i="19"/>
  <c r="X639" i="19"/>
  <c r="V638" i="19"/>
  <c r="X638" i="19"/>
  <c r="V637" i="19"/>
  <c r="X637" i="19"/>
  <c r="V633" i="19"/>
  <c r="X633" i="19"/>
  <c r="V631" i="19"/>
  <c r="X631" i="19"/>
  <c r="V628" i="19"/>
  <c r="X628" i="19"/>
  <c r="X627" i="19"/>
  <c r="V627" i="19"/>
  <c r="V626" i="19"/>
  <c r="X626" i="19"/>
  <c r="V624" i="19"/>
  <c r="X624" i="19"/>
  <c r="V621" i="19"/>
  <c r="X621" i="19"/>
  <c r="V620" i="19"/>
  <c r="X620" i="19"/>
  <c r="X619" i="19"/>
  <c r="V619" i="19"/>
  <c r="V618" i="19"/>
  <c r="X618" i="19"/>
  <c r="V616" i="19"/>
  <c r="X616" i="19"/>
  <c r="V615" i="19"/>
  <c r="X615" i="19"/>
  <c r="V611" i="19"/>
  <c r="X611" i="19"/>
  <c r="V610" i="19"/>
  <c r="X610" i="19"/>
  <c r="V607" i="19"/>
  <c r="X607" i="19"/>
  <c r="V606" i="19"/>
  <c r="X606" i="19"/>
  <c r="V605" i="19"/>
  <c r="X605" i="19"/>
  <c r="V597" i="19"/>
  <c r="X597" i="19"/>
  <c r="V593" i="19"/>
  <c r="X593" i="19"/>
  <c r="V592" i="19"/>
  <c r="X592" i="19"/>
  <c r="V590" i="19"/>
  <c r="X590" i="19"/>
  <c r="V588" i="19"/>
  <c r="X588" i="19"/>
  <c r="V587" i="19"/>
  <c r="X587" i="19"/>
  <c r="V583" i="19"/>
  <c r="X583" i="19"/>
  <c r="V577" i="19"/>
  <c r="X577" i="19"/>
  <c r="V576" i="19"/>
  <c r="X576" i="19"/>
  <c r="X575" i="19"/>
  <c r="V575" i="19"/>
  <c r="V574" i="19"/>
  <c r="X574" i="19"/>
  <c r="V570" i="19"/>
  <c r="X570" i="19"/>
  <c r="V568" i="19"/>
  <c r="X568" i="19"/>
  <c r="V564" i="19"/>
  <c r="X564" i="19"/>
  <c r="V562" i="19"/>
  <c r="X562" i="19"/>
  <c r="V559" i="19"/>
  <c r="X559" i="19"/>
  <c r="V556" i="19"/>
  <c r="X556" i="19"/>
  <c r="V554" i="19"/>
  <c r="X554" i="19"/>
  <c r="V553" i="19"/>
  <c r="X553" i="19"/>
  <c r="V550" i="19"/>
  <c r="X550" i="19"/>
  <c r="V548" i="19"/>
  <c r="X548" i="19"/>
  <c r="V546" i="19"/>
  <c r="X546" i="19"/>
  <c r="V544" i="19"/>
  <c r="X544" i="19"/>
  <c r="V543" i="19"/>
  <c r="X543" i="19"/>
  <c r="V541" i="19"/>
  <c r="X541" i="19"/>
  <c r="V538" i="19"/>
  <c r="X538" i="19"/>
  <c r="X535" i="19"/>
  <c r="V535" i="19"/>
  <c r="V534" i="19"/>
  <c r="X534" i="19"/>
  <c r="X533" i="19"/>
  <c r="V533" i="19"/>
  <c r="V532" i="19"/>
  <c r="X532" i="19"/>
  <c r="V529" i="19"/>
  <c r="X529" i="19"/>
  <c r="V527" i="19"/>
  <c r="X527" i="19"/>
  <c r="X524" i="19"/>
  <c r="V524" i="19"/>
  <c r="V523" i="19"/>
  <c r="X523" i="19"/>
  <c r="V517" i="19"/>
  <c r="X517" i="19"/>
  <c r="V515" i="19"/>
  <c r="X515" i="19"/>
  <c r="V513" i="19"/>
  <c r="X513" i="19"/>
  <c r="V509" i="19"/>
  <c r="X509" i="19"/>
  <c r="V508" i="19"/>
  <c r="X508" i="19"/>
  <c r="V503" i="19"/>
  <c r="X503" i="19"/>
  <c r="V502" i="19"/>
  <c r="X502" i="19"/>
  <c r="X501" i="19"/>
  <c r="V501" i="19"/>
  <c r="V500" i="19"/>
  <c r="X500" i="19"/>
  <c r="V497" i="19"/>
  <c r="X497" i="19"/>
  <c r="V496" i="19"/>
  <c r="X496" i="19"/>
  <c r="V495" i="19"/>
  <c r="X495" i="19"/>
  <c r="V494" i="19"/>
  <c r="X494" i="19"/>
  <c r="V492" i="19"/>
  <c r="X492" i="19"/>
  <c r="V491" i="19"/>
  <c r="X491" i="19"/>
  <c r="V489" i="19"/>
  <c r="X489" i="19"/>
  <c r="V487" i="19"/>
  <c r="X487" i="19"/>
  <c r="V486" i="19"/>
  <c r="X486" i="19"/>
  <c r="V484" i="19"/>
  <c r="X484" i="19"/>
  <c r="V482" i="19"/>
  <c r="X482" i="19"/>
  <c r="V480" i="19"/>
  <c r="X480" i="19"/>
  <c r="V476" i="19"/>
  <c r="X476" i="19"/>
  <c r="V475" i="19"/>
  <c r="X475" i="19"/>
  <c r="V471" i="19"/>
  <c r="X471" i="19"/>
  <c r="V469" i="19"/>
  <c r="X469" i="19"/>
  <c r="V466" i="19"/>
  <c r="X466" i="19"/>
  <c r="V464" i="19"/>
  <c r="X464" i="19"/>
  <c r="V463" i="19"/>
  <c r="X463" i="19"/>
  <c r="V461" i="19"/>
  <c r="X461" i="19"/>
  <c r="V459" i="19"/>
  <c r="X459" i="19"/>
  <c r="V454" i="19"/>
  <c r="X454" i="19"/>
  <c r="V452" i="19"/>
  <c r="X452" i="19"/>
  <c r="V450" i="19"/>
  <c r="X450" i="19"/>
  <c r="X448" i="19"/>
  <c r="V448" i="19"/>
  <c r="V447" i="19"/>
  <c r="X447" i="19"/>
  <c r="V446" i="19"/>
  <c r="X446" i="19"/>
  <c r="V444" i="19"/>
  <c r="X444" i="19"/>
  <c r="V442" i="19"/>
  <c r="X442" i="19"/>
  <c r="V441" i="19"/>
  <c r="X441" i="19"/>
  <c r="X440" i="19"/>
  <c r="V440" i="19"/>
  <c r="V438" i="19"/>
  <c r="X438" i="19"/>
  <c r="V435" i="19"/>
  <c r="X435" i="19"/>
  <c r="V433" i="19"/>
  <c r="X433" i="19"/>
  <c r="V431" i="19"/>
  <c r="X431" i="19"/>
  <c r="V430" i="19"/>
  <c r="X430" i="19"/>
  <c r="V428" i="19"/>
  <c r="X428" i="19"/>
  <c r="V427" i="19"/>
  <c r="X427" i="19"/>
  <c r="V425" i="19"/>
  <c r="X425" i="19"/>
  <c r="V2482" i="19"/>
  <c r="X2482" i="19"/>
  <c r="V2479" i="19"/>
  <c r="X2479" i="19"/>
  <c r="V423" i="19"/>
  <c r="X423" i="19"/>
  <c r="V422" i="19"/>
  <c r="X422" i="19"/>
  <c r="V421" i="19"/>
  <c r="X421" i="19"/>
  <c r="V420" i="19"/>
  <c r="X420" i="19"/>
  <c r="V419" i="19"/>
  <c r="X419" i="19"/>
  <c r="V418" i="19"/>
  <c r="X418" i="19"/>
  <c r="V417" i="19"/>
  <c r="X417" i="19"/>
  <c r="V416" i="19"/>
  <c r="X416" i="19"/>
  <c r="V415" i="19"/>
  <c r="X415" i="19"/>
  <c r="V414" i="19"/>
  <c r="X414" i="19"/>
  <c r="V413" i="19"/>
  <c r="X413" i="19"/>
  <c r="V412" i="19"/>
  <c r="X412" i="19"/>
  <c r="V411" i="19"/>
  <c r="X411" i="19"/>
  <c r="V410" i="19"/>
  <c r="X410" i="19"/>
  <c r="V409" i="19"/>
  <c r="X409" i="19"/>
  <c r="V408" i="19"/>
  <c r="X408" i="19"/>
  <c r="V407" i="19"/>
  <c r="X407" i="19"/>
  <c r="V406" i="19"/>
  <c r="X406" i="19"/>
  <c r="V405" i="19"/>
  <c r="X405" i="19"/>
  <c r="V404" i="19"/>
  <c r="X404" i="19"/>
  <c r="V403" i="19"/>
  <c r="X403" i="19"/>
  <c r="V402" i="19"/>
  <c r="X402" i="19"/>
  <c r="V401" i="19"/>
  <c r="X401" i="19"/>
  <c r="V400" i="19"/>
  <c r="X400" i="19"/>
  <c r="V399" i="19"/>
  <c r="X399" i="19"/>
  <c r="V398" i="19"/>
  <c r="X398" i="19"/>
  <c r="V397" i="19"/>
  <c r="X397" i="19"/>
  <c r="V396" i="19"/>
  <c r="X396" i="19"/>
  <c r="V395" i="19"/>
  <c r="X395" i="19"/>
  <c r="V394" i="19"/>
  <c r="X394" i="19"/>
  <c r="V393" i="19"/>
  <c r="X393" i="19"/>
  <c r="V392" i="19"/>
  <c r="X392" i="19"/>
  <c r="V391" i="19"/>
  <c r="X391" i="19"/>
  <c r="V390" i="19"/>
  <c r="X390" i="19"/>
  <c r="V389" i="19"/>
  <c r="X389" i="19"/>
  <c r="V388" i="19"/>
  <c r="X388" i="19"/>
  <c r="V387" i="19"/>
  <c r="X387" i="19"/>
  <c r="V386" i="19"/>
  <c r="X386" i="19"/>
  <c r="V385" i="19"/>
  <c r="X385" i="19"/>
  <c r="V384" i="19"/>
  <c r="X384" i="19"/>
  <c r="V383" i="19"/>
  <c r="X383" i="19"/>
  <c r="V382" i="19"/>
  <c r="X382" i="19"/>
  <c r="V381" i="19"/>
  <c r="X381" i="19"/>
  <c r="V380" i="19"/>
  <c r="X380" i="19"/>
  <c r="V379" i="19"/>
  <c r="X379" i="19"/>
  <c r="V378" i="19"/>
  <c r="X378" i="19"/>
  <c r="V377" i="19"/>
  <c r="X377" i="19"/>
  <c r="V376" i="19"/>
  <c r="X376" i="19"/>
  <c r="V375" i="19"/>
  <c r="X375" i="19"/>
  <c r="V374" i="19"/>
  <c r="X374" i="19"/>
  <c r="V373" i="19"/>
  <c r="X373" i="19"/>
  <c r="V372" i="19"/>
  <c r="X372" i="19"/>
  <c r="V371" i="19"/>
  <c r="X371" i="19"/>
  <c r="V370" i="19"/>
  <c r="X370" i="19"/>
  <c r="V369" i="19"/>
  <c r="X369" i="19"/>
  <c r="V368" i="19"/>
  <c r="X368" i="19"/>
  <c r="V367" i="19"/>
  <c r="X367" i="19"/>
  <c r="V366" i="19"/>
  <c r="X366" i="19"/>
  <c r="V365" i="19"/>
  <c r="X365" i="19"/>
  <c r="V364" i="19"/>
  <c r="X364" i="19"/>
  <c r="V363" i="19"/>
  <c r="X363" i="19"/>
  <c r="V362" i="19"/>
  <c r="X362" i="19"/>
  <c r="V361" i="19"/>
  <c r="X361" i="19"/>
  <c r="V360" i="19"/>
  <c r="X360" i="19"/>
  <c r="V359" i="19"/>
  <c r="X359" i="19"/>
  <c r="V358" i="19"/>
  <c r="X358" i="19"/>
  <c r="V357" i="19"/>
  <c r="X357" i="19"/>
  <c r="V356" i="19"/>
  <c r="X356" i="19"/>
  <c r="V355" i="19"/>
  <c r="X355" i="19"/>
  <c r="V354" i="19"/>
  <c r="X354" i="19"/>
  <c r="V353" i="19"/>
  <c r="X353" i="19"/>
  <c r="V352" i="19"/>
  <c r="X352" i="19"/>
  <c r="V351" i="19"/>
  <c r="X351" i="19"/>
  <c r="V350" i="19"/>
  <c r="X350" i="19"/>
  <c r="V349" i="19"/>
  <c r="X349" i="19"/>
  <c r="V348" i="19"/>
  <c r="X348" i="19"/>
  <c r="V347" i="19"/>
  <c r="X347" i="19"/>
  <c r="V346" i="19"/>
  <c r="X346" i="19"/>
  <c r="V345" i="19"/>
  <c r="X345" i="19"/>
  <c r="V344" i="19"/>
  <c r="X344" i="19"/>
  <c r="V343" i="19"/>
  <c r="X343" i="19"/>
  <c r="V342" i="19"/>
  <c r="X342" i="19"/>
  <c r="V341" i="19"/>
  <c r="X341" i="19"/>
  <c r="V340" i="19"/>
  <c r="X340" i="19"/>
  <c r="V339" i="19"/>
  <c r="X339" i="19"/>
  <c r="V338" i="19"/>
  <c r="X338" i="19"/>
  <c r="V337" i="19"/>
  <c r="X337" i="19"/>
  <c r="V336" i="19"/>
  <c r="X336" i="19"/>
  <c r="V335" i="19"/>
  <c r="X335" i="19"/>
  <c r="V334" i="19"/>
  <c r="X334" i="19"/>
  <c r="V333" i="19"/>
  <c r="X333" i="19"/>
  <c r="V332" i="19"/>
  <c r="X332" i="19"/>
  <c r="V331" i="19"/>
  <c r="X331" i="19"/>
  <c r="V330" i="19"/>
  <c r="X330" i="19"/>
  <c r="V329" i="19"/>
  <c r="X329" i="19"/>
  <c r="V328" i="19"/>
  <c r="X328" i="19"/>
  <c r="V327" i="19"/>
  <c r="X327" i="19"/>
  <c r="V326" i="19"/>
  <c r="X326" i="19"/>
  <c r="V325" i="19"/>
  <c r="X325" i="19"/>
  <c r="V324" i="19"/>
  <c r="X324" i="19"/>
  <c r="V323" i="19"/>
  <c r="X323" i="19"/>
  <c r="V322" i="19"/>
  <c r="X322" i="19"/>
  <c r="V321" i="19"/>
  <c r="X321" i="19"/>
  <c r="V320" i="19"/>
  <c r="X320" i="19"/>
  <c r="V319" i="19"/>
  <c r="X319" i="19"/>
  <c r="V318" i="19"/>
  <c r="X318" i="19"/>
  <c r="V317" i="19"/>
  <c r="X317" i="19"/>
  <c r="V316" i="19"/>
  <c r="X316" i="19"/>
  <c r="V315" i="19"/>
  <c r="X315" i="19"/>
  <c r="V314" i="19"/>
  <c r="X314" i="19"/>
  <c r="V313" i="19"/>
  <c r="X313" i="19"/>
  <c r="V312" i="19"/>
  <c r="X312" i="19"/>
  <c r="V311" i="19"/>
  <c r="X311" i="19"/>
  <c r="V310" i="19"/>
  <c r="X310" i="19"/>
  <c r="V309" i="19"/>
  <c r="X309" i="19"/>
  <c r="V308" i="19"/>
  <c r="X308" i="19"/>
  <c r="V307" i="19"/>
  <c r="X307" i="19"/>
  <c r="V306" i="19"/>
  <c r="X306" i="19"/>
  <c r="V305" i="19"/>
  <c r="X305" i="19"/>
  <c r="V304" i="19"/>
  <c r="X304" i="19"/>
  <c r="V303" i="19"/>
  <c r="X303" i="19"/>
  <c r="V302" i="19"/>
  <c r="X302" i="19"/>
  <c r="V301" i="19"/>
  <c r="X301" i="19"/>
  <c r="V300" i="19"/>
  <c r="X300" i="19"/>
  <c r="V299" i="19"/>
  <c r="X299" i="19"/>
  <c r="V298" i="19"/>
  <c r="X298" i="19"/>
  <c r="V297" i="19"/>
  <c r="X297" i="19"/>
  <c r="V296" i="19"/>
  <c r="X296" i="19"/>
  <c r="V295" i="19"/>
  <c r="X295" i="19"/>
  <c r="V294" i="19"/>
  <c r="X294" i="19"/>
  <c r="V293" i="19"/>
  <c r="X293" i="19"/>
  <c r="V292" i="19"/>
  <c r="X292" i="19"/>
  <c r="V291" i="19"/>
  <c r="X291" i="19"/>
  <c r="V290" i="19"/>
  <c r="X290" i="19"/>
  <c r="V289" i="19"/>
  <c r="X289" i="19"/>
  <c r="V288" i="19"/>
  <c r="X288" i="19"/>
  <c r="V287" i="19"/>
  <c r="X287" i="19"/>
  <c r="V286" i="19"/>
  <c r="X286" i="19"/>
  <c r="V285" i="19"/>
  <c r="X285" i="19"/>
  <c r="V284" i="19"/>
  <c r="X284" i="19"/>
  <c r="V283" i="19"/>
  <c r="X283" i="19"/>
  <c r="V282" i="19"/>
  <c r="X282" i="19"/>
  <c r="V281" i="19"/>
  <c r="X281" i="19"/>
  <c r="V280" i="19"/>
  <c r="X280" i="19"/>
  <c r="V279" i="19"/>
  <c r="X279" i="19"/>
  <c r="V278" i="19"/>
  <c r="X278" i="19"/>
  <c r="V277" i="19"/>
  <c r="X277" i="19"/>
  <c r="V276" i="19"/>
  <c r="X276" i="19"/>
  <c r="V275" i="19"/>
  <c r="X275" i="19"/>
  <c r="V274" i="19"/>
  <c r="X274" i="19"/>
  <c r="V273" i="19"/>
  <c r="X273" i="19"/>
  <c r="V272" i="19"/>
  <c r="X272" i="19"/>
  <c r="V271" i="19"/>
  <c r="X271" i="19"/>
  <c r="V270" i="19"/>
  <c r="X270" i="19"/>
  <c r="V269" i="19"/>
  <c r="X269" i="19"/>
  <c r="V268" i="19"/>
  <c r="X268" i="19"/>
  <c r="V267" i="19"/>
  <c r="X267" i="19"/>
  <c r="V266" i="19"/>
  <c r="X266" i="19"/>
  <c r="V265" i="19"/>
  <c r="X265" i="19"/>
  <c r="V264" i="19"/>
  <c r="X264" i="19"/>
  <c r="V263" i="19"/>
  <c r="X263" i="19"/>
  <c r="V262" i="19"/>
  <c r="X262" i="19"/>
  <c r="V261" i="19"/>
  <c r="X261" i="19"/>
  <c r="V260" i="19"/>
  <c r="X260" i="19"/>
  <c r="V259" i="19"/>
  <c r="X259" i="19"/>
  <c r="V258" i="19"/>
  <c r="X258" i="19"/>
  <c r="V257" i="19"/>
  <c r="X257" i="19"/>
  <c r="V256" i="19"/>
  <c r="X256" i="19"/>
  <c r="V255" i="19"/>
  <c r="X255" i="19"/>
  <c r="V254" i="19"/>
  <c r="X254" i="19"/>
  <c r="V253" i="19"/>
  <c r="X253" i="19"/>
  <c r="V252" i="19"/>
  <c r="X252" i="19"/>
  <c r="V251" i="19"/>
  <c r="X251" i="19"/>
  <c r="V250" i="19"/>
  <c r="X250" i="19"/>
  <c r="V249" i="19"/>
  <c r="X249" i="19"/>
  <c r="V248" i="19"/>
  <c r="X248" i="19"/>
  <c r="V247" i="19"/>
  <c r="X247" i="19"/>
  <c r="V246" i="19"/>
  <c r="X246" i="19"/>
  <c r="V245" i="19"/>
  <c r="X245" i="19"/>
  <c r="V244" i="19"/>
  <c r="X244" i="19"/>
  <c r="V243" i="19"/>
  <c r="X243" i="19"/>
  <c r="V242" i="19"/>
  <c r="X242" i="19"/>
  <c r="V241" i="19"/>
  <c r="X241" i="19"/>
  <c r="V240" i="19"/>
  <c r="X240" i="19"/>
  <c r="V239" i="19"/>
  <c r="X239" i="19"/>
  <c r="V238" i="19"/>
  <c r="X238" i="19"/>
  <c r="V237" i="19"/>
  <c r="X237" i="19"/>
  <c r="V236" i="19"/>
  <c r="X236" i="19"/>
  <c r="V235" i="19"/>
  <c r="X235" i="19"/>
  <c r="V234" i="19"/>
  <c r="X234" i="19"/>
  <c r="V233" i="19"/>
  <c r="X233" i="19"/>
  <c r="V232" i="19"/>
  <c r="X232" i="19"/>
  <c r="V231" i="19"/>
  <c r="X231" i="19"/>
  <c r="V230" i="19"/>
  <c r="X230" i="19"/>
  <c r="V229" i="19"/>
  <c r="X229" i="19"/>
  <c r="V228" i="19"/>
  <c r="X228" i="19"/>
  <c r="V227" i="19"/>
  <c r="X227" i="19"/>
  <c r="V226" i="19"/>
  <c r="X226" i="19"/>
  <c r="V225" i="19"/>
  <c r="X225" i="19"/>
  <c r="V224" i="19"/>
  <c r="X224" i="19"/>
  <c r="V223" i="19"/>
  <c r="X223" i="19"/>
  <c r="V222" i="19"/>
  <c r="X222" i="19"/>
  <c r="V221" i="19"/>
  <c r="X221" i="19"/>
  <c r="V220" i="19"/>
  <c r="X220" i="19"/>
  <c r="V219" i="19"/>
  <c r="X219" i="19"/>
  <c r="V218" i="19"/>
  <c r="X218" i="19"/>
  <c r="V217" i="19"/>
  <c r="X217" i="19"/>
  <c r="V216" i="19"/>
  <c r="X216" i="19"/>
  <c r="V215" i="19"/>
  <c r="X215" i="19"/>
  <c r="V214" i="19"/>
  <c r="X214" i="19"/>
  <c r="V213" i="19"/>
  <c r="X213" i="19"/>
  <c r="V212" i="19"/>
  <c r="X212" i="19"/>
  <c r="V211" i="19"/>
  <c r="X211" i="19"/>
  <c r="V210" i="19"/>
  <c r="X210" i="19"/>
  <c r="V209" i="19"/>
  <c r="X209" i="19"/>
  <c r="V208" i="19"/>
  <c r="X208" i="19"/>
  <c r="V207" i="19"/>
  <c r="X207" i="19"/>
  <c r="V206" i="19"/>
  <c r="X206" i="19"/>
  <c r="V205" i="19"/>
  <c r="X205" i="19"/>
  <c r="V204" i="19"/>
  <c r="X204" i="19"/>
  <c r="V203" i="19"/>
  <c r="X203" i="19"/>
  <c r="V202" i="19"/>
  <c r="X202" i="19"/>
  <c r="V201" i="19"/>
  <c r="X201" i="19"/>
  <c r="V200" i="19"/>
  <c r="X200" i="19"/>
  <c r="V199" i="19"/>
  <c r="X199" i="19"/>
  <c r="V198" i="19"/>
  <c r="X198" i="19"/>
  <c r="V197" i="19"/>
  <c r="X197" i="19"/>
  <c r="V196" i="19"/>
  <c r="X196" i="19"/>
  <c r="V195" i="19"/>
  <c r="X195" i="19"/>
  <c r="V194" i="19"/>
  <c r="X194" i="19"/>
  <c r="V193" i="19"/>
  <c r="X193" i="19"/>
  <c r="V192" i="19"/>
  <c r="X192" i="19"/>
  <c r="V191" i="19"/>
  <c r="X191" i="19"/>
  <c r="V190" i="19"/>
  <c r="X190" i="19"/>
  <c r="V189" i="19"/>
  <c r="X189" i="19"/>
  <c r="V188" i="19"/>
  <c r="X188" i="19"/>
  <c r="V187" i="19"/>
  <c r="X187" i="19"/>
  <c r="V186" i="19"/>
  <c r="X186" i="19"/>
  <c r="V185" i="19"/>
  <c r="X185" i="19"/>
  <c r="V184" i="19"/>
  <c r="X184" i="19"/>
  <c r="V183" i="19"/>
  <c r="X183" i="19"/>
  <c r="V182" i="19"/>
  <c r="X182" i="19"/>
  <c r="V181" i="19"/>
  <c r="X181" i="19"/>
  <c r="V180" i="19"/>
  <c r="X180" i="19"/>
  <c r="V179" i="19"/>
  <c r="X179" i="19"/>
  <c r="V178" i="19"/>
  <c r="X178" i="19"/>
  <c r="V177" i="19"/>
  <c r="X177" i="19"/>
  <c r="V176" i="19"/>
  <c r="X176" i="19"/>
  <c r="V175" i="19"/>
  <c r="X175" i="19"/>
  <c r="V174" i="19"/>
  <c r="X174" i="19"/>
  <c r="V173" i="19"/>
  <c r="X173" i="19"/>
  <c r="V172" i="19"/>
  <c r="X172" i="19"/>
  <c r="V171" i="19"/>
  <c r="X171" i="19"/>
  <c r="V170" i="19"/>
  <c r="X170" i="19"/>
  <c r="V169" i="19"/>
  <c r="X169" i="19"/>
  <c r="V168" i="19"/>
  <c r="X168" i="19"/>
  <c r="V167" i="19"/>
  <c r="X167" i="19"/>
  <c r="V166" i="19"/>
  <c r="X166" i="19"/>
  <c r="V165" i="19"/>
  <c r="X165" i="19"/>
  <c r="V164" i="19"/>
  <c r="X164" i="19"/>
  <c r="V163" i="19"/>
  <c r="X163" i="19"/>
  <c r="V162" i="19"/>
  <c r="X162" i="19"/>
  <c r="V161" i="19"/>
  <c r="X161" i="19"/>
  <c r="V160" i="19"/>
  <c r="X160" i="19"/>
  <c r="V159" i="19"/>
  <c r="X159" i="19"/>
  <c r="V158" i="19"/>
  <c r="X158" i="19"/>
  <c r="V157" i="19"/>
  <c r="X157" i="19"/>
  <c r="V156" i="19"/>
  <c r="X156" i="19"/>
  <c r="V155" i="19"/>
  <c r="X155" i="19"/>
  <c r="V154" i="19"/>
  <c r="X154" i="19"/>
  <c r="V153" i="19"/>
  <c r="X153" i="19"/>
  <c r="V152" i="19"/>
  <c r="X152" i="19"/>
  <c r="V151" i="19"/>
  <c r="X151" i="19"/>
  <c r="V150" i="19"/>
  <c r="X150" i="19"/>
  <c r="V149" i="19"/>
  <c r="X149" i="19"/>
  <c r="V148" i="19"/>
  <c r="X148" i="19"/>
  <c r="V147" i="19"/>
  <c r="X147" i="19"/>
  <c r="V146" i="19"/>
  <c r="X146" i="19"/>
  <c r="V145" i="19"/>
  <c r="X145" i="19"/>
  <c r="V144" i="19"/>
  <c r="X144" i="19"/>
  <c r="V143" i="19"/>
  <c r="X143" i="19"/>
  <c r="V142" i="19"/>
  <c r="X142" i="19"/>
  <c r="V141" i="19"/>
  <c r="X141" i="19"/>
  <c r="V140" i="19"/>
  <c r="X140" i="19"/>
  <c r="V139" i="19"/>
  <c r="X139" i="19"/>
  <c r="V138" i="19"/>
  <c r="X138" i="19"/>
  <c r="V137" i="19"/>
  <c r="X137" i="19"/>
  <c r="V136" i="19"/>
  <c r="X136" i="19"/>
  <c r="V135" i="19"/>
  <c r="X135" i="19"/>
  <c r="V134" i="19"/>
  <c r="X134" i="19"/>
  <c r="V133" i="19"/>
  <c r="X133" i="19"/>
  <c r="V132" i="19"/>
  <c r="X132" i="19"/>
  <c r="V131" i="19"/>
  <c r="X131" i="19"/>
  <c r="V130" i="19"/>
  <c r="X130" i="19"/>
  <c r="V129" i="19"/>
  <c r="X129" i="19"/>
  <c r="D131" i="3"/>
  <c r="C45" i="20" l="1"/>
  <c r="K45" i="20"/>
  <c r="C46" i="20"/>
  <c r="K46" i="20"/>
  <c r="C44" i="20"/>
  <c r="K44" i="20"/>
  <c r="D63" i="20"/>
  <c r="E63" i="20" s="1"/>
  <c r="F63" i="20"/>
  <c r="G66" i="20"/>
  <c r="H66" i="20"/>
  <c r="I66" i="20"/>
  <c r="D67" i="20"/>
  <c r="E67" i="20" s="1"/>
  <c r="F67" i="20"/>
  <c r="G68" i="20"/>
  <c r="H68" i="20"/>
  <c r="I68" i="20"/>
  <c r="D69" i="20"/>
  <c r="E69" i="20" s="1"/>
  <c r="F69" i="20"/>
  <c r="G70" i="20"/>
  <c r="H70" i="20"/>
  <c r="I70" i="20"/>
  <c r="D71" i="20"/>
  <c r="E71" i="20" s="1"/>
  <c r="F71" i="20"/>
  <c r="G72" i="20"/>
  <c r="H72" i="20"/>
  <c r="I72" i="20"/>
  <c r="D73" i="20"/>
  <c r="E73" i="20" s="1"/>
  <c r="F73" i="20"/>
  <c r="G64" i="20"/>
  <c r="H65" i="20"/>
  <c r="G65" i="20"/>
  <c r="D66" i="20"/>
  <c r="E66" i="20" s="1"/>
  <c r="G63" i="20"/>
  <c r="H63" i="20"/>
  <c r="I63" i="20"/>
  <c r="D64" i="20"/>
  <c r="E64" i="20" s="1"/>
  <c r="F64" i="20"/>
  <c r="H64" i="20"/>
  <c r="I64" i="20"/>
  <c r="D65" i="20"/>
  <c r="E65" i="20" s="1"/>
  <c r="F65" i="20"/>
  <c r="I65" i="20"/>
  <c r="F66" i="20"/>
  <c r="G67" i="20"/>
  <c r="H67" i="20"/>
  <c r="I67" i="20"/>
  <c r="D68" i="20"/>
  <c r="E68" i="20" s="1"/>
  <c r="F68" i="20"/>
  <c r="G69" i="20"/>
  <c r="H69" i="20"/>
  <c r="I69" i="20"/>
  <c r="D70" i="20"/>
  <c r="E70" i="20" s="1"/>
  <c r="F70" i="20"/>
  <c r="G71" i="20"/>
  <c r="H71" i="20"/>
  <c r="I71" i="20"/>
  <c r="D72" i="20"/>
  <c r="E72" i="20" s="1"/>
  <c r="F72" i="20"/>
  <c r="G73" i="20"/>
  <c r="H73" i="20"/>
  <c r="I73" i="20"/>
  <c r="D132" i="3"/>
  <c r="D133" i="3"/>
  <c r="E28" i="20"/>
  <c r="M45" i="20" l="1"/>
  <c r="H75" i="21" s="1"/>
  <c r="D45" i="20"/>
  <c r="D75" i="21" s="1"/>
  <c r="E45" i="20"/>
  <c r="F45" i="20"/>
  <c r="G45" i="20"/>
  <c r="H45" i="20"/>
  <c r="I45" i="20"/>
  <c r="J45" i="20"/>
  <c r="F75" i="21" s="1"/>
  <c r="L45" i="20"/>
  <c r="G75" i="21" s="1"/>
  <c r="C75" i="21"/>
  <c r="M46" i="20"/>
  <c r="D46" i="20"/>
  <c r="D76" i="21" s="1"/>
  <c r="E46" i="20"/>
  <c r="F46" i="20"/>
  <c r="G46" i="20"/>
  <c r="H46" i="20"/>
  <c r="I46" i="20"/>
  <c r="N46" i="20" s="1"/>
  <c r="J46" i="20"/>
  <c r="F76" i="21" s="1"/>
  <c r="L46" i="20"/>
  <c r="K17" i="22"/>
  <c r="C76" i="21"/>
  <c r="M44" i="20"/>
  <c r="H74" i="21" s="1"/>
  <c r="D44" i="20"/>
  <c r="D74" i="21" s="1"/>
  <c r="E44" i="20"/>
  <c r="F44" i="20"/>
  <c r="G44" i="20"/>
  <c r="H44" i="20"/>
  <c r="I44" i="20"/>
  <c r="J44" i="20"/>
  <c r="F74" i="21" s="1"/>
  <c r="L44" i="20"/>
  <c r="G74" i="21" s="1"/>
  <c r="C74" i="21"/>
  <c r="D136" i="3"/>
  <c r="D134" i="3"/>
  <c r="D135" i="3" s="1"/>
  <c r="H76" i="21" l="1"/>
  <c r="N17" i="22"/>
  <c r="M17" i="22"/>
  <c r="E76" i="21"/>
  <c r="L17" i="22"/>
  <c r="G76" i="21"/>
  <c r="O17" i="22"/>
  <c r="I76" i="21"/>
  <c r="E75" i="21"/>
  <c r="N45" i="20"/>
  <c r="I75" i="21" s="1"/>
  <c r="E74" i="21"/>
  <c r="N44" i="20"/>
  <c r="D139" i="21" l="1"/>
  <c r="I74" i="21"/>
</calcChain>
</file>

<file path=xl/sharedStrings.xml><?xml version="1.0" encoding="utf-8"?>
<sst xmlns="http://schemas.openxmlformats.org/spreadsheetml/2006/main" count="21205" uniqueCount="4643">
  <si>
    <t>負荷試験 実施ガイド ｜ 第2.0版</t>
  </si>
  <si>
    <t>Apache JMeter 負荷試験 実践ガイド</t>
  </si>
  <si>
    <t>Windows 11 でシナリオ作成 → Linux サーバで CLI 実行 → Excel で分析・報告</t>
  </si>
  <si>
    <t>Amazon Cognito（OAuth 2.0 client_credentials）＋ Amazon API Gateway（APIキー）対応版</t>
  </si>
  <si>
    <t>文書情報</t>
  </si>
  <si>
    <t>文書名</t>
  </si>
  <si>
    <t>版数</t>
  </si>
  <si>
    <t>第2.0版</t>
  </si>
  <si>
    <t>作成日</t>
  </si>
  <si>
    <t>2026年10月4日</t>
  </si>
  <si>
    <t>作成者</t>
  </si>
  <si>
    <t>対象読者</t>
  </si>
  <si>
    <t>JMeter を初めて使う方（負荷試験の実施担当者）。Linux・AWS・Excel の基本操作ができることを前提とします。</t>
  </si>
  <si>
    <t>対象バージョン</t>
  </si>
  <si>
    <t>Apache JMeter 5.6.3（2026年10月時点の最新安定版）／ Java 17 または 21（LTS）</t>
  </si>
  <si>
    <t>対象環境</t>
  </si>
  <si>
    <t>シナリオ作成・分析端末：Windows 11 ／ 負荷生成（実行）サーバ：Linux（Amazon Linux 2023・RHEL 系・Ubuntu）</t>
  </si>
  <si>
    <t>対象システム</t>
  </si>
  <si>
    <t>Amazon Cognito ユーザープール（トークンエンドポイント）＋ Amazon API Gateway（REST API・APIキー）</t>
  </si>
  <si>
    <t>表記について</t>
  </si>
  <si>
    <t>JMeter の画面項目名は英語表示で記載しています（JMeter 5.6.3 は既定で英語表示で起動します）。ホスト名・ID・キー・IPアドレス等はすべて説明用のダミー値です。現場の値に読み替えてください。</t>
  </si>
  <si>
    <t>改訂履歴</t>
  </si>
  <si>
    <t>版</t>
  </si>
  <si>
    <t>日付</t>
  </si>
  <si>
    <t>改訂内容</t>
  </si>
  <si>
    <t>担当</t>
  </si>
  <si>
    <t>1.0</t>
  </si>
  <si>
    <t>2026/10/04</t>
  </si>
  <si>
    <t>初版作成</t>
  </si>
  <si>
    <t>2.0</t>
  </si>
  <si>
    <t>全面見直し。負荷条件の見積り表（00）、評価区間の分析（15・17・18）、Power Query の M コード（14）、実施記録（19）、完成版 jmx（付録E）を追加。JMeter 5.6.3 での実行検証の結果を反映（結果ファイルの件数の数え方、引用符の中の改行の取り込み）。表の見やすさを改善</t>
  </si>
  <si>
    <t>ご利用にあたって</t>
  </si>
  <si>
    <t>・最初に「目次」シートを開き、「このガイドの使い方」を読んでから、上から順にシートを進めてください。</t>
  </si>
  <si>
    <t>・負荷試験は、対象システムの責任者の承認と関係者への事前連絡のうえで実施してください（09_注意点 参照）。</t>
  </si>
  <si>
    <t>・クライアントシークレット・APIキー・アクセストークンは、本ブック・画面キャプチャ・報告書に記載しないでください。</t>
  </si>
  <si>
    <t>・白地・点線枠のセルは入力欄、破線枠の「画像貼付エリア」はスクリーンショットの貼り付け場所です。</t>
  </si>
  <si>
    <t>目次 ／ このガイドの使い方</t>
  </si>
  <si>
    <t>このブックは、JMeter の入手から報告書の提出までを、作業の順番どおりに並べています。上から順に進めてください。</t>
  </si>
  <si>
    <t>▲ 目次へ戻る</t>
  </si>
  <si>
    <t>1. このガイドの使い方</t>
  </si>
  <si>
    <t>・</t>
  </si>
  <si>
    <t>シートは作業の順番に並んでいます。下の「シート一覧」のシート名をクリックすると、そのシートへ移動します。各シート右上の「▲ 目次へ戻る」で、このシートに戻れます。</t>
  </si>
  <si>
    <t>灰色の背景のセルは、コマンド・設定ファイル・スクリプトです。セルを選択して Ctrl+C でコピーし、PowerShell・Linux のターミナル・JMeter の入力欄・メモ帳に貼り付けて使います。</t>
  </si>
  <si>
    <t>複数行のコマンドは、行をまとめて選択してコピーできます。ただし、ターミナルに貼り付けると末尾の改行によってすぐに実行されることがあります。内容を確認してから実行したい場合は、いったんメモ帳に貼り付けて確認してください。</t>
  </si>
  <si>
    <t>セルの一部だけをコピーしたい場合は、セルをダブルクリック（または F2 キー）して編集状態にしてから、必要な文字だけを選択してコピーします。</t>
  </si>
  <si>
    <t>「画像貼付エリア」と書かれた破線の枠は、後からスクリーンショットを貼り付けるための場所です。貼り付け方は下の「4. 画像の貼り付け手順」、全体の一覧は「付録D_画像差込一覧」を参照してください。</t>
  </si>
  <si>
    <t>白地で点線枠のセルは入力欄です。現場の情報（担当者名・実施日・目標値など）を記入してください。</t>
  </si>
  <si>
    <t>シナリオを作るときは、完成版のシナリオ（付録E_完成版jmx）と見比べながら進めると、設定漏れに気付きやすくなります。</t>
  </si>
  <si>
    <t>負荷試験の当日は、実行ごとの条件と結果を「19_実施記録」に記録します。報告書（18）を書くときの元資料になります。</t>
  </si>
  <si>
    <t>画面の項目名は JMeter の英語表示に合わせ、［ ］で囲んで表記しています（例：［Add］→［Sampler］→［HTTP Request］）。「→」は、メニューを順にたどる操作を表します。</t>
  </si>
  <si>
    <t>このブックのフォント（Meiryo UI）では、半角の「\」（バックスラッシュ）が「¥」（円記号）の形で表示されます。コピーして貼り付けると正しく「\」になります。Linux のコマンドや正規表現で「¥」と見えている文字は、すべてバックスラッシュとして入力してください。</t>
  </si>
  <si>
    <t>2. 表記・色分けの凡例</t>
  </si>
  <si>
    <t>表示</t>
  </si>
  <si>
    <t>意味</t>
  </si>
  <si>
    <t>黒い帯の見出し</t>
  </si>
  <si>
    <t>章（大きな区切り）の見出しです。</t>
  </si>
  <si>
    <t>灰色の帯の見出し</t>
  </si>
  <si>
    <t>節（章の中の区切り）の見出しです。</t>
  </si>
  <si>
    <t>濃い灰色の表見出し</t>
  </si>
  <si>
    <t>表の項目名です。</t>
  </si>
  <si>
    <t>薄い灰色のセル</t>
  </si>
  <si>
    <t>コマンド・設定値・スクリプトです（そのままコピーして使えます）。</t>
  </si>
  <si>
    <t>注意</t>
  </si>
  <si>
    <t>守らないと失敗や事故につながる事項です。必ず読んでください。</t>
  </si>
  <si>
    <t>ポイント</t>
  </si>
  <si>
    <t>理解を助けるコツや、迷いやすい点の説明です。</t>
  </si>
  <si>
    <t>参考</t>
  </si>
  <si>
    <t>知っておくと役立つ補足情報です。</t>
  </si>
  <si>
    <t>白地・点線枠</t>
  </si>
  <si>
    <t>入力欄です。現場の情報を記入します。</t>
  </si>
  <si>
    <t>破線枠</t>
  </si>
  <si>
    <t>画像貼付エリアです。スクリーンショットを貼り付けます。</t>
  </si>
  <si>
    <t>3. シート一覧（クリックで移動）</t>
  </si>
  <si>
    <t>No.</t>
  </si>
  <si>
    <t>シート名</t>
  </si>
  <si>
    <t>内容</t>
  </si>
  <si>
    <t>主な作業場所</t>
  </si>
  <si>
    <t>1</t>
  </si>
  <si>
    <t>00_全体像と準備</t>
  </si>
  <si>
    <t>作業の全体の流れ、作業ステップ一覧、事前準備チェックリスト、接続情報の記入表、負荷条件（スレッド数）の見積り表</t>
  </si>
  <si>
    <t>―</t>
  </si>
  <si>
    <t>2</t>
  </si>
  <si>
    <t>01_Windows導入</t>
  </si>
  <si>
    <t>Java のインストール、JMeter の入手・ハッシュ確認・展開、起動確認、初期設定、Plugins Manager</t>
  </si>
  <si>
    <t>Windows 端末</t>
  </si>
  <si>
    <t>3</t>
  </si>
  <si>
    <t>02_画面の基本</t>
  </si>
  <si>
    <t>画面構成、ツールバー・ショートカット、テスト要素の種類、スコープ、実行順序、変数とプロパティ</t>
  </si>
  <si>
    <t>4</t>
  </si>
  <si>
    <t>03_機能一覧</t>
  </si>
  <si>
    <t>主なテスト要素の用途と追加方法、関数、メニュー機能、プラグインの一覧</t>
  </si>
  <si>
    <t>5</t>
  </si>
  <si>
    <t>04_シナリオ作成</t>
  </si>
  <si>
    <t>Cognito トークン取得、Base64 の作り方、APIキー（X-API-ID）ヘッダー、トークンの保持・共有、API 呼び出し、CSV データ</t>
  </si>
  <si>
    <t>6</t>
  </si>
  <si>
    <t>05_正規表現抽出</t>
  </si>
  <si>
    <t>設定項目の意味、正規表現の組み立て方、記号の一覧、抽出例、RegExp Tester での確認、JSON Extractor との使い分け</t>
  </si>
  <si>
    <t>7</t>
  </si>
  <si>
    <t>06_GUI実行</t>
  </si>
  <si>
    <t>実行前チェック、実行手順、View Results Tree の見方、停止方法、エラー時の切り分け</t>
  </si>
  <si>
    <t>8</t>
  </si>
  <si>
    <t>07_結果の見方</t>
  </si>
  <si>
    <t>主な指標の定義、Summary／Aggregate Report、HTML レポートの構成と生成方法、JTL の列の意味</t>
  </si>
  <si>
    <t>9</t>
  </si>
  <si>
    <t>08_確認観点</t>
  </si>
  <si>
    <t>確認の流れ、観点一覧（判断の目安と NG 時に疑うこと）、AWS 側で見るメトリクス、判定の考え方</t>
  </si>
  <si>
    <t>10</t>
  </si>
  <si>
    <t>09_注意点</t>
  </si>
  <si>
    <t>実施前の合意、AWS の制限・課金、セキュリティ、JMeter・ファイル・時刻・Excel・報告の注意点</t>
  </si>
  <si>
    <t>11</t>
  </si>
  <si>
    <t>10_Linux準備</t>
  </si>
  <si>
    <t>サーバ要件、SSH 接続（踏み台・鍵の権限）、Java・JMeter の導入、PATH、作業フォルダ、OS 設定、プラグイン</t>
  </si>
  <si>
    <t>Linux 実行サーバ</t>
  </si>
  <si>
    <t>12</t>
  </si>
  <si>
    <t>11_転送と配置</t>
  </si>
  <si>
    <t>転送するファイル、scp／WinSCP での転送、配置後の確認（ハッシュ・権限・パス）、試し実行</t>
  </si>
  <si>
    <t>Windows → Linux</t>
  </si>
  <si>
    <t>13</t>
  </si>
  <si>
    <t>12_CLI実行と監視</t>
  </si>
  <si>
    <t>コマンドの基本形とオプション、jmx・JTL・ログの指定方法、実行スクリプト、tmux／nohup、画面の見方、監視、停止</t>
  </si>
  <si>
    <t>14</t>
  </si>
  <si>
    <t>13_結果回収</t>
  </si>
  <si>
    <t>回収する成果物、圧縮、端末への転送、展開、保管ルール、サーバの後片付け</t>
  </si>
  <si>
    <t>Linux → Windows</t>
  </si>
  <si>
    <t>15</t>
  </si>
  <si>
    <t>14_Excel取込</t>
  </si>
  <si>
    <t>Power Query での取り込み手順（引用符内の改行・列のデータ型・日時の変換）、M コードでの一括取り込み、差し替え、大きなファイルの扱い、statistics.json</t>
  </si>
  <si>
    <t>16</t>
  </si>
  <si>
    <t>15_Excel分析</t>
  </si>
  <si>
    <t>補助列、試験全体の情報、API 別統計（AGGREGATE でパーセンタイル）、時系列、グラフ、ピボット、定常区間、判定、報告書の書き方</t>
  </si>
  <si>
    <t>17</t>
  </si>
  <si>
    <t>16_JTLサンプル</t>
  </si>
  <si>
    <t>分析練習用のダミーの結果データ（テーブル tblJTL）と補助列の数式</t>
  </si>
  <si>
    <t>18</t>
  </si>
  <si>
    <t>17_分析サンプル</t>
  </si>
  <si>
    <t>目標値と評価区間・試験全体の情報・API 別統計（全区間・評価区間）・エラー内訳・時系列・グラフの完成例（数式入り）</t>
  </si>
  <si>
    <t>19</t>
  </si>
  <si>
    <t>18_報告書様式</t>
  </si>
  <si>
    <t>提出用の試験結果報告書の様式（記入例・数式入り）</t>
  </si>
  <si>
    <t>20</t>
  </si>
  <si>
    <t>19_実施記録</t>
  </si>
  <si>
    <t>実行ごとの条件・結果フォルダ・結果の記録表、試験中の出来事（タイムライン）、当日のチェックリスト</t>
  </si>
  <si>
    <t>Linux 実行サーバ・端末</t>
  </si>
  <si>
    <t>21</t>
  </si>
  <si>
    <t>付録A_コマンド集</t>
  </si>
  <si>
    <t>Windows（PowerShell）・SSH／転送・Linux・JMeter CLI・tmux・監視のコマンド一覧</t>
  </si>
  <si>
    <t>22</t>
  </si>
  <si>
    <t>付録B_トラブル対応</t>
  </si>
  <si>
    <t>導入・認証（Cognito）・API Gateway・実行サーバ・転送・Excel のよくあるエラーと対処</t>
  </si>
  <si>
    <t>23</t>
  </si>
  <si>
    <t>付録C_用語集</t>
  </si>
  <si>
    <t>負荷試験・JMeter・AWS・Excel の用語の意味</t>
  </si>
  <si>
    <t>24</t>
  </si>
  <si>
    <t>付録D_画像差込一覧</t>
  </si>
  <si>
    <t>画像貼付エリアの一覧（リンク付き）と貼り付け状況の管理</t>
  </si>
  <si>
    <t>25</t>
  </si>
  <si>
    <t>付録E_完成版jmx</t>
  </si>
  <si>
    <t>04 の手順で作るシナリオの完成形（要素と設定値の一覧、jmx ファイルの全文、ファイルの作り方と確認方法）</t>
  </si>
  <si>
    <t>4. 画像の貼り付け手順（スクリーンショットの差し込み方）</t>
  </si>
  <si>
    <t>手順</t>
  </si>
  <si>
    <t>操作内容（詳しい手順）</t>
  </si>
  <si>
    <t>入力値・設定値</t>
  </si>
  <si>
    <t>確認ポイント・補足</t>
  </si>
  <si>
    <t>画面を撮影</t>
  </si>
  <si>
    <t>撮影したい画面を表示し、Windows キー＋Shift＋S を押します。画面上部に Snipping Tool のメニューが出るので、［四角形］を選び、撮影したい範囲をドラッグします。</t>
  </si>
  <si>
    <t>Windows キー＋Shift＋S</t>
  </si>
  <si>
    <t>撮影した画像はクリップボードにコピーされます（画面右下の通知をクリックすると編集画面が開きます）。</t>
  </si>
  <si>
    <t>機密情報を隠す</t>
  </si>
  <si>
    <t>クライアントシークレット、APIキー、アクセストークン（eyJ… で始まる文字列）、社内のIPアドレス・ホスト名などが写っている場合は、Snipping Tool の編集画面のペンで塗りつぶしてからコピーし直します。</t>
  </si>
  <si>
    <t>Snipping Tool の［ボールペン］／［蛍光ペン］</t>
  </si>
  <si>
    <t>Excel 上で図形を重ねて隠す方法は使わないでください。図形を動かすと下の情報が見えてしまいます。</t>
  </si>
  <si>
    <t>貼り付け</t>
  </si>
  <si>
    <t>このブックの「画像貼付エリア」の枠の左上のセルをクリックし、Ctrl＋V を押します。</t>
  </si>
  <si>
    <t>Ctrl＋V</t>
  </si>
  <si>
    <t>画像は枠の左上を基準に貼り付けられます。</t>
  </si>
  <si>
    <t>大きさを合わせる</t>
  </si>
  <si>
    <t>貼り付けた画像の四隅にある丸いハンドルをドラッグして、破線の枠の中に収まる大きさにします。</t>
  </si>
  <si>
    <t>四隅のハンドルをドラッグ</t>
  </si>
  <si>
    <t>四隅のハンドルなら縦横比が保たれます（辺の中央のハンドルは画像がゆがむので使わない）。</t>
  </si>
  <si>
    <t>位置を固定</t>
  </si>
  <si>
    <t>画像を右クリック →［サイズとプロパティ］→［プロパティ］→「セルに合わせて移動するがサイズ変更はしない」を選びます。</t>
  </si>
  <si>
    <t>セルに合わせて移動するがサイズ変更はしない</t>
  </si>
  <si>
    <t>行の高さを変えたときに、画像がずれたり伸びたりしにくくなります。</t>
  </si>
  <si>
    <t>一覧を更新</t>
  </si>
  <si>
    <t>「付録D_画像差込一覧」の該当行の［状態］を「済」に変更します。</t>
  </si>
  <si>
    <t>未 → 済</t>
  </si>
  <si>
    <t>貼り忘れの防止になります。</t>
  </si>
  <si>
    <t>枠が小さい場合</t>
  </si>
  <si>
    <t>画像が枠に収まらない場合は、枠の下の行番号を右クリック →［挿入］で行を増やすか、画像を縮小します。</t>
  </si>
  <si>
    <t>枠の文字は画像で隠れるため、そのままで構いません。</t>
  </si>
  <si>
    <t>00　全体像と事前準備</t>
  </si>
  <si>
    <t>このガイドで行う作業の全体の流れと、作業を始める前にそろえておく情報・権限を確認します。</t>
  </si>
  <si>
    <t>1. このガイドで行う作業</t>
  </si>
  <si>
    <t>本ガイドでは、Windows 11 の端末で JMeter のシナリオ（.jmx ファイル）を作成して動作を確認し、そのシナリオを Linux の負荷生成サーバ（以下「実行サーバ」）へ転送して、コマンド（CLI）で負荷試験を実行します。実行結果（.jtl・.log・HTMLレポート）を端末に回収し、Excel で分析して報告書を作成・提出するまでを扱います。</t>
  </si>
  <si>
    <t>試験対象は、Amazon Cognito のトークンエンドポイントでアクセストークンを取得し、そのトークンと APIキーをヘッダーに付けて Amazon API Gateway の API を呼び出す、という構成を想定しています。</t>
  </si>
  <si>
    <t>JMeter の画面（GUI）は「シナリオを作る・動作を確かめる」ための道具です。実際に負荷をかける試験は、画面を使わないコマンド実行（CLI モード）で行います。これは JMeter 公式の推奨事項です。</t>
  </si>
  <si>
    <t>2. 全体の流れ（どこで何をするか）</t>
  </si>
  <si>
    <t>Windows 11 端末（作成・分析）</t>
  </si>
  <si>
    <t>Linux 実行サーバ（負荷生成）</t>
  </si>
  <si>
    <t>AWS（試験対象）</t>
  </si>
  <si>
    <t>①</t>
  </si>
  <si>
    <t>【導入】Java と JMeter をインストールする（01）</t>
  </si>
  <si>
    <t>②</t>
  </si>
  <si>
    <t>【作成】JMeter の画面でシナリオ（.jmx）を作る（04・05）</t>
  </si>
  <si>
    <t>③</t>
  </si>
  <si>
    <t>【確認】1ユーザーで実行し、正しく動くことを確かめる（06・07）　――HTTPS――▶</t>
  </si>
  <si>
    <t>Cognito がトークンを発行／API Gateway が応答</t>
  </si>
  <si>
    <t>④</t>
  </si>
  <si>
    <t>【転送】jmx・CSV・properties を scp で送る（11）　══SSH══▶</t>
  </si>
  <si>
    <t>【配置】作業フォルダに置く（11）</t>
  </si>
  <si>
    <t>⑤</t>
  </si>
  <si>
    <t>【記録】実行条件と結果を記録する（19）</t>
  </si>
  <si>
    <t>【実行】jmeter -n で負荷試験を実行し、画面で監視する（12）　――HTTPS――▶</t>
  </si>
  <si>
    <t>負荷を受ける（CloudWatch で監視）</t>
  </si>
  <si>
    <t>⑥</t>
  </si>
  <si>
    <t>【出力】result.jtl・jmeter.log・HTMLレポートができる（12）</t>
  </si>
  <si>
    <t>⑦</t>
  </si>
  <si>
    <t>【回収】結果を scp で受け取り、展開する（13）　◀══SSH══</t>
  </si>
  <si>
    <t>【圧縮】結果フォルダを tar.gz にまとめる（13）</t>
  </si>
  <si>
    <t>⑧</t>
  </si>
  <si>
    <t>【分析】Excel に取り込み、集計・グラフ化する（14・15・17）</t>
  </si>
  <si>
    <t>⑨</t>
  </si>
  <si>
    <t>【報告】報告書を作成して提出する（08・18）</t>
  </si>
  <si>
    <t>※ かっこ内の番号は、詳しい手順が書かれているシートの番号です。</t>
  </si>
  <si>
    <t>［ 画像貼付エリア ］
図00-1　試験環境の構成図（現場の構成図を貼り付け）
撮影対象：Windows 端末・踏み台・実行サーバ・Cognito・API Gateway・バックエンドの位置関係と通信経路（ポート番号）が分かる図
（この枠の左上のセルを選択して Ctrl+V で貼り付け、枠内に収まるようにサイズを調整してください）</t>
  </si>
  <si>
    <t>図00-1　試験環境の構成図（現場の構成図を貼り付け）</t>
  </si>
  <si>
    <t>通信経路のまとめ</t>
  </si>
  <si>
    <t>通信元</t>
  </si>
  <si>
    <t>通信先</t>
  </si>
  <si>
    <t>用途・プロトコル</t>
  </si>
  <si>
    <t>備考</t>
  </si>
  <si>
    <t>実行サーバ（または踏み台）</t>
  </si>
  <si>
    <t>SSH（TCP 22）：ログイン・ファイル転送（scp）</t>
  </si>
  <si>
    <t>秘密鍵（.pem）が必要</t>
  </si>
  <si>
    <t>Cognito・API Gateway</t>
  </si>
  <si>
    <t>HTTPS（TCP 443）：GUI での動作確認</t>
  </si>
  <si>
    <t>社内プロキシ経由の場合は JMeter にプロキシ設定が必要（01 参照）</t>
  </si>
  <si>
    <t>実行サーバ</t>
  </si>
  <si>
    <t>HTTPS（TCP 443）：負荷試験の本番</t>
  </si>
  <si>
    <t>セキュリティグループ・WAF で遮断されないこと</t>
  </si>
  <si>
    <t>インターネット（任意）</t>
  </si>
  <si>
    <t>HTTPS：Java・JMeter のダウンロード</t>
  </si>
  <si>
    <t>接続できない場合は端末から転送（10・11 参照）</t>
  </si>
  <si>
    <t>3. 作業ステップ一覧</t>
  </si>
  <si>
    <t>作業</t>
  </si>
  <si>
    <t>実施場所／主なツール</t>
  </si>
  <si>
    <t>成果物</t>
  </si>
  <si>
    <t>参照シート</t>
  </si>
  <si>
    <t>Java・JMeter の導入と初期設定</t>
  </si>
  <si>
    <t>Windows 端末／ブラウザ・PowerShell</t>
  </si>
  <si>
    <t>起動できる JMeter</t>
  </si>
  <si>
    <t>01</t>
  </si>
  <si>
    <t>画面の基本操作と機能を理解する</t>
  </si>
  <si>
    <t>Windows 端末／JMeter（GUI）</t>
  </si>
  <si>
    <t>02・03</t>
  </si>
  <si>
    <t>シナリオを作成する</t>
  </si>
  <si>
    <t>api_loadtest.jmx、env_stg.properties</t>
  </si>
  <si>
    <t>04・05</t>
  </si>
  <si>
    <t>1ユーザーで動作確認する</t>
  </si>
  <si>
    <t>動作確認結果（画面キャプチャ）</t>
  </si>
  <si>
    <t>06・07</t>
  </si>
  <si>
    <t>実行サーバを準備する</t>
  </si>
  <si>
    <t>Linux 実行サーバ／ssh・dnf（apt）</t>
  </si>
  <si>
    <t>JMeter 実行環境</t>
  </si>
  <si>
    <t>ファイルを転送・配置する</t>
  </si>
  <si>
    <t>Windows → Linux／scp・WinSCP</t>
  </si>
  <si>
    <t>配置済みのシナリオ一式</t>
  </si>
  <si>
    <t>CLI で負荷試験を実行・監視し、記録する</t>
  </si>
  <si>
    <t>Linux 実行サーバ／jmeter・tmux</t>
  </si>
  <si>
    <t>result.jtl、jmeter.log、report/、実施記録</t>
  </si>
  <si>
    <t>00・12・19</t>
  </si>
  <si>
    <t>結果を回収する</t>
  </si>
  <si>
    <t>Linux → Windows／tar・scp</t>
  </si>
  <si>
    <t>結果一式（tar.gz）</t>
  </si>
  <si>
    <t>Excel に取り込んで分析する</t>
  </si>
  <si>
    <t>Windows 端末／Excel（Power Query）</t>
  </si>
  <si>
    <t>分析ブック</t>
  </si>
  <si>
    <t>14・15・17</t>
  </si>
  <si>
    <t>報告書を作成・提出する</t>
  </si>
  <si>
    <t>Windows 端末／Excel</t>
  </si>
  <si>
    <t>試験結果報告書</t>
  </si>
  <si>
    <t>08・18</t>
  </si>
  <si>
    <t>4. 事前準備チェックリスト（作業前に必ず確認）</t>
  </si>
  <si>
    <t>次の情報・権限がそろっていないと、途中で作業が止まります。担当者に確認し、［状況］欄をリストから選んでください（未／済／対象外）。</t>
  </si>
  <si>
    <t>分類</t>
  </si>
  <si>
    <t>確認項目</t>
  </si>
  <si>
    <t>確認先・入手方法</t>
  </si>
  <si>
    <t>状況</t>
  </si>
  <si>
    <t>端末</t>
  </si>
  <si>
    <t>Windows 端末にソフトウェア（Java・JMeter）を導入してよいか。管理者権限の有無</t>
  </si>
  <si>
    <t>端末管理者・情報システム部門</t>
  </si>
  <si>
    <t>未</t>
  </si>
  <si>
    <t>Cドライブの空き容量（JMeter 本体約 120MB＋Java 約 300MB＋結果ファイル）</t>
  </si>
  <si>
    <t>エクスプローラーの［PC］で確認</t>
  </si>
  <si>
    <t>ネットワーク</t>
  </si>
  <si>
    <t>端末からインターネット（jmeter.apache.org 等）へ接続できるか。プロキシの有無とアドレス・ポート</t>
  </si>
  <si>
    <t>ネットワーク管理者</t>
  </si>
  <si>
    <t>端末から試験対象（Cognito・API Gateway）へ HTTPS で接続できるか</t>
  </si>
  <si>
    <t>ネットワーク管理者・基盤担当</t>
  </si>
  <si>
    <t>ホスト名／IPアドレス、OS の種類、CPU・メモリ、ディスクの空き容量</t>
  </si>
  <si>
    <t>インフラ担当</t>
  </si>
  <si>
    <t>SSH のユーザー名、秘密鍵（.pem）、踏み台サーバの有無と接続情報</t>
  </si>
  <si>
    <t>sudo 権限の有無、インターネット接続の可否（Java・JMeter のダウンロード）</t>
  </si>
  <si>
    <t>Cognito</t>
  </si>
  <si>
    <t>トークンエンドポイントのドメイン（例：xxx.auth.ap-northeast-1.amazoncognito.com）</t>
  </si>
  <si>
    <t>開発・基盤担当</t>
  </si>
  <si>
    <t>アプリクライアントの ID とクライアントシークレット（client_credentials が許可されているか）</t>
  </si>
  <si>
    <t>開発・基盤担当（安全な方法で受け取る）</t>
  </si>
  <si>
    <t>要求するスコープ（例：example-api/read）、アクセストークンの有効期限</t>
  </si>
  <si>
    <t>API Gateway</t>
  </si>
  <si>
    <t>呼び出す URL（ホスト・ステージ・パス）、メソッド、リクエスト例、成功時のステータスコード</t>
  </si>
  <si>
    <t>API 仕様書・開発担当</t>
  </si>
  <si>
    <t>APIキーの値と、キーを渡すヘッダー名（本ガイドでは X-API-ID。AWS 標準は x-api-key）</t>
  </si>
  <si>
    <t>使用量プランのスロットリング（1秒あたりの上限・バースト）とクォータ（1日の上限など）</t>
  </si>
  <si>
    <t>基盤担当</t>
  </si>
  <si>
    <t>セキュリティ</t>
  </si>
  <si>
    <t>AWS WAF のレートベースルールや IP 制限で、実行サーバの通信が遮断されないか</t>
  </si>
  <si>
    <t>基盤・セキュリティ担当</t>
  </si>
  <si>
    <t>試験計画</t>
  </si>
  <si>
    <t>目標値（応答時間・スループット・エラー率）と負荷パターン（同時ユーザー数・Ramp-up・試験時間）。スレッド数は 6章の表で見積もる</t>
  </si>
  <si>
    <t>試験計画書・依頼元</t>
  </si>
  <si>
    <t>実施日時、関係者への事前連絡、緊急停止の連絡体制</t>
  </si>
  <si>
    <t>プロジェクト責任者</t>
  </si>
  <si>
    <t>監視</t>
  </si>
  <si>
    <t>CloudWatch などのサーバ側メトリクスを閲覧・取得できるか</t>
  </si>
  <si>
    <t>データ</t>
  </si>
  <si>
    <t>試験用データ（ID 一覧の CSV など）と、試験で登録されたデータの後始末の方法</t>
  </si>
  <si>
    <t>開発担当</t>
  </si>
  <si>
    <t>5. 接続情報の記入表（properties ファイルの元ネタ）</t>
  </si>
  <si>
    <t>ここに記入した値を、04_シナリオ作成 で作る接続情報ファイル（env_stg.properties）に転記します。左端の「プロパティ名」は、ファイルに書く名前そのものです。</t>
  </si>
  <si>
    <t>client.secret（クライアントシークレット）と api.key（APIキー）は、このブックに記入しないでください。このブックは報告書と一緒に共有される可能性があります。シークレットは、会社が許可したパスワード管理ツールなど安全な場所で管理し、properties ファイルにだけ記入します。</t>
  </si>
  <si>
    <t>プロパティ名</t>
  </si>
  <si>
    <t>記入欄</t>
  </si>
  <si>
    <t>記入例（ダミー）</t>
  </si>
  <si>
    <t>cognito.host</t>
  </si>
  <si>
    <t>Cognito のドメイン（https:// と /oauth2/token は含めない）</t>
  </si>
  <si>
    <t>example-auth.auth.ap-northeast-1.amazoncognito.com</t>
  </si>
  <si>
    <t>scope</t>
  </si>
  <si>
    <t>要求するスコープ（複数ある場合は半角スペース区切り）</t>
  </si>
  <si>
    <t>example-api/read</t>
  </si>
  <si>
    <t>client.id</t>
  </si>
  <si>
    <t>アプリクライアント ID</t>
  </si>
  <si>
    <t>1example23456789</t>
  </si>
  <si>
    <t>client.secret</t>
  </si>
  <si>
    <t>クライアントシークレット</t>
  </si>
  <si>
    <t>記入禁止（安全な場所で管理）</t>
  </si>
  <si>
    <t>api.host</t>
  </si>
  <si>
    <t>API Gateway のホスト名（https:// とパスは含めない）</t>
  </si>
  <si>
    <t>abcde12345.execute-api.ap-northeast-1.amazonaws.com</t>
  </si>
  <si>
    <t>api.stage</t>
  </si>
  <si>
    <t>ステージ名（URL のパスの先頭部分）</t>
  </si>
  <si>
    <t>stg</t>
  </si>
  <si>
    <t>api.key</t>
  </si>
  <si>
    <t>APIキーの値</t>
  </si>
  <si>
    <t>threads</t>
  </si>
  <si>
    <t>同時スレッド数（仮想ユーザー数）。本番値は実行時に指定</t>
  </si>
  <si>
    <t>rampup</t>
  </si>
  <si>
    <t>全スレッドが起動し終わるまでの秒数</t>
  </si>
  <si>
    <t>60</t>
  </si>
  <si>
    <t>duration</t>
  </si>
  <si>
    <t>試験時間（秒）</t>
  </si>
  <si>
    <t>600</t>
  </si>
  <si>
    <t>loops</t>
  </si>
  <si>
    <t>各スレッドの繰り返し回数（-1 = 回数制限なし）</t>
  </si>
  <si>
    <t>-1</t>
  </si>
  <si>
    <t>6. 負荷条件の決め方（スレッド数・Ramp-up・試験時間の見積り）</t>
  </si>
  <si>
    <t>負荷試験で指定する「スレッド数（同時ユーザー数）・Ramp-up・試験時間」は、目標のスループット（1秒あたりの処理件数）から逆算して決めます。考え方は次のとおりです（待ち行列の理論の「リトルの法則」）。</t>
  </si>
  <si>
    <t>必要なスレッド数 ＝ 目標スループット（件/秒）×｛平均応答時間（秒）＋ 思考時間（秒）｝。1つのスレッドは「応答を待つ時間＋思考時間」に1件しかリクエストを送れないため、目標の件数を出すには、その時間の分だけスレッドを並べる必要があります。例：目標 4 件/秒、応答 0.25 秒＋思考 2 秒 ＝ 2.25 秒なら、4 × 2.25 ＝ 9 スレッド。</t>
  </si>
  <si>
    <t>下の表の白地・点線枠のセル（【入力】）に値を入れると、灰色のセル（【計算】）が自動で計算されます。最初に入っている値は、16～18 の分析サンプルと同じ条件（10 スレッド・Ramp-up 60 秒・試験時間 600 秒・評価区間 60～540 秒）になる例です。</t>
  </si>
  <si>
    <t>項目</t>
  </si>
  <si>
    <t>値</t>
  </si>
  <si>
    <t>説明・使い方</t>
  </si>
  <si>
    <t>【入力】目標スループット（業務 API の合計）</t>
  </si>
  <si>
    <t>試験計画で合意した目標値。例：ピーク時に 1 秒あたり 4 件の API 呼び出しがある想定。</t>
  </si>
  <si>
    <t>【入力】平均応答時間（1リクエストあたり）</t>
  </si>
  <si>
    <t>GUI での動作確認（06）や過去の試験結果の平均値。分からない場合は 500 程度で仮置きし、1回目の試験の結果を見て見直します。</t>
  </si>
  <si>
    <t>【入力】思考時間（1リクエストあたりの平均）</t>
  </si>
  <si>
    <t>本ガイドの Uniform Random Timer（1,000ms ＋ 0～2,000ms のランダム）の平均は 2,000ms です（04 ステップ12）。</t>
  </si>
  <si>
    <t>【入力】余裕率</t>
  </si>
  <si>
    <t>見積りの誤差に備えて上乗せする割合です（10～20% 程度）。</t>
  </si>
  <si>
    <t>【入力】定常状態で評価したい時間</t>
  </si>
  <si>
    <t>負荷が一定になった状態を測る時間です。8～10 分（480～600 秒）程度が一般的です。耐久試験では数時間にします。</t>
  </si>
  <si>
    <t>【計算】1リクエストあたりの所要時間</t>
  </si>
  <si>
    <t>平均応答時間 ＋ 思考時間（秒に換算）。1つのスレッドがこの時間ごとに1件を送ります。</t>
  </si>
  <si>
    <t>【計算】1スレッドが出せるスループット</t>
  </si>
  <si>
    <t>1 ÷ 所要時間。</t>
  </si>
  <si>
    <t>【計算】必要スレッド数（理論値）</t>
  </si>
  <si>
    <t>目標スループット × 所要時間（リトルの法則）。</t>
  </si>
  <si>
    <t>【計算】推奨スレッド数（余裕込み・切り上げ）</t>
  </si>
  <si>
    <t>-Jthreads（12 の run_test.sh の3番目の引数）に指定する値です。</t>
  </si>
  <si>
    <t>【計算】Ramp-up の目安</t>
  </si>
  <si>
    <t>スレッド数 × 3 秒（最低 60 秒）。全スレッドを少しずつ起動して、急な負荷の山を避けます。-Jrampup（4番目の引数）に指定します。</t>
  </si>
  <si>
    <t>【計算】試験時間（Duration）の目安</t>
  </si>
  <si>
    <t>Ramp-up ＋ 定常状態 ＋ 終了前の 60 秒（評価から除く余白）。-Jduration（5番目の引数）に指定します。</t>
  </si>
  <si>
    <t>【計算】評価区間（試験開始からの秒）</t>
  </si>
  <si>
    <t>Ramp-up 中と終了前の 1 分を除いた区間です。17_分析サンプル の「評価区間」に入力します。</t>
  </si>
  <si>
    <t>【計算】総リクエスト数の見込み（多めの概算）</t>
  </si>
  <si>
    <t>API Gateway の使用量プランのクォータ（1日の上限など）を超えないか確認します（09 の No.4）。</t>
  </si>
  <si>
    <t>【計算】結果ファイル（JTL）の大きさの見込み</t>
  </si>
  <si>
    <t>1件あたり約 200 バイトで計算。実行サーバのディスクの空きと比べます。</t>
  </si>
  <si>
    <t>【計算】実行コマンド（12 の run_test.sh）</t>
  </si>
  <si>
    <t>このセルをコピーして、実行サーバの ~/jmeter-work/scripts で実行できます（12 の 5章）。</t>
  </si>
  <si>
    <t>目標スループットが API Gateway の使用量プランのレート（1秒あたりの上限）やバースト値を超えていると、429 Too Many Requests で試験が無効になります。事前に上限値を確認し（00 の4章）、超える場合は試験用の上限の引き上げを依頼してください。</t>
  </si>
  <si>
    <t>見積りはあくまで出発点です。実際の試験では、スレッド数を段階的に増やして（12 の 11章）、スループットが目標に届くか、応答時間がどこから悪化するかを確認します。スレッド数を増やしてもスループットが伸びなくなった点が、そのシステムの限界の目安です。</t>
  </si>
  <si>
    <t>01　Java・JMeter の入手とインストール（Windows 11）</t>
  </si>
  <si>
    <t>Windows 11 の端末に Java と JMeter を導入し、起動を確認して初期設定を行います。所要時間の目安は 30～60 分です。</t>
  </si>
  <si>
    <t>1. 導入の全体像</t>
  </si>
  <si>
    <t>Java（JDK）をインストールする（JMeter は Java で動くため必須）</t>
  </si>
  <si>
    <t>JMeter（apache-jmeter-5.6.3.zip）を公式サイトからダウンロードする</t>
  </si>
  <si>
    <t>ダウンロードしたファイルが壊れていないか、ハッシュ値で確認する</t>
  </si>
  <si>
    <t>C:\jmeter に展開し、作業用フォルダ C:\work\jmeter を作る</t>
  </si>
  <si>
    <t>JMeter を起動して画面が表示されることを確認する</t>
  </si>
  <si>
    <t>初期設定（見た目・設定ファイル・プロキシ）を行う</t>
  </si>
  <si>
    <t>必要な場合のみ Plugins Manager（拡張機能の管理ツール）を導入する</t>
  </si>
  <si>
    <t>用意するもの</t>
  </si>
  <si>
    <t>名称</t>
  </si>
  <si>
    <t>用途</t>
  </si>
  <si>
    <t>入手先・備考</t>
  </si>
  <si>
    <t>Java（JDK）17 または 21</t>
  </si>
  <si>
    <t>JMeter を動かすために必須。JMeter 5.6.3 は Java 8 以上で動作するが、長期サポート（LTS）版の 17 または 21 を推奨。実行サーバと同じメジャーバージョンにそろえる。</t>
  </si>
  <si>
    <t>Eclipse Temurin（https://adoptium.net/）、Amazon Corretto（https://aws.amazon.com/corretto/）など</t>
  </si>
  <si>
    <t>Apache JMeter 5.6.3（zip）</t>
  </si>
  <si>
    <t>JMeter 本体</t>
  </si>
  <si>
    <t>https://jmeter.apache.org/download_jmeter.cgi</t>
  </si>
  <si>
    <t>作業フォルダ</t>
  </si>
  <si>
    <t>シナリオ・設定・結果の置き場所</t>
  </si>
  <si>
    <t>C:\work\jmeter（本ガイドの例）</t>
  </si>
  <si>
    <t>テキストエディタ</t>
  </si>
  <si>
    <t>設定ファイル（.properties）や起動用ファイル（.bat）の編集</t>
  </si>
  <si>
    <t>メモ帳、または Visual Studio Code</t>
  </si>
  <si>
    <t>Oracle 社の JDK（Oracle JDK）は、利用条件によって有償ライセンスが必要になる場合があります。会社の規定を確認し、特に指定がなければ無償で使える OpenJDK 系（Eclipse Temurin、Amazon Corretto など）を使用してください。</t>
  </si>
  <si>
    <t>2. Java のインストール</t>
  </si>
  <si>
    <t>2-1. Java が入っているか確認する</t>
  </si>
  <si>
    <t>PowerShell を開く</t>
  </si>
  <si>
    <t>スタートボタンを右クリックし、［ターミナル］（または［Windows PowerShell］）をクリックします。</t>
  </si>
  <si>
    <t>文字を入力できる画面（PowerShell）が開きます。</t>
  </si>
  <si>
    <t>バージョンを確認</t>
  </si>
  <si>
    <t>下のコマンドを入力して Enter キーを押します。</t>
  </si>
  <si>
    <t>java -version</t>
  </si>
  <si>
    <t>「openjdk version "21.0.x"」のように表示されれば導入済みです。17 以上なら 2-4 に進みます。</t>
  </si>
  <si>
    <t>未導入の場合</t>
  </si>
  <si>
    <t>「java : 用語 'java' は、コマンドレット、関数、スクリプト ファイル、または操作可能なプログラムの名前として認識されません。」と表示されたら、Java は入っていません。</t>
  </si>
  <si>
    <t>2-2 に進みます。</t>
  </si>
  <si>
    <t>▼ 表示例（バージョン番号は環境により異なります）</t>
  </si>
  <si>
    <t>PS C:\Users\user&gt; java -version</t>
  </si>
  <si>
    <t>openjdk version "21.0.8" 2025-07-15 LTS</t>
  </si>
  <si>
    <t>OpenJDK Runtime Environment Temurin-21.0.8+9 (build 21.0.8+9-LTS)</t>
  </si>
  <si>
    <t>OpenJDK 64-Bit Server VM Temurin-21.0.8+9 (build 21.0.8+9-LTS, mixed mode, sharing)</t>
  </si>
  <si>
    <t>［ 画像貼付エリア ］
図01-1　java -version の実行結果
撮影対象：PowerShell で java -version を実行した画面
（この枠の左上のセルを選択して Ctrl+V で貼り付け、枠内に収まるようにサイズを調整してください）</t>
  </si>
  <si>
    <t>図01-1　java -version の実行結果</t>
  </si>
  <si>
    <t>2-2. Java（Eclipse Temurin）をダウンロードする</t>
  </si>
  <si>
    <t>配布ページを開く</t>
  </si>
  <si>
    <t>ブラウザで Eclipse Temurin のリリース一覧ページを開きます。</t>
  </si>
  <si>
    <t>https://adoptium.net/temurin/releases/</t>
  </si>
  <si>
    <t>Amazon Corretto を使う場合は https://aws.amazon.com/corretto/ から同様に入手します。</t>
  </si>
  <si>
    <t>条件を選ぶ</t>
  </si>
  <si>
    <t>絞り込み条件を次のように選びます：Operating System＝Windows、Architecture＝x64、Package Type＝JDK、Version＝21 - LTS（または 17 - LTS）。</t>
  </si>
  <si>
    <t>Windows ／ x64 ／ JDK ／ 21 - LTS</t>
  </si>
  <si>
    <t>サイトの画面構成は変更されることがあります。項目名が違う場合も、同じ意味の項目を選んでください。</t>
  </si>
  <si>
    <t>ダウンロード</t>
  </si>
  <si>
    <t>一覧に表示された「.msi」のファイルをクリックしてダウンロードします。</t>
  </si>
  <si>
    <t>例：OpenJDK21U-jdk_x64_windows_hotspot_21.0.x_x.msi</t>
  </si>
  <si>
    <t>管理者権限がない場合は .zip を選び、2-5 の手順で導入します。</t>
  </si>
  <si>
    <t>2-3. インストールする</t>
  </si>
  <si>
    <t>インストーラーを起動</t>
  </si>
  <si>
    <t>ダウンロードした .msi ファイルをダブルクリックします。</t>
  </si>
  <si>
    <t>画面を進める</t>
  </si>
  <si>
    <t>［Next］で進み、使用許諾の画面では内容を確認して同意します。</t>
  </si>
  <si>
    <t>［Next］</t>
  </si>
  <si>
    <t>JAVA_HOME を有効にする</t>
  </si>
  <si>
    <t>「Custom Setup」画面で「Set JAVA_HOME variable」の左のアイコンをクリックし、「Will be installed on local hard drive」を選びます。</t>
  </si>
  <si>
    <t>Set JAVA_HOME variable ＝ Will be installed on local hard drive</t>
  </si>
  <si>
    <t>既定では無効になっているため、必ず有効にします。「Add to PATH」は最初から有効です。</t>
  </si>
  <si>
    <t>インストール</t>
  </si>
  <si>
    <t>［Next］→［Install］をクリックします。「ユーザー アカウント制御」の画面が出たら［はい］をクリックします。</t>
  </si>
  <si>
    <t>［Install］→［はい］</t>
  </si>
  <si>
    <t>管理者権限が必要です。</t>
  </si>
  <si>
    <t>完了</t>
  </si>
  <si>
    <t>［Finish］をクリックします。</t>
  </si>
  <si>
    <t>［Finish］</t>
  </si>
  <si>
    <t>［ 画像貼付エリア ］
図01-2　Temurin インストーラーの Custom Setup 画面
撮影対象：「Set JAVA_HOME variable」を「Will be installed on local hard drive」にした状態
（この枠の左上のセルを選択して Ctrl+V で貼り付け、枠内に収まるようにサイズを調整してください）</t>
  </si>
  <si>
    <t>図01-2　Temurin インストーラーの Custom Setup 画面</t>
  </si>
  <si>
    <t>2-4. インストール結果を確認する</t>
  </si>
  <si>
    <t>PowerShell を「新しく」開き直してから、次のコマンドを実行します（開いたままの PowerShell には、新しい設定が反映されません）。</t>
  </si>
  <si>
    <t>▼ PowerShell</t>
  </si>
  <si>
    <t>$env:JAVA_HOME</t>
  </si>
  <si>
    <t>where.exe java</t>
  </si>
  <si>
    <t>コマンド</t>
  </si>
  <si>
    <t>期待する結果</t>
  </si>
  <si>
    <t>うまくいかない場合</t>
  </si>
  <si>
    <t>インストールした版（例：21.0.x）が表示される</t>
  </si>
  <si>
    <t>古い版が表示される場合は、where.exe java の結果を確認します。</t>
  </si>
  <si>
    <t>インストール先のフォルダ（例：C:\Program Files\Eclipse Adoptium\jdk-21.0.x-hotspot\）が表示される</t>
  </si>
  <si>
    <t>何も表示されない場合は、2-3 の手順3（JAVA_HOME の有効化）を確認します。</t>
  </si>
  <si>
    <t>java.exe の場所が一覧表示される。一番上が今回入れた Java であること</t>
  </si>
  <si>
    <t>一番上に別の Java（例：C:\Program Files\Common Files\Oracle\Java\javapath\java.exe）がある場合、そちらが優先されます。</t>
  </si>
  <si>
    <t>PowerShell では「where」が別の命令の短縮名になっているため、java の場所を調べるときは「where.exe」と入力します。</t>
  </si>
  <si>
    <t>2-5. 管理者権限がない場合（zip 版を手動で設定）</t>
  </si>
  <si>
    <t>zip を展開</t>
  </si>
  <si>
    <t>2-2 で Package Type＝JDK の「.zip」をダウンロードし、C:\java に展開します。</t>
  </si>
  <si>
    <t>C:\java\jdk-21.0.8+9（例）</t>
  </si>
  <si>
    <t>フォルダ名は展開したものに合わせます。</t>
  </si>
  <si>
    <t>環境変数の画面を開く</t>
  </si>
  <si>
    <t>Windows キー＋R を押し、下の文字を入力して Enter を押します。</t>
  </si>
  <si>
    <t>rundll32.exe sysdm.cpl,EditEnvironmentVariables</t>
  </si>
  <si>
    <t>「環境変数」の画面が開きます（管理者権限は不要です）。</t>
  </si>
  <si>
    <t>JAVA_HOME を作る</t>
  </si>
  <si>
    <t>上側の「ユーザー環境変数」の［新規］をクリックし、変数名と変数値を入力して［OK］。</t>
  </si>
  <si>
    <t>変数名：JAVA_HOME
変数値：C:\java\jdk-21.0.8+9</t>
  </si>
  <si>
    <t>Path に追加</t>
  </si>
  <si>
    <t>「ユーザー環境変数」の［Path］を選んで［編集］→［新規］→ 下の値を入力 →［OK］→［OK］。</t>
  </si>
  <si>
    <t>%JAVA_HOME%\bin</t>
  </si>
  <si>
    <t>確認</t>
  </si>
  <si>
    <t>PowerShell を開き直し、2-4 のコマンドで確認します。</t>
  </si>
  <si>
    <t>システム側の Path に別の Java があると、そちらが優先されます（Path はシステム → ユーザーの順に検索されるため）。その場合は管理者に相談してください。</t>
  </si>
  <si>
    <t>3. JMeter の入手</t>
  </si>
  <si>
    <t>3-1. ダウンロードする</t>
  </si>
  <si>
    <t>ダウンロードページを開く</t>
  </si>
  <si>
    <t>ブラウザで JMeter の公式ダウンロードページを開きます。</t>
  </si>
  <si>
    <t>必ず公式サイト（apache.org）から入手します。</t>
  </si>
  <si>
    <t>zip をダウンロード</t>
  </si>
  <si>
    <t>「Binaries」欄にある apache-jmeter-5.6.3.zip をクリックします。</t>
  </si>
  <si>
    <t>apache-jmeter-5.6.3.zip</t>
  </si>
  <si>
    <t>「Source」欄（ソースコード）は使いません。Windows は .zip、Linux は .tgz を使います。</t>
  </si>
  <si>
    <t>ハッシュ値ファイルを保存</t>
  </si>
  <si>
    <t>同じ行の［sha512］を右クリック →［名前を付けてリンク先を保存］で保存します。</t>
  </si>
  <si>
    <t>apache-jmeter-5.6.3.zip.sha512</t>
  </si>
  <si>
    <t>ブラウザで開いてしまった場合は、表示された内容をメモ帳に貼り付け、同じ名前で「ダウンロード」フォルダに保存します。</t>
  </si>
  <si>
    <t>保存場所を確認</t>
  </si>
  <si>
    <t>2つのファイルが「ダウンロード」フォルダにあることを確認します。</t>
  </si>
  <si>
    <t>［ 画像貼付エリア ］
図01-3　JMeter 公式ダウンロードページ
撮影対象：Binaries 欄の apache-jmeter-5.6.3.zip と sha512 リンクの部分
（この枠の左上のセルを選択して Ctrl+V で貼り付け、枠内に収まるようにサイズを調整してください）</t>
  </si>
  <si>
    <t>図01-3　JMeter 公式ダウンロードページ</t>
  </si>
  <si>
    <t>新しい版が公開された場合は、原則として最新版を使います。ただし、端末と実行サーバの JMeter は必ず同じ版にそろえてください。過去の版は https://archive.apache.org/dist/jmeter/binaries/ から入手できます。</t>
  </si>
  <si>
    <t>3-2. ファイルが正しいか確認する（ハッシュ値の照合）</t>
  </si>
  <si>
    <t>ダウンロードしたファイルが途中で壊れていないこと、改ざんされていないことを確認します。PowerShell で次の4行を1行ずつ実行します。</t>
  </si>
  <si>
    <t>▼ PowerShell（「ダウンロード」フォルダで実行）</t>
  </si>
  <si>
    <t>cd $env:USERPROFILE\Downloads</t>
  </si>
  <si>
    <t>$expected = ((Get-Content .\apache-jmeter-5.6.3.zip.sha512 -Raw).Trim() -split '\s+')[0]</t>
  </si>
  <si>
    <t>$actual   = (Get-FileHash .\apache-jmeter-5.6.3.zip -Algorithm SHA512).Hash</t>
  </si>
  <si>
    <t>if ($actual -eq $expected) { "OK：ハッシュ値が一致しました" } else { "NG：一致しません。再ダウンロードしてください" }</t>
  </si>
  <si>
    <t>結果</t>
  </si>
  <si>
    <t>意味と対応</t>
  </si>
  <si>
    <t>OK：ハッシュ値が一致しました</t>
  </si>
  <si>
    <t>正しいファイルです。3-3 に進みます。</t>
  </si>
  <si>
    <t>NG：一致しません。再ダウンロードしてください</t>
  </si>
  <si>
    <t>ダウンロードが途中で失敗した可能性があります。zip と sha512 を削除して、もう一度ダウンロードします。</t>
  </si>
  <si>
    <t>apache-jmeter-5.6.3.zip の公式の SHA512 値は「387fadca903ee0aa30e3f2115fdfedb3898b102e6b9fe7cc3942703094bd2e65b235df2b0c6d0d3248e74c9a7950a36e42625fd74425368342c12e40b0163076」です（.sha512 ファイルの先頭128文字）。コマンドプロンプトでは certutil -hashfile apache-jmeter-5.6.3.zip SHA512 でも計算できます。</t>
  </si>
  <si>
    <t>［ 画像貼付エリア ］
図01-4　ハッシュ値の照合結果
撮影対象：PowerShell に「OK：ハッシュ値が一致しました」と表示された画面
（この枠の左上のセルを選択して Ctrl+V で貼り付け、枠内に収まるようにサイズを調整してください）</t>
  </si>
  <si>
    <t>図01-4　ハッシュ値の照合結果</t>
  </si>
  <si>
    <t>3-3. ブロックを解除する</t>
  </si>
  <si>
    <t>プロパティを開く</t>
  </si>
  <si>
    <t>apache-jmeter-5.6.3.zip を右クリック →［プロパティ］をクリックします。</t>
  </si>
  <si>
    <t>許可する</t>
  </si>
  <si>
    <t>［全般］タブの下部「セキュリティ：このファイルは他のコンピューターから取得したものです。…」の［許可する］にチェックを入れ、［OK］をクリックします。</t>
  </si>
  <si>
    <t>［許可する］にチェック</t>
  </si>
  <si>
    <t>この表示がない場合は、何もしなくて構いません。</t>
  </si>
  <si>
    <t>▼ PowerShell で行う場合（上の手順と同じ効果）</t>
  </si>
  <si>
    <t>Unblock-File $env:USERPROFILE\Downloads\apache-jmeter-5.6.3.zip</t>
  </si>
  <si>
    <t>インターネットから入手したファイルには「ブロック」の印が付きます。展開前に解除しておくと、展開後のファイルに印が引き継がれず、起動時の警告（SmartScreen）などを防げます。</t>
  </si>
  <si>
    <t>4. 展開と配置</t>
  </si>
  <si>
    <t>配置先フォルダを作る</t>
  </si>
  <si>
    <t>エクスプローラーで C ドライブを開き、「jmeter」という名前のフォルダを作ります。</t>
  </si>
  <si>
    <t>C:\jmeter</t>
  </si>
  <si>
    <t>パスに空白や日本語を含めないことが重要です。</t>
  </si>
  <si>
    <t>zip を右クリック →［すべて展開］→ 展開先に「C:\jmeter」と入力 →［展開］をクリックします。</t>
  </si>
  <si>
    <t>展開先：C:\jmeter</t>
  </si>
  <si>
    <t>展開結果を確認</t>
  </si>
  <si>
    <t>C:\jmeter\apache-jmeter-5.6.3\bin の中に jmeter.bat があることを確認します。</t>
  </si>
  <si>
    <t>C:\jmeter\apache-jmeter-5.6.3\bin\jmeter.bat</t>
  </si>
  <si>
    <t>「C:\jmeter\apache-jmeter-5.6.3\apache-jmeter-5.6.3」のように二重になった場合は、内側のフォルダを C:\jmeter の直下に移動します。</t>
  </si>
  <si>
    <t>▼ PowerShell で行う場合（最後に True と表示されれば成功）</t>
  </si>
  <si>
    <t>New-Item -ItemType Directory -Force C:\jmeter | Out-Null</t>
  </si>
  <si>
    <t>tar -xf $env:USERPROFILE\Downloads\apache-jmeter-5.6.3.zip -C C:\jmeter</t>
  </si>
  <si>
    <t>Test-Path C:\jmeter\apache-jmeter-5.6.3\bin\jmeter.bat</t>
  </si>
  <si>
    <t>C:\Program Files の下には置かないでください（書き込みが制限され、設定やログを保存できないことがあります）。また、デスクトップ・ドキュメントは OneDrive の同期対象になっている場合があり、同期による動作の遅れやファイルのロックの原因になるため避けてください。</t>
  </si>
  <si>
    <t>JMeter のフォルダ構成</t>
  </si>
  <si>
    <t>フォルダ・ファイル</t>
  </si>
  <si>
    <t>本ガイドでの使い方</t>
  </si>
  <si>
    <t>bin\jmeter.bat</t>
  </si>
  <si>
    <t>JMeter の画面（GUI）を起動するファイル</t>
  </si>
  <si>
    <t>ダブルクリックで起動</t>
  </si>
  <si>
    <t>bin\jmeter.properties</t>
  </si>
  <si>
    <t>JMeter の既定の設定</t>
  </si>
  <si>
    <t>直接は編集しない</t>
  </si>
  <si>
    <t>bin\user.properties</t>
  </si>
  <si>
    <t>利用者が追加・変更する設定（jmeter.properties より優先）</t>
  </si>
  <si>
    <t>6-4 で設定を追記</t>
  </si>
  <si>
    <t>bin\jmeter.log</t>
  </si>
  <si>
    <t>GUI 実行時のログ（実行の記録・エラー）</t>
  </si>
  <si>
    <t>エラー調査に使用</t>
  </si>
  <si>
    <t>bin\shutdown.cmd ／ stoptest.cmd</t>
  </si>
  <si>
    <t>CLI 実行中の JMeter を止めるファイル</t>
  </si>
  <si>
    <t>Linux では shutdown.sh ／ stoptest.sh を使用</t>
  </si>
  <si>
    <t>lib</t>
  </si>
  <si>
    <t>JMeter 本体が使う部品（.jar）</t>
  </si>
  <si>
    <t>プラグインの依存ライブラリもここに入る</t>
  </si>
  <si>
    <t>lib\ext</t>
  </si>
  <si>
    <t>JMeter の機能部品とプラグイン（.jar）</t>
  </si>
  <si>
    <t>Plugins Manager の jar を置く</t>
  </si>
  <si>
    <t>printable_docs</t>
  </si>
  <si>
    <t>オフラインで読めるマニュアル</t>
  </si>
  <si>
    <t>usermanual\index.html をブラウザで開く</t>
  </si>
  <si>
    <t>［ 画像貼付エリア ］
図01-5　展開後の JMeter フォルダ
撮影対象：エクスプローラーで C:\jmeter\apache-jmeter-5.6.3 を開いた画面
（この枠の左上のセルを選択して Ctrl+V で貼り付け、枠内に収まるようにサイズを調整してください）</t>
  </si>
  <si>
    <t>図01-5　展開後の JMeter フォルダ</t>
  </si>
  <si>
    <t>作業用フォルダを作る</t>
  </si>
  <si>
    <t>$base = "C:\work\jmeter"</t>
  </si>
  <si>
    <t>foreach ($d in "scenarios","data","props","scripts","results","analysis") {</t>
  </si>
  <si>
    <t xml:space="preserve">    New-Item -ItemType Directory -Force (Join-Path $base $d) | Out-Null</t>
  </si>
  <si>
    <t>}</t>
  </si>
  <si>
    <t>Get-ChildItem $base</t>
  </si>
  <si>
    <t>フォルダ</t>
  </si>
  <si>
    <t>置くもの</t>
  </si>
  <si>
    <t>実行サーバ側の対応フォルダ</t>
  </si>
  <si>
    <t>C:\work\jmeter\scenarios</t>
  </si>
  <si>
    <t>シナリオ（.jmx）</t>
  </si>
  <si>
    <t>~/jmeter-work/scenarios</t>
  </si>
  <si>
    <t>C:\work\jmeter\data</t>
  </si>
  <si>
    <t>試験データ（.csv）</t>
  </si>
  <si>
    <t>~/jmeter-work/data</t>
  </si>
  <si>
    <t>C:\work\jmeter\props</t>
  </si>
  <si>
    <t>接続情報ファイル（.properties）※シークレットを含むため取扱注意</t>
  </si>
  <si>
    <t>~/jmeter-work/props</t>
  </si>
  <si>
    <t>C:\work\jmeter\scripts</t>
  </si>
  <si>
    <t>起動用バッチ（.bat）、実行スクリプト（run_test.sh）</t>
  </si>
  <si>
    <t>~/jmeter-work/scripts</t>
  </si>
  <si>
    <t>C:\work\jmeter\results</t>
  </si>
  <si>
    <t>実行サーバから回収した結果（.tar.gz を展開したもの）</t>
  </si>
  <si>
    <t>~/jmeter-work/results</t>
  </si>
  <si>
    <t>C:\work\jmeter\analysis</t>
  </si>
  <si>
    <t>Excel の分析ブック・報告書</t>
  </si>
  <si>
    <t>5. 起動を確認する</t>
  </si>
  <si>
    <t>jmeter.bat を起動</t>
  </si>
  <si>
    <t>C:\jmeter\apache-jmeter-5.6.3\bin\jmeter.bat をダブルクリックします。</t>
  </si>
  <si>
    <t>黒いコンソール画面が開き、数秒～数十秒後に JMeter の画面が開きます。</t>
  </si>
  <si>
    <t>メッセージを確認</t>
  </si>
  <si>
    <t>コンソール画面に「Don't use GUI mode for load testing !」と表示されます。</t>
  </si>
  <si>
    <t>「GUI で負荷試験をしないでください」という公式の注意で、正常な表示です。</t>
  </si>
  <si>
    <t>画面を確認</t>
  </si>
  <si>
    <t>タイトルバーに「Apache JMeter (5.6.3)」と表示され、左側のツリーに「Test Plan」があれば起動成功です。</t>
  </si>
  <si>
    <t>終了のしかた</t>
  </si>
  <si>
    <t>メニュー［File］→［Exit］で終了します。</t>
  </si>
  <si>
    <t>［File］→［Exit］</t>
  </si>
  <si>
    <t>コンソール画面（黒い画面）を閉じると JMeter も終了します。作業中は閉じないでください。</t>
  </si>
  <si>
    <t>▼ コンソール画面の表示例</t>
  </si>
  <si>
    <t>================================================================================</t>
  </si>
  <si>
    <t>Don't use GUI mode for load testing !, only for Test creation and Test debugging.</t>
  </si>
  <si>
    <t>For load testing, use CLI Mode (was NON GUI):</t>
  </si>
  <si>
    <t xml:space="preserve">   jmeter -n -t [jmx file] -l [results file] -e -o [Path to web report folder]</t>
  </si>
  <si>
    <t>&amp; increase Java Heap to meet your test requirements:</t>
  </si>
  <si>
    <t xml:space="preserve">   Modify current env variable HEAP="-Xms1g -Xmx1g -XX:MaxMetaspaceSize=256m" in the jmeter batch file</t>
  </si>
  <si>
    <t>Check : https://jmeter.apache.org/usermanual/best-practices.html</t>
  </si>
  <si>
    <t>［ 画像貼付エリア ］
図01-6　起動時のコンソール画面
撮影対象：jmeter.bat をダブルクリックした直後の黒い画面
（この枠の左上のセルを選択して Ctrl+V で貼り付け、枠内に収まるようにサイズを調整してください）</t>
  </si>
  <si>
    <t>図01-6　起動時のコンソール画面</t>
  </si>
  <si>
    <t>［ 画像貼付エリア ］
図01-7　JMeter の起動直後の画面
撮影対象：Apache JMeter (5.6.3) の画面全体（左に Test Plan が表示された状態）
（この枠の左上のセルを選択して Ctrl+V で貼り付け、枠内に収まるようにサイズを調整してください）</t>
  </si>
  <si>
    <t>図01-7　JMeter の起動直後の画面</t>
  </si>
  <si>
    <t>症状</t>
  </si>
  <si>
    <t>原因</t>
  </si>
  <si>
    <t>対処</t>
  </si>
  <si>
    <t>黒い画面が一瞬で消える／JMeter が起動しない</t>
  </si>
  <si>
    <t>Java が見つからない（Path 未設定）、または Java が古い</t>
  </si>
  <si>
    <t>コマンドプロンプトを開いて C:\jmeter\apache-jmeter-5.6.3\bin\jmeter.bat を入力・実行し、表示されるメッセージ（例：Not able to find Java executable or version.）を確認します。2章の確認をやり直してください。</t>
  </si>
  <si>
    <t>「Windows によって PC が保護されました」と表示される</t>
  </si>
  <si>
    <t>SmartScreen による警告</t>
  </si>
  <si>
    <t>入手元（apache.org）とハッシュ値を確認済みであれば［詳細情報］→［実行］。3-3 のブロック解除を先に行うと出にくくなります。</t>
  </si>
  <si>
    <t>画面の文字が小さすぎる／大きすぎる</t>
  </si>
  <si>
    <t>高解像度ディスプレイの拡大設定</t>
  </si>
  <si>
    <t>6-3 の［Zoom In］／［Zoom Out］で調整します。</t>
  </si>
  <si>
    <t>起動用バッチファイルを作る（04 で接続情報ファイルを作った後に使用）</t>
  </si>
  <si>
    <t>接続情報ファイル（env_stg.properties）を読み込んで JMeter を起動するためのファイルです。メモ帳に下の内容を貼り付け、C:\work\jmeter\scripts\start_jmeter_stg.bat という名前で保存します（［ファイルの種類］を「すべてのファイル」にして保存）。</t>
  </si>
  <si>
    <t>▼ C:\work\jmeter\scripts\start_jmeter_stg.bat</t>
  </si>
  <si>
    <t>@echo off</t>
  </si>
  <si>
    <t>rem JMeter GUI launcher (staging)</t>
  </si>
  <si>
    <t>set "JMETER_HOME=C:\jmeter\apache-jmeter-5.6.3"</t>
  </si>
  <si>
    <t>set "HEAP=-Xms1g -Xmx2g -XX:MaxMetaspaceSize=256m"</t>
  </si>
  <si>
    <t>cd /d "%JMETER_HOME%\bin"</t>
  </si>
  <si>
    <t>call jmeter.bat -q "C:\work\jmeter\props\env_stg.properties"</t>
  </si>
  <si>
    <t>行</t>
  </si>
  <si>
    <t>set "JMETER_HOME=…"</t>
  </si>
  <si>
    <t>JMeter を展開したフォルダ</t>
  </si>
  <si>
    <t>set "HEAP=…"</t>
  </si>
  <si>
    <t>JMeter が使うメモリ量（-Xms 初期値、-Xmx 上限）。既定は 1GB。GUI での確認なら 1～2GB で十分です。</t>
  </si>
  <si>
    <t>bin フォルダに移動してから起動します（GUI 実行時の jmeter.log が bin に作られます）。</t>
  </si>
  <si>
    <t>call jmeter.bat -q "…"</t>
  </si>
  <si>
    <t>-q で接続情報ファイルを追加で読み込んで起動します。</t>
  </si>
  <si>
    <t>.bat ファイルには日本語を書かないでください（コマンドプロンプトの文字コードの違いで誤動作することがあります）。デスクトップから起動したい場合は、この .bat を右クリック →［その他のオプションを確認］→［ショートカットの作成］で作ったショートカットをデスクトップに移動します。</t>
  </si>
  <si>
    <t>6. 初期設定</t>
  </si>
  <si>
    <t>6-1. 表示言語</t>
  </si>
  <si>
    <t>JMeter 5.6.3 は、起動用ファイルの中で英語表示が指定されているため（-Duser.language=en）、日本語版 Windows でも英語表示で起動します。本ガイドは英語表示を前提に説明します。［Options］→［Choose Language］で表示言語を変えることもできますが、日本語訳は一部のみで英語と日本語が混在するため、英語のまま使うことを推奨します。</t>
  </si>
  <si>
    <t>6-2. 見た目（テーマ）</t>
  </si>
  <si>
    <t>テーマを選ぶ</t>
  </si>
  <si>
    <t>メニュー［Options］→［Look and Feel］→［Darklaf - IntelliJ］を選びます。</t>
  </si>
  <si>
    <t>Darklaf - IntelliJ</t>
  </si>
  <si>
    <t>明るい配色になり、報告書に貼るスクリーンショットが見やすくなります（既定は暗い配色の Darcula）。</t>
  </si>
  <si>
    <t>再起動</t>
  </si>
  <si>
    <t>再起動を求められた場合は、JMeter を再起動します。</t>
  </si>
  <si>
    <t>［ 画像貼付エリア ］
図01-8　Look and Feel メニュー
撮影対象：［Options］→［Look and Feel］を開いた状態
（この枠の左上のセルを選択して Ctrl+V で貼り付け、枠内に収まるようにサイズを調整してください）</t>
  </si>
  <si>
    <t>図01-8　Look and Feel メニュー</t>
  </si>
  <si>
    <t>6-3. 文字の大きさ</t>
  </si>
  <si>
    <t>メニュー［Options］→［Zoom In］（拡大）／［Zoom Out］（縮小）で、画面の文字の大きさを調整できます。</t>
  </si>
  <si>
    <t>6-4. 設定ファイル（user.properties）に追記する</t>
  </si>
  <si>
    <t>結果ファイルの形式やレポートの設定を明示しておきます。端末と実行サーバで同じ内容にしておくと、どちらで作った結果も同じように扱えます。</t>
  </si>
  <si>
    <t>メモ帳で開く</t>
  </si>
  <si>
    <t>PowerShell で下のコマンドを実行します。</t>
  </si>
  <si>
    <t>notepad C:\jmeter\apache-jmeter-5.6.3\bin\user.properties</t>
  </si>
  <si>
    <t>末尾に追記</t>
  </si>
  <si>
    <t>ファイルの一番最後に、下の設定をそのまま貼り付けます。</t>
  </si>
  <si>
    <t>下のコード</t>
  </si>
  <si>
    <t>英数字・記号だけで書きます（日本語は文字化けします）。</t>
  </si>
  <si>
    <t>保存</t>
  </si>
  <si>
    <t>［ファイル］→［上書き保存］で保存し、JMeter を再起動します。</t>
  </si>
  <si>
    <t>▼ user.properties の末尾に追記</t>
  </si>
  <si>
    <t># ---- added for this project ----</t>
  </si>
  <si>
    <t># console summary interval (seconds)</t>
  </si>
  <si>
    <t>summariser.interval=30</t>
  </si>
  <si>
    <t># results file (JTL) format</t>
  </si>
  <si>
    <t>jmeter.save.saveservice.output_format=csv</t>
  </si>
  <si>
    <t>jmeter.save.saveservice.print_field_names=true</t>
  </si>
  <si>
    <t>jmeter.save.saveservice.timestamp_format=ms</t>
  </si>
  <si>
    <t># HTML report</t>
  </si>
  <si>
    <t>jmeter.reportgenerator.report_title=API Load Test Report</t>
  </si>
  <si>
    <t>jmeter.reportgenerator.overall_granularity=60000</t>
  </si>
  <si>
    <t>jmeter.reportgenerator.apdex_satisfied_threshold=500</t>
  </si>
  <si>
    <t>jmeter.reportgenerator.apdex_tolerated_threshold=1500</t>
  </si>
  <si>
    <t>設定</t>
  </si>
  <si>
    <t>CLI 実行中、30 秒ごとに途中経過（summary 行）を画面に表示します。</t>
  </si>
  <si>
    <t>…output_format=csv</t>
  </si>
  <si>
    <t>結果ファイル（JTL）を CSV 形式で保存します（Excel で扱いやすい）。</t>
  </si>
  <si>
    <t>…print_field_names=true</t>
  </si>
  <si>
    <t>結果ファイルの1行目に列名（timeStamp, elapsed…）を出力します。</t>
  </si>
  <si>
    <t>…timestamp_format=ms</t>
  </si>
  <si>
    <t>時刻を 1970/1/1 からのミリ秒で保存します（HTML レポートの作成にも必要な既定の形式）。</t>
  </si>
  <si>
    <t>…report_title=…</t>
  </si>
  <si>
    <t>HTML レポートの表題です（英数字で記述）。</t>
  </si>
  <si>
    <t>…overall_granularity=60000</t>
  </si>
  <si>
    <t>HTML レポートのグラフの集計間隔（ミリ秒）。60000＝1分ごと。10分以下の短い試験では 10000（10秒）にすると推移が見やすくなります。</t>
  </si>
  <si>
    <t>…apdex_satisfied_threshold=500 ／ …tolerated_threshold=1500</t>
  </si>
  <si>
    <t>APDEX（満足度指数）の判定基準。500ms 以下＝満足、1500ms 以下＝許容。試験の目標値に合わせて変更できます。</t>
  </si>
  <si>
    <t>jmeter.properties は直接編集せず、変更したい設定は user.properties に書きます。user.properties の値が優先され、JMeter のバージョンを上げるときも設定を引き継ぎやすくなります。</t>
  </si>
  <si>
    <t>6-5. プロキシの設定（社内プロキシ経由でインターネットに出る場合のみ）</t>
  </si>
  <si>
    <t>起動用バッチファイルの最終行に、-H（プロキシのホスト名）と -P（ポート番号）を追加します。プロキシを通さない宛先は -N で指定できます。</t>
  </si>
  <si>
    <t>▼ start_jmeter_stg.bat の最終行（例）</t>
  </si>
  <si>
    <t>call jmeter.bat -H proxy.example.co.jp -P 8080 -q "C:\work\jmeter\props\env_stg.properties"</t>
  </si>
  <si>
    <t>認証付きのプロキシでは -u（ユーザー名）と -a（パスワード）も指定できますが、パスワードがファイルや画面に残るため、取り扱いに注意してください。</t>
  </si>
  <si>
    <t>7. Plugins Manager の導入（任意）</t>
  </si>
  <si>
    <t>本ガイドのシナリオは JMeter の標準機能だけで作れるため、プラグイン（追加機能）は不要です。段階的に負荷を上げるスレッドグループなど、標準にない機能が必要になった場合だけ導入してください。</t>
  </si>
  <si>
    <t>jar をダウンロード</t>
  </si>
  <si>
    <t>https://jmeter-plugins.org/install/Install/ を開き、「plugins-manager.jar」のリンクからダウンロードします。</t>
  </si>
  <si>
    <t>jmeter-plugins-manager-2.0.jar（2026年10月時点の最新）</t>
  </si>
  <si>
    <t>lib\ext に置く</t>
  </si>
  <si>
    <t>ダウンロードした jar を lib\ext フォルダにコピーします。</t>
  </si>
  <si>
    <t>C:\jmeter\apache-jmeter-5.6.3\lib\ext</t>
  </si>
  <si>
    <t>JMeter を再起動</t>
  </si>
  <si>
    <t>JMeter を終了して、もう一度起動します。</t>
  </si>
  <si>
    <t>Plugins Manager を開く</t>
  </si>
  <si>
    <t>メニュー［Options］→［Plugins Manager］をクリックします。</t>
  </si>
  <si>
    <t>［Options］→［Plugins Manager］</t>
  </si>
  <si>
    <t>一覧が空の場合は、プロキシ設定が必要です（6-5）。</t>
  </si>
  <si>
    <t>プラグインを選ぶ</t>
  </si>
  <si>
    <t>［Available Plugins］タブで、使いたいプラグインにチェックを入れます。</t>
  </si>
  <si>
    <t>主なプラグインは 03_機能一覧 を参照。</t>
  </si>
  <si>
    <t>適用</t>
  </si>
  <si>
    <t>右下の［Apply Changes and Restart JMeter］をクリックします。</t>
  </si>
  <si>
    <t>JMeter が再起動し、プラグインが使えるようになります。</t>
  </si>
  <si>
    <t>［ 画像貼付エリア ］
図01-9　Plugins Manager の画面
撮影対象：［Available Plugins］タブでプラグインを選択した状態
（この枠の左上のセルを選択して Ctrl+V で貼り付け、枠内に収まるようにサイズを調整してください）</t>
  </si>
  <si>
    <t>図01-9　Plugins Manager の画面</t>
  </si>
  <si>
    <t>プラグインを使ったシナリオは、実行サーバにも同じプラグイン（同じ版）を入れないと読み込めません（10_Linux準備 の 9章を参照）。プラグインの jar は lib\ext（本体）と lib（依存ライブラリ）に追加されます。</t>
  </si>
  <si>
    <t>02　JMeter の画面と基本操作</t>
  </si>
  <si>
    <t>シナリオ作成の前に、画面の構成、テスト要素の種類、適用範囲（スコープ）と実行順序のルールを理解します。</t>
  </si>
  <si>
    <t>1. 画面の構成</t>
  </si>
  <si>
    <t>［ 画像貼付エリア ］
図02-1　JMeter のメイン画面（各部の名称）
撮影対象：JMeter の画面全体。下表の①～⑤の位置に番号を書き入れると分かりやすい
（この枠の左上のセルを選択して Ctrl+V で貼り付け、枠内に収まるようにサイズを調整してください）</t>
  </si>
  <si>
    <t>図02-1　JMeter のメイン画面（各部の名称）</t>
  </si>
  <si>
    <t>番号</t>
  </si>
  <si>
    <t>説明</t>
  </si>
  <si>
    <t>メニューバー</t>
  </si>
  <si>
    <t>［File］［Edit］［Search］［Run］［Options］［Tools］［Help］のメニューです。</t>
  </si>
  <si>
    <t>ツールバー</t>
  </si>
  <si>
    <t>よく使う操作（新規作成・保存・実行開始・停止・結果のクリアなど）のボタンです。</t>
  </si>
  <si>
    <t>ツリー（テスト計画）</t>
  </si>
  <si>
    <t>シナリオの構造です。要素を右クリックして、子要素の追加・削除・移動を行います。</t>
  </si>
  <si>
    <t>設定パネル</t>
  </si>
  <si>
    <t>ツリーで選んだ要素の設定画面です。Name（名前）や各種設定値を入力します。</t>
  </si>
  <si>
    <t>実行状況（右上）</t>
  </si>
  <si>
    <t>実行中は経過時間、警告アイコン（ログのエラー件数）、「実行中のスレッド数／全スレッド数」が表示されます。</t>
  </si>
  <si>
    <t>2. よく使う操作とショートカット</t>
  </si>
  <si>
    <t>操作</t>
  </si>
  <si>
    <t>メニュー／ボタン</t>
  </si>
  <si>
    <t>ショートカット</t>
  </si>
  <si>
    <t>［File］→［Save］</t>
  </si>
  <si>
    <t>Ctrl＋S</t>
  </si>
  <si>
    <t>初回は［Save Test Plan as］で保存先とファイル名を指定します。</t>
  </si>
  <si>
    <t>開く</t>
  </si>
  <si>
    <t>［File］→［Open］</t>
  </si>
  <si>
    <t>Ctrl＋O</t>
  </si>
  <si>
    <t>既存の .jmx を開きます。</t>
  </si>
  <si>
    <t>実行開始</t>
  </si>
  <si>
    <t>［Run］→［Start］（緑の ▶）</t>
  </si>
  <si>
    <t>Ctrl＋R</t>
  </si>
  <si>
    <t>シナリオを実行します（タイマーの待ち時間も含む）。</t>
  </si>
  <si>
    <t>待ち時間なしで実行</t>
  </si>
  <si>
    <t>［Run］→［Start no pauses］</t>
  </si>
  <si>
    <t>Ctrl＋Shift＋N</t>
  </si>
  <si>
    <t>タイマーを無視して実行します。動作確認を素早く行いたいとき。</t>
  </si>
  <si>
    <t>停止（即時）</t>
  </si>
  <si>
    <t>［Run］→［Stop］（赤の ■）</t>
  </si>
  <si>
    <t>Ctrl＋.（ピリオド）</t>
  </si>
  <si>
    <t>実行中のリクエストも中断してすぐに止めます。</t>
  </si>
  <si>
    <t>停止（終了処理付き）</t>
  </si>
  <si>
    <t>［Run］→［Shutdown］</t>
  </si>
  <si>
    <t>Ctrl＋,（カンマ）</t>
  </si>
  <si>
    <t>新しいリクエストを止め、実行中のリクエストが終わるのを待って止めます。</t>
  </si>
  <si>
    <t>結果のクリア</t>
  </si>
  <si>
    <t>［Run］→［Clear］</t>
  </si>
  <si>
    <t>Ctrl＋Shift＋E</t>
  </si>
  <si>
    <t>選択中のリスナーの結果を消します。</t>
  </si>
  <si>
    <t>全結果のクリア</t>
  </si>
  <si>
    <t>［Run］→［Clear All］</t>
  </si>
  <si>
    <t>Ctrl＋E</t>
  </si>
  <si>
    <t>すべてのリスナーの結果を消します。再実行の前に行います。</t>
  </si>
  <si>
    <t>有効／無効の切替</t>
  </si>
  <si>
    <t>右クリック →［Toggle］</t>
  </si>
  <si>
    <t>Ctrl＋T</t>
  </si>
  <si>
    <t>要素を一時的に無効にします（グレー表示になり実行されない）。</t>
  </si>
  <si>
    <t>複製</t>
  </si>
  <si>
    <t>右クリック →［Duplicate］</t>
  </si>
  <si>
    <t>Ctrl＋Shift＋C</t>
  </si>
  <si>
    <t>選択した要素を、子要素ごとすぐ下に複製します。</t>
  </si>
  <si>
    <t>検索</t>
  </si>
  <si>
    <t>［Search］→［Search］</t>
  </si>
  <si>
    <t>Ctrl＋F</t>
  </si>
  <si>
    <t>要素名や設定値を検索します。</t>
  </si>
  <si>
    <t>関数ヘルパー</t>
  </si>
  <si>
    <t>［Tools］→［Function Helper Dialog］</t>
  </si>
  <si>
    <t>Ctrl＋Shift＋F1</t>
  </si>
  <si>
    <t>関数（${__P(…)} など）の書き方を確認・テストできます。</t>
  </si>
  <si>
    <t>ツリーで要素を選んだ状態で Ctrl＋数字キーを押すと、よく使う要素をすぐに子要素として追加できます（Ctrl＋0：Thread Group、Ctrl＋1：HTTP Request、Ctrl＋2：Regular Expression Extractor、Ctrl＋3：Response Assertion、Ctrl＋4：Constant Timer、Ctrl＋6：JSR223 PostProcessor、Ctrl＋7：JSR223 PreProcessor、Ctrl＋8：Debug Sampler、Ctrl＋9：View Results Tree）。</t>
  </si>
  <si>
    <t>3. テスト要素の種類</t>
  </si>
  <si>
    <t>JMeter のシナリオは、次の種類の「テスト要素」をツリー状に組み合わせて作ります。要素は、親にしたい要素を右クリック →［Add］→ 種類 → 要素名 の順で追加します。</t>
  </si>
  <si>
    <t>種類（英語表示）</t>
  </si>
  <si>
    <t>役割（ひとことで）</t>
  </si>
  <si>
    <t>代表的な要素</t>
  </si>
  <si>
    <t>主な置き場所</t>
  </si>
  <si>
    <t>Test Plan</t>
  </si>
  <si>
    <t>シナリオ全体の入れ物。共通の変数も定義できる</t>
  </si>
  <si>
    <t>ツリーの一番上（1つだけ）</t>
  </si>
  <si>
    <t>Threads (Users)</t>
  </si>
  <si>
    <t>仮想ユーザー（スレッド）の人数・起動のしかた・繰り返し回数を決める</t>
  </si>
  <si>
    <t>Thread Group、setUp Thread Group、tearDown Thread Group</t>
  </si>
  <si>
    <t>Test Plan の直下</t>
  </si>
  <si>
    <t>Sampler</t>
  </si>
  <si>
    <t>実際にリクエストを送る</t>
  </si>
  <si>
    <t>HTTP Request、Debug Sampler、JSR223 Sampler、Flow Control Action</t>
  </si>
  <si>
    <t>スレッドグループや Logic Controller の下</t>
  </si>
  <si>
    <t>Logic Controller</t>
  </si>
  <si>
    <t>サンプラーの実行順・回数・条件を制御する</t>
  </si>
  <si>
    <t>Transaction Controller、If Controller、Loop Controller、Once Only Controller</t>
  </si>
  <si>
    <t>スレッドグループの下</t>
  </si>
  <si>
    <t>Config Element</t>
  </si>
  <si>
    <t>共通の設定・ヘッダー・試験データ・変数を与える</t>
  </si>
  <si>
    <t>HTTP Request Defaults、HTTP Header Manager、CSV Data Set Config、User Defined Variables</t>
  </si>
  <si>
    <t>適用したい範囲の階層</t>
  </si>
  <si>
    <t>Pre Processors</t>
  </si>
  <si>
    <t>サンプラーの実行直前に処理する（値の生成など）</t>
  </si>
  <si>
    <t>JSR223 PreProcessor、User Parameters</t>
  </si>
  <si>
    <t>対象サンプラーの子</t>
  </si>
  <si>
    <t>Post Processors</t>
  </si>
  <si>
    <t>サンプラーの実行直後に処理する（レスポンスから値を取り出すなど）</t>
  </si>
  <si>
    <t>Regular Expression Extractor、JSON Extractor、JSR223 PostProcessor</t>
  </si>
  <si>
    <t>Assertions</t>
  </si>
  <si>
    <t>レスポンスが正しいか検証する（NG ならエラーとして記録）</t>
  </si>
  <si>
    <t>Response Assertion、JSON Assertion、Duration Assertion</t>
  </si>
  <si>
    <t>Timer</t>
  </si>
  <si>
    <t>リクエストの前に待ち時間（思考時間）を入れる</t>
  </si>
  <si>
    <t>Constant Timer、Uniform Random Timer、Constant Throughput Timer</t>
  </si>
  <si>
    <t>Listener</t>
  </si>
  <si>
    <t>結果を表示・保存する</t>
  </si>
  <si>
    <t>View Results Tree、Summary Report、Aggregate Report</t>
  </si>
  <si>
    <t>Test Plan の直下（全体を対象）</t>
  </si>
  <si>
    <t>4. 適用範囲（スコープ）のルール</t>
  </si>
  <si>
    <t>設定要素・タイマー・前処理・後処理・アサーションは、「置いた階層」と「その配下」にあるサンプラーに適用されます。どこに置くかで効き方が変わるため、次の例で確認してください。</t>
  </si>
  <si>
    <t>▼ スコープの例</t>
  </si>
  <si>
    <t>Thread Group</t>
  </si>
  <si>
    <t>├─ HTTP Header Manager（A）      … このスレッドグループ内の全リクエストに適用</t>
  </si>
  <si>
    <t>├─ Uniform Random Timer（T）     … 下の2つのリクエストの「それぞれ」の直前で待つ</t>
  </si>
  <si>
    <t>├─ HTTP Request 1</t>
  </si>
  <si>
    <t>│    └─ Response Assertion（X）  … HTTP Request 1 だけに適用</t>
  </si>
  <si>
    <t>└─ HTTP Request 2</t>
  </si>
  <si>
    <t xml:space="preserve">      └─ HTTP Header Manager（B） … HTTP Request 2 だけに適用（A と合成される）</t>
  </si>
  <si>
    <t>サンプラーの「子」に置いた要素は、そのサンプラーだけに適用されます（例：X は Request 1 だけ）。</t>
  </si>
  <si>
    <t>スレッドグループの直下に置いた要素は、その中のすべてのサンプラーに適用されます（例：A は Request 1 と 2 の両方）。</t>
  </si>
  <si>
    <t>HTTP Header Manager が複数ある場合は合成されます。同じヘッダー名がある場合は、サンプラーに近い（内側の）方の値が使われます。</t>
  </si>
  <si>
    <t>タイマーは、適用範囲内の「各」サンプラーの直前で毎回動きます。上の例ではリクエストが2つあるため、1周で2回待ちます。</t>
  </si>
  <si>
    <t>同じ種類の後処理（Post Processors）が複数ある場合は、ツリーの上から順に実行されます（「値を取り出す」→「取り出した値を使う」の順に並べる）。</t>
  </si>
  <si>
    <t>5. 1回のリクエストでの実行順序</t>
  </si>
  <si>
    <t>順番</t>
  </si>
  <si>
    <t>処理</t>
  </si>
  <si>
    <t>本ガイドでの例</t>
  </si>
  <si>
    <t>Config Element（設定要素）を適用</t>
  </si>
  <si>
    <t>HTTP Request Defaults のホスト名、HTTP Header Manager のヘッダー</t>
  </si>
  <si>
    <t>Pre Processors（前処理）を実行</t>
  </si>
  <si>
    <t>JSR223 PreProcessor で Base64 の値を作る</t>
  </si>
  <si>
    <t>Timer（タイマー）で待つ</t>
  </si>
  <si>
    <t>Uniform Random Timer で 1～3 秒待つ</t>
  </si>
  <si>
    <t>Sampler（リクエスト送信と応答の受信）</t>
  </si>
  <si>
    <t>HTTP Request で API を呼び出す</t>
  </si>
  <si>
    <t>Post Processors（後処理）を実行</t>
  </si>
  <si>
    <t>Regular Expression Extractor でアクセストークンを取り出す</t>
  </si>
  <si>
    <t>Assertions（検証）を実行</t>
  </si>
  <si>
    <t>Response Assertion でステータスコード 200 を確認</t>
  </si>
  <si>
    <t>Listener（結果の記録）</t>
  </si>
  <si>
    <t>View Results Tree・Summary Report に結果を表示</t>
  </si>
  <si>
    <t>「待つのはリクエストの前」「値の取り出し（後処理）は検証（アサーション）より先」という順番を覚えておくと、シナリオの組み立てで迷いません。</t>
  </si>
  <si>
    <t>6. 基本操作</t>
  </si>
  <si>
    <t>要素の追加</t>
  </si>
  <si>
    <t>親にしたい要素を右クリック →［Add］→ 種類 → 要素名</t>
  </si>
  <si>
    <t>名前の変更</t>
  </si>
  <si>
    <t>設定パネル上部の［Name］欄を書き換えます（ツリーの表示も変わります）。</t>
  </si>
  <si>
    <t>移動</t>
  </si>
  <si>
    <t>ツリー上でドラッグ＆ドロップします。離すときに［Insert Before］（前に挿入）／［Insert After］（後に挿入）／［Add as Child］（子として追加）を選びます。</t>
  </si>
  <si>
    <t>コピー・貼り付け</t>
  </si>
  <si>
    <t>右クリック →［Copy］／［Paste］（Ctrl＋C／Ctrl＋V）。貼り付けると、選択中の要素の子になります。</t>
  </si>
  <si>
    <t>一時的な無効化</t>
  </si>
  <si>
    <t>右クリック →［Toggle］（Ctrl＋T）。無効な要素はグレー表示になり、実行されません。</t>
  </si>
  <si>
    <t>削除</t>
  </si>
  <si>
    <t>右クリック →［Remove］（Delete キー）</t>
  </si>
  <si>
    <t>初回は［File］→［Save Test Plan as］。以降は Ctrl＋S でこまめに保存します。</t>
  </si>
  <si>
    <t>コメント</t>
  </si>
  <si>
    <t>各要素の［Comments］欄に設定の意図を書いておくと、引き継ぎや見直しが楽になります。</t>
  </si>
  <si>
    <t>7. 変数とプロパティの違い（重要）</t>
  </si>
  <si>
    <t>JMeter では、値を入れておく箱が2種類あります。本ガイドのトークン共有（04）で必要になる知識なので、違いを理解しておきましょう。</t>
  </si>
  <si>
    <t>変数（Variables）</t>
  </si>
  <si>
    <t>プロパティ（Properties）</t>
  </si>
  <si>
    <t>有効範囲</t>
  </si>
  <si>
    <t>スレッドごと（他のスレッドや他のスレッドグループからは見えない）</t>
  </si>
  <si>
    <t>JMeter 全体で共有（すべてのスレッドから見える）</t>
  </si>
  <si>
    <t>参照のしかた</t>
  </si>
  <si>
    <t>${変数名}</t>
  </si>
  <si>
    <t>${__P(名前,既定値)}</t>
  </si>
  <si>
    <t>値の入れ方</t>
  </si>
  <si>
    <t>User Defined Variables、抽出器（Extractor）、CSV Data Set Config、スクリプトの vars.put()</t>
  </si>
  <si>
    <t>user.properties、コマンドの -J／-q、スクリプトの props.put()、関数 __setProperty</t>
  </si>
  <si>
    <t>主な用途</t>
  </si>
  <si>
    <t>スレッドごとに違う値（取り出した ID、CSV の1行分など）</t>
  </si>
  <si>
    <t>実行時に外から渡す値（スレッド数・接続先）、スレッドグループ間で共有したい値（setUp で取得したトークン）</t>
  </si>
  <si>
    <t>BASIC_AUTH、ACCESS_TOKEN（取り出した直後）、ITEM_ID</t>
  </si>
  <si>
    <t>threads、duration、cognito.host、ACCESS_TOKEN（共有用）</t>
  </si>
  <si>
    <t>${__P(名前)} のように既定値を省略すると、そのプロパティが無いときに「1」という値になります。思わぬ値で動くのを防ぐため、${__P(threads,1)} のように必ず既定値を書いてください。</t>
  </si>
  <si>
    <t>03　JMeter で使える主な機能と追加方法</t>
  </si>
  <si>
    <t>よく使うテスト要素・関数・メニュー機能・プラグインの一覧です。「本ガイド」列の ◎ は本ガイドのシナリオで使用、○ は推奨、△ は必要に応じて使用します。</t>
  </si>
  <si>
    <t>1. 主なテスト要素と追加方法</t>
  </si>
  <si>
    <t>「追加方法」は、親要素を右クリックしてからのメニューのたどり方です。例：［Add］→［Sampler］→［HTTP Request］</t>
  </si>
  <si>
    <t>要素名（英語表示）</t>
  </si>
  <si>
    <t>できること</t>
  </si>
  <si>
    <t>追加方法</t>
  </si>
  <si>
    <t>本ガイド</t>
  </si>
  <si>
    <t>Threads (Users)：スレッドグループ（Test Plan を右クリック）</t>
  </si>
  <si>
    <t>仮想ユーザー数・Ramp-up・繰り返し回数・実行時間を指定する基本のスレッドグループ</t>
  </si>
  <si>
    <t>［Add］→［Threads (Users)］→［Thread Group］</t>
  </si>
  <si>
    <t>◎ 本体（TG01_API）</t>
  </si>
  <si>
    <t>setUp Thread Group</t>
  </si>
  <si>
    <t>通常のスレッドグループより前に実行される（トークン取得・データ準備）</t>
  </si>
  <si>
    <t>［Add］→［Threads (Users)］→［setUp Thread Group］</t>
  </si>
  <si>
    <t>◎ トークン取得</t>
  </si>
  <si>
    <t>tearDown Thread Group</t>
  </si>
  <si>
    <t>通常のスレッドグループの後に実行される（後片付け）</t>
  </si>
  <si>
    <t>［Add］→［Threads (Users)］→［tearDown Thread Group］</t>
  </si>
  <si>
    <t>△</t>
  </si>
  <si>
    <t>Open Model Thread Group</t>
  </si>
  <si>
    <t>到着率（例：毎秒10件）で負荷を指定する新しい方式（JMeter 5.5 以降）</t>
  </si>
  <si>
    <t>［Add］→［Threads (Users)］→［Open Model Thread Group］</t>
  </si>
  <si>
    <t>△ 上級者向け</t>
  </si>
  <si>
    <t>Sampler：リクエストを送る（スレッドグループ等を右クリック）</t>
  </si>
  <si>
    <t>HTTP Request</t>
  </si>
  <si>
    <t>HTTP／HTTPS のリクエストを送る</t>
  </si>
  <si>
    <t>［Add］→［Sampler］→［HTTP Request］</t>
  </si>
  <si>
    <t>◎</t>
  </si>
  <si>
    <t>Debug Sampler</t>
  </si>
  <si>
    <t>変数・プロパティの値を結果に表示する（動作確認用）</t>
  </si>
  <si>
    <t>［Add］→［Sampler］→［Debug Sampler］</t>
  </si>
  <si>
    <t>○ GUI 確認時のみ（負荷試験では無効化）</t>
  </si>
  <si>
    <t>JSR223 Sampler</t>
  </si>
  <si>
    <t>Groovy スクリプトを実行し、結果を記録する</t>
  </si>
  <si>
    <t>［Add］→［Sampler］→［JSR223 Sampler］</t>
  </si>
  <si>
    <t>Flow Control Action</t>
  </si>
  <si>
    <t>一時停止・スレッド停止などの制御を行う</t>
  </si>
  <si>
    <t>［Add］→［Sampler］→［Flow Control Action］</t>
  </si>
  <si>
    <t>Logic Controller：実行の順番・回数・条件を制御</t>
  </si>
  <si>
    <t>Transaction Controller</t>
  </si>
  <si>
    <t>複数のリクエストを1つの業務処理としてまとめて集計する</t>
  </si>
  <si>
    <t>［Add］→［Logic Controller］→［Transaction Controller］</t>
  </si>
  <si>
    <t>○</t>
  </si>
  <si>
    <t>Once Only Controller</t>
  </si>
  <si>
    <t>各スレッドで最初の1回だけ配下を実行する</t>
  </si>
  <si>
    <t>［Add］→［Logic Controller］→［Once Only Controller］</t>
  </si>
  <si>
    <t>△ スレッドごとのトークン取得</t>
  </si>
  <si>
    <t>If Controller</t>
  </si>
  <si>
    <t>条件が成り立つときだけ配下を実行する</t>
  </si>
  <si>
    <t>［Add］→［Logic Controller］→［If Controller］</t>
  </si>
  <si>
    <t>Loop Controller</t>
  </si>
  <si>
    <t>配下を指定回数繰り返す</t>
  </si>
  <si>
    <t>［Add］→［Logic Controller］→［Loop Controller］</t>
  </si>
  <si>
    <t>Runtime Controller</t>
  </si>
  <si>
    <t>指定した秒数の間だけ配下を繰り返す</t>
  </si>
  <si>
    <t>［Add］→［Logic Controller］→［Runtime Controller］</t>
  </si>
  <si>
    <t>Throughput Controller</t>
  </si>
  <si>
    <t>配下の実行割合（％）や回数を制御する（業務の比率を再現）</t>
  </si>
  <si>
    <t>［Add］→［Logic Controller］→［Throughput Controller］</t>
  </si>
  <si>
    <t>Simple Controller</t>
  </si>
  <si>
    <t>整理用のフォルダ（動作には影響しない）</t>
  </si>
  <si>
    <t>［Add］→［Logic Controller］→［Simple Controller］</t>
  </si>
  <si>
    <t>Config Element：共通設定・ヘッダー・データ</t>
  </si>
  <si>
    <t>HTTP Request Defaults</t>
  </si>
  <si>
    <t>プロトコル・ホスト名・タイムアウト等の既定値をまとめて設定</t>
  </si>
  <si>
    <t>［Add］→［Config Element］→［HTTP Request Defaults］</t>
  </si>
  <si>
    <t>HTTP Header Manager</t>
  </si>
  <si>
    <t>リクエストヘッダー（Authorization、X-API-ID 等）を付ける</t>
  </si>
  <si>
    <t>［Add］→［Config Element］→［HTTP Header Manager］</t>
  </si>
  <si>
    <t>User Defined Variables</t>
  </si>
  <si>
    <t>変数を定義する（Test Plan の画面にも同じ欄がある）</t>
  </si>
  <si>
    <t>［Add］→［Config Element］→［User Defined Variables］</t>
  </si>
  <si>
    <t>◎（Test Plan の画面で定義）</t>
  </si>
  <si>
    <t>CSV Data Set Config</t>
  </si>
  <si>
    <t>CSV ファイルから1行ずつ値を読み込み、変数に入れる</t>
  </si>
  <si>
    <t>［Add］→［Config Element］→［CSV Data Set Config］</t>
  </si>
  <si>
    <t>○ 試験データの差し替え</t>
  </si>
  <si>
    <t>HTTP Cookie Manager</t>
  </si>
  <si>
    <t>Cookie を自動で保持・送信する（画面系の試験では必須）</t>
  </si>
  <si>
    <t>［Add］→［Config Element］→［HTTP Cookie Manager］</t>
  </si>
  <si>
    <t>Counter</t>
  </si>
  <si>
    <t>連番を作る</t>
  </si>
  <si>
    <t>［Add］→［Config Element］→［Counter］</t>
  </si>
  <si>
    <t>Random Variable</t>
  </si>
  <si>
    <t>指定範囲の乱数を作る</t>
  </si>
  <si>
    <t>［Add］→［Config Element］→［Random Variable］</t>
  </si>
  <si>
    <t>DNS Cache Manager</t>
  </si>
  <si>
    <t>名前解決の制御（負荷分散先の偏り対策）</t>
  </si>
  <si>
    <t>［Add］→［Config Element］→［DNS Cache Manager］</t>
  </si>
  <si>
    <t>Pre Processors：前処理（サンプラーを右クリック）</t>
  </si>
  <si>
    <t>JSR223 PreProcessor</t>
  </si>
  <si>
    <t>リクエスト前に Groovy で値を作る（Base64・日時・署名など）</t>
  </si>
  <si>
    <t>［Add］→［Pre Processors］→［JSR223 PreProcessor］</t>
  </si>
  <si>
    <t>◎ Base64 の作成</t>
  </si>
  <si>
    <t>User Parameters</t>
  </si>
  <si>
    <t>スレッドごとに異なる値を割り当てる</t>
  </si>
  <si>
    <t>［Add］→［Pre Processors］→［User Parameters］</t>
  </si>
  <si>
    <t>Post Processors：後処理（サンプラーを右クリック）</t>
  </si>
  <si>
    <t>Regular Expression Extractor</t>
  </si>
  <si>
    <t>正規表現でレスポンスから値を取り出し、変数に入れる</t>
  </si>
  <si>
    <t>［Add］→［Post Processors］→［Regular Expression Extractor］</t>
  </si>
  <si>
    <t>◎ トークンの取り出し</t>
  </si>
  <si>
    <t>JSON Extractor</t>
  </si>
  <si>
    <t>JSONPath（例：$.access_token）で値を取り出す</t>
  </si>
  <si>
    <t>［Add］→［Post Processors］→［JSON Extractor］</t>
  </si>
  <si>
    <t>Boundary Extractor</t>
  </si>
  <si>
    <t>左右の文字列に挟まれた部分を取り出す（正規表現不要）</t>
  </si>
  <si>
    <t>［Add］→［Post Processors］→［Boundary Extractor］</t>
  </si>
  <si>
    <t>JSR223 PostProcessor</t>
  </si>
  <si>
    <t>取り出した値の加工、プロパティへの保存など</t>
  </si>
  <si>
    <t>［Add］→［Post Processors］→［JSR223 PostProcessor］</t>
  </si>
  <si>
    <t>◎ トークンの共有</t>
  </si>
  <si>
    <t>Assertions：応答の検証（サンプラーを右クリック）</t>
  </si>
  <si>
    <t>Response Assertion</t>
  </si>
  <si>
    <t>ステータスコードや本文の文字列を検証する</t>
  </si>
  <si>
    <t>［Add］→［Assertions］→［Response Assertion］</t>
  </si>
  <si>
    <t>JSON Assertion</t>
  </si>
  <si>
    <t>JSONPath で値の有無・一致を検証する</t>
  </si>
  <si>
    <t>［Add］→［Assertions］→［JSON Assertion］</t>
  </si>
  <si>
    <t>Duration Assertion</t>
  </si>
  <si>
    <t>応答時間が上限を超えたらエラーとして扱う</t>
  </si>
  <si>
    <t>［Add］→［Assertions］→［Duration Assertion］</t>
  </si>
  <si>
    <t>△ 目標応答時間の監視</t>
  </si>
  <si>
    <t>Size Assertion</t>
  </si>
  <si>
    <t>レスポンスのサイズを検証する</t>
  </si>
  <si>
    <t>［Add］→［Assertions］→［Size Assertion］</t>
  </si>
  <si>
    <t>Timer：待ち時間（スレッドグループ等を右クリック）</t>
  </si>
  <si>
    <t>Constant Timer</t>
  </si>
  <si>
    <t>一定時間待つ</t>
  </si>
  <si>
    <t>［Add］→［Timer］→［Constant Timer］</t>
  </si>
  <si>
    <t>Uniform Random Timer</t>
  </si>
  <si>
    <t>「一定時間＋ランダムな時間」待つ（利用者の操作間隔の再現）</t>
  </si>
  <si>
    <t>［Add］→［Timer］→［Uniform Random Timer］</t>
  </si>
  <si>
    <t>◎ 思考時間</t>
  </si>
  <si>
    <t>Constant Throughput Timer</t>
  </si>
  <si>
    <t>目標スループット（件/分）になるよう待ち時間を自動調整する</t>
  </si>
  <si>
    <t>［Add］→［Timer］→［Constant Throughput Timer］</t>
  </si>
  <si>
    <t>△ 目標件数での試験</t>
  </si>
  <si>
    <t>Precise Throughput Timer</t>
  </si>
  <si>
    <t>より正確なスループット制御（到着のばらつきも再現）</t>
  </si>
  <si>
    <t>［Add］→［Timer］→［Precise Throughput Timer］</t>
  </si>
  <si>
    <t>Synchronizing Timer</t>
  </si>
  <si>
    <t>指定数のスレッドがそろったら一斉に送信する（同時アクセス試験）</t>
  </si>
  <si>
    <t>［Add］→［Timer］→［Synchronizing Timer］</t>
  </si>
  <si>
    <t>Listener：結果の表示・保存（Test Plan を右クリック）</t>
  </si>
  <si>
    <t>View Results Tree</t>
  </si>
  <si>
    <t>1件ずつのリクエスト・レスポンスの詳細を表示（動作確認用）</t>
  </si>
  <si>
    <t>［Add］→［Listener］→［View Results Tree］</t>
  </si>
  <si>
    <t>◎ GUI 確認時のみ</t>
  </si>
  <si>
    <t>Summary Report</t>
  </si>
  <si>
    <t>ラベル別の件数・平均・最小・最大・エラー率・スループット</t>
  </si>
  <si>
    <t>［Add］→［Listener］→［Summary Report］</t>
  </si>
  <si>
    <t>Aggregate Report</t>
  </si>
  <si>
    <t>Summary Report に中央値・90/95/99 パーセンタイルを加えた集計</t>
  </si>
  <si>
    <t>［Add］→［Listener］→［Aggregate Report］</t>
  </si>
  <si>
    <t>View Results in Table</t>
  </si>
  <si>
    <t>結果を1件ずつ表形式で表示</t>
  </si>
  <si>
    <t>［Add］→［Listener］→［View Results in Table］</t>
  </si>
  <si>
    <t>Simple Data Writer</t>
  </si>
  <si>
    <t>結果をファイルに書き出すだけ（画面表示なし・軽い）</t>
  </si>
  <si>
    <t>［Add］→［Listener］→［Simple Data Writer］</t>
  </si>
  <si>
    <t>Save Responses to a file</t>
  </si>
  <si>
    <t>レスポンスをファイルに保存（失敗時のみも可）</t>
  </si>
  <si>
    <t>［Add］→［Listener］→［Save Responses to a file］</t>
  </si>
  <si>
    <t>△ エラー調査</t>
  </si>
  <si>
    <t>Backend Listener</t>
  </si>
  <si>
    <t>InfluxDB などへ結果をリアルタイム送信（Grafana で監視）</t>
  </si>
  <si>
    <t>［Add］→［Listener］→［Backend Listener］</t>
  </si>
  <si>
    <t>2. よく使う関数</t>
  </si>
  <si>
    <t>関数は ${__関数名(引数)} の形で、設定値の入力欄に書きます。［Tools］→［Function Helper Dialog］で書式の確認と試し実行ができます。引数の中にカンマ（,）を含めるときは「\,」と書きます。</t>
  </si>
  <si>
    <t>関数</t>
  </si>
  <si>
    <t>記述例</t>
  </si>
  <si>
    <t>結果の例</t>
  </si>
  <si>
    <t>__P</t>
  </si>
  <si>
    <t>プロパティの値を取得（2番目は既定値）</t>
  </si>
  <si>
    <t>${__P(threads,1)}</t>
  </si>
  <si>
    <t>20（-Jthreads=20 を指定した場合）</t>
  </si>
  <si>
    <t>__setProperty</t>
  </si>
  <si>
    <t>プロパティに値を設定</t>
  </si>
  <si>
    <t>${__setProperty(ACCESS_TOKEN,${ACCESS_TOKEN})}</t>
  </si>
  <si>
    <t>（何も表示しない）</t>
  </si>
  <si>
    <t>__groovy</t>
  </si>
  <si>
    <t>Groovy の式を実行</t>
  </si>
  <si>
    <t>${__groovy(java.time.LocalDate.now().toString())}</t>
  </si>
  <si>
    <t>2026-10-04</t>
  </si>
  <si>
    <t>__UUID</t>
  </si>
  <si>
    <t>ランダムな UUID</t>
  </si>
  <si>
    <t>${__UUID()}</t>
  </si>
  <si>
    <t>3f2b6c1e-…（毎回異なる）</t>
  </si>
  <si>
    <t>__time</t>
  </si>
  <si>
    <t>現在日時（書式指定）</t>
  </si>
  <si>
    <t>${__time(yyyyMMddHHmmss)}</t>
  </si>
  <si>
    <t>20261004103000</t>
  </si>
  <si>
    <t>__Random</t>
  </si>
  <si>
    <t>範囲内の整数の乱数</t>
  </si>
  <si>
    <t>${__Random(1,100)}</t>
  </si>
  <si>
    <t>57</t>
  </si>
  <si>
    <t>__RandomString</t>
  </si>
  <si>
    <t>ランダムな文字列</t>
  </si>
  <si>
    <t>${__RandomString(8,abcdef0123456789)}</t>
  </si>
  <si>
    <t>3fa09c1e</t>
  </si>
  <si>
    <t>__threadNum</t>
  </si>
  <si>
    <t>スレッド番号</t>
  </si>
  <si>
    <t>${__threadNum}</t>
  </si>
  <si>
    <t>__counter</t>
  </si>
  <si>
    <t>カウンター（FALSE＝全スレッド通し番号）</t>
  </si>
  <si>
    <t>${__counter(FALSE,)}</t>
  </si>
  <si>
    <t>1, 2, 3 …</t>
  </si>
  <si>
    <t>__urlencode</t>
  </si>
  <si>
    <t>URL エンコード</t>
  </si>
  <si>
    <t>${__urlencode(example-api/read)}</t>
  </si>
  <si>
    <t>example-api%2Fread</t>
  </si>
  <si>
    <t>__digest</t>
  </si>
  <si>
    <t>ハッシュ値（SHA-256 など）</t>
  </si>
  <si>
    <t>${__digest(SHA-256,abc,,,)}</t>
  </si>
  <si>
    <t>ba7816bf8f01cfea…</t>
  </si>
  <si>
    <t>__base64Encode</t>
  </si>
  <si>
    <t>Base64 エンコード（プラグイン Custom JMeter Functions が必要）</t>
  </si>
  <si>
    <t>${__base64Encode(id:secret)}</t>
  </si>
  <si>
    <t>aWQ6c2VjcmV0</t>
  </si>
  <si>
    <t>3. 便利なメニュー機能</t>
  </si>
  <si>
    <t>機能</t>
  </si>
  <si>
    <t>メニュー</t>
  </si>
  <si>
    <t>テンプレート</t>
  </si>
  <si>
    <t>［File］→［Templates...］</t>
  </si>
  <si>
    <t>よくあるシナリオの雛形から作り始める</t>
  </si>
  <si>
    <t>cURL の取り込み</t>
  </si>
  <si>
    <t>［Tools］→［Import from cURL］</t>
  </si>
  <si>
    <t>開発者から受け取った curl コマンドを貼り付けると、HTTP Request とヘッダーを自動で作る（04 の 7章参照）</t>
  </si>
  <si>
    <t>関数の書式を対話的に作成・テストする</t>
  </si>
  <si>
    <t>HTML レポートの作成</t>
  </si>
  <si>
    <t>［Tools］→［Generate HTML report］</t>
  </si>
  <si>
    <t>既存の結果ファイル（.jtl）から HTML レポートを作る（07 参照）</t>
  </si>
  <si>
    <t>検証実行</t>
  </si>
  <si>
    <t>スレッドグループを右クリック →［Validate］</t>
  </si>
  <si>
    <t>1スレッド・1回・タイマー無視で素早く動作確認する</t>
  </si>
  <si>
    <t>ログの表示</t>
  </si>
  <si>
    <t>［Options］→［Log Viewer］</t>
  </si>
  <si>
    <t>画面下部に jmeter.log の内容を表示する</t>
  </si>
  <si>
    <t>要素名や設定値を検索する</t>
  </si>
  <si>
    <t>プラグイン管理</t>
  </si>
  <si>
    <t>プラグインの追加・更新（導入が必要。01 参照）</t>
  </si>
  <si>
    <t>記録（レコーダー）</t>
  </si>
  <si>
    <t>［File］→［Templates...］→「Recording」</t>
  </si>
  <si>
    <t>ブラウザの操作を記録してシナリオにする（画面系の試験向け）</t>
  </si>
  <si>
    <t>4. 主なプラグイン（Plugins Manager で追加）</t>
  </si>
  <si>
    <t>プラグイン ID</t>
  </si>
  <si>
    <t>主な機能</t>
  </si>
  <si>
    <t>使う場面</t>
  </si>
  <si>
    <t>jpgc-casutg</t>
  </si>
  <si>
    <t>Custom Thread Groups</t>
  </si>
  <si>
    <t>Concurrency／Ultimate／Stepping Thread Group</t>
  </si>
  <si>
    <t>段階的に負荷を上げる、複雑な負荷パターン</t>
  </si>
  <si>
    <t>jpgc-tst</t>
  </si>
  <si>
    <t>Throughput Shaping Timer</t>
  </si>
  <si>
    <t>時間帯ごとの目標リクエスト数（RPS）を指定</t>
  </si>
  <si>
    <t>目標スループットでの一定負荷</t>
  </si>
  <si>
    <t>jpgc-graphs-basic</t>
  </si>
  <si>
    <t>3 Basic Graphs</t>
  </si>
  <si>
    <t>Active Threads／Response Times／Transactions per Second の推移グラフ</t>
  </si>
  <si>
    <t>GUI での推移の確認</t>
  </si>
  <si>
    <t>jpgc-graphs-additional</t>
  </si>
  <si>
    <t>5 Additional Graphs</t>
  </si>
  <si>
    <t>応答コード・バイト数などの推移グラフ</t>
  </si>
  <si>
    <t>GUI での詳細な確認</t>
  </si>
  <si>
    <t>jpgc-perfmon</t>
  </si>
  <si>
    <t>PerfMon Metrics Collector</t>
  </si>
  <si>
    <t>サーバの CPU・メモリ等の収集（対象サーバに ServerAgent が必要）</t>
  </si>
  <si>
    <t>サーバ監視（AWS では CloudWatch で代替可能）</t>
  </si>
  <si>
    <t>jpgc-functions</t>
  </si>
  <si>
    <t>Custom JMeter Functions</t>
  </si>
  <si>
    <t>__base64Encode、__env など追加の関数</t>
  </si>
  <si>
    <t>Base64 を関数で作りたい場合</t>
  </si>
  <si>
    <t>jpgc-synthesis</t>
  </si>
  <si>
    <t>Synthesis Report</t>
  </si>
  <si>
    <t>Summary Report と Aggregate Report を合わせた集計</t>
  </si>
  <si>
    <t>GUI での集計</t>
  </si>
  <si>
    <t>jpgc-cmd</t>
  </si>
  <si>
    <t>Command-Line Graph Plotting Tool</t>
  </si>
  <si>
    <t>結果ファイルからグラフ画像・CSV をコマンドで作成</t>
  </si>
  <si>
    <t>CLI 環境での集計</t>
  </si>
  <si>
    <t>jpgc-autostop</t>
  </si>
  <si>
    <t>AutoStop Listener</t>
  </si>
  <si>
    <t>エラー率や応答時間が基準を超えたら自動停止</t>
  </si>
  <si>
    <t>障害時の安全停止</t>
  </si>
  <si>
    <t>jpgc-dummy</t>
  </si>
  <si>
    <t>Dummy Sampler</t>
  </si>
  <si>
    <t>通信せずにダミーの結果を作る</t>
  </si>
  <si>
    <t>抽出設定の練習</t>
  </si>
  <si>
    <t>プラグインを使ったシナリオは、実行サーバにも同じプラグイン（同じ版）が入っていないと読み込めず、「CannotResolveClassException」などのエラーになります。本ガイドのシナリオはプラグインを使いません。</t>
  </si>
  <si>
    <t>04　シナリオの作成（Cognito トークン取得 → API Gateway 呼び出し）</t>
  </si>
  <si>
    <t>Cognito でアクセストークンを取得し、そのトークンと APIキーをヘッダーに付けて API Gateway の API を呼び出すシナリオを、1ステップずつ作ります。JMeter の標準機能だけを使います（プラグイン不要）。</t>
  </si>
  <si>
    <t>1. これから作るシナリオの全体像</t>
  </si>
  <si>
    <t>最初に完成形を確認します。上から順に、①setUp でトークンを1回だけ取得 → ②プロパティに保存して全スレッドで共有 → ③本体のスレッドグループで API を繰り返し呼び出す、という流れです。</t>
  </si>
  <si>
    <t>ツリー（要素の種類：名前）</t>
  </si>
  <si>
    <t>役割</t>
  </si>
  <si>
    <t>種類</t>
  </si>
  <si>
    <t>Test Plan：API_LoadTest</t>
  </si>
  <si>
    <t>共通の変数（接続先・ID 等）を定義する</t>
  </si>
  <si>
    <t>├─ setUp Thread Group：setUp_Token</t>
  </si>
  <si>
    <t>本体より前に1回だけ実行（1スレッド×1回）</t>
  </si>
  <si>
    <t>│　└─ HTTP Request：T01_Cognito_Token</t>
  </si>
  <si>
    <t>POST /oauth2/token でトークンを取得</t>
  </si>
  <si>
    <t>│　　　├─ HTTP Header Manager：HDR_Token</t>
  </si>
  <si>
    <t>Content-Type と Authorization: Basic …</t>
  </si>
  <si>
    <t>│　　　├─ JSR223 PreProcessor：PRE_BasicAuth</t>
  </si>
  <si>
    <t>client_id:client_secret を Base64 にする</t>
  </si>
  <si>
    <t>Pre Processor</t>
  </si>
  <si>
    <t>│　　　├─ Regular Expression Extractor：EXT_AccessToken</t>
  </si>
  <si>
    <t>レスポンスから access_token を取り出す</t>
  </si>
  <si>
    <t>Post Processor</t>
  </si>
  <si>
    <t>│　　　├─ JSR223 PostProcessor：POST_SaveToken</t>
  </si>
  <si>
    <t>取り出したトークンをプロパティに保存</t>
  </si>
  <si>
    <t>│　　　├─ Response Assertion：AST_Token_Code</t>
  </si>
  <si>
    <t>ステータスコード 200 を確認</t>
  </si>
  <si>
    <t>Assertion</t>
  </si>
  <si>
    <t>│　　　└─ Response Assertion：AST_Token_Body</t>
  </si>
  <si>
    <t>本文に access_token があるか確認</t>
  </si>
  <si>
    <t>├─ Thread Group：TG01_API</t>
  </si>
  <si>
    <t>本体。スレッド数等は実行時に外から指定</t>
  </si>
  <si>
    <t>│　├─ HTTP Request Defaults：DEF_API</t>
  </si>
  <si>
    <t>API Gateway のホスト名・タイムアウト</t>
  </si>
  <si>
    <t>│　├─ HTTP Header Manager：HDR_API</t>
  </si>
  <si>
    <t>X-API-ID と Authorization: Bearer …</t>
  </si>
  <si>
    <t>│　├─ Uniform Random Timer：TMR_ThinkTime</t>
  </si>
  <si>
    <t>各リクエストの前に 1～3 秒待つ</t>
  </si>
  <si>
    <t>│　├─ HTTP Request：A01_GET_items</t>
  </si>
  <si>
    <t>GET /stg/items（一覧取得の例）</t>
  </si>
  <si>
    <t>│　│　├─ Response Assertion：AST_A01_Code</t>
  </si>
  <si>
    <t>200 を確認</t>
  </si>
  <si>
    <t>│　│　└─ JSON Extractor：EXT_ItemId</t>
  </si>
  <si>
    <t>1件目の id を取り出す</t>
  </si>
  <si>
    <t>│　└─ HTTP Request：A02_POST_orders</t>
  </si>
  <si>
    <t>POST /stg/orders（登録の例）</t>
  </si>
  <si>
    <t>│　　　└─ Response Assertion：AST_A02_Code</t>
  </si>
  <si>
    <t>201 を確認（API 仕様に合わせる）</t>
  </si>
  <si>
    <t>├─ View Results Tree</t>
  </si>
  <si>
    <t>GUI での確認用（負荷試験では無効化）</t>
  </si>
  <si>
    <t>├─ Summary Report</t>
  </si>
  <si>
    <t>集計表</t>
  </si>
  <si>
    <t>└─ Aggregate Report</t>
  </si>
  <si>
    <t>パーセンタイル付きの集計表</t>
  </si>
  <si>
    <t>［ 画像貼付エリア ］
図04-1　完成したシナリオのツリー
撮影対象：すべての要素を追加し終えたツリー全体（左側のツリー部分）
（この枠の左上のセルを選択して Ctrl+V で貼り付け、枠内に収まるようにサイズを調整してください）</t>
  </si>
  <si>
    <t>図04-1　完成したシナリオのツリー</t>
  </si>
  <si>
    <t>要素の名前（Name）は英数字で付けます（例：T01_Cognito_Token）。結果ファイル・HTML レポート・Linux の画面・Excel で文字化けや扱いにくさを防ぐためです。日本語の説明は各要素の［Comments］欄に書きます。先頭の番号（T01、A01…）は、レポートで並べたときに順番どおりに表示させる工夫です。</t>
  </si>
  <si>
    <t>2. 接続情報を別ファイルに分ける（env_stg.properties）</t>
  </si>
  <si>
    <t>接続先やシークレットは、シナリオ（.jmx）に直接書かず、別の設定ファイル（properties ファイル）に分けます。理由は次のとおりです。</t>
  </si>
  <si>
    <t>シークレットの漏えいを防ぐ：.jmx はチームで共有したり、構成管理ツールに登録したりするため、シークレットを書くと漏えいにつながります。</t>
  </si>
  <si>
    <t>環境の切り替えが簡単：ステージング用（env_stg）と本番相当用（env_prd）などのファイルを差し替えるだけで、同じ .jmx を使い回せます。</t>
  </si>
  <si>
    <t>GUI と CLI で同じ .jmx が使える：端末では 1 ユーザー、実行サーバでは 50 ユーザーのように、実行時の指定だけで負荷を変えられます。</t>
  </si>
  <si>
    <t>メモ帳を開く</t>
  </si>
  <si>
    <t>スタート → メモ帳 を開き、下のコードを貼り付けます。</t>
  </si>
  <si>
    <t>値を書き換える</t>
  </si>
  <si>
    <t>00_全体像と準備 の「接続情報の記入表」を見ながら、各行の「=」の右側を現場の値に書き換えます。</t>
  </si>
  <si>
    <t>client.secret と api.key は、安全な場所で管理している値を入力します。</t>
  </si>
  <si>
    <t>［ファイル］→［名前を付けて保存］→ ファイルの種類＝「すべてのファイル」、文字コード＝「UTF-8」で保存します。</t>
  </si>
  <si>
    <t>C:\work\jmeter\props\env_stg.properties</t>
  </si>
  <si>
    <t>ファイルの種類を「テキスト文書」のままにすると、env_stg.properties.txt になってしまいます。</t>
  </si>
  <si>
    <t>▼ C:\work\jmeter\props\env_stg.properties（値はダミー。現場の値に置き換える）</t>
  </si>
  <si>
    <t># ===== env_stg.properties : staging environment =====</t>
  </si>
  <si>
    <t># ASCII characters only (no Japanese)</t>
  </si>
  <si>
    <t>cognito.host=example-auth.auth.ap-northeast-1.amazoncognito.com</t>
  </si>
  <si>
    <t>scope=example-api/read</t>
  </si>
  <si>
    <t>client.id=1example23456789</t>
  </si>
  <si>
    <t>client.secret=CHANGE_ME</t>
  </si>
  <si>
    <t>api.host=abcde12345.execute-api.ap-northeast-1.amazonaws.com</t>
  </si>
  <si>
    <t>api.stage=stg</t>
  </si>
  <si>
    <t>api.key=CHANGE_ME</t>
  </si>
  <si>
    <t># --- load settings (GUI default: 1 user x 1 loop) ---</t>
  </si>
  <si>
    <t>threads=1</t>
  </si>
  <si>
    <t>rampup=1</t>
  </si>
  <si>
    <t>loops=1</t>
  </si>
  <si>
    <t>duration=60</t>
  </si>
  <si>
    <t>properties ファイルは英数字・記号だけで書きます（日本語を書くと文字化けします）。値の前後に空白や引用符（"）を付けないでください。この記入例の値はすべて架空のものです。</t>
  </si>
  <si>
    <t>ファイルを作ったら、01_Windows導入 の5章で作った start_jmeter_stg.bat から JMeter を起動します。これで、シナリオの中で ${__P(cognito.host,)} のように書いた部分に、ファイルの値が入ります。</t>
  </si>
  <si>
    <t>3. ステップ1：Test Plan（全体）の設定</t>
  </si>
  <si>
    <t>ツリーの一番上の「Test Plan」をクリックし、右側の設定パネルで次のように設定します。</t>
  </si>
  <si>
    <t>設定項目（英語表示）</t>
  </si>
  <si>
    <t>設定値（入力する値）</t>
  </si>
  <si>
    <t>説明・補足</t>
  </si>
  <si>
    <t>Name</t>
  </si>
  <si>
    <t>API_LoadTest</t>
  </si>
  <si>
    <t>シナリオの名前です。</t>
  </si>
  <si>
    <t>Comments</t>
  </si>
  <si>
    <t>Cognito token -&gt; API Gateway load test</t>
  </si>
  <si>
    <t>シナリオの説明（日本語でも可）。</t>
  </si>
  <si>
    <t>下表の 7 行を［Add］で追加</t>
  </si>
  <si>
    <t>シナリオ全体で使う変数を定義します。</t>
  </si>
  <si>
    <t>Run Thread Groups consecutively (i.e. one at a time)</t>
  </si>
  <si>
    <t>オフ（既定のまま）</t>
  </si>
  <si>
    <t>オンにするとスレッドグループが1つずつ順番に実行されます。</t>
  </si>
  <si>
    <t>Run tearDown Thread Groups after shutdown of main threads</t>
  </si>
  <si>
    <t>オン（既定のまま）</t>
  </si>
  <si>
    <t>Functional Test Mode (i.e. save Response Data and Sampler Data)</t>
  </si>
  <si>
    <t>オンにするとレスポンス全文を保存するため、負荷試験には向きません。</t>
  </si>
  <si>
    <t>User Defined Variables（［Add］ボタンで1行ずつ追加し、Name と Value を入力）</t>
  </si>
  <si>
    <t>Name（変数名）</t>
  </si>
  <si>
    <t>Value（値）</t>
  </si>
  <si>
    <t>COGNITO_HOST</t>
  </si>
  <si>
    <t>${__P(cognito.host,)}</t>
  </si>
  <si>
    <t>Cognito のドメイン</t>
  </si>
  <si>
    <t>SCOPE</t>
  </si>
  <si>
    <t>${__P(scope,)}</t>
  </si>
  <si>
    <t>要求するスコープ</t>
  </si>
  <si>
    <t>CLIENT_ID</t>
  </si>
  <si>
    <t>${__P(client.id,)}</t>
  </si>
  <si>
    <t>CLIENT_SECRET</t>
  </si>
  <si>
    <t>${__P(client.secret,)}</t>
  </si>
  <si>
    <t>API_HOST</t>
  </si>
  <si>
    <t>${__P(api.host,)}</t>
  </si>
  <si>
    <t>API Gateway のホスト名</t>
  </si>
  <si>
    <t>API_STAGE</t>
  </si>
  <si>
    <t>${__P(api.stage,stg)}</t>
  </si>
  <si>
    <t>ステージ名（既定値 stg）</t>
  </si>
  <si>
    <t>API_KEY</t>
  </si>
  <si>
    <t>${__P(api.key,)}</t>
  </si>
  <si>
    <t>${__P(cognito.host,)} は「プロパティ cognito.host の値を入れる（無ければ空文字）」という意味です。値そのものは properties ファイルにあるため、.jmx にはシークレットが保存されません。</t>
  </si>
  <si>
    <t>［ 画像貼付エリア ］
図04-2　Test Plan の設定画面
撮影対象：Test Plan を選択し、User Defined Variables に 7 行を入力した状態
（この枠の左上のセルを選択して Ctrl+V で貼り付け、枠内に収まるようにサイズを調整してください）</t>
  </si>
  <si>
    <t>図04-2　Test Plan の設定画面</t>
  </si>
  <si>
    <t>4. ステップ2～8：トークン取得部分（setUp Thread Group）</t>
  </si>
  <si>
    <t>ステップ2：setUp Thread Group を追加する</t>
  </si>
  <si>
    <t>追加方法：［Test Plan］を右クリック →［Add］→［Threads (Users)］→［setUp Thread Group］</t>
  </si>
  <si>
    <t>setUp_Token</t>
  </si>
  <si>
    <t>Action to be taken after a Sampler error</t>
  </si>
  <si>
    <t>Stop Test</t>
  </si>
  <si>
    <t>トークン取得に失敗したら試験全体を止めます（以降のリクエストがすべて 401 エラーになるのを防ぐ）。</t>
  </si>
  <si>
    <t>Number of Threads (users)</t>
  </si>
  <si>
    <t>トークンは1つあれば全員で使えるため 1。</t>
  </si>
  <si>
    <t>Ramp-up period (seconds)</t>
  </si>
  <si>
    <t>Loop Count</t>
  </si>
  <si>
    <t>1（Infinite はオフ）</t>
  </si>
  <si>
    <t>1回だけ実行します。</t>
  </si>
  <si>
    <t>［ 画像貼付エリア ］
図04-3　setUp Thread Group の設定画面
撮影対象：setUp_Token の設定パネル（Stop Test を選択した状態）
（この枠の左上のセルを選択して Ctrl+V で貼り付け、枠内に収まるようにサイズを調整してください）</t>
  </si>
  <si>
    <t>図04-3　setUp Thread Group の設定画面</t>
  </si>
  <si>
    <t>ステップ3：トークン取得のリクエスト（HTTP Request）を追加する</t>
  </si>
  <si>
    <t>追加方法：［setUp_Token］を右クリック →［Add］→［Sampler］→［HTTP Request］</t>
  </si>
  <si>
    <t>T01_Cognito_Token</t>
  </si>
  <si>
    <t>Protocol [http]</t>
  </si>
  <si>
    <t>https</t>
  </si>
  <si>
    <t>Server Name or IP</t>
  </si>
  <si>
    <t>${COGNITO_HOST}</t>
  </si>
  <si>
    <t>https:// や /oauth2/token は含めません。</t>
  </si>
  <si>
    <t>Port Number</t>
  </si>
  <si>
    <t>443</t>
  </si>
  <si>
    <t>https の既定のポートです（空欄でも 443 になります）。</t>
  </si>
  <si>
    <t>HTTP Request（メソッド）</t>
  </si>
  <si>
    <t>POST</t>
  </si>
  <si>
    <t>トークンエンドポイントは POST のみ受け付けます。</t>
  </si>
  <si>
    <t>Path</t>
  </si>
  <si>
    <t>/oauth2/token</t>
  </si>
  <si>
    <t>Content encoding</t>
  </si>
  <si>
    <t>UTF-8</t>
  </si>
  <si>
    <t>Use KeepAlive</t>
  </si>
  <si>
    <t>接続を使い回します。</t>
  </si>
  <si>
    <t>Use multipart/form-data</t>
  </si>
  <si>
    <t>オンにすると Cognito が受け付けない形式になります。</t>
  </si>
  <si>
    <t>Parameters タブ</t>
  </si>
  <si>
    <t>下表の 2 行を［Add］で追加</t>
  </si>
  <si>
    <t>フォーム形式（x-www-form-urlencoded）の本文として送信されます。</t>
  </si>
  <si>
    <t>Advanced タブ → Timeouts (milliseconds) → Connect</t>
  </si>
  <si>
    <t>10000</t>
  </si>
  <si>
    <t>接続を 10 秒待っても確立しなければエラーにします。</t>
  </si>
  <si>
    <t>Advanced タブ → Timeouts (milliseconds) → Response</t>
  </si>
  <si>
    <t>30000</t>
  </si>
  <si>
    <t>応答を 30 秒待っても返らなければエラーにします（無限に待たないため）。</t>
  </si>
  <si>
    <t>Parameters タブ（Send Parameters With the Request）：下部の［Add］を2回押して、2行を入力</t>
  </si>
  <si>
    <t>Value</t>
  </si>
  <si>
    <t>その他の列（URL Encode? ／ Content-Type ／ Include Equals?）</t>
  </si>
  <si>
    <t>grant_type</t>
  </si>
  <si>
    <t>client_credentials</t>
  </si>
  <si>
    <t>URL Encode? ＝ オン（チェックを入れる）／ Content-Type ＝ text/plain（既定のまま）／ Include Equals? ＝ オン（既定のまま）</t>
  </si>
  <si>
    <t>${SCOPE}</t>
  </si>
  <si>
    <t>同上。スコープの「/」や、複数スコープの区切りの空白を正しく送るため、URL Encode? を必ずオンにします。</t>
  </si>
  <si>
    <t>この設定で、JMeter は本文「grant_type=client_credentials&amp;scope=example-api%2Fread」を送ります。URL Encode? をオンにすると、スコープの「/」が %2F に変換されます。スコープの指定が不要な場合（アプリクライアントに許可されたスコープをすべて受け取ってよい場合）は、scope の行を削除します。複数のスコープは半角スペースで区切ります。</t>
  </si>
  <si>
    <t>［ 画像貼付エリア ］
図04-4　T01_Cognito_Token の設定画面（Basic タブ）
撮影対象：Protocol・Server Name・Method・Path・Parameters を入力した状態
（この枠の左上のセルを選択して Ctrl+V で貼り付け、枠内に収まるようにサイズを調整してください）</t>
  </si>
  <si>
    <t>図04-4　T01_Cognito_Token の設定画面（Basic タブ）</t>
  </si>
  <si>
    <t>［ 画像貼付エリア ］
図04-5　T01_Cognito_Token の Advanced タブ
撮影対象：Timeouts の Connect／Response を入力した状態
（この枠の左上のセルを選択して Ctrl+V で貼り付け、枠内に収まるようにサイズを調整してください）</t>
  </si>
  <si>
    <t>図04-5　T01_Cognito_Token の Advanced タブ</t>
  </si>
  <si>
    <t>ステップ4：トークン取得用のヘッダー（HTTP Header Manager）を追加する</t>
  </si>
  <si>
    <t>追加方法：［T01_Cognito_Token］を右クリック →［Add］→［Config Element］→［HTTP Header Manager］</t>
  </si>
  <si>
    <t>HDR_Token</t>
  </si>
  <si>
    <t>Headers Stored in the Header Manager</t>
  </si>
  <si>
    <t>［Add］で下表の 2 行を追加</t>
  </si>
  <si>
    <t>このリクエストだけに付くヘッダーです。</t>
  </si>
  <si>
    <t>Name（ヘッダー名）</t>
  </si>
  <si>
    <t>Content-Type</t>
  </si>
  <si>
    <t>application/x-www-form-urlencoded</t>
  </si>
  <si>
    <t>本文がフォーム形式であることを示します（Cognito の必須条件）。</t>
  </si>
  <si>
    <t>Authorization</t>
  </si>
  <si>
    <t>Basic ${BASIC_AUTH}</t>
  </si>
  <si>
    <t>「Basic」＋半角スペース1つ＋ Base64 の値。BASIC_AUTH は次のステップ5で作る変数です。</t>
  </si>
  <si>
    <t>［ 画像貼付エリア ］
図04-6　HDR_Token の設定画面
撮影対象：Content-Type と Authorization の 2 行を入力した状態
（この枠の左上のセルを選択して Ctrl+V で貼り付け、枠内に収まるようにサイズを調整してください）</t>
  </si>
  <si>
    <t>図04-6　HDR_Token の設定画面</t>
  </si>
  <si>
    <t>ステップ5：client_id と client_secret を Base64 にする（JSR223 PreProcessor）</t>
  </si>
  <si>
    <t>Cognito のトークンエンドポイントでは、「クライアントID:クライアントシークレット」という文字列を Base64 という方式で変換し、Authorization ヘッダーに「Basic 変換後の文字列」として付けます。この変換をリクエストの直前に自動で行います。</t>
  </si>
  <si>
    <t>追加方法：［T01_Cognito_Token］を右クリック →［Add］→［Pre Processors］→［JSR223 PreProcessor］</t>
  </si>
  <si>
    <t>PRE_BasicAuth</t>
  </si>
  <si>
    <t>Language</t>
  </si>
  <si>
    <t>groovy</t>
  </si>
  <si>
    <t>既定で groovy が選ばれています。</t>
  </si>
  <si>
    <t>Cache compiled script if available</t>
  </si>
  <si>
    <t>スクリプトを一度だけ解釈して使い回し、処理を速くします。</t>
  </si>
  <si>
    <t>Script</t>
  </si>
  <si>
    <t>下のコードを貼り付け</t>
  </si>
  <si>
    <t>▼ Script 欄に貼り付ける Groovy スクリプト</t>
  </si>
  <si>
    <t>// client_id:client_secret を Base64 エンコードして、変数 BASIC_AUTH に入れる</t>
  </si>
  <si>
    <t>import java.nio.charset.StandardCharsets</t>
  </si>
  <si>
    <t>import java.util.Base64</t>
  </si>
  <si>
    <t>String clientId     = vars.get("CLIENT_ID")</t>
  </si>
  <si>
    <t>String clientSecret = vars.get("CLIENT_SECRET")</t>
  </si>
  <si>
    <t>if (!clientId || !clientSecret) {</t>
  </si>
  <si>
    <t xml:space="preserve">    log.error("CLIENT_ID or CLIENT_SECRET is empty. Check the properties file.")</t>
  </si>
  <si>
    <t>String raw     = clientId + ":" + clientSecret</t>
  </si>
  <si>
    <t>String encoded = Base64.getEncoder().encodeToString(raw.getBytes(StandardCharsets.UTF_8))</t>
  </si>
  <si>
    <t>vars.put("BASIC_AUTH", encoded)</t>
  </si>
  <si>
    <t>log.info("BASIC_AUTH created. length=" + encoded.length())</t>
  </si>
  <si>
    <t>コードの部分</t>
  </si>
  <si>
    <t>vars.get("CLIENT_ID")</t>
  </si>
  <si>
    <t>変数 CLIENT_ID の値を取り出します（ステップ1で定義した変数）。</t>
  </si>
  <si>
    <t>if (!clientId || !clientSecret) { … }</t>
  </si>
  <si>
    <t>どちらかが空なら jmeter.log にエラーを記録します（設定ファイルの読み込み忘れに気付くため）。</t>
  </si>
  <si>
    <t>clientId + ":" + clientSecret</t>
  </si>
  <si>
    <t>「クライアントID:シークレット」の形に、コロン（:）でつなぎます。</t>
  </si>
  <si>
    <t>Base64.getEncoder().encodeToString(…)</t>
  </si>
  <si>
    <t>UTF-8 のバイト列を Base64 の文字列に変換します。</t>
  </si>
  <si>
    <t>結果を変数 BASIC_AUTH に入れます。ヘッダーの ${BASIC_AUTH} に入ります。</t>
  </si>
  <si>
    <t>log.info(…)</t>
  </si>
  <si>
    <t>jmeter.log に文字数だけを記録します（シークレットそのものはログに出さない）。</t>
  </si>
  <si>
    <t>スクリプトの中に ${CLIENT_ID} のような ${…} の書き方を使わないでください。JMeter がスクリプトの文字自体を書き換えてしまい、キャッシュ機能と組み合わさると値が更新されない不具合の原因になります。変数は必ず vars.get("変数名") で取り出します。</t>
  </si>
  <si>
    <t>Base64 は「暗号化」ではなく、誰でも元に戻せる「符号化」です。変換後の文字列もシークレットと同じように扱い、画面キャプチャや報告書に載せないでください。</t>
  </si>
  <si>
    <t>［ 画像貼付エリア ］
図04-7　PRE_BasicAuth の設定画面
撮影対象：Language＝groovy、Script にコードを貼り付けた状態
（この枠の左上のセルを選択して Ctrl+V で貼り付け、枠内に収まるようにサイズを調整してください）</t>
  </si>
  <si>
    <t>図04-7　PRE_BasicAuth の設定画面</t>
  </si>
  <si>
    <t>参考：Base64 の値を作る5つの方法の比較（本ガイドは①を使います）</t>
  </si>
  <si>
    <t>方法（推奨度）</t>
  </si>
  <si>
    <t>設定のしかた</t>
  </si>
  <si>
    <t>長所</t>
  </si>
  <si>
    <t>短所</t>
  </si>
  <si>
    <t>① JSR223 PreProcessor
（本ガイド・推奨度 ◎）</t>
  </si>
  <si>
    <t>上記のスクリプト（ステップ5）</t>
  </si>
  <si>
    <t>標準機能だけで動く。処理が明確で、ログで確認できる</t>
  </si>
  <si>
    <t>スクリプトの理解が少し必要</t>
  </si>
  <si>
    <t>② __groovy 関数
（推奨度 ○）</t>
  </si>
  <si>
    <t>HDR_Token の Authorization の値を次のようにする：
Basic ${__groovy((vars.get('CLIENT_ID') + ':' + vars.get('CLIENT_SECRET')).bytes.encodeBase64().toString(),)}</t>
  </si>
  <si>
    <t>要素を増やさずに1行で書ける</t>
  </si>
  <si>
    <t>長くて読みにくい。書き間違いに気付きにくい</t>
  </si>
  <si>
    <t>③ HTTP Authorization Manager
（推奨度 ○）</t>
  </si>
  <si>
    <t>T01_Cognito_Token を右クリック →［Add］→［Config Element］→［HTTP Authorization Manager］を追加し、［Add］で1行を入力：
Base URL＝https://${COGNITO_HOST}/oauth2/token
Username＝${CLIENT_ID}
Password＝${CLIENT_SECRET}
Mechanism＝BASIC</t>
  </si>
  <si>
    <t>スクリプト不要。JMeter が Base64 を自動で計算して Authorization: Basic ヘッダーを付ける</t>
  </si>
  <si>
    <t>HDR_Token の Authorization の行は削除が必要（ヘッダーを二重に付けない）。PRE_BasicAuth も不要になる。Base URL がリクエストの URL と前方一致しないとヘッダーが付かない</t>
  </si>
  <si>
    <t>④ __base64Encode 関数
（推奨度 △）</t>
  </si>
  <si>
    <t>Basic ${__base64Encode(${CLIENT_ID}:${CLIENT_SECRET})}</t>
  </si>
  <si>
    <t>短く書ける</t>
  </si>
  <si>
    <t>プラグイン（Custom JMeter Functions）が端末と実行サーバの両方に必要</t>
  </si>
  <si>
    <t>⑤ あらかじめ計算した値を使う
（推奨度 △）</t>
  </si>
  <si>
    <t>下のコマンドで計算した値を properties ファイルに書き、Authorization の値を Basic ${__P(basic.auth,)} とする</t>
  </si>
  <si>
    <t>最も単純</t>
  </si>
  <si>
    <t>シークレット変更のたびに再計算が必要。値がファイルに残る</t>
  </si>
  <si>
    <t>Cognito のトークンエンドポイントは、Authorization ヘッダーで渡す方式（client_secret_basic）のほかに、本文に client_id と client_secret を入れる方式（client_secret_post）にも対応しています。本ガイドでは、指定どおりヘッダーに Base64 で設定する方式（client_secret_basic）を使います。</t>
  </si>
  <si>
    <t>▼ PowerShell で Base64 を計算する（確認用）</t>
  </si>
  <si>
    <t>$pair = "1example23456789:CHANGE_ME"</t>
  </si>
  <si>
    <t>[Convert]::ToBase64String([Text.Encoding]::UTF8.GetBytes($pair))</t>
  </si>
  <si>
    <t>▼ Linux で Base64 を計算する（確認用）</t>
  </si>
  <si>
    <t>echo -n '1example23456789:CHANGE_ME' | base64 -w 0</t>
  </si>
  <si>
    <t>計算方法が正しいかは、AWS の公式ドキュメントの例で確かめられます。「djc98u3jiedmi283eu928:abcdef01234567890」を変換すると「ZGpjOTh1M2ppZWRtaTI4M2V1OTI4OmFiY2RlZjAxMjM0NTY3ODkw」になれば正しく計算できています。</t>
  </si>
  <si>
    <t>Linux の echo では必ず -n を付けます（付けないと末尾の改行まで変換され、別の値になって invalid_client エラーになります）。-w 0 は76文字での自動改行を止める指定です。また、シークレットを含むコマンドはコマンド履歴に残るため、作業後に履歴を消すなど取り扱いに注意してください。</t>
  </si>
  <si>
    <t>ステップ6：アクセストークンを取り出す（Regular Expression Extractor）</t>
  </si>
  <si>
    <t>Cognito から返ってくるレスポンス（JSON）の中から、access_token の値を正規表現で取り出して変数 ACCESS_TOKEN に入れます。正規表現の詳しい説明は「05_正規表現抽出」を参照してください。</t>
  </si>
  <si>
    <t>▼ トークンエンドポイントのレスポンスの例（実際の access_token は 1,000 文字前後）</t>
  </si>
  <si>
    <t>{"access_token":"eyJraWQiOiJFeGFtcGxlS2V5SWQiLCJhbGciOiJSUzI1NiJ9.eyJzdWIiOi...","expires_in":3600,"token_type":"Bearer"}</t>
  </si>
  <si>
    <t>追加方法：［T01_Cognito_Token］を右クリック →［Add］→［Post Processors］→［Regular Expression Extractor］</t>
  </si>
  <si>
    <t>EXT_AccessToken</t>
  </si>
  <si>
    <t>Apply to:</t>
  </si>
  <si>
    <t>Main sample only</t>
  </si>
  <si>
    <t>このリクエストのレスポンスだけを対象にします。</t>
  </si>
  <si>
    <t>Field to check</t>
  </si>
  <si>
    <t>Body</t>
  </si>
  <si>
    <t>レスポンスの本文から探します。</t>
  </si>
  <si>
    <t>Name of created variable</t>
  </si>
  <si>
    <t>ACCESS_TOKEN</t>
  </si>
  <si>
    <t>取り出した値を入れる変数名です。</t>
  </si>
  <si>
    <t>Regular Expression</t>
  </si>
  <si>
    <t>"access_token"\s*:\s*"([^"]+)"</t>
  </si>
  <si>
    <t>( ) で囲んだ部分が取り出されます。</t>
  </si>
  <si>
    <t>Template ($i$ where i is capturing group number, starts at 1)</t>
  </si>
  <si>
    <t>$1$</t>
  </si>
  <si>
    <t>1番目の ( ) の中身を使います。</t>
  </si>
  <si>
    <t>Match No. (0 for Random)</t>
  </si>
  <si>
    <t>最初に見つかったものを使います。</t>
  </si>
  <si>
    <t>Default Value</t>
  </si>
  <si>
    <t>ACCESS_TOKEN_NOT_FOUND</t>
  </si>
  <si>
    <t>見つからなかったときに入る値（原因調査の目印）。</t>
  </si>
  <si>
    <t>Use empty default value</t>
  </si>
  <si>
    <t>オフ</t>
  </si>
  <si>
    <t>［ 画像貼付エリア ］
図04-8　EXT_AccessToken の設定画面
撮影対象：Regular Expression Extractor の各項目を入力した状態
（この枠の左上のセルを選択して Ctrl+V で貼り付け、枠内に収まるようにサイズを調整してください）</t>
  </si>
  <si>
    <t>図04-8　EXT_AccessToken の設定画面</t>
  </si>
  <si>
    <t>ステップ7：取り出したトークンを全スレッドで共有する（JSR223 PostProcessor）</t>
  </si>
  <si>
    <t>ステップ6で作った変数 ACCESS_TOKEN は、setUp_Token のスレッドの中だけで有効です（変数はスレッドごと）。本体の TG01_API のスレッドからも使えるように、JMeter 全体で共有される「プロパティ」にコピーします。</t>
  </si>
  <si>
    <t>追加方法：［T01_Cognito_Token］を右クリック →［Add］→［Post Processors］→［JSR223 PostProcessor］。追加後、ツリー上で EXT_AccessToken より「下」にあることを確認します（後処理は上から順に実行されるため）。</t>
  </si>
  <si>
    <t>POST_SaveToken</t>
  </si>
  <si>
    <t>// 取り出したアクセストークンを「プロパティ」に保存し、全スレッドグループから使えるようにする</t>
  </si>
  <si>
    <t>String token = vars.get("ACCESS_TOKEN")</t>
  </si>
  <si>
    <t>if (token != null &amp;&amp; token != "ACCESS_TOKEN_NOT_FOUND") {</t>
  </si>
  <si>
    <t xml:space="preserve">    props.put("ACCESS_TOKEN", token)</t>
  </si>
  <si>
    <t xml:space="preserve">    log.info("ACCESS_TOKEN saved to properties. length=" + token.length())</t>
  </si>
  <si>
    <t>} else {</t>
  </si>
  <si>
    <t xml:space="preserve">    log.error("ACCESS_TOKEN was not extracted. Check the token response.")</t>
  </si>
  <si>
    <t>vars.get("ACCESS_TOKEN")</t>
  </si>
  <si>
    <t>ステップ6で取り出したトークン（変数）を取得します。</t>
  </si>
  <si>
    <t>token != "ACCESS_TOKEN_NOT_FOUND"</t>
  </si>
  <si>
    <t>取り出しに失敗していない（既定値のままでない）ことを確認します。</t>
  </si>
  <si>
    <t>props.put("ACCESS_TOKEN", token)</t>
  </si>
  <si>
    <t>プロパティ ACCESS_TOKEN に保存します。本体側では ${__P(ACCESS_TOKEN,…)} で参照します。</t>
  </si>
  <si>
    <t>log.error(…)</t>
  </si>
  <si>
    <t>失敗した場合に jmeter.log にエラーを記録します。</t>
  </si>
  <si>
    <t>［ 画像貼付エリア ］
図04-9　POST_SaveToken の設定画面とツリーの並び順
撮影対象：EXT_AccessToken の下に POST_SaveToken がある状態
（この枠の左上のセルを選択して Ctrl+V で貼り付け、枠内に収まるようにサイズを調整してください）</t>
  </si>
  <si>
    <t>図04-9　POST_SaveToken の設定画面とツリーの並び順</t>
  </si>
  <si>
    <t>ステップ8：トークン取得が成功したか検証する（Response Assertion × 2）</t>
  </si>
  <si>
    <t>追加方法：［T01_Cognito_Token］を右クリック →［Add］→［Assertions］→［Response Assertion］（2回追加します）</t>
  </si>
  <si>
    <t>設定項目</t>
  </si>
  <si>
    <t>1つ目：AST_Token_Code</t>
  </si>
  <si>
    <t>2つ目：AST_Token_Body</t>
  </si>
  <si>
    <t>AST_Token_Code</t>
  </si>
  <si>
    <t>AST_Token_Body</t>
  </si>
  <si>
    <t>Field to Test</t>
  </si>
  <si>
    <t>Response Code</t>
  </si>
  <si>
    <t>Text Response</t>
  </si>
  <si>
    <t>Pattern Matching Rules</t>
  </si>
  <si>
    <t>Equals</t>
  </si>
  <si>
    <t>Substring</t>
  </si>
  <si>
    <t>Patterns to Test（［Add］で追加）</t>
  </si>
  <si>
    <t>200</t>
  </si>
  <si>
    <t>access_token</t>
  </si>
  <si>
    <t>Pattern Matching Rules の「Contains」「Matches」は正規表現として比較し、「Equals」「Substring」は文字どおりに比較します。迷ったら、完全一致は Equals、部分一致は Substring を使います。ステップ2で「Stop Test」を選んでいるため、ここで NG になると試験全体が止まります。</t>
  </si>
  <si>
    <t>［ 画像貼付エリア ］
図04-10　AST_Token_Code の設定画面
撮影対象：Field to Test＝Response Code、Equals、200 を設定した状態
（この枠の左上のセルを選択して Ctrl+V で貼り付け、枠内に収まるようにサイズを調整してください）</t>
  </si>
  <si>
    <t>図04-10　AST_Token_Code の設定画面</t>
  </si>
  <si>
    <t>5. ステップ9～15：API 呼び出し部分（本体の Thread Group）</t>
  </si>
  <si>
    <t>ステップ9：本体の Thread Group を追加する</t>
  </si>
  <si>
    <t>追加方法：［Test Plan］を右クリック →［Add］→［Threads (Users)］→［Thread Group］</t>
  </si>
  <si>
    <t>TG01_API</t>
  </si>
  <si>
    <t>Continue</t>
  </si>
  <si>
    <t>エラーが出ても試験を続け、エラー率として記録します。</t>
  </si>
  <si>
    <t>同時に動く仮想ユーザー数。実行時に -Jthreads=20 のように指定します。</t>
  </si>
  <si>
    <t>${__P(rampup,1)}</t>
  </si>
  <si>
    <t>全スレッドが起動し終わるまでの秒数（例：20スレッド・60秒なら3秒ごとに1スレッドずつ起動）。</t>
  </si>
  <si>
    <t>${__P(loops,1)}（Infinite はオフ）</t>
  </si>
  <si>
    <t>各スレッドの繰り返し回数。-1 を渡すと回数制限なし。</t>
  </si>
  <si>
    <t>Same user on each iteration</t>
  </si>
  <si>
    <t>Delay Thread creation until needed</t>
  </si>
  <si>
    <t>Specify Thread lifetime</t>
  </si>
  <si>
    <t>オン</t>
  </si>
  <si>
    <t>下の Duration を有効にします。</t>
  </si>
  <si>
    <t>Duration (seconds)</t>
  </si>
  <si>
    <t>${__P(duration,60)}</t>
  </si>
  <si>
    <t>試験時間。Loop Count とどちらか早い方で終了します。</t>
  </si>
  <si>
    <t>Startup delay (seconds)</t>
  </si>
  <si>
    <t>空欄</t>
  </si>
  <si>
    <t>properties ファイルの値／コマンドの指定</t>
  </si>
  <si>
    <t>動き</t>
  </si>
  <si>
    <t>GUI での動作確認</t>
  </si>
  <si>
    <t>threads=1、loops=1（env_stg.properties の既定値）</t>
  </si>
  <si>
    <t>1スレッドが1周だけ実行して終了</t>
  </si>
  <si>
    <t>CLI での負荷試験</t>
  </si>
  <si>
    <t>-Jthreads=20 -Jrampup=60 -Jloops=-1 -Jduration=600</t>
  </si>
  <si>
    <t>20スレッドが60秒かけて起動し、600秒間繰り返す</t>
  </si>
  <si>
    <t>［ 画像貼付エリア ］
図04-11　TG01_API の設定画面
撮影対象：Number of Threads 等に ${__P(…)} を入力し、Specify Thread lifetime をオンにした状態
（この枠の左上のセルを選択して Ctrl+V で貼り付け、枠内に収まるようにサイズを調整してください）</t>
  </si>
  <si>
    <t>図04-11　TG01_API の設定画面</t>
  </si>
  <si>
    <t>ステップ10：API Gateway の共通設定（HTTP Request Defaults）を追加する</t>
  </si>
  <si>
    <t>追加方法：［TG01_API］を右クリック →［Add］→［Config Element］→［HTTP Request Defaults］</t>
  </si>
  <si>
    <t>DEF_API</t>
  </si>
  <si>
    <t>${API_HOST}</t>
  </si>
  <si>
    <t>この下の HTTP Request では、ホスト名を空欄にするとここの値が使われます。</t>
  </si>
  <si>
    <t>Advanced タブ → Implementation</t>
  </si>
  <si>
    <t>HttpClient4</t>
  </si>
  <si>
    <t>Advanced タブ → Timeouts → Connect</t>
  </si>
  <si>
    <t>Advanced タブ → Timeouts → Response</t>
  </si>
  <si>
    <t>API Gateway の統合タイムアウトは既定で 29 秒のため、30 秒あれば十分です。</t>
  </si>
  <si>
    <t>ステップ11：APIキーとアクセストークンのヘッダー（HTTP Header Manager）を追加する</t>
  </si>
  <si>
    <t>追加方法：［TG01_API］を右クリック →［Add］→［Config Element］→［HTTP Header Manager］</t>
  </si>
  <si>
    <t>HDR_API</t>
  </si>
  <si>
    <t>TG01_API の中のすべてのリクエストに付くヘッダーです。</t>
  </si>
  <si>
    <t>application/json</t>
  </si>
  <si>
    <t>送る本文が JSON であることを示します。</t>
  </si>
  <si>
    <t>Accept</t>
  </si>
  <si>
    <t>JSON の応答を希望することを示します。</t>
  </si>
  <si>
    <t>X-API-ID</t>
  </si>
  <si>
    <t>${API_KEY}</t>
  </si>
  <si>
    <t>APIキーを渡すヘッダー（本ガイドの前提のヘッダー名）。</t>
  </si>
  <si>
    <t>Bearer ${__P(ACCESS_TOKEN,TOKEN_NOT_SET)}</t>
  </si>
  <si>
    <t>「Bearer」＋半角スペース1つ＋アクセストークン。プロパティから読み出します。</t>
  </si>
  <si>
    <t>ヘッダー名「X-API-ID」は、本ガイドが前提とする現場指定の名前です。API Gateway が APIキーを受け取る方法（API キーのソース）は2種類あります。①HEADER（既定）：利用者が X-API-Key ヘッダーでキーを送る方式。この場合、X-API-ID では受け付けられず 403 Forbidden になります。②AUTHORIZER：Lambda オーソライザーが独自のヘッダー（例：X-API-ID）からキーを読み取り、API Gateway に渡す方式。どちらの構成かは、API 仕様書で確認するか、API Gateway の管理者に「API キーのソース」の設定を確認してもらいます。ヘッダー名の大文字・小文字は区別されません。</t>
  </si>
  <si>
    <t>確認すること</t>
  </si>
  <si>
    <t>結果と対応</t>
  </si>
  <si>
    <t>API 仕様書・管理者に、APIキーを送るヘッダー名を確認する</t>
  </si>
  <si>
    <t>X-API-ID と指定されていれば、上の表のとおり設定します。X-API-Key（x-api-key）と指定されていれば、Name を x-api-key に変えます。</t>
  </si>
  <si>
    <t>403 Forbidden（{"message":"Forbidden"}）になる</t>
  </si>
  <si>
    <t>キーの値の誤り、ヘッダー名の誤り、キーが使用量プランに登録されていない、のいずれかです（06 の7章）。</t>
  </si>
  <si>
    <t>TOKEN_NOT_SET は、トークンの共有に失敗したときに送られる目印です。結果に 401 Unauthorized が出たら、View Results Tree の［Request］→［Request Headers］で Authorization の値を確認してください。</t>
  </si>
  <si>
    <t>［ 画像貼付エリア ］
図04-12　HDR_API の設定画面
撮影対象：4 つのヘッダーを入力した状態（APIキーの実値は写さないこと）
（この枠の左上のセルを選択して Ctrl+V で貼り付け、枠内に収まるようにサイズを調整してください）</t>
  </si>
  <si>
    <t>図04-12　HDR_API の設定画面</t>
  </si>
  <si>
    <t>ステップ12：思考時間（Uniform Random Timer）を追加する</t>
  </si>
  <si>
    <t>追加方法：［TG01_API］を右クリック →［Add］→［Timer］→［Uniform Random Timer］</t>
  </si>
  <si>
    <t>TMR_ThinkTime</t>
  </si>
  <si>
    <t>Random Delay Maximum (in milliseconds)</t>
  </si>
  <si>
    <t>2000</t>
  </si>
  <si>
    <t>0～2,000ms のランダムな時間</t>
  </si>
  <si>
    <t>Constant Delay Offset (in milliseconds)</t>
  </si>
  <si>
    <t>1000</t>
  </si>
  <si>
    <t>常に加わる 1,000ms。合計 1,000～3,000ms 待ちます。</t>
  </si>
  <si>
    <t>TG01_API の直下に置いたタイマーは、A01 と A02 の「それぞれ」の直前で動きます。利用者が画面を見て次の操作をするまでの時間（思考時間）を再現し、現実に近い負荷にします。思考時間を入れないと、少ないスレッド数でも過大な負荷になります。</t>
  </si>
  <si>
    <t>ステップ13：API 呼び出し①（A01_GET_items）を追加する</t>
  </si>
  <si>
    <t>追加方法：［TG01_API］を右クリック →［Add］→［Sampler］→［HTTP Request］</t>
  </si>
  <si>
    <t>A01_GET_items</t>
  </si>
  <si>
    <t>Protocol／Server Name or IP／Port Number</t>
  </si>
  <si>
    <t>すべて空欄</t>
  </si>
  <si>
    <t>DEF_API の値が使われます。</t>
  </si>
  <si>
    <t>GET</t>
  </si>
  <si>
    <t>/${API_STAGE}/items</t>
  </si>
  <si>
    <t>ステージ名＋リソースのパス（例：/stg/items）</t>
  </si>
  <si>
    <t>Name＝limit、Value＝10</t>
  </si>
  <si>
    <t>URL に ?limit=10 が付きます（例）。</t>
  </si>
  <si>
    <t>続けて、［A01_GET_items］を右クリックして次の2つを追加します。</t>
  </si>
  <si>
    <t>追加する要素（追加方法）</t>
  </si>
  <si>
    <t>Response Assertion
［Add］→［Assertions］→［Response Assertion］</t>
  </si>
  <si>
    <t>Name＝AST_A01_Code、Field to Test＝Response Code、Pattern Matching Rules＝Equals、Patterns to Test＝200</t>
  </si>
  <si>
    <t>JSON Extractor
［Add］→［Post Processors］→［JSON Extractor］</t>
  </si>
  <si>
    <t>Name＝EXT_ItemId、Names of created variables＝ITEM_ID、JSON Path expressions＝$.items[0].id、Match No. (0 for Random)＝1、Default Values＝ITEM_ID_NOT_FOUND</t>
  </si>
  <si>
    <t>JSON Path expressions の $.items[0].id は、レスポンスが {"items":[{"id":"A001","name":"…"}, …]} の形の場合の例です。実際の API のレスポンス形式に合わせて変更してください。</t>
  </si>
  <si>
    <t>［ 画像貼付エリア ］
図04-13　A01_GET_items の設定画面
撮影対象：Method＝GET、Path、Parameters を入力した状態
（この枠の左上のセルを選択して Ctrl+V で貼り付け、枠内に収まるようにサイズを調整してください）</t>
  </si>
  <si>
    <t>図04-13　A01_GET_items の設定画面</t>
  </si>
  <si>
    <t>ステップ14：API 呼び出し②（A02_POST_orders）を追加する</t>
  </si>
  <si>
    <t>A02_POST_orders</t>
  </si>
  <si>
    <t>/${API_STAGE}/orders</t>
  </si>
  <si>
    <t>Body Data タブ</t>
  </si>
  <si>
    <t>下の JSON を貼り付け</t>
  </si>
  <si>
    <t>Parameters タブは空のままにします（両方は使えません）。</t>
  </si>
  <si>
    <t>▼ Body Data に貼り付ける JSON（例。API 仕様に合わせて変更）</t>
  </si>
  <si>
    <t>{</t>
  </si>
  <si>
    <t xml:space="preserve">  "itemId": "${ITEM_ID}",</t>
  </si>
  <si>
    <t xml:space="preserve">  "quantity": 1,</t>
  </si>
  <si>
    <t xml:space="preserve">  "requestId": "${__UUID()}"</t>
  </si>
  <si>
    <t>続けて、［A02_POST_orders］を右クリック →［Add］→［Assertions］→［Response Assertion］を追加し、Name＝AST_A02_Code、Field to Test＝Response Code、Equals、Patterns to Test＝201 とします（成功時のコードは API 仕様に合わせます）。</t>
  </si>
  <si>
    <t>登録・更新系の API（POST・PUT・DELETE）は、試験で実データを作ります。試験後のデータの削除方法や、試験用データの範囲を、事前に開発担当と取り決めてください。</t>
  </si>
  <si>
    <t>［ 画像貼付エリア ］
図04-14　A02_POST_orders の Body Data タブ
撮影対象：Method＝POST、Body Data に JSON を貼り付けた状態
（この枠の左上のセルを選択して Ctrl+V で貼り付け、枠内に収まるようにサイズを調整してください）</t>
  </si>
  <si>
    <t>図04-14　A02_POST_orders の Body Data タブ</t>
  </si>
  <si>
    <t>ステップ15：結果を見るリスナーを追加する</t>
  </si>
  <si>
    <t>追加方法：［Test Plan］を右クリック →［Add］→［Listener］→ 次の3つを順に追加します。</t>
  </si>
  <si>
    <t>リスナー</t>
  </si>
  <si>
    <t>負荷試験（CLI）のとき</t>
  </si>
  <si>
    <t>1件ずつのリクエスト・レスポンスの中身を確認する</t>
  </si>
  <si>
    <t>必ず無効化（Toggle）する</t>
  </si>
  <si>
    <t>ラベル別の件数・平均・エラー率・スループットを見る</t>
  </si>
  <si>
    <t>無効化してよい（CLI では -l で結果を保存するため）</t>
  </si>
  <si>
    <t>中央値・90/95/99 パーセンタイルを見る</t>
  </si>
  <si>
    <t>無効化してよい</t>
  </si>
  <si>
    <t>View Results Tree は大量の結果をメモリに保持するため、負荷試験で有効のままにすると JMeter が遅くなり、測定値が不正確になります（JMeter 公式のベストプラクティス）。GUI での確認が終わったら、右クリック →［Toggle］で無効化してから保存・転送してください。</t>
  </si>
  <si>
    <t>ステップ16：保存する</t>
  </si>
  <si>
    <t>名前を付けて保存</t>
  </si>
  <si>
    <t>［File］→［Save Test Plan as］を選びます。</t>
  </si>
  <si>
    <t>保存先とファイル名</t>
  </si>
  <si>
    <t>保存先を C:\work\jmeter\scenarios にし、ファイル名を入力して［Save］。</t>
  </si>
  <si>
    <t>api_loadtest.jmx</t>
  </si>
  <si>
    <t>ファイル名は英小文字・数字・アンダースコアのみ。空白は使いません。</t>
  </si>
  <si>
    <t>以降の保存</t>
  </si>
  <si>
    <t>変更のたびに Ctrl＋S で上書き保存します。</t>
  </si>
  <si>
    <t>大きな変更の前には、別名（例：api_loadtest_20261004.jmx）でバックアップを残すと安心です。</t>
  </si>
  <si>
    <t>6. アクセストークンの保持方法（3つのパターン）</t>
  </si>
  <si>
    <t>本ガイドの方法（パターンA）は、試験時間がトークンの有効期限より短い場合に最も簡単で確実です。長時間の試験などでは、パターンB・C を検討します。</t>
  </si>
  <si>
    <t>パターン</t>
  </si>
  <si>
    <t>方法</t>
  </si>
  <si>
    <t>向いているケース</t>
  </si>
  <si>
    <t>注意点</t>
  </si>
  <si>
    <t>A（本ガイド）
1回取得して共有</t>
  </si>
  <si>
    <t>setUp Thread Group で1回取得 → プロパティに保存 → 全スレッドが ${__P(ACCESS_TOKEN,…)} で参照</t>
  </si>
  <si>
    <t>試験時間がトークンの有効期限より短い（既定は 60 分。レスポンスの expires_in＝秒数で確認）</t>
  </si>
  <si>
    <t>有効期限を過ぎると 401 Unauthorized になる</t>
  </si>
  <si>
    <t>B
定期的に再取得</t>
  </si>
  <si>
    <t>A に加えて、トークン更新専用のスレッドグループ（1スレッド・繰り返し）で一定間隔（例：50分）ごとに再取得し、プロパティを上書きする</t>
  </si>
  <si>
    <t>長時間の試験（耐久試験など）</t>
  </si>
  <si>
    <t>更新用スレッドグループにも試験時間（Duration）を設定しないと、試験が終わらない</t>
  </si>
  <si>
    <t>C
スレッドごとに取得</t>
  </si>
  <si>
    <t>本体スレッドグループの先頭に Once Only Controller を置き、その中でトークンを取得して変数のまま使う</t>
  </si>
  <si>
    <t>利用者ごとに別のトークンが必要な場合、トークン発行そのものも試験対象の場合</t>
  </si>
  <si>
    <t>Cognito へのリクエストが増える（制限や従量課金に注意）</t>
  </si>
  <si>
    <t>パターンB の作り方（参考）</t>
  </si>
  <si>
    <t>1.</t>
  </si>
  <si>
    <t>［Test Plan］を右クリック →［Add］→［Threads (Users)］→［Thread Group］で追加し、Name＝TG00_TokenRefresh、Number of Threads＝1、Loop Count＝Infinite、Specify Thread lifetime＝オン、Duration＝${__P(duration,60)} とします。</t>
  </si>
  <si>
    <t>2.</t>
  </si>
  <si>
    <t>setUp_Token の T01_Cognito_Token を右クリック →［Copy］し、TG00_TokenRefresh を右クリック →［Paste］します（子要素ごと複製されます）。名前を T02_Cognito_Token_Refresh に変えます。</t>
  </si>
  <si>
    <t>3.</t>
  </si>
  <si>
    <t>TG00_TokenRefresh を右クリック →［Add］→［Timer］→［Constant Timer］を追加し、Thread Delay (in milliseconds)＝3000000（50分）とします。タイマーはリクエストの「前」に待つため、最初の更新は開始から50分後になります。</t>
  </si>
  <si>
    <t>4.</t>
  </si>
  <si>
    <t>本体の Authorization ヘッダーは ${__P(ACCESS_TOKEN,TOKEN_NOT_SET)} を参照しているため、更新後のトークンが自動的に使われます。</t>
  </si>
  <si>
    <t>アクセストークンの有効期限は、Cognito のアプリクライアントの設定（5分～1日）で決まります。試験環境用のアプリクライアントで有効期限を延ばしてもらう方法もあります（設定変更は管理者に依頼）。</t>
  </si>
  <si>
    <t>7. 参考：curl での事前の疎通確認と、cURL の取り込み</t>
  </si>
  <si>
    <t>JMeter で動かす前に、コマンドで1回呼び出してみると、接続情報の誤りを早く見つけられます。Windows 11 には curl が標準で入っています。</t>
  </si>
  <si>
    <t>▼ PowerShell：トークンの取得</t>
  </si>
  <si>
    <t>curl.exe -s -X POST "https://example-auth.auth.ap-northeast-1.amazoncognito.com/oauth2/token" `</t>
  </si>
  <si>
    <t xml:space="preserve">  -H "Content-Type: application/x-www-form-urlencoded" `</t>
  </si>
  <si>
    <t xml:space="preserve">  -H "Authorization: Basic &lt;Base64の値&gt;" `</t>
  </si>
  <si>
    <t xml:space="preserve">  -d "grant_type=client_credentials&amp;scope=example-api%2Fread"</t>
  </si>
  <si>
    <t>▼ PowerShell：API の呼び出し</t>
  </si>
  <si>
    <t>curl.exe -s "https://abcde12345.execute-api.ap-northeast-1.amazonaws.com/stg/items?limit=10" `</t>
  </si>
  <si>
    <t xml:space="preserve">  -H "X-API-ID: &lt;APIキー&gt;" `</t>
  </si>
  <si>
    <t xml:space="preserve">  -H "Authorization: Bearer &lt;アクセストークン&gt;"</t>
  </si>
  <si>
    <t>Windows PowerShell では「curl」が別の命令（Invoke-WebRequest）の短縮名になっているため、必ず「curl.exe」と入力します。行末の「`」（バッククォート）は、次の行に続くことを表す PowerShell の記号です。</t>
  </si>
  <si>
    <t>トークンの取得は、Authorization ヘッダーの代わりに curl.exe の -u オプション（-u "&lt;クライアントID&gt;:&lt;シークレット&gt;"）でも行えます。curl が Base64 の計算とヘッダーの付与を自動で行います。-u で成功し、自分で計算した Base64 の値では失敗する場合は、Base64 の作り方（コロンの有無、余分な空白・改行）に誤りがあると判断できます。</t>
  </si>
  <si>
    <t>シークレットやキーを含むコマンドは、PowerShell の履歴ファイルに保存されます。確認が終わったら、(Get-PSReadLineOption).HistorySavePath で表示される履歴ファイルをメモ帳で開き、該当の行を削除して保存してください。</t>
  </si>
  <si>
    <t>開発担当から curl コマンドを受け取った場合は、［Tools］→［Import from cURL］に貼り付けて［Create Test Plan］を押すと、HTTP Request とヘッダーの設定が自動で作られます。作られた要素をコピーしてシナリオに組み込むと、入力の手間とミスを減らせます（取り込めるのは Linux 形式の curl コマンドです。PowerShell 形式の「`」は「\」に置き換えてください）。</t>
  </si>
  <si>
    <t>8. 参考：試験データを CSV から読み込む（CSV Data Set Config）</t>
  </si>
  <si>
    <t>ID の一覧など、リクエストごとに違う値を使いたい場合は、CSV ファイルから読み込みます。ステップ13の JSON Extractor で ITEM_ID を取る代わりに使う例です（同じ変数名を2か所で作らないよう、どちらか一方にします）。</t>
  </si>
  <si>
    <t>▼ C:\work\jmeter\data\items.csv（1行目は見出し）</t>
  </si>
  <si>
    <t>item_id,quantity</t>
  </si>
  <si>
    <t>A001,1</t>
  </si>
  <si>
    <t>A002,2</t>
  </si>
  <si>
    <t>A003,1</t>
  </si>
  <si>
    <t>追加方法：［TG01_API］を右クリック →［Add］→［Config Element］→［CSV Data Set Config］</t>
  </si>
  <si>
    <t>CSV_Items</t>
  </si>
  <si>
    <t>Filename</t>
  </si>
  <si>
    <t>../data/items.csv</t>
  </si>
  <si>
    <t>.jmx がある scenarios フォルダから見た相対パス。端末と実行サーバで同じフォルダ構成にすれば、そのまま動きます。「/」区切りで書けば Windows でも動きます。</t>
  </si>
  <si>
    <t>File encoding</t>
  </si>
  <si>
    <t>Variable Names (comma-delimited)</t>
  </si>
  <si>
    <t>ITEM_ID,QUANTITY</t>
  </si>
  <si>
    <t>CSV の列の順に変数名を付けます。</t>
  </si>
  <si>
    <t>Ignore first line (only used if Variable Names is not empty)</t>
  </si>
  <si>
    <t>True</t>
  </si>
  <si>
    <t>1行目（見出し）を読み飛ばします。</t>
  </si>
  <si>
    <t>Delimiter (use '\t' for tab)</t>
  </si>
  <si>
    <t>,</t>
  </si>
  <si>
    <t>Allow quoted data?</t>
  </si>
  <si>
    <t>False</t>
  </si>
  <si>
    <t>Recycle on EOF ?</t>
  </si>
  <si>
    <t>最後まで読んだら先頭に戻ります。</t>
  </si>
  <si>
    <t>Stop thread on EOF ?</t>
  </si>
  <si>
    <t>Sharing mode</t>
  </si>
  <si>
    <t>All threads</t>
  </si>
  <si>
    <t>全スレッドで1つの読み取り位置を共有し、重複なく順番に配ります。</t>
  </si>
  <si>
    <t>Excel で「CSV UTF-8（コンマ区切り）」として保存すると、ファイルの先頭に BOM という目に見えない文字が付きます。上の設定（Variable Names を指定し、Ignore first line＝True）なら見出し行ごと読み飛ばすため問題ありませんが、Variable Names を空欄にして見出しから変数名を読ませると、1列目の変数名がおかしくなります。</t>
  </si>
  <si>
    <t>9. 作成後のセルフチェック</t>
  </si>
  <si>
    <t>確認方法</t>
  </si>
  <si>
    <t>チェック</t>
  </si>
  <si>
    <t>要素の名前がすべて英数字になっている</t>
  </si>
  <si>
    <t>ツリーを目で確認</t>
  </si>
  <si>
    <t>シークレットが .jmx に直接書かれていない</t>
  </si>
  <si>
    <t>Test Plan の User Defined Variables が ${__P(…)} になっている</t>
  </si>
  <si>
    <t>EXT_AccessToken が POST_SaveToken より上にある</t>
  </si>
  <si>
    <t>ツリーの並び順を確認</t>
  </si>
  <si>
    <t>setUp_Token の Action to be taken after a Sampler error が Stop Test</t>
  </si>
  <si>
    <t>設定パネルで確認</t>
  </si>
  <si>
    <t>TG01_API の各値が ${__P(…)} で、Specify Thread lifetime がオン</t>
  </si>
  <si>
    <t>APIキーのヘッダー名が API 仕様書どおり</t>
  </si>
  <si>
    <t>HDR_API の Name 列</t>
  </si>
  <si>
    <t>Authorization の「Basic」「Bearer」の後に半角スペースが1つある</t>
  </si>
  <si>
    <t>HDR_Token・HDR_API の Value 列</t>
  </si>
  <si>
    <t>タイムアウト（Connect／Response）が設定されている</t>
  </si>
  <si>
    <t>T01 と DEF_API の Advanced タブ</t>
  </si>
  <si>
    <t>保存した（C:\work\jmeter\scenarios\api_loadtest.jmx）</t>
  </si>
  <si>
    <t>エクスプローラーで確認</t>
  </si>
  <si>
    <t>完成版のシナリオ（付録E）と比べて、要素の並び・名前・設定値に違いがない</t>
  </si>
  <si>
    <t>付録E の 3章の表と見比べる</t>
  </si>
  <si>
    <t>05　正規表現抽出（Regular Expression Extractor）の使い方</t>
  </si>
  <si>
    <t>レスポンスから必要な値を取り出す「正規表現抽出」の設定項目、正規表現の組み立て方、動作確認のしかた、うまくいかないときの対処をまとめます。</t>
  </si>
  <si>
    <t>1. 正規表現抽出とは</t>
  </si>
  <si>
    <t>Regular Expression Extractor（正規表現抽出）は、サーバから返ってきたレスポンスの中から、「この形の文字列」というパターン（正規表現）に一致する部分を探し、その一部を変数に入れる機能です。取り出した値は、後続のリクエストで ${変数名} として使えます。本ガイドでは、Cognito のレスポンスからアクセストークンを取り出すのに使います。</t>
  </si>
  <si>
    <t>▼ 処理のイメージ</t>
  </si>
  <si>
    <t>① T01_Cognito_Token を送信</t>
  </si>
  <si>
    <t>② レスポンス：{"access_token":"eyJraWQi...","expires_in":3600,"token_type":"Bearer"}</t>
  </si>
  <si>
    <t>③ 正規表現抽出で「eyJraWQi...」の部分だけを取り出し、変数 ACCESS_TOKEN に入れる</t>
  </si>
  <si>
    <t>④ 後続のリクエストのヘッダーで  Authorization: Bearer ${ACCESS_TOKEN}  のように使う</t>
  </si>
  <si>
    <t>2. 設定項目の意味</t>
  </si>
  <si>
    <t>設定例</t>
  </si>
  <si>
    <t>意味・選び方</t>
  </si>
  <si>
    <t>要素の名前です。</t>
  </si>
  <si>
    <t>どの結果を対象にするか。Main sample and sub-samples（本体と子）／Main sample only（本体のみ）／Sub-samples only（子のみ）／JMeter Variable Name to use（変数の値を対象）。API の試験では Main sample only を選びます。</t>
  </si>
  <si>
    <t>レスポンスのどこを探すか。Body（本文）／Body (unescaped)（HTML の特殊文字を戻した本文）／Body as a Document（PDF 等の文書の文字）／Response Headers（応答ヘッダー）／Request Headers（要求ヘッダー）／URL／Response Code（ステータスコード）／Response Message。</t>
  </si>
  <si>
    <t>取り出した値を入れる変数名。${ACCESS_TOKEN} で参照します。</t>
  </si>
  <si>
    <t>探すパターン。取り出したい部分を ( ) で囲みます（3章で詳しく説明）。</t>
  </si>
  <si>
    <t>何番目の ( ) を使うか。$1$＝1番目、$2$＝2番目、$0$＝一致した全体。$1$-$2$ のように組み合わせることもできます。</t>
  </si>
  <si>
    <t>一致が複数あるとき何番目を使うか。1＝最初、2＝2番目、0＝ランダム、-1＝すべて（変数名_1, 変数名_2 …と、件数を表す 変数名_matchNr が作られる）。</t>
  </si>
  <si>
    <t>一致しなかったときに入る値。空欄にせず、目印になる文字列を入れておくと原因調査が楽になります。</t>
  </si>
  <si>
    <t>オンにすると、一致しなかったときに空の文字列を入れます。</t>
  </si>
  <si>
    <t>3. 正規表現の組み立て方（アクセストークンの例）</t>
  </si>
  <si>
    <t>レスポンス {"access_token":"eyJraWQi...","expires_in":3600,"token_type":"Bearer"} から eyJraWQi... の部分を取り出す正規表現は、次のように部品を順番につないで作ります。</t>
  </si>
  <si>
    <t>▼ 完成した正規表現</t>
  </si>
  <si>
    <t>このブックのフォントでは「\」（バックスラッシュ）が「¥」の形で表示されます。正規表現の「¥s」「¥d」は、JMeter には「\s」「\d」（半角のバックスラッシュ）として入力します。セルからコピーして貼り付ければ、正しい文字になります。</t>
  </si>
  <si>
    <t>部品</t>
  </si>
  <si>
    <t>この例で一致する文字</t>
  </si>
  <si>
    <t>"access_token"</t>
  </si>
  <si>
    <t>文字列 "access_token"（ダブルクォートを含む）にそのまま一致</t>
  </si>
  <si>
    <t>\s*</t>
  </si>
  <si>
    <t>空白（スペース・タブ・改行）が 0 文字以上。JSON が整形されていてもいなくても一致させるため</t>
  </si>
  <si>
    <t>（なし）</t>
  </si>
  <si>
    <t>:</t>
  </si>
  <si>
    <t>コロン</t>
  </si>
  <si>
    <t>空白が 0 文字以上</t>
  </si>
  <si>
    <t>"</t>
  </si>
  <si>
    <t>値の始まりのダブルクォート</t>
  </si>
  <si>
    <t>([^"]+)</t>
  </si>
  <si>
    <t>「ダブルクォート以外の文字」が1文字以上続く部分。( ) で囲んだので、ここが取り出される（グループ1）</t>
  </si>
  <si>
    <t>eyJraWQi...</t>
  </si>
  <si>
    <t>値の終わりのダブルクォート</t>
  </si>
  <si>
    <t>[^"]+ は「次のダブルクォートの手前まで」を表す定番の書き方です。.+ （何でも1文字以上）を使うと、行の最後のダブルクォートまで一致してしまい、余計な文字まで取れてしまいます（「最長一致」と呼ばれる動き）。</t>
  </si>
  <si>
    <t>4. よく使う記号</t>
  </si>
  <si>
    <t>記号</t>
  </si>
  <si>
    <t>例</t>
  </si>
  <si>
    <t>.</t>
  </si>
  <si>
    <t>任意の1文字（改行以外）</t>
  </si>
  <si>
    <t>a.c → abc、a1c に一致</t>
  </si>
  <si>
    <t>*</t>
  </si>
  <si>
    <t>直前の文字の 0 回以上の繰り返し</t>
  </si>
  <si>
    <t>ab* → a、ab、abbb に一致</t>
  </si>
  <si>
    <t>+</t>
  </si>
  <si>
    <t>直前の文字の 1 回以上の繰り返し</t>
  </si>
  <si>
    <t>\d+ → 1、123 に一致</t>
  </si>
  <si>
    <t>?</t>
  </si>
  <si>
    <t>直前の文字が 0 回か 1 回。「*?」「+?」の形では最短一致</t>
  </si>
  <si>
    <t>.+? → できるだけ短く一致</t>
  </si>
  <si>
    <t>( )</t>
  </si>
  <si>
    <t>グループ。取り出したい部分を囲む</t>
  </si>
  <si>
    <t>id=(\d+) → 数字部分を取り出す</t>
  </si>
  <si>
    <t>[ ]</t>
  </si>
  <si>
    <t>囲んだ文字のどれか1文字</t>
  </si>
  <si>
    <t>[0-9a-f] → 16進数の1文字</t>
  </si>
  <si>
    <t>[^ ]</t>
  </si>
  <si>
    <t>囲んだ文字「以外」の1文字</t>
  </si>
  <si>
    <t>[^"] → ダブルクォート以外</t>
  </si>
  <si>
    <t>\d</t>
  </si>
  <si>
    <t>数字1文字</t>
  </si>
  <si>
    <t>\s</t>
  </si>
  <si>
    <t>空白文字（スペース・タブ・改行）1文字</t>
  </si>
  <si>
    <t>\S</t>
  </si>
  <si>
    <t>空白以外の1文字</t>
  </si>
  <si>
    <t>\w</t>
  </si>
  <si>
    <t>英数字とアンダースコアの1文字</t>
  </si>
  <si>
    <t>\</t>
  </si>
  <si>
    <t>直後の記号を「ただの文字」として扱う（エスケープ）</t>
  </si>
  <si>
    <t>\. \? \( \[ \{ \$ \+</t>
  </si>
  <si>
    <t>(?i)</t>
  </si>
  <si>
    <t>先頭に付けると、大文字・小文字を区別しない</t>
  </si>
  <si>
    <t>(?i)x-amzn-requestid</t>
  </si>
  <si>
    <t>(?s)</t>
  </si>
  <si>
    <t>先頭に付けると、「.」が改行にも一致する</t>
  </si>
  <si>
    <t>(?s)&lt;body&gt;(.+?)&lt;/body&gt;</t>
  </si>
  <si>
    <t>5. 抽出パターンの例</t>
  </si>
  <si>
    <t>取り出したいもの</t>
  </si>
  <si>
    <t>レスポンスの例</t>
  </si>
  <si>
    <t>正規表現</t>
  </si>
  <si>
    <t>Template など</t>
  </si>
  <si>
    <t>{"access_token":"eyJ...","expires_in":3600}</t>
  </si>
  <si>
    <t>expires_in（数値）</t>
  </si>
  <si>
    <t>…"expires_in":3600…</t>
  </si>
  <si>
    <t>"expires_in"\s*:\s*(\d+)</t>
  </si>
  <si>
    <t>token_type</t>
  </si>
  <si>
    <t>…"token_type":"Bearer"…</t>
  </si>
  <si>
    <t>"token_type"\s*:\s*"([^"]+)"</t>
  </si>
  <si>
    <t>注文ID</t>
  </si>
  <si>
    <t>{"orderId":"ORD-000123","status":"ACCEPTED"}</t>
  </si>
  <si>
    <t>"orderId"\s*:\s*"([^"]+)"</t>
  </si>
  <si>
    <t>応答ヘッダーの値
（Field to check＝Response Headers）</t>
  </si>
  <si>
    <t>x-amzn-RequestId: 1a2b3c4d-5e6f-…</t>
  </si>
  <si>
    <t>(?i)x-amzn-requestid:\s*(\S+)</t>
  </si>
  <si>
    <t>複数の値をすべて</t>
  </si>
  <si>
    <t>{"items":[{"id":"A001"},{"id":"A002"}]}</t>
  </si>
  <si>
    <t>"id"\s*:\s*"([^"]+)"</t>
  </si>
  <si>
    <t>$1$、Match No.＝-1
→ ITEM_1、ITEM_2、ITEM_matchNr</t>
  </si>
  <si>
    <t>x-amzn-RequestId は API Gateway が返すリクエストの識別番号です。エラーが起きたときにこの値を開発担当に伝えると、サーバ側のログを探しやすくなります。</t>
  </si>
  <si>
    <t>6. 取り出せているかを確認する方法</t>
  </si>
  <si>
    <t>6-1. RegExp Tester で正規表現を試す</t>
  </si>
  <si>
    <t>一度実行する</t>
  </si>
  <si>
    <t>シナリオを実行し（06_GUI実行 参照）、View Results Tree を開きます。</t>
  </si>
  <si>
    <t>対象を選ぶ</t>
  </si>
  <si>
    <t>左側の一覧から T01_Cognito_Token をクリックし、右側の［Response data］タブ →［Response Body］で本文を確認します。</t>
  </si>
  <si>
    <t>テスターに切り替え</t>
  </si>
  <si>
    <t>左側の一覧の上にある表示形式のリスト（最初は「Text」）を「RegExp Tester」に変えます。</t>
  </si>
  <si>
    <t>RegExp Tester</t>
  </si>
  <si>
    <t>正規表現を試す</t>
  </si>
  <si>
    <t>画面下部の入力欄に正規表現を貼り付け、［Test］をクリックします。</t>
  </si>
  <si>
    <t>一致すると Match count: 1 と、Match[1][0]（一致全体）、Match[1][1]（グループ1＝取り出される値）が表示されます。</t>
  </si>
  <si>
    <t>［ 画像貼付エリア ］
図05-1　RegExp Tester の画面
撮影対象：正規表現を入力して［Test］を押し、Match[1][1] にトークンが表示された状態（トークンは塗りつぶす）
（この枠の左上のセルを選択して Ctrl+V で貼り付け、枠内に収まるようにサイズを調整してください）</t>
  </si>
  <si>
    <t>図05-1　RegExp Tester の画面</t>
  </si>
  <si>
    <t>6-2. Debug Sampler で変数の中身を見る</t>
  </si>
  <si>
    <t>Debug Sampler を追加</t>
  </si>
  <si>
    <t>［setUp_Token］を右クリック →［Add］→［Sampler］→［Debug Sampler］。T01_Cognito_Token より下に置きます。</t>
  </si>
  <si>
    <t>JMeter variables＝True（既定）、JMeter properties＝True にします。</t>
  </si>
  <si>
    <t>JMeter properties：True</t>
  </si>
  <si>
    <t>プロパティ（共有したトークン）も表示されます。</t>
  </si>
  <si>
    <t>実行して確認</t>
  </si>
  <si>
    <t>実行後、View Results Tree で Debug Sampler を選び、［Response data］を見ます。</t>
  </si>
  <si>
    <t>ACCESS_TOKEN=eyJ… と表示されれば成功。ACCESS_TOKEN_NOT_FOUND なら失敗です。</t>
  </si>
  <si>
    <t>無効化</t>
  </si>
  <si>
    <t>確認が終わったら、Debug Sampler を右クリック →［Toggle］で無効化します。</t>
  </si>
  <si>
    <t>結果にトークンやシークレットが表示されるため、負荷試験では必ず無効にします。</t>
  </si>
  <si>
    <t>［ 画像貼付エリア ］
図05-2　Debug Sampler の結果
撮影対象：View Results Tree で Debug Sampler の Response data を表示した状態（トークンは塗りつぶす）
（この枠の左上のセルを選択して Ctrl+V で貼り付け、枠内に収まるようにサイズを調整してください）</t>
  </si>
  <si>
    <t>図05-2　Debug Sampler の結果</t>
  </si>
  <si>
    <t>7. うまく取り出せないときのチェックリスト</t>
  </si>
  <si>
    <t>考えられる原因</t>
  </si>
  <si>
    <t>変数が Default Value のまま</t>
  </si>
  <si>
    <t>正規表現がレスポンスと一致していない（空白・改行・大文字小文字の違い）</t>
  </si>
  <si>
    <t>RegExp Tester で確認する。\s* を入れる、(?i) を付ける。</t>
  </si>
  <si>
    <t>Field to check が違う（ヘッダーにある値を Body で探している）</t>
  </si>
  <si>
    <t>値がある場所に合わせて Field to check を選び直す。</t>
  </si>
  <si>
    <t>抽出器を置く場所が違う（別のリクエストの子になっている）</t>
  </si>
  <si>
    <t>値が含まれるレスポンスを返すリクエストの「子」に移動する。</t>
  </si>
  <si>
    <t>レスポンス自体がエラー（400／401 など）</t>
  </si>
  <si>
    <t>Response Body を見て、エラーの内容（invalid_client など）を確認する。</t>
  </si>
  <si>
    <t>余計な文字まで取れてしまう</t>
  </si>
  <si>
    <t>「.+」が最後まで一致している（最長一致）</t>
  </si>
  <si>
    <t>[^"]+ や .+? を使う。</t>
  </si>
  <si>
    <t>2件目以降が取れない</t>
  </si>
  <si>
    <t>Match No. が 1 になっている</t>
  </si>
  <si>
    <t>-1 にして ${変数名_2} などで参照する。</t>
  </si>
  <si>
    <t>後続のリクエストに ${ACCESS_TOKEN} という文字がそのまま送られる</t>
  </si>
  <si>
    <t>その変数が作られていない（抽出が動いていない、綴りや大文字小文字の違い、別スレッドの変数）</t>
  </si>
  <si>
    <t>Debug Sampler で変数一覧を確認する。スレッドグループをまたぐ場合はプロパティを使う（04 ステップ7）。</t>
  </si>
  <si>
    <t>8. JSON Extractor・Boundary Extractor との使い分け</t>
  </si>
  <si>
    <t>抽出器</t>
  </si>
  <si>
    <t>access_token を取り出す設定</t>
  </si>
  <si>
    <t>Regular Expression Extractor（本ガイド）</t>
  </si>
  <si>
    <t>Regular Expression："access_token"\s*:\s*"([^"]+)"</t>
  </si>
  <si>
    <t>JSON 以外（HTML・ヘッダー・テキスト）にも使える万能型</t>
  </si>
  <si>
    <t>正規表現の知識が必要</t>
  </si>
  <si>
    <t>JSON Path expressions：$.access_token</t>
  </si>
  <si>
    <t>JSON なら簡単・確実</t>
  </si>
  <si>
    <t>JSON 以外には使えない</t>
  </si>
  <si>
    <t>Left Boundary："access_token":"
Right Boundary："</t>
  </si>
  <si>
    <t>正規表現が不要で処理が速い</t>
  </si>
  <si>
    <t>空白の有無など書式の揺れに弱い</t>
  </si>
  <si>
    <t>JSON Extractor で同じことをする場合は、［Add］→［Post Processors］→［JSON Extractor］で追加し、次のように設定します。</t>
  </si>
  <si>
    <t>Names of created variables</t>
  </si>
  <si>
    <t>JSON Path expressions</t>
  </si>
  <si>
    <t>$.access_token</t>
  </si>
  <si>
    <t>「$」は JSON 全体、「.access_token」はその中の access_token という項目を表します。</t>
  </si>
  <si>
    <t>Default Values</t>
  </si>
  <si>
    <t>06　GUI での動作確認（1ユーザーでの実行）</t>
  </si>
  <si>
    <t>作成したシナリオを JMeter の画面で実行し、トークン取得・ヘッダー・API 応答が正しいことを確認します。負荷をかける試験は 12（CLI）で行います。</t>
  </si>
  <si>
    <t>1. GUI 実行の目的</t>
  </si>
  <si>
    <t>GUI での実行は、「シナリオが正しく動くか」を確かめるためのものです。1ユーザー・1周で実行し、全リクエストが成功すること、送ったヘッダーや本文が意図どおりであることを確認します。ここで問題をすべて解消してから実行サーバへ転送すると、本番の試験で失敗するリスクを大きく減らせます。</t>
  </si>
  <si>
    <t>2. 実行前のチェック</t>
  </si>
  <si>
    <t>start_jmeter_stg.bat から起動した（接続情報ファイルを読み込んでいる）</t>
  </si>
  <si>
    <t>起動方法を確認</t>
  </si>
  <si>
    <t>threads=1、loops=1 になっている（GUI 確認用の値）</t>
  </si>
  <si>
    <t>env_stg.properties を確認</t>
  </si>
  <si>
    <t>View Results Tree が有効（グレーになっていない）</t>
  </si>
  <si>
    <t>ツリーを確認</t>
  </si>
  <si>
    <t>シナリオを保存した</t>
  </si>
  <si>
    <t>端末から Cognito・API Gateway に接続できる（プロキシ設定を含む）</t>
  </si>
  <si>
    <t>04 の 7章の curl で確認</t>
  </si>
  <si>
    <t>試験対象の担当者に、GUI での疎通確認を行うことを伝えた</t>
  </si>
  <si>
    <t>連絡済みか確認</t>
  </si>
  <si>
    <t>3. 実行の手順</t>
  </si>
  <si>
    <t>結果をクリア</t>
  </si>
  <si>
    <t>メニュー［Run］→［Clear All］をクリックします（ツールバーのボタンでも可）。</t>
  </si>
  <si>
    <t>前回の結果が残っていると見分けにくいためです。</t>
  </si>
  <si>
    <t>ツールバーの緑の ▶（Start）をクリックします。</t>
  </si>
  <si>
    <t>保存を確認するダイアログが出たら［Yes］で保存します。</t>
  </si>
  <si>
    <t>実行状況の確認</t>
  </si>
  <si>
    <t>画面右上に経過時間と「実行中のスレッド数／全スレッド数」が表示されます。</t>
  </si>
  <si>
    <t>終了すると実行中のスレッド数が 0 に戻ります。</t>
  </si>
  <si>
    <t>結果の一覧を開く</t>
  </si>
  <si>
    <t>ツリーの［View Results Tree］をクリックします。</t>
  </si>
  <si>
    <t>成功・失敗を見る</t>
  </si>
  <si>
    <t>左側にリクエスト名が実行順に並びます。緑のアイコン＝成功、赤のアイコン＝失敗です。</t>
  </si>
  <si>
    <t>T01_Cognito_Token、A01_GET_items、A02_POST_orders の3件がすべて緑なら成功です。</t>
  </si>
  <si>
    <t>トークン取得を確認</t>
  </si>
  <si>
    <t>T01_Cognito_Token をクリック →［Sampler result］で Response code: 200、［Response data］で access_token・expires_in・token_type があることを確認します。</t>
  </si>
  <si>
    <t>［Request］→［Request Headers］に Authorization: Basic … が付いていることも確認します。</t>
  </si>
  <si>
    <t>ヘッダーを確認</t>
  </si>
  <si>
    <t>A01_GET_items をクリック →［Request］→［Request Headers］で、X-API-ID と Authorization: Bearer eyJ… が付いていることを確認します。</t>
  </si>
  <si>
    <t>Bearer TOKEN_NOT_SET になっていたら、トークンの共有に失敗しています（04 ステップ7）。</t>
  </si>
  <si>
    <t>本文を確認</t>
  </si>
  <si>
    <t>A02_POST_orders の［Request］→［Request Body］で、${ITEM_ID} が実際の値（例：A001）に置き換わっていることを確認します。</t>
  </si>
  <si>
    <t>${ITEM_ID} という文字のまま送られていたら、抽出に失敗しています（05 の7章）。</t>
  </si>
  <si>
    <t>集計を確認</t>
  </si>
  <si>
    <t>［Summary Report］と［Aggregate Report］で、件数とエラー率（Error %）を確認します。</t>
  </si>
  <si>
    <t>Error % が 0.00% であること。</t>
  </si>
  <si>
    <t>ログを確認</t>
  </si>
  <si>
    <t>画面右上の黄色い三角形（警告）アイコンをクリックするか、［Options］→［Log Viewer］でログを表示します。</t>
  </si>
  <si>
    <t>ERROR の行がないことを確認します。</t>
  </si>
  <si>
    <t>［ 画像貼付エリア ］
図06-1　実行中の画面
撮影対象：実行中の右上の表示（経過時間・スレッド数）が分かる画面
（この枠の左上のセルを選択して Ctrl+V で貼り付け、枠内に収まるようにサイズを調整してください）</t>
  </si>
  <si>
    <t>図06-1　実行中の画面</t>
  </si>
  <si>
    <t>［ 画像貼付エリア ］
図06-2　View Results Tree：トークン取得の結果
撮影対象：T01_Cognito_Token を選び、Response data にレスポンスが表示された状態（トークンは塗りつぶす）
（この枠の左上のセルを選択して Ctrl+V で貼り付け、枠内に収まるようにサイズを調整してください）</t>
  </si>
  <si>
    <t>図06-2　View Results Tree：トークン取得の結果</t>
  </si>
  <si>
    <t>［ 画像貼付エリア ］
図06-3　View Results Tree：API 呼び出しのリクエストヘッダー
撮影対象：A01_GET_items の Request → Request Headers（APIキーとトークンは塗りつぶす）
（この枠の左上のセルを選択して Ctrl+V で貼り付け、枠内に収まるようにサイズを調整してください）</t>
  </si>
  <si>
    <t>図06-3　View Results Tree：API 呼び出しのリクエストヘッダー</t>
  </si>
  <si>
    <t>4. View Results Tree の見方</t>
  </si>
  <si>
    <t>タブ</t>
  </si>
  <si>
    <t>表示される内容</t>
  </si>
  <si>
    <t>Sampler result</t>
  </si>
  <si>
    <t>スレッド名、開始時刻、Load time（応答時間）、Connect Time、Latency、受信・送信サイズ、Response code、Response message など</t>
  </si>
  <si>
    <t>応答時間とステータスコード</t>
  </si>
  <si>
    <t>Request → Request Body</t>
  </si>
  <si>
    <t>送った本文</t>
  </si>
  <si>
    <t>パラメータや JSON の ${…} が正しく置き換わっているか</t>
  </si>
  <si>
    <t>Request → Request Headers</t>
  </si>
  <si>
    <t>送ったヘッダー</t>
  </si>
  <si>
    <t>Authorization、X-API-ID、Content-Type の値</t>
  </si>
  <si>
    <t>Response data → Response Body</t>
  </si>
  <si>
    <t>受け取った本文</t>
  </si>
  <si>
    <t>期待どおりの内容か。エラーの場合はエラーメッセージ</t>
  </si>
  <si>
    <t>Response data → Response headers</t>
  </si>
  <si>
    <t>受け取ったヘッダー</t>
  </si>
  <si>
    <t>x-amzn-RequestId（AWS 側の調査で使う識別番号）など</t>
  </si>
  <si>
    <t>［Request］タブの下部には［Raw］と［HTTP］の切り替えがあります。［Raw］では［Request Body］／［Request Headers］がそのままの形で、［HTTP］ではメソッド・URL・パラメータ・ヘッダーが表の形で表示されます。</t>
  </si>
  <si>
    <t>Sampler result の項目</t>
  </si>
  <si>
    <t>Load time</t>
  </si>
  <si>
    <t>応答時間（送信の直前から、応答の最後の1バイトを受け取るまで）。JTL の elapsed と同じ</t>
  </si>
  <si>
    <t>Connect Time</t>
  </si>
  <si>
    <t>接続の確立（TCP 接続＋TLS の暗号化の準備）にかかった時間。接続を使い回したときは 0</t>
  </si>
  <si>
    <t>Latency</t>
  </si>
  <si>
    <t>送信の直前から、応答の最初の1バイトを受け取るまでの時間（サーバの処理時間の目安）</t>
  </si>
  <si>
    <t>Size in bytes</t>
  </si>
  <si>
    <t>受け取ったデータのサイズ（ヘッダー＋本文）</t>
  </si>
  <si>
    <t>Sent bytes</t>
  </si>
  <si>
    <t>送ったデータのサイズ</t>
  </si>
  <si>
    <t>Response code ／ Response message</t>
  </si>
  <si>
    <t>HTTP のステータスコード（200 など）とメッセージ（OK など）</t>
  </si>
  <si>
    <t>5. 少人数での確認（任意）</t>
  </si>
  <si>
    <t>1ユーザーで成功したら、env_stg.properties の threads を 3、loops を 2 程度にして実行し、同時に動かしても値が混ざらないこと（ITEM_ID などがスレッドごとに正しく使われること）を確認します。これより大きな負荷は GUI ではかけず、CLI（12）で実行します。確認後は threads=1、loops=1 に戻します。</t>
  </si>
  <si>
    <t>6. 停止のしかた</t>
  </si>
  <si>
    <t>Shutdown（推奨）</t>
  </si>
  <si>
    <t>［Run］→［Shutdown］（Ctrl＋,）</t>
  </si>
  <si>
    <t>新しいリクエストの開始をやめ、実行中のリクエストが終わるのを待ってから止まる</t>
  </si>
  <si>
    <t>通常の途中停止</t>
  </si>
  <si>
    <t>Stop</t>
  </si>
  <si>
    <t>ツールバーの赤い ■（Ctrl＋.）</t>
  </si>
  <si>
    <t>実行中のリクエストも中断してすぐに止まる（中断分はエラーとして記録されることがある）</t>
  </si>
  <si>
    <t>すぐに止めたいとき</t>
  </si>
  <si>
    <t>7. エラーが出たときの最初の確認</t>
  </si>
  <si>
    <t>どこで</t>
  </si>
  <si>
    <t>確認・対処</t>
  </si>
  <si>
    <t>T01</t>
  </si>
  <si>
    <t>400 {"error":"invalid_client"}</t>
  </si>
  <si>
    <t>クライアントID・シークレットの誤り、Base64 の元の文字列の誤り、「Basic」の後のスペース不足</t>
  </si>
  <si>
    <t>properties の値、jmeter.log の BASIC_AUTH の行、Request Headers</t>
  </si>
  <si>
    <t>400 {"error":"unauthorized_client"}</t>
  </si>
  <si>
    <t>アプリクライアントで client_credentials が許可されていない</t>
  </si>
  <si>
    <t>Cognito の管理者に設定を確認してもらう</t>
  </si>
  <si>
    <t>400 {"error":"invalid_scope"} ／ "invalid_grant"</t>
  </si>
  <si>
    <t>スコープ名の誤り、アプリクライアントに許可されていないスコープ</t>
  </si>
  <si>
    <t>scope の値（リソースサーバ識別子/スコープ名）を確認</t>
  </si>
  <si>
    <t>Non HTTP response code: java.net.UnknownHostException</t>
  </si>
  <si>
    <t>ホスト名の誤り、名前解決できない、プロキシ未設定</t>
  </si>
  <si>
    <t>cognito.host の値（https:// を含めない）、プロキシ設定</t>
  </si>
  <si>
    <t>A01・A02</t>
  </si>
  <si>
    <t>401 Unauthorized</t>
  </si>
  <si>
    <t>トークンなし・期限切れ・「Bearer」の書き方の誤り</t>
  </si>
  <si>
    <t>Request Headers の Authorization を確認</t>
  </si>
  <si>
    <t>403 {"message":"Forbidden"}</t>
  </si>
  <si>
    <t>APIキーの誤り、ヘッダー名の誤り（X-API-ID／x-api-key）、使用量プランへの未登録</t>
  </si>
  <si>
    <t>API 仕様書のヘッダー名とキーを確認</t>
  </si>
  <si>
    <t>403 {"message":"Missing Authentication Token"}</t>
  </si>
  <si>
    <t>存在しないパス・ステージ・メソッドを呼んでいる</t>
  </si>
  <si>
    <t>Path（/stg/items など）とメソッドを確認</t>
  </si>
  <si>
    <t>429 Too Many Requests</t>
  </si>
  <si>
    <t>使用量プランのスロットリング・クォータの上限に達した</t>
  </si>
  <si>
    <t>上限値を基盤担当に確認</t>
  </si>
  <si>
    <t>500／502／503／504</t>
  </si>
  <si>
    <t>バックエンド（Lambda 等）のエラー・タイムアウト</t>
  </si>
  <si>
    <t>［Response data］→［Response headers］の x-amzn-RequestId を開発担当に伝えて調査を依頼</t>
  </si>
  <si>
    <t>より詳しいエラーの一覧と対処は「付録B_トラブル対応」にまとめています。</t>
  </si>
  <si>
    <t>8. 確認が終わったら（転送の準備）</t>
  </si>
  <si>
    <t>不要な要素を無効化</t>
  </si>
  <si>
    <t>View Results Tree と Debug Sampler を右クリック →［Toggle］で無効化します（グレー表示になる）。</t>
  </si>
  <si>
    <t>Summary Report・Aggregate Report も無効化して構いません。</t>
  </si>
  <si>
    <t>properties の値を戻す</t>
  </si>
  <si>
    <t>env_stg.properties の threads=1、loops=1 を確認します。</t>
  </si>
  <si>
    <t>本番の値は実行時に -J で指定します。</t>
  </si>
  <si>
    <t>Ctrl＋S で上書き保存します。</t>
  </si>
  <si>
    <t>この .jmx を実行サーバへ転送します（11）。</t>
  </si>
  <si>
    <t>07　結果レポートの見方（リスナー・HTML レポート・JTL）</t>
  </si>
  <si>
    <t>JMeter が出す主な指標の意味と、Summary Report・Aggregate Report・HTML レポート（ダッシュボード）・結果ファイル（JTL）の見方をまとめます。</t>
  </si>
  <si>
    <t>1. 主な指標の意味</t>
  </si>
  <si>
    <t>指標</t>
  </si>
  <si>
    <t>英語表示（単位）</t>
  </si>
  <si>
    <t>見方のポイント</t>
  </si>
  <si>
    <t>サンプル数</t>
  </si>
  <si>
    <t># Samples（件）</t>
  </si>
  <si>
    <t>リクエストの件数</t>
  </si>
  <si>
    <t>想定した件数が出ているか</t>
  </si>
  <si>
    <t>平均応答時間</t>
  </si>
  <si>
    <t>Average（ms）</t>
  </si>
  <si>
    <t>応答時間の平均</t>
  </si>
  <si>
    <t>一部の極端に遅いリクエストに引っ張られやすい</t>
  </si>
  <si>
    <t>最小／最大</t>
  </si>
  <si>
    <t>Min ／ Max（ms）</t>
  </si>
  <si>
    <t>最も速い／最も遅い応答時間</t>
  </si>
  <si>
    <t>Max は1件だけの外れ値のことが多い。参考程度に見る</t>
  </si>
  <si>
    <t>中央値</t>
  </si>
  <si>
    <t>Median（ms）</t>
  </si>
  <si>
    <t>小さい順に並べてちょうど真ん中の値（50 パーセンタイル）</t>
  </si>
  <si>
    <t>典型的な利用者の体感に近い</t>
  </si>
  <si>
    <t>パーセンタイル</t>
  </si>
  <si>
    <t>90% Line ／ 95% Line ／ 99% Line（ms）</t>
  </si>
  <si>
    <t>全体のその割合が、その値以下に収まる応答時間</t>
  </si>
  <si>
    <t>目標値の判定によく使う（例：95% Line ≦ 1,000ms）</t>
  </si>
  <si>
    <t>標準偏差</t>
  </si>
  <si>
    <t>Std. Dev.（ms）</t>
  </si>
  <si>
    <t>応答時間のばらつきの大きさ</t>
  </si>
  <si>
    <t>大きいほど応答が不安定</t>
  </si>
  <si>
    <t>エラー率</t>
  </si>
  <si>
    <t>Error %（%）</t>
  </si>
  <si>
    <t>失敗したリクエストの割合（アサーションの NG も含む）</t>
  </si>
  <si>
    <t>0% が基本</t>
  </si>
  <si>
    <t>スループット</t>
  </si>
  <si>
    <t>Throughput（件/秒）</t>
  </si>
  <si>
    <t>単位時間あたりに処理した件数</t>
  </si>
  <si>
    <t>TPS とも呼ぶ。画面によっては /min（件/分）で表示される</t>
  </si>
  <si>
    <t>受信量／送信量</t>
  </si>
  <si>
    <t>Received KB/sec ／ Sent KB/sec（KB/秒）</t>
  </si>
  <si>
    <t>1秒あたりのデータ量</t>
  </si>
  <si>
    <t>ネットワークの負荷の目安</t>
  </si>
  <si>
    <t>平均サイズ</t>
  </si>
  <si>
    <t>Avg. Bytes（バイト）</t>
  </si>
  <si>
    <t>1件あたりの平均受信サイズ</t>
  </si>
  <si>
    <t>レイテンシ</t>
  </si>
  <si>
    <t>Latency（ms）</t>
  </si>
  <si>
    <t>送信の直前から最初の1バイトを受け取るまで</t>
  </si>
  <si>
    <t>サーバの処理時間の目安</t>
  </si>
  <si>
    <t>接続時間</t>
  </si>
  <si>
    <t>Connect Time（ms）</t>
  </si>
  <si>
    <t>TCP 接続＋TLS の準備にかかった時間</t>
  </si>
  <si>
    <t>大きい場合は接続の作り直しが多い</t>
  </si>
  <si>
    <t>応答時間の内訳（3つの時間の関係）</t>
  </si>
  <si>
    <t>時間</t>
  </si>
  <si>
    <t>測っている区間</t>
  </si>
  <si>
    <t>関係</t>
  </si>
  <si>
    <t>Connect（接続時間）</t>
  </si>
  <si>
    <t>TCP 接続の確立 ＋ TLS（暗号化通信）の準備</t>
  </si>
  <si>
    <t>接続を使い回したときは 0</t>
  </si>
  <si>
    <t>Latency（レイテンシ）</t>
  </si>
  <si>
    <t>送信の直前 ～ 応答の「最初」の1バイトを受け取るまで</t>
  </si>
  <si>
    <t>Connect を含む</t>
  </si>
  <si>
    <t>elapsed（応答時間・Load time）</t>
  </si>
  <si>
    <t>送信の直前 ～ 応答の「最後」の1バイトを受け取るまで</t>
  </si>
  <si>
    <t>Latency を含む（elapsed ≧ Latency ≧ Connect）</t>
  </si>
  <si>
    <t>2. Summary Report と Aggregate Report</t>
  </si>
  <si>
    <t>主な列</t>
  </si>
  <si>
    <t>使い方</t>
  </si>
  <si>
    <t>Label、# Samples、Average、Min、Max、Std. Dev.、Error %、Throughput、Received KB/sec、Sent KB/sec、Avg. Bytes</t>
  </si>
  <si>
    <t>全体の傾向をつかむ</t>
  </si>
  <si>
    <t>Label、# Samples、Average、Median、90% Line、95% Line、99% Line、Min、Max、Error %、Throughput、Received KB/sec、Sent KB/sec</t>
  </si>
  <si>
    <t>パーセンタイルで目標値と比べる</t>
  </si>
  <si>
    <t>画面の Throughput は、値の大きさに応じて「/sec」「/min」「/hour」と単位が自動で変わります。報告書に書き写すときは単位をそろえてください。</t>
  </si>
  <si>
    <t>各リスナーの画面下部にある［Save Table Data］を押すと、表を CSV で保存できます（GUI で実行した分だけ）。</t>
  </si>
  <si>
    <t>［ 画像貼付エリア ］
図07-1　Aggregate Report の画面
撮影対象：GUI 実行後の Aggregate Report（ラベル別の統計）
（この枠の左上のセルを選択して Ctrl+V で貼り付け、枠内に収まるようにサイズを調整してください）</t>
  </si>
  <si>
    <t>図07-1　Aggregate Report の画面</t>
  </si>
  <si>
    <t>3. HTML レポート（ダッシュボード）</t>
  </si>
  <si>
    <t>3-1. 作り方</t>
  </si>
  <si>
    <t>CLI 実行と同時に作る（推奨）</t>
  </si>
  <si>
    <t>jmeter コマンドに -e -o &lt;出力フォルダ&gt; を付ける（12 参照）</t>
  </si>
  <si>
    <t>負荷試験の本番</t>
  </si>
  <si>
    <t>結果ファイルから後で作る（CLI）</t>
  </si>
  <si>
    <t>jmeter -g result.jtl -o report_new（出力フォルダは存在しないか空であること）</t>
  </si>
  <si>
    <t>レポートを作り直すとき</t>
  </si>
  <si>
    <t>結果ファイルから後で作る（GUI）</t>
  </si>
  <si>
    <t>［Tools］→［Generate HTML report］→ Results file (csv or jtl) に結果ファイル、user.properties file に C:\jmeter\apache-jmeter-5.6.3\bin\user.properties、Output directory に空のフォルダを指定 →［Generate report］</t>
  </si>
  <si>
    <t>端末でレポートを作り直すとき</t>
  </si>
  <si>
    <t>3-2. 開き方</t>
  </si>
  <si>
    <t>出力フォルダの中の index.html をダブルクリックすると、ブラウザでレポートが表示されます（インターネット接続は不要です）。</t>
  </si>
  <si>
    <t>［ 画像貼付エリア ］
図07-2　HTML レポートの Dashboard 画面
撮影対象：index.html をブラウザで開いた最初の画面（APDEX・Requests Summary・Statistics）
（この枠の左上のセルを選択して Ctrl+V で貼り付け、枠内に収まるようにサイズを調整してください）</t>
  </si>
  <si>
    <t>図07-2　HTML レポートの Dashboard 画面</t>
  </si>
  <si>
    <t>3-3. 画面の構成と確認ポイント</t>
  </si>
  <si>
    <t>確認ポイント</t>
  </si>
  <si>
    <t>Dashboard</t>
  </si>
  <si>
    <t>Test and Report information</t>
  </si>
  <si>
    <t>結果ファイル名、試験の開始・終了時刻</t>
  </si>
  <si>
    <t>予定どおりの時間に実行されたか</t>
  </si>
  <si>
    <t>APDEX</t>
  </si>
  <si>
    <t>応答時間に対する満足度指数（0～1）。既定は 500ms 以下＝満足、1,500ms 以下＝許容</t>
  </si>
  <si>
    <t>1.00 に近いほど良い（基準は 01 の 6-4 で変更可能）</t>
  </si>
  <si>
    <t>Requests Summary</t>
  </si>
  <si>
    <t>成功（PASS）と失敗（FAIL）の割合の円グラフ</t>
  </si>
  <si>
    <t>FAIL の割合</t>
  </si>
  <si>
    <t>Statistics</t>
  </si>
  <si>
    <t>ラベル別の件数・エラー率・平均・最小・最大・中央値・90/95/99 パーセンタイル・スループット・受信／送信量</t>
  </si>
  <si>
    <t>報告書の結果表の元データ</t>
  </si>
  <si>
    <t>Errors</t>
  </si>
  <si>
    <t>エラーの種類ごとの件数と割合</t>
  </si>
  <si>
    <t>どのエラーが多いか</t>
  </si>
  <si>
    <t>Top 5 Errors by sampler</t>
  </si>
  <si>
    <t>リクエスト別の上位5つのエラー</t>
  </si>
  <si>
    <t>どの API で何が起きたか</t>
  </si>
  <si>
    <t>Charts → Over Time</t>
  </si>
  <si>
    <t>Response Times Over Time</t>
  </si>
  <si>
    <t>応答時間の推移</t>
  </si>
  <si>
    <t>時間とともに悪化していないか</t>
  </si>
  <si>
    <t>Response Time Percentiles Over Time</t>
  </si>
  <si>
    <t>パーセンタイルの推移（成功したリクエストのみ）</t>
  </si>
  <si>
    <t>ばらつきの推移</t>
  </si>
  <si>
    <t>Active Threads Over Time</t>
  </si>
  <si>
    <t>実行中のスレッド数の推移</t>
  </si>
  <si>
    <t>Ramp-up が想定どおりか</t>
  </si>
  <si>
    <t>Bytes Throughput Over Time ／ Latencies Over Time ／ Connect Time Over Time</t>
  </si>
  <si>
    <t>データ量・レイテンシ・接続時間の推移</t>
  </si>
  <si>
    <t>ネットワーク・接続の状況</t>
  </si>
  <si>
    <t>Charts → Throughput</t>
  </si>
  <si>
    <t>Hits Per Second ／ Codes Per Second</t>
  </si>
  <si>
    <t>1秒あたりのリクエスト数、ステータスコード別の推移</t>
  </si>
  <si>
    <t>429 や 5xx が出た時刻</t>
  </si>
  <si>
    <t>Transactions Per Second ／ Total Transactions Per Second</t>
  </si>
  <si>
    <t>ラベル別・全体のトランザクション数の推移</t>
  </si>
  <si>
    <t>目標スループットに達しているか</t>
  </si>
  <si>
    <t>Response Time Vs Request ／ Latency Vs Request</t>
  </si>
  <si>
    <t>負荷（リクエスト数）と応答時間の関係</t>
  </si>
  <si>
    <t>負荷が上がると急に遅くなる点</t>
  </si>
  <si>
    <t>Charts → Response Times</t>
  </si>
  <si>
    <t>Response Time Percentiles ／ Response Time Overview ／ Time Vs Threads ／ Response Time Distribution</t>
  </si>
  <si>
    <t>応答時間の分布、スレッド数と応答時間の関係</t>
  </si>
  <si>
    <t>スレッド数が増えたときの劣化</t>
  </si>
  <si>
    <t>グラフは、凡例をクリックすると系列の表示・非表示を切り替えられ、範囲をドラッグすると拡大できます。報告書に使うグラフは、Windows キー＋Shift＋S で画面を撮影して貼り付けます。</t>
  </si>
  <si>
    <t>レポートの時刻が UTC（日本時間－9時間）と JST（日本時間）のどちらで表示されているかを必ず確認し、報告書では JST にそろえて記載してください。</t>
  </si>
  <si>
    <t>［ 画像貼付エリア ］
図07-3　HTML レポートの Response Times Over Time
撮影対象：Charts → Over Time → Response Times Over Time のグラフ
（この枠の左上のセルを選択して Ctrl+V で貼り付け、枠内に収まるようにサイズを調整してください）</t>
  </si>
  <si>
    <t>図07-3　HTML レポートの Response Times Over Time</t>
  </si>
  <si>
    <t>4. 結果ファイル（JTL）の列の意味</t>
  </si>
  <si>
    <t>CLI 実行で -l に指定した結果ファイル（.jtl）は、1件のリクエストの結果を1つのレコードとして記録した CSV ファイルです。1行目は列名です。Excel での分析（14・15）はこのファイルを使います。</t>
  </si>
  <si>
    <t>列名</t>
  </si>
  <si>
    <t>timeStamp</t>
  </si>
  <si>
    <t>リクエストの開始時刻（1970年1月1日 0時（UTC）からのミリ秒）</t>
  </si>
  <si>
    <t>1790816400250</t>
  </si>
  <si>
    <t>elapsed</t>
  </si>
  <si>
    <t>応答時間（ミリ秒）</t>
  </si>
  <si>
    <t>152</t>
  </si>
  <si>
    <t>label</t>
  </si>
  <si>
    <t>リクエストの名前（要素の Name）</t>
  </si>
  <si>
    <t>responseCode</t>
  </si>
  <si>
    <t>ステータスコード。通信エラーの場合は「Non HTTP response code: …」という文字列</t>
  </si>
  <si>
    <t>responseMessage</t>
  </si>
  <si>
    <t>応答メッセージ</t>
  </si>
  <si>
    <t>OK</t>
  </si>
  <si>
    <t>threadName</t>
  </si>
  <si>
    <t>「スレッドグループ名 グループ番号-スレッド番号」</t>
  </si>
  <si>
    <t>TG01_API 1-3</t>
  </si>
  <si>
    <t>dataType</t>
  </si>
  <si>
    <t>応答の種類（text／bin）</t>
  </si>
  <si>
    <t>text</t>
  </si>
  <si>
    <t>success</t>
  </si>
  <si>
    <t>成功なら true、失敗なら false</t>
  </si>
  <si>
    <t>true</t>
  </si>
  <si>
    <t>failureMessage</t>
  </si>
  <si>
    <t>アサーションが NG になった理由。Response Assertion の場合は改行を含む複数行のメッセージになり、全体がダブルクォート（"）で囲まれる</t>
  </si>
  <si>
    <t>Test failed: code expected to equal /（改行）（改行）****** received  : [[[429]]]（改行）…</t>
  </si>
  <si>
    <t>bytes ／ sentBytes</t>
  </si>
  <si>
    <t>受信／送信したバイト数</t>
  </si>
  <si>
    <t>1856 ／ 1342</t>
  </si>
  <si>
    <t>grpThreads ／ allThreads</t>
  </si>
  <si>
    <t>そのスレッドグループ／全体で実行中のスレッド数</t>
  </si>
  <si>
    <t>10 ／ 10</t>
  </si>
  <si>
    <t>URL</t>
  </si>
  <si>
    <t>リクエストした URL</t>
  </si>
  <si>
    <t>https://…/stg/items?limit=10</t>
  </si>
  <si>
    <t>最初の1バイトを受け取るまでの時間（ミリ秒）</t>
  </si>
  <si>
    <t>140</t>
  </si>
  <si>
    <t>IdleTime</t>
  </si>
  <si>
    <t>待機時間（通常は 0）</t>
  </si>
  <si>
    <t>0</t>
  </si>
  <si>
    <t>Connect</t>
  </si>
  <si>
    <t>接続の確立にかかった時間（ミリ秒）</t>
  </si>
  <si>
    <t>48</t>
  </si>
  <si>
    <t>timeStamp は既定でリクエストの「開始」時刻です（jmeter.properties の sampleresult.timestamp.start=true）。終了時刻は timeStamp＋elapsed で求めます。</t>
  </si>
  <si>
    <t>failureMessage に改行が含まれると、1件の結果がファイル上で複数の行にまたがります。ファイルの行数（wc -l やメモ帳の行番号）をリクエスト数として扱わないでください。Excel に取り込むときは、引用符の中の改行を正しく扱う設定（14 の手順6：QuoteStyle.Csv）が必要です。</t>
  </si>
  <si>
    <t>08　結果の確認観点と判定の考え方</t>
  </si>
  <si>
    <t>負荷試験の結果を「何を・どこで・どう判断するか」を整理します。報告書の考察を書くときのチェックリストとしても使えます。</t>
  </si>
  <si>
    <t>1. 確認の基本的な流れ</t>
  </si>
  <si>
    <t>試験が有効か：想定どおりのスレッド数・時間・件数で負荷がかかったか</t>
  </si>
  <si>
    <t>エラーの有無と種類：エラー率と、どのエラーがいつ出たか</t>
  </si>
  <si>
    <t>応答時間：パーセンタイル（90/95/99%）が目標値の範囲内か</t>
  </si>
  <si>
    <t>スループット：目標の処理件数（件/秒）を満たしたか</t>
  </si>
  <si>
    <t>時系列の安定性：時間とともに悪化したり、不安定になったりしていないか</t>
  </si>
  <si>
    <t>原因の考察：サーバ側・負荷生成側のリソースと突き合わせて、限界点やボトルネックを考える</t>
  </si>
  <si>
    <t>2. 確認観点の一覧</t>
  </si>
  <si>
    <t>観点</t>
  </si>
  <si>
    <t>確認方法（どこを見るか）</t>
  </si>
  <si>
    <t>判断の目安（例）</t>
  </si>
  <si>
    <t>NG のときに疑うこと</t>
  </si>
  <si>
    <t>想定どおりの負荷</t>
  </si>
  <si>
    <t>Active Threads Over Time、JTL の allThreads、サンプル数</t>
  </si>
  <si>
    <t>設定したスレッド数に到達し、試験中は維持されている</t>
  </si>
  <si>
    <t>Ramp-up の設定誤り、負荷生成サーバの性能不足</t>
  </si>
  <si>
    <t>試験時間</t>
  </si>
  <si>
    <t>HTML レポートの Test and Report information</t>
  </si>
  <si>
    <t>予定どおり（例：600 秒）</t>
  </si>
  <si>
    <t>エラーによる停止（Stop Test）、SSH 切断</t>
  </si>
  <si>
    <t>Statistics の Error %、Errors 表</t>
  </si>
  <si>
    <t>0%（許容値は試験計画で合意。例：0.1% 未満）</t>
  </si>
  <si>
    <t>下の No.4 のエラー別の原因</t>
  </si>
  <si>
    <t>エラーの種類</t>
  </si>
  <si>
    <t>Errors／Top 5 Errors、Codes Per Second</t>
  </si>
  <si>
    <t>401：トークン期限切れ・未設定／403：APIキー・WAF／429：流量制限／5xx：バックエンド／Non HTTP：ネットワーク・タイムアウト・負荷生成側</t>
  </si>
  <si>
    <t>応答時間</t>
  </si>
  <si>
    <t>90／95／99 パーセンタイル（平均だけで判断しない）</t>
  </si>
  <si>
    <t>目標値以内（例：95% ≦ 1,000ms）</t>
  </si>
  <si>
    <t>DB・外部 API の待ち、Lambda のコールドスタート</t>
  </si>
  <si>
    <t>Throughput、Total Transactions Per Second</t>
  </si>
  <si>
    <t>目標値以上（例：50 件/秒以上）</t>
  </si>
  <si>
    <t>スレッド数不足・思考時間が長すぎる（JMeter 側）、処理の限界（サーバ側）</t>
  </si>
  <si>
    <t>時系列の安定性</t>
  </si>
  <si>
    <t>定常状態の区間で横ばい</t>
  </si>
  <si>
    <t>時間とともに悪化＝リソースの解放漏れ、処理待ちの滞留</t>
  </si>
  <si>
    <t>負荷と応答時間の関係</t>
  </si>
  <si>
    <t>Time Vs Threads、Response Time Vs Request</t>
  </si>
  <si>
    <t>スレッド数の増加に比例してスループットが増える</t>
  </si>
  <si>
    <t>スループットが頭打ちで応答時間が悪化＝ボトルネック（限界点）に到達</t>
  </si>
  <si>
    <t>ばらつき</t>
  </si>
  <si>
    <t>Std. Dev.、Max と 99% Line の差</t>
  </si>
  <si>
    <t>極端な外れ値がない</t>
  </si>
  <si>
    <t>GC（メモリ整理）、オートスケーリング、スロットリング</t>
  </si>
  <si>
    <t>Connect Time Over Time</t>
  </si>
  <si>
    <t>接続の使い回しで小さい値</t>
  </si>
  <si>
    <t>接続の作り直しが多い、TLS の負荷</t>
  </si>
  <si>
    <t>負荷生成側の健全性</t>
  </si>
  <si>
    <t>実行サーバの CPU・メモリ（top、vmstat）、jmeter.log</t>
  </si>
  <si>
    <t>CPU 使用率 80% 未満、OutOfMemoryError なし</t>
  </si>
  <si>
    <t>負荷生成側がボトルネック → 測定値が不正確</t>
  </si>
  <si>
    <t>サーバ側メトリクス</t>
  </si>
  <si>
    <t>CloudWatch（API Gateway・Lambda 等）</t>
  </si>
  <si>
    <t>試験時間帯の値を JMeter の結果と突き合わせる</t>
  </si>
  <si>
    <t>下の 3章の表を参照</t>
  </si>
  <si>
    <t>データの整合性</t>
  </si>
  <si>
    <t>アサーションの結果、登録件数</t>
  </si>
  <si>
    <t>期待どおりの件数が登録されている</t>
  </si>
  <si>
    <t>二重登録、取りこぼし</t>
  </si>
  <si>
    <t>再現性</t>
  </si>
  <si>
    <t>同じ条件で複数回実行</t>
  </si>
  <si>
    <t>結果のぶれが小さい</t>
  </si>
  <si>
    <t>外部要因（他の利用者、バッチ処理）</t>
  </si>
  <si>
    <t>3. AWS 側で確認する主なメトリクス（CloudWatch）</t>
  </si>
  <si>
    <t>サービス</t>
  </si>
  <si>
    <t>メトリクス</t>
  </si>
  <si>
    <t>見るポイント</t>
  </si>
  <si>
    <t>Count</t>
  </si>
  <si>
    <t>受け付けたリクエスト数。JMeter の件数と合っているか</t>
  </si>
  <si>
    <t>API Gateway がリクエストを受けてから応答するまでの時間</t>
  </si>
  <si>
    <t>IntegrationLatency</t>
  </si>
  <si>
    <t>バックエンド（Lambda 等）の処理時間。Latency との差が API Gateway 自体の処理時間</t>
  </si>
  <si>
    <t>4XXError ／ 5XXError</t>
  </si>
  <si>
    <t>クライアントエラー／サーバエラーの件数</t>
  </si>
  <si>
    <t>Lambda</t>
  </si>
  <si>
    <t>Invocations ／ Duration ／ Errors ／ Throttles ／ ConcurrentExecutions</t>
  </si>
  <si>
    <t>同時実行数の上限到達（Throttles）、処理時間（Duration）の悪化</t>
  </si>
  <si>
    <t>（ログの Init Duration）</t>
  </si>
  <si>
    <t>コールドスタートによる試験開始直後の遅延</t>
  </si>
  <si>
    <t>DynamoDB</t>
  </si>
  <si>
    <t>ConsumedRead/WriteCapacityUnits ／ ThrottledRequests</t>
  </si>
  <si>
    <t>読み書きの性能（キャパシティ）不足</t>
  </si>
  <si>
    <t>RDS ／ Aurora</t>
  </si>
  <si>
    <t>CPUUtilization ／ DatabaseConnections ／ ReadLatency・WriteLatency</t>
  </si>
  <si>
    <t>データベースのボトルネック</t>
  </si>
  <si>
    <t>CallCount ／ ThrottleCount</t>
  </si>
  <si>
    <t>トークン発行などのリクエスト数と、制限による拒否</t>
  </si>
  <si>
    <t>AWS WAF</t>
  </si>
  <si>
    <t>BlockedRequests</t>
  </si>
  <si>
    <t>実行サーバの IP が遮断されていないか</t>
  </si>
  <si>
    <t>CloudWatch のグラフは UTC で表示されることがあります（画面右上の時刻設定でローカル時刻に切り替え可能）。JMeter の結果（JST）と時刻を合わせてから比べてください。</t>
  </si>
  <si>
    <t>4. 判定（合否）の考え方</t>
  </si>
  <si>
    <t>目標値は試験の前に合意しておきます（例：95 パーセンタイル応答時間 ≦ 1,000ms、エラー率 ＜ 0.1%、スループット ≧ 50 件/秒）。</t>
  </si>
  <si>
    <t>Ramp-up 中や終了間際は負荷が安定しません。開始1分後～終了1分前など「定常状態」の区間だけで評価する方法もあります。その場合は評価区間を報告書に明記します（15 の STEP7）。</t>
  </si>
  <si>
    <t>平均値だけで判定しません。少数の極端に遅いリクエストが隠れてしまうため、パーセンタイルを併記します。</t>
  </si>
  <si>
    <t>トークン取得（T01）は試験の最初に1回だけ実行されるため、業務 API の集計とは分けて扱います。</t>
  </si>
  <si>
    <t>目標を満たさなかった場合も、「どこが限界か」「何がボトルネックか」「どうすれば改善できるか」を示すことが報告の価値になります。</t>
  </si>
  <si>
    <t>09　注意点（実施前・実施中・実施後）</t>
  </si>
  <si>
    <t>負荷試験で失敗や事故を起こさないための注意点を、分類ごとにまとめます。実施前に必ず一読してください。</t>
  </si>
  <si>
    <t>守らないと起きること</t>
  </si>
  <si>
    <t>対策</t>
  </si>
  <si>
    <t>実施前の合意</t>
  </si>
  <si>
    <t>必ず関係者の承認と事前連絡のうえで実施する</t>
  </si>
  <si>
    <t>共用環境の他の利用者や監視担当に影響し、障害と誤解される</t>
  </si>
  <si>
    <t>試験計画書で日時・負荷量・緊急停止の連絡先を合意する</t>
  </si>
  <si>
    <t>本番環境に無断で負荷をかけない</t>
  </si>
  <si>
    <t>業務停止や想定外の課金につながる</t>
  </si>
  <si>
    <t>試験対象の環境を明記して承認を得る</t>
  </si>
  <si>
    <t>登録系 API の後始末を決めておく</t>
  </si>
  <si>
    <t>試験データが残り、一意制約エラーや他の試験への影響が出る</t>
  </si>
  <si>
    <t>削除方法・試験用データの範囲を開発担当と取り決める</t>
  </si>
  <si>
    <t>AWS の制限と課金</t>
  </si>
  <si>
    <t>API Gateway の使用量プラン（スロットリング・クォータ）を確認する</t>
  </si>
  <si>
    <t>429 Too Many Requests で試験が無効になる。クォータを使い切ると、同じキーを使う他の利用者も呼べなくなる</t>
  </si>
  <si>
    <t>試験用の APIキー・使用量プランを用意し、上限値を確認する</t>
  </si>
  <si>
    <t>AWS WAF のレートベースルールや IP 制限を確認する</t>
  </si>
  <si>
    <t>実行サーバの IP が遮断され 403 になる</t>
  </si>
  <si>
    <t>事前にルールを確認し、必要なら許可設定を依頼する</t>
  </si>
  <si>
    <t>Cognito のトークン取得を大量に行わない</t>
  </si>
  <si>
    <t>制限（スロットリング）に達する。client_credentials のトークン発行は従量課金の対象になる場合がある</t>
  </si>
  <si>
    <t>トークンは setUp で1回取得して共有する（04 の6章）</t>
  </si>
  <si>
    <t>Lambda の同時実行数の上限を確認する</t>
  </si>
  <si>
    <t>同じアカウントの他システムの Lambda まで巻き込んで制限される</t>
  </si>
  <si>
    <t>上限値・予約同時実行数を基盤担当に確認する</t>
  </si>
  <si>
    <t>リクエスト数に応じて費用がかかる</t>
  </si>
  <si>
    <t>想定外の費用が発生する</t>
  </si>
  <si>
    <t>事前に概算し、試験時間・回数を管理する</t>
  </si>
  <si>
    <t>client_secret や APIキーを .jmx・Excel に直接書かない</t>
  </si>
  <si>
    <t>.jmx の共有や構成管理への登録で漏えいする</t>
  </si>
  <si>
    <t>properties ファイルで渡し、実行サーバでは権限を 600 にする</t>
  </si>
  <si>
    <t>画面キャプチャ・ログ・報告書にトークンやキーを載せない</t>
  </si>
  <si>
    <t>Authorization ヘッダーなどが写り込む</t>
  </si>
  <si>
    <t>貼り付ける前に塗りつぶす</t>
  </si>
  <si>
    <t>トークンを外部の Web サイト（JWT の解析サイト等）に貼り付けない</t>
  </si>
  <si>
    <t>第三者にトークンが渡る</t>
  </si>
  <si>
    <t>必要な場合は社内で許可された方法で確認する</t>
  </si>
  <si>
    <t>JMeter</t>
  </si>
  <si>
    <t>GUI で負荷試験をしない</t>
  </si>
  <si>
    <t>画面の描画が CPU・メモリを消費して測定値が不正確になり、JMeter が固まる</t>
  </si>
  <si>
    <t>GUI は作成と確認のみ。本番は CLI で実行</t>
  </si>
  <si>
    <t>負荷試験では View Results Tree・Debug Sampler を無効にする</t>
  </si>
  <si>
    <t>メモリを大量に使う。結果にシークレットが残る</t>
  </si>
  <si>
    <t>転送前に Toggle で無効化する</t>
  </si>
  <si>
    <t>端末と実行サーバで JMeter・Java・プラグインの版をそろえる</t>
  </si>
  <si>
    <t>.jmx を読み込めない、動作が変わる</t>
  </si>
  <si>
    <t>版を報告書に記録する</t>
  </si>
  <si>
    <t>結果ファイル（-l）は、既にあると追記される</t>
  </si>
  <si>
    <t>前回の結果と混ざる（-e 指定時はエラーで止まる）</t>
  </si>
  <si>
    <t>実行ごとに日時付きのフォルダに出力する（12）</t>
  </si>
  <si>
    <t>-o のフォルダは空（または存在しない）であること</t>
  </si>
  <si>
    <t>HTML レポートを作れずエラーになる</t>
  </si>
  <si>
    <t>日時付きのフォルダを使う、または -f を付ける</t>
  </si>
  <si>
    <t>${__P(名前)} の既定値を省略しない</t>
  </si>
  <si>
    <t>プロパティが無いと「1」になり、意図しない値で動く</t>
  </si>
  <si>
    <t>${__P(threads,1)} のように既定値を書く</t>
  </si>
  <si>
    <t>タイマーは範囲内のすべてのリクエストの前で動く</t>
  </si>
  <si>
    <t>思考時間が想定の倍になる</t>
  </si>
  <si>
    <t>タイマーを置く場所を確認する（02 の4章）</t>
  </si>
  <si>
    <t>応答のタイムアウトを設定する</t>
  </si>
  <si>
    <t>応答が返らないとスレッドが止まったままになり、負荷が出なくなる</t>
  </si>
  <si>
    <t>HTTP Request Defaults の Timeouts を設定する</t>
  </si>
  <si>
    <t>負荷生成サーバ</t>
  </si>
  <si>
    <t>実行サーバの CPU・メモリ・ネットワークを監視する</t>
  </si>
  <si>
    <t>JMeter 側が先に限界になると、結果が不正確になる</t>
  </si>
  <si>
    <t>CPU 80% を超えるならスレッドを減らすか、サーバを増やす</t>
  </si>
  <si>
    <t>JMeter のメモリ（HEAP）を適切に設定する</t>
  </si>
  <si>
    <t>OutOfMemoryError で試験が止まる</t>
  </si>
  <si>
    <t>サーバのメモリの半分程度まで（例：メモリ 4GB のサーバで -Xmx2g）</t>
  </si>
  <si>
    <t>SSH が切れても試験が止まらないようにする</t>
  </si>
  <si>
    <t>端末のスリープや回線断で試験が中断する</t>
  </si>
  <si>
    <t>tmux または nohup で実行する（12）</t>
  </si>
  <si>
    <t>ファイル・文字コード</t>
  </si>
  <si>
    <t>Windows で作ったファイルの改行コード（CRLF）</t>
  </si>
  <si>
    <t>シェルスクリプトが「bad interpreter」で動かない</t>
  </si>
  <si>
    <t>LF で保存する。または sed -i 's/\r$//' ファイル名 で変換する</t>
  </si>
  <si>
    <t>Linux はファイル名の大文字・小文字を区別する</t>
  </si>
  <si>
    <t>ファイルが見つからないエラーになる</t>
  </si>
  <si>
    <t>ファイル名は英小文字で統一する</t>
  </si>
  <si>
    <t>パスに日本語・空白を使わない</t>
  </si>
  <si>
    <t>文字化けやコマンドの誤動作</t>
  </si>
  <si>
    <t>C:\work\jmeter のような英数字のパスにする</t>
  </si>
  <si>
    <t>26</t>
  </si>
  <si>
    <t>properties ファイルに日本語を書かない</t>
  </si>
  <si>
    <t>文字化けして値が正しく読めない</t>
  </si>
  <si>
    <t>英数字・記号だけで書く</t>
  </si>
  <si>
    <t>時刻</t>
  </si>
  <si>
    <t>27</t>
  </si>
  <si>
    <t>JTL の timeStamp は UTC 基準のミリ秒</t>
  </si>
  <si>
    <t>Excel でそのまま日時にすると9時間ずれる</t>
  </si>
  <si>
    <t>＋9時間して JST に変換する（14）</t>
  </si>
  <si>
    <t>28</t>
  </si>
  <si>
    <t>実行サーバの時刻同期とタイムゾーンを確認する</t>
  </si>
  <si>
    <t>サーバ側のログや CloudWatch と時刻を突き合わせられない</t>
  </si>
  <si>
    <t>timedatectl で確認する（10）</t>
  </si>
  <si>
    <t>ディスク</t>
  </si>
  <si>
    <t>29</t>
  </si>
  <si>
    <t>JTL は大きくなる（1件あたり約 150～250 バイト）</t>
  </si>
  <si>
    <t>ディスクがいっぱいになり、試験や OS に影響する</t>
  </si>
  <si>
    <t>df -h で空きを確認し、100万件なら約 200MB を見込む</t>
  </si>
  <si>
    <t>Excel</t>
  </si>
  <si>
    <t>30</t>
  </si>
  <si>
    <t>JTL をダブルクリックで開かない</t>
  </si>
  <si>
    <t>日本語が文字化けし、timeStamp が指数表示、responseCode が数値になる</t>
  </si>
  <si>
    <t>Power Query（テキストまたは CSV から）で取り込む（14）</t>
  </si>
  <si>
    <t>31</t>
  </si>
  <si>
    <t>Excel の最大行数は 1,048,576 行</t>
  </si>
  <si>
    <t>それを超える結果は読み込めない</t>
  </si>
  <si>
    <t>データモデルに読み込む、Power Query で集計してから読み込む（14）</t>
  </si>
  <si>
    <t>報告</t>
  </si>
  <si>
    <t>32</t>
  </si>
  <si>
    <t>平均値だけで評価しない</t>
  </si>
  <si>
    <t>遅いリクエストが隠れる</t>
  </si>
  <si>
    <t>パーセンタイルを併記する</t>
  </si>
  <si>
    <t>33</t>
  </si>
  <si>
    <t>試験条件を必ず記載する（版・スレッド数・時間・データ量・環境）</t>
  </si>
  <si>
    <t>再現や比較ができない</t>
  </si>
  <si>
    <t>18_報告書様式 を使う</t>
  </si>
  <si>
    <t>10　実行サーバ（Linux）の準備</t>
  </si>
  <si>
    <t>負荷をかける Linux サーバに Java と JMeter を導入し、作業用フォルダや OS の設定を整えます。コマンドは SSH でログインした画面で実行します。</t>
  </si>
  <si>
    <t>1. 実行サーバの要件（目安）</t>
  </si>
  <si>
    <t>推奨・目安</t>
  </si>
  <si>
    <t>確認コマンド</t>
  </si>
  <si>
    <t>OS</t>
  </si>
  <si>
    <t>Amazon Linux 2023、RHEL 8／9 系、Ubuntu 22.04／24.04 など</t>
  </si>
  <si>
    <t>cat /etc/os-release</t>
  </si>
  <si>
    <t>CPU</t>
  </si>
  <si>
    <t>2コア以上（負荷の大きさに応じて増やす）</t>
  </si>
  <si>
    <t>nproc</t>
  </si>
  <si>
    <t>メモリ</t>
  </si>
  <si>
    <t>4GB 以上（JMeter に 2GB ＋ OS 用）</t>
  </si>
  <si>
    <t>free -h</t>
  </si>
  <si>
    <t>結果の保存用に 10GB 以上の空き</t>
  </si>
  <si>
    <t>df -h ~</t>
  </si>
  <si>
    <t>Java</t>
  </si>
  <si>
    <t>端末と同じメジャーバージョン（17 または 21）</t>
  </si>
  <si>
    <t>試験対象に HTTPS（443）で接続できること</t>
  </si>
  <si>
    <t>curl -sI https://&lt;対象のホスト名&gt;</t>
  </si>
  <si>
    <t>時刻同期（NTP）されていること。タイムゾーンを把握しておく</t>
  </si>
  <si>
    <t>timedatectl</t>
  </si>
  <si>
    <t>負荷生成サーバは、試験対象と同じリージョン（例：東京リージョン）に置くと、ネットワークの遅延が結果に混ざりにくくなります。</t>
  </si>
  <si>
    <t>2. SSH で接続する（Windows の PowerShell から）</t>
  </si>
  <si>
    <t>2-1. 直接接続する場合</t>
  </si>
  <si>
    <t>▼ PowerShell（鍵ファイル・ユーザー名・IP は現場の値に置き換え）</t>
  </si>
  <si>
    <t>ssh -i $env:USERPROFILE\.ssh\jmeter-key.pem ec2-user@10.0.1.25</t>
  </si>
  <si>
    <t>部分</t>
  </si>
  <si>
    <t>-i …\jmeter-key.pem</t>
  </si>
  <si>
    <t>ログインに使う秘密鍵ファイル（インフラ担当から受け取ったもの）</t>
  </si>
  <si>
    <t>ec2-user</t>
  </si>
  <si>
    <t>ログインするユーザー名（Amazon Linux は ec2-user、Ubuntu は ubuntu が一般的）</t>
  </si>
  <si>
    <t>10.0.1.25</t>
  </si>
  <si>
    <t>実行サーバの IP アドレスまたはホスト名</t>
  </si>
  <si>
    <t>初めて接続するときは「Are you sure you want to continue connecting (yes/no/[fingerprint])?」と聞かれます。表示されたフィンガープリントをインフラ担当に確認してから yes と入力します。</t>
  </si>
  <si>
    <t>2-2. 踏み台サーバを経由する場合（設定ファイルを使う方法・推奨）</t>
  </si>
  <si>
    <t>接続先の情報を設定ファイルに書いておくと、ssh jmeter-server のように短い名前で接続でき、ファイル転送（scp）のコマンドも短くなります。</t>
  </si>
  <si>
    <t>▼ PowerShell（「新しく作成しますか？」と聞かれたら［はい］）</t>
  </si>
  <si>
    <t>New-Item -ItemType Directory -Force $env:USERPROFILE\.ssh | Out-Null</t>
  </si>
  <si>
    <t>notepad $env:USERPROFILE\.ssh\config</t>
  </si>
  <si>
    <t>▼ C:\Users\&lt;ユーザー名&gt;\.ssh\config の内容（拡張子なし）</t>
  </si>
  <si>
    <t>Host bastion</t>
  </si>
  <si>
    <t xml:space="preserve">    HostName bastion.example.co.jp</t>
  </si>
  <si>
    <t xml:space="preserve">    User ec2-user</t>
  </si>
  <si>
    <t xml:space="preserve">    IdentityFile ~/.ssh/bastion-key.pem</t>
  </si>
  <si>
    <t>Host jmeter-server</t>
  </si>
  <si>
    <t xml:space="preserve">    HostName 10.0.1.25</t>
  </si>
  <si>
    <t xml:space="preserve">    IdentityFile ~/.ssh/jmeter-key.pem</t>
  </si>
  <si>
    <t xml:space="preserve">    ProxyJump bastion</t>
  </si>
  <si>
    <t>▼ 以後の接続コマンド</t>
  </si>
  <si>
    <t>ssh jmeter-server</t>
  </si>
  <si>
    <t>踏み台がない場合は、「Host bastion」の4行と「ProxyJump bastion」の行を削除します。鍵ファイルは C:\Users\&lt;ユーザー名&gt;\.ssh に置きます。</t>
  </si>
  <si>
    <t>2-3. 鍵ファイルの権限エラーが出た場合</t>
  </si>
  <si>
    <t>「WARNING: UNPROTECTED PRIVATE KEY FILE!」や「bad permissions」と表示されて接続できない場合は、鍵ファイルを本人だけが読めるように権限を変更します。</t>
  </si>
  <si>
    <t>icacls $env:USERPROFILE\.ssh\jmeter-key.pem /inheritance:r</t>
  </si>
  <si>
    <t>icacls $env:USERPROFILE\.ssh\jmeter-key.pem /grant:r "$($env:USERNAME):(R)"</t>
  </si>
  <si>
    <t>［ 画像貼付エリア ］
図10-1　SSH で実行サーバにログインした画面
撮影対象：PowerShell から ssh でログインし、プロンプトが表示された状態（IP 等は塗りつぶす）
（この枠の左上のセルを選択して Ctrl+V で貼り付け、枠内に収まるようにサイズを調整してください）</t>
  </si>
  <si>
    <t>図10-1　SSH で実行サーバにログインした画面</t>
  </si>
  <si>
    <t>3. サーバの状態を確認する</t>
  </si>
  <si>
    <t>▼ Linux</t>
  </si>
  <si>
    <t>OS の種類と版（以降の Java の入れ方が変わる）</t>
  </si>
  <si>
    <t>nproc ／ free -h ／ df -h ~</t>
  </si>
  <si>
    <t>CPU のコア数、メモリ量、ホームディレクトリのディスクの空き</t>
  </si>
  <si>
    <t>「Time zone:」がタイムゾーン（Asia/Tokyo＝日本時間、UTC＝協定世界時）、「System clock synchronized: yes」なら時刻同期済み</t>
  </si>
  <si>
    <t>タイムゾーンが UTC の場合、jmeter.log や画面に表示される時刻は日本時間より9時間遅れます。サーバの設定を勝手に変えず、報告書を書くときに日本時間へ読み替えてください。</t>
  </si>
  <si>
    <t>4. Java をインストールする</t>
  </si>
  <si>
    <t>OS の種類に合わせて、次のどれか1つを実行します（端末と同じメジャーバージョンにします。17 を使う場合は 21 を 17 に読み替え）。</t>
  </si>
  <si>
    <t>▼ Amazon Linux 2023</t>
  </si>
  <si>
    <t>sudo dnf install -y java-21-amazon-corretto-headless</t>
  </si>
  <si>
    <t>▼ RHEL 8／9 系（Rocky Linux・AlmaLinux など）</t>
  </si>
  <si>
    <t>sudo dnf install -y java-21-openjdk-headless</t>
  </si>
  <si>
    <t>▼ Ubuntu</t>
  </si>
  <si>
    <t>sudo apt update</t>
  </si>
  <si>
    <t>sudo apt install -y openjdk-21-jre-headless</t>
  </si>
  <si>
    <t>▼ 確認（21.0.x などと表示されれば成功）</t>
  </si>
  <si>
    <t>「headless」は画面表示の機能を省いた版で、サーバ用途に適しています。sudo 権限がない場合は、インフラ担当に導入を依頼してください。</t>
  </si>
  <si>
    <t>5. JMeter をインストールする</t>
  </si>
  <si>
    <t>5-1. ダウンロードとハッシュ値の確認（サーバがインターネットに出られる場合）</t>
  </si>
  <si>
    <t>▼ Linux（最後に「apache-jmeter-5.6.3.tgz: OK」と表示されれば正常）</t>
  </si>
  <si>
    <t>cd /tmp</t>
  </si>
  <si>
    <t>curl -fLO https://dlcdn.apache.org/jmeter/binaries/apache-jmeter-5.6.3.tgz</t>
  </si>
  <si>
    <t>curl -fLO https://downloads.apache.org/jmeter/binaries/apache-jmeter-5.6.3.tgz.sha512</t>
  </si>
  <si>
    <t>sha512sum -c apache-jmeter-5.6.3.tgz.sha512</t>
  </si>
  <si>
    <t>新しい版が公開されると、旧版は dlcdn.apache.org と downloads.apache.org から削除されます。その場合は、URL の「dlcdn.apache.org」「downloads.apache.org」の部分を「archive.apache.org/dist」に置き換えてください（例：https://archive.apache.org/dist/jmeter/binaries/apache-jmeter-5.6.3.tgz）。</t>
  </si>
  <si>
    <t>5-2. サーバがインターネットに出られない場合</t>
  </si>
  <si>
    <t>端末でダウンロード</t>
  </si>
  <si>
    <t>01 の3章と同じページから、Binaries の apache-jmeter-5.6.3.tgz と、その sha512 を端末にダウンロードします。</t>
  </si>
  <si>
    <t>apache-jmeter-5.6.3.tgz</t>
  </si>
  <si>
    <t>Linux では zip ではなく tgz を使います（zip を Linux で展開すると実行権限が失われるため）。</t>
  </si>
  <si>
    <t>端末から転送</t>
  </si>
  <si>
    <t>PowerShell で scp を使って /tmp に送ります（転送の詳細は 11）。</t>
  </si>
  <si>
    <t>scp $env:USERPROFILE\Downloads\apache-jmeter-5.6.3.tgz* jmeter-server:/tmp/</t>
  </si>
  <si>
    <t>* で tgz と sha512 の両方を送ります。</t>
  </si>
  <si>
    <t>サーバで確認</t>
  </si>
  <si>
    <t>サーバで cd /tmp と sha512sum -c apache-jmeter-5.6.3.tgz.sha512 を実行します。</t>
  </si>
  <si>
    <t>「OK」と表示されれば正常です。</t>
  </si>
  <si>
    <t>5-3. 展開・配置</t>
  </si>
  <si>
    <t>sudo tar -xzf /tmp/apache-jmeter-5.6.3.tgz -C /opt</t>
  </si>
  <si>
    <t>sudo ln -sfn /opt/apache-jmeter-5.6.3 /opt/jmeter</t>
  </si>
  <si>
    <t>sudo chown -R "$(id -un)":"$(id -gn)" /opt/apache-jmeter-5.6.3</t>
  </si>
  <si>
    <t>ls -l /opt/jmeter/bin/jmeter</t>
  </si>
  <si>
    <t>tar -xzf … -C /opt</t>
  </si>
  <si>
    <t>/opt に展開します（/opt/apache-jmeter-5.6.3 ができる）。</t>
  </si>
  <si>
    <t>ln -sfn … /opt/jmeter</t>
  </si>
  <si>
    <t>/opt/jmeter という短い名前（シンボリックリンク）を作ります。版を上げるときはリンク先を変えるだけで済みます。</t>
  </si>
  <si>
    <t>chown -R …</t>
  </si>
  <si>
    <t>ログインユーザーが設定ファイルを編集・プラグインを追加できるよう、所有者を自分にします。</t>
  </si>
  <si>
    <t>起動ファイルがあり、実行権限（x）が付いていることを確認します。</t>
  </si>
  <si>
    <t>5-4. PATH を設定して動作確認する</t>
  </si>
  <si>
    <t>▼ Linux（最後に JMeter のロゴと 5.6.3 が表示されれば成功）</t>
  </si>
  <si>
    <t>echo 'export JMETER_HOME=/opt/jmeter' &gt;&gt; ~/.bashrc</t>
  </si>
  <si>
    <t>echo 'export PATH=$JMETER_HOME/bin:$PATH' &gt;&gt; ~/.bashrc</t>
  </si>
  <si>
    <t>source ~/.bashrc</t>
  </si>
  <si>
    <t>jmeter -v</t>
  </si>
  <si>
    <t>［ 画像貼付エリア ］
図10-2　jmeter -v の実行結果
撮影対象：jmeter -v を実行し、バージョン 5.6.3 が表示された画面
（この枠の左上のセルを選択して Ctrl+V で貼り付け、枠内に収まるようにサイズを調整してください）</t>
  </si>
  <si>
    <t>図10-2　jmeter -v の実行結果</t>
  </si>
  <si>
    <t>6. user.properties を設定する（端末と同じ内容）</t>
  </si>
  <si>
    <t>▼ Linux（EOF の行まで、まとめて貼り付けて Enter）</t>
  </si>
  <si>
    <t>cat &gt;&gt; /opt/jmeter/bin/user.properties &lt;&lt; 'EOF'</t>
  </si>
  <si>
    <t>EOF</t>
  </si>
  <si>
    <t>tail -n 10 /opt/jmeter/bin/user.properties</t>
  </si>
  <si>
    <t>「cat &gt;&gt; ファイル &lt;&lt; 'EOF'」から「EOF」までは、間の行をファイルの末尾に追記する書き方です。各設定の意味は 01 の 6-4 を参照してください。</t>
  </si>
  <si>
    <t>7. 作業用フォルダを作る</t>
  </si>
  <si>
    <t>mkdir -p ~/jmeter-work/{scenarios,data,props,scripts,results}</t>
  </si>
  <si>
    <t>chmod 700 ~/jmeter-work/props</t>
  </si>
  <si>
    <t>ls -l ~/jmeter-work</t>
  </si>
  <si>
    <t>端末側の対応フォルダ</t>
  </si>
  <si>
    <t>接続情報（.properties）。本人以外は読めない権限（700）にする</t>
  </si>
  <si>
    <t>実行スクリプト（run_test.sh）</t>
  </si>
  <si>
    <t>実行結果（日時付きのフォルダが作られる）</t>
  </si>
  <si>
    <t>「~」はホームディレクトリ（例：/home/ec2-user）を表します。端末と同じフォルダ構成にしておくと、シナリオ内の相対パス（../data/items.csv など）がそのまま使えます。</t>
  </si>
  <si>
    <t>8. OS の設定を確認する</t>
  </si>
  <si>
    <t>確認・設定コマンド</t>
  </si>
  <si>
    <t>同時に開けるファイル数</t>
  </si>
  <si>
    <t>ulimit -n</t>
  </si>
  <si>
    <t>1024 などの小さい値だと、スレッド数が多いときに「Too many open files」エラーになります。実行スクリプト（12）で 65536 に引き上げます。上限（ulimit -Hn）が低い場合はインフラ担当に相談します。</t>
  </si>
  <si>
    <t>時刻同期</t>
  </si>
  <si>
    <t>chronyc tracking</t>
  </si>
  <si>
    <t>「Leap status : Normal」なら同期しています（chrony が使われている場合）。</t>
  </si>
  <si>
    <t>tmux の導入</t>
  </si>
  <si>
    <t>sudo dnf install -y tmux（Ubuntu は sudo apt install -y tmux）</t>
  </si>
  <si>
    <t>SSH が切れても試験を続けるためのソフトです（12 で使用）。</t>
  </si>
  <si>
    <t>9. プラグインを導入する（シナリオでプラグインを使う場合のみ）</t>
  </si>
  <si>
    <t>本ガイドのシナリオではプラグインを使わないため、この章は不要です。プラグインを使ったシナリオを実行する場合は、Plugins Manager のコマンド版で、シナリオに必要なプラグインをまとめて導入できます。</t>
  </si>
  <si>
    <t>▼ Linux（コマンド版の準備）</t>
  </si>
  <si>
    <t>cd /opt/jmeter</t>
  </si>
  <si>
    <t>curl -fL -o lib/ext/jmeter-plugins-manager.jar https://jmeter-plugins.org/get/</t>
  </si>
  <si>
    <t>java -cp lib/ext/jmeter-plugins-manager.jar org.jmeterplugins.repository.PluginManagerCMDInstaller</t>
  </si>
  <si>
    <t>grep -o 'cmdrunner-[0-9.]*jar' bin/PluginsManagerCMD.sh</t>
  </si>
  <si>
    <t>最後のコマンドで表示された cmdrunner の版（例：cmdrunner-2.3.jar）を、Maven Central から lib フォルダにダウンロードします。</t>
  </si>
  <si>
    <t>▼ Linux（2.3 の部分は表示された版に合わせる）</t>
  </si>
  <si>
    <t>curl -fL -o lib/cmdrunner-2.3.jar https://repo1.maven.org/maven2/kg/apc/cmdrunner/2.3/cmdrunner-2.3.jar</t>
  </si>
  <si>
    <t>bin/PluginsManagerCMD.sh install-for-jmx ~/jmeter-work/scenarios/api_loadtest.jmx</t>
  </si>
  <si>
    <t>bin/PluginsManagerCMD.sh status</t>
  </si>
  <si>
    <t>PluginsManagerCMD.sh install-for-jmx &lt;jmx&gt;</t>
  </si>
  <si>
    <t>シナリオで使われているプラグインを調べて、自動で導入します。</t>
  </si>
  <si>
    <t>PluginsManagerCMD.sh install jpgc-casutg=2.10</t>
  </si>
  <si>
    <t>プラグイン ID と版を指定して導入します（版は端末と合わせる）。</t>
  </si>
  <si>
    <t>PluginsManagerCMD.sh status</t>
  </si>
  <si>
    <t>導入済みのプラグインと版を表示します（端末の Plugins Manager の表示と比べる）。</t>
  </si>
  <si>
    <t>サーバがインターネットに出られない場合は、端末の lib\ext と lib に追加されたプラグインの jar ファイルを、サーバの /opt/jmeter/lib/ext と /opt/jmeter/lib に同じように転送します。端末と実行サーバでプラグインの版を必ずそろえてください。</t>
  </si>
  <si>
    <t>11　ファイルの転送と配置（Windows → Linux）</t>
  </si>
  <si>
    <t>端末で作ったシナリオ・データ・接続情報を実行サーバへ転送し、正しく配置されたことを確認します。最後に1ユーザーで試し実行します。</t>
  </si>
  <si>
    <t>1. 転送するファイル</t>
  </si>
  <si>
    <t>ファイル</t>
  </si>
  <si>
    <t>端末側の場所</t>
  </si>
  <si>
    <t>実行サーバ側の配置先</t>
  </si>
  <si>
    <t>シナリオ</t>
  </si>
  <si>
    <t>C:\work\jmeter\scenarios\api_loadtest.jmx</t>
  </si>
  <si>
    <t>~/jmeter-work/scenarios/</t>
  </si>
  <si>
    <t>View Results Tree 等を無効化して保存したもの（06 の8章）</t>
  </si>
  <si>
    <t>試験データ（使う場合）</t>
  </si>
  <si>
    <t>C:\work\jmeter\data\items.csv</t>
  </si>
  <si>
    <t>~/jmeter-work/data/</t>
  </si>
  <si>
    <t>シナリオからの相対パスが端末と同じになる位置に置く</t>
  </si>
  <si>
    <t>接続情報</t>
  </si>
  <si>
    <t>~/jmeter-work/props/</t>
  </si>
  <si>
    <t>転送後に権限を 600 にする。負荷の値（threads 等）は実行時に指定</t>
  </si>
  <si>
    <t>実行スクリプト</t>
  </si>
  <si>
    <t>（サーバ上で直接作成）</t>
  </si>
  <si>
    <t>~/jmeter-work/scripts/run_test.sh</t>
  </si>
  <si>
    <t>12 の4章の方法で作成（改行コードの問題を避けるため）</t>
  </si>
  <si>
    <t>プラグイン（使う場合）</t>
  </si>
  <si>
    <t>lib\ext・lib に追加された jar</t>
  </si>
  <si>
    <t>/opt/jmeter/lib/ext/、/opt/jmeter/lib/</t>
  </si>
  <si>
    <t>10 の9章を参照</t>
  </si>
  <si>
    <t>2. 方法A：scp コマンドで転送する（PowerShell）</t>
  </si>
  <si>
    <t>Windows 11 には scp コマンドが標準で入っています。10 の 2-2 で SSH の設定ファイル（jmeter-server）を作った場合は、次のように短く書けます。</t>
  </si>
  <si>
    <t>▼ PowerShell（設定ファイルを使う場合）</t>
  </si>
  <si>
    <t>scp C:\work\jmeter\scenarios\api_loadtest.jmx jmeter-server:/home/ec2-user/jmeter-work/scenarios/</t>
  </si>
  <si>
    <t>scp C:\work\jmeter\props\env_stg.properties jmeter-server:/home/ec2-user/jmeter-work/props/</t>
  </si>
  <si>
    <t>scp -r C:\work\jmeter\data jmeter-server:/home/ec2-user/jmeter-work/</t>
  </si>
  <si>
    <t>▼ PowerShell（設定ファイルを使わない場合）</t>
  </si>
  <si>
    <t>scp -i $env:USERPROFILE\.ssh\jmeter-key.pem `</t>
  </si>
  <si>
    <t xml:space="preserve">    C:\work\jmeter\scenarios\api_loadtest.jmx `</t>
  </si>
  <si>
    <t xml:space="preserve">    ec2-user@10.0.1.25:/home/ec2-user/jmeter-work/scenarios/</t>
  </si>
  <si>
    <t>scp 送るファイル 送り先</t>
  </si>
  <si>
    <t>左のファイルを右の場所にコピーします。送り先は「接続先:サーバ上のフォルダ」の形です。</t>
  </si>
  <si>
    <t>-r</t>
  </si>
  <si>
    <t>フォルダごとコピーします（data フォルダの中身をまとめて送る）。</t>
  </si>
  <si>
    <t>/home/ec2-user/…</t>
  </si>
  <si>
    <t>サーバ上の絶対パス。ユーザー名の部分は自分のユーザー名に合わせます（Ubuntu なら /home/ubuntu/…）。</t>
  </si>
  <si>
    <t>サーバ側のフォルダは「/」で始まる絶対パスで書くと確実です。「~」（ホーム）は scp では環境によって解釈されないことがあります。</t>
  </si>
  <si>
    <t>3. 方法B：WinSCP（画面操作）で転送する</t>
  </si>
  <si>
    <t>会社で WinSCP の利用が許可されている場合は、エクスプローラーのような画面でドラッグ＆ドロップで転送できます。</t>
  </si>
  <si>
    <t>接続先を登録</t>
  </si>
  <si>
    <t>WinSCP を起動し、「ログイン」画面で［新しいサイト］を選びます。</t>
  </si>
  <si>
    <t>転送プロトコル：SFTP
ホスト名：10.0.1.25
ポート番号：22
ユーザー名：ec2-user</t>
  </si>
  <si>
    <t>鍵を設定</t>
  </si>
  <si>
    <t>［設定］→［SSH］→［認証］→「秘密鍵」に .pem ファイルを指定します。</t>
  </si>
  <si>
    <t>jmeter-key.pem</t>
  </si>
  <si>
    <t>PuTTY 形式（.ppk）への変換を確認されたら［OK］で変換します。</t>
  </si>
  <si>
    <t>踏み台の設定（必要な場合）</t>
  </si>
  <si>
    <t>［設定］→［接続］→［トンネル］で踏み台サーバを指定します。</t>
  </si>
  <si>
    <t>ログイン</t>
  </si>
  <si>
    <t>［保存］してから［ログイン］します。</t>
  </si>
  <si>
    <t>初回はホスト鍵の確認が出るので、内容を確認して［はい］。</t>
  </si>
  <si>
    <t>転送</t>
  </si>
  <si>
    <t>左側（端末）から右側（サーバ）の ~/jmeter-work/scenarios などへドラッグ＆ドロップします。</t>
  </si>
  <si>
    <t>転送モードは「バイナリ」を推奨します（ファイルの中身を変えずに送るため）。</t>
  </si>
  <si>
    <t>［ 画像貼付エリア ］
図11-1　WinSCP のログイン画面
撮影対象：接続先（SFTP・ホスト名・ユーザー名）を入力した状態（IP 等は塗りつぶす）
（この枠の左上のセルを選択して Ctrl+V で貼り付け、枠内に収まるようにサイズを調整してください）</t>
  </si>
  <si>
    <t>図11-1　WinSCP のログイン画面</t>
  </si>
  <si>
    <t>［ 画像貼付エリア ］
図11-2　WinSCP でのファイル転送
撮影対象：左に端末のフォルダ、右にサーバの ~/jmeter-work を表示した状態
（この枠の左上のセルを選択して Ctrl+V で貼り付け、枠内に収まるようにサイズを調整してください）</t>
  </si>
  <si>
    <t>図11-2　WinSCP でのファイル転送</t>
  </si>
  <si>
    <t>4. 配置後の確認</t>
  </si>
  <si>
    <t>4-1. ファイルの有無と権限</t>
  </si>
  <si>
    <t>ls -l ~/jmeter-work/scenarios/ ~/jmeter-work/props/ ~/jmeter-work/data/</t>
  </si>
  <si>
    <t>chmod 600 ~/jmeter-work/props/env_stg.properties</t>
  </si>
  <si>
    <t>接続情報ファイルにはシークレットが入っています。chmod 600 で、本人以外は読めないようにしてください。</t>
  </si>
  <si>
    <t>4-2. 転送でファイルが変わっていないか（ハッシュ値の比較）</t>
  </si>
  <si>
    <t>▼ 端末（PowerShell）</t>
  </si>
  <si>
    <t>Get-FileHash C:\work\jmeter\scenarios\api_loadtest.jmx -Algorithm SHA256</t>
  </si>
  <si>
    <t>▼ 実行サーバ（Linux）</t>
  </si>
  <si>
    <t>sha256sum ~/jmeter-work/scenarios/api_loadtest.jmx</t>
  </si>
  <si>
    <t>2つの値が一致すれば、ファイルは正しく転送されています（Windows は大文字、Linux は小文字で表示されますが、同じ値です）。</t>
  </si>
  <si>
    <t>4-3. シナリオの中身の確認</t>
  </si>
  <si>
    <t>grep -n 'C:\\' ~/jmeter-work/scenarios/api_loadtest.jmx</t>
  </si>
  <si>
    <t>grep -n 'ViewResultsFullVisualizer' ~/jmeter-work/scenarios/api_loadtest.jmx</t>
  </si>
  <si>
    <t>結果が違う場合</t>
  </si>
  <si>
    <t>grep -n 'C:\\' …</t>
  </si>
  <si>
    <t>何も表示されない</t>
  </si>
  <si>
    <t>Windows の絶対パス（C:\…）がシナリオに残っています。相対パスに直して保存し直します。</t>
  </si>
  <si>
    <t>grep -n 'ViewResultsFullVisualizer' …</t>
  </si>
  <si>
    <t>表示された行に enabled="false" が含まれる</t>
  </si>
  <si>
    <t>View Results Tree が有効のままです。端末で無効化（Toggle）して保存し、転送し直します。</t>
  </si>
  <si>
    <t>5. 試し実行（1ユーザー・1回）</t>
  </si>
  <si>
    <t>本番の前に、実行サーバ上で1ユーザー・1回だけ実行し、サーバからも正しく接続できることを確認します。properties ファイルの既定値（threads=1、loops=1）がそのまま使われます。</t>
  </si>
  <si>
    <t>cd ~/jmeter-work</t>
  </si>
  <si>
    <t>jmeter -n -t scenarios/api_loadtest.jmx -q props/env_stg.properties -l /tmp/smoke.jtl -j /tmp/smoke.log</t>
  </si>
  <si>
    <t>cat /tmp/smoke.jtl</t>
  </si>
  <si>
    <t>画面の最後</t>
  </si>
  <si>
    <t>「... end of run」と表示されて終了する</t>
  </si>
  <si>
    <t>/tmp/smoke.jtl の内容</t>
  </si>
  <si>
    <t>見出し行と3行（T01・A01・A02）があり、success の列がすべて true</t>
  </si>
  <si>
    <t>エラーの場合</t>
  </si>
  <si>
    <t>responseCode の列とエラー内容を見て、06 の7章・付録B で原因を調べる</t>
  </si>
  <si>
    <t>▼ 確認が終わったら削除</t>
  </si>
  <si>
    <t>rm -f /tmp/smoke.jtl /tmp/smoke.log</t>
  </si>
  <si>
    <t>［ 画像貼付エリア ］
図11-3　試し実行の結果
撮影対象：試し実行の画面と cat /tmp/smoke.jtl の結果（success が true）
（この枠の左上のセルを選択して Ctrl+V で貼り付け、枠内に収まるようにサイズを調整してください）</t>
  </si>
  <si>
    <t>図11-3　試し実行の結果</t>
  </si>
  <si>
    <t>12　CLI での負荷試験の実行と監視</t>
  </si>
  <si>
    <t>jmeter コマンドの書き方（jmx・結果ファイル・ログの出力先の指定）、実行スクリプト、SSH が切れても止まらない実行方法、実行中の監視、停止方法をまとめます。</t>
  </si>
  <si>
    <t>1. コマンドの基本形</t>
  </si>
  <si>
    <t>▼ 基本形</t>
  </si>
  <si>
    <t>jmeter -n -t &lt;jmxファイル&gt; -l &lt;結果ファイル.jtl&gt; -j &lt;ログファイル.log&gt; -e -o &lt;HTMLレポートの出力先フォルダ&gt;</t>
  </si>
  <si>
    <t>▼ 具体例（行末の「\」は、次の行に続くことを表す記号）</t>
  </si>
  <si>
    <t>jmeter -n \</t>
  </si>
  <si>
    <t xml:space="preserve">  -t /home/ec2-user/jmeter-work/scenarios/api_loadtest.jmx \</t>
  </si>
  <si>
    <t xml:space="preserve">  -q /home/ec2-user/jmeter-work/props/env_stg.properties \</t>
  </si>
  <si>
    <t xml:space="preserve">  -Jthreads=20 -Jrampup=60 -Jloops=-1 -Jduration=600 \</t>
  </si>
  <si>
    <t xml:space="preserve">  -l /home/ec2-user/jmeter-work/results/20261001_100000/result.jtl \</t>
  </si>
  <si>
    <t xml:space="preserve">  -j /home/ec2-user/jmeter-work/results/20261001_100000/jmeter.log \</t>
  </si>
  <si>
    <t xml:space="preserve">  -e -o /home/ec2-user/jmeter-work/results/20261001_100000/report</t>
  </si>
  <si>
    <t>2. オプションの一覧</t>
  </si>
  <si>
    <t>オプション</t>
  </si>
  <si>
    <t>正式名</t>
  </si>
  <si>
    <t>本ガイドでの指定例</t>
  </si>
  <si>
    <t>-n</t>
  </si>
  <si>
    <t>--nongui</t>
  </si>
  <si>
    <t>画面を使わない CLI モードで実行する</t>
  </si>
  <si>
    <t>-t</t>
  </si>
  <si>
    <t>--testfile</t>
  </si>
  <si>
    <t>実行するシナリオ（.jmx）</t>
  </si>
  <si>
    <t>-t …/scenarios/api_loadtest.jmx</t>
  </si>
  <si>
    <t>-l</t>
  </si>
  <si>
    <t>--logfile</t>
  </si>
  <si>
    <t>結果ファイル（JTL）の出力先</t>
  </si>
  <si>
    <t>-l …/result.jtl</t>
  </si>
  <si>
    <t>-j</t>
  </si>
  <si>
    <t>--jmeterlogfile</t>
  </si>
  <si>
    <t>JMeter の実行ログの出力先（省略するとコマンドを実行したフォルダに jmeter.log）</t>
  </si>
  <si>
    <t>-j …/jmeter.log</t>
  </si>
  <si>
    <t>-e</t>
  </si>
  <si>
    <t>--reportatendofloadtests</t>
  </si>
  <si>
    <t>試験の終了後に HTML レポートを作る</t>
  </si>
  <si>
    <t>-o</t>
  </si>
  <si>
    <t>--reportoutputfolder</t>
  </si>
  <si>
    <t>HTML レポートの出力先（存在しない、または空のフォルダ）</t>
  </si>
  <si>
    <t>-o …/report</t>
  </si>
  <si>
    <t>-J</t>
  </si>
  <si>
    <t>--jmeterproperty</t>
  </si>
  <si>
    <t>プロパティを指定する（シナリオ内の ${__P(名前,…)} に入る）</t>
  </si>
  <si>
    <t>-Jthreads=20</t>
  </si>
  <si>
    <t>-q</t>
  </si>
  <si>
    <t>--addprop</t>
  </si>
  <si>
    <t>追加のプロパティファイルを読み込む</t>
  </si>
  <si>
    <t>-q …/env_stg.properties</t>
  </si>
  <si>
    <t>-f</t>
  </si>
  <si>
    <t>--forceDeleteResultFile</t>
  </si>
  <si>
    <t>既存の結果ファイルとレポートフォルダを削除してから実行する</t>
  </si>
  <si>
    <t>（同じ名前で実行し直す場合）</t>
  </si>
  <si>
    <t>-g</t>
  </si>
  <si>
    <t>--reportonly</t>
  </si>
  <si>
    <t>既存の結果ファイルから HTML レポートだけを作る</t>
  </si>
  <si>
    <t>-g result.jtl -o report2</t>
  </si>
  <si>
    <t>-L</t>
  </si>
  <si>
    <t>--loglevel</t>
  </si>
  <si>
    <t>ログの詳しさを変える</t>
  </si>
  <si>
    <t>-Lorg.apache.jmeter.protocol.http=DEBUG（調査時のみ）</t>
  </si>
  <si>
    <t>-H ／ -P</t>
  </si>
  <si>
    <t>--proxyHost ／ --proxyPort</t>
  </si>
  <si>
    <t>プロキシ経由で通信する</t>
  </si>
  <si>
    <t>-H proxy.example.co.jp -P 8080</t>
  </si>
  <si>
    <t>-v</t>
  </si>
  <si>
    <t>--version</t>
  </si>
  <si>
    <t>版を表示する</t>
  </si>
  <si>
    <t>-?</t>
  </si>
  <si>
    <t>オプションの一覧を表示する</t>
  </si>
  <si>
    <t>jmeter -?</t>
  </si>
  <si>
    <t>-q は -J より前に書きます。オプションは書いた順に読み込まれ、後から指定した値が優先されるため、-q のファイルに threads=1 があっても、後ろの -Jthreads=20 が使われます。</t>
  </si>
  <si>
    <t>3. jmx・結果ファイル・ログの指定のしかた</t>
  </si>
  <si>
    <t>3-1. jmx（シナリオ）の指定</t>
  </si>
  <si>
    <t>絶対パス（「/」で始まる完全な場所）で指定するのが確実です：-t /home/ec2-user/jmeter-work/scenarios/api_loadtest.jmx</t>
  </si>
  <si>
    <t>相対パスで指定する場合は、コマンドを実行しているフォルダが基準になります：cd ~/jmeter-work してから -t scenarios/api_loadtest.jmx</t>
  </si>
  <si>
    <t>シナリオの中の CSV ファイルなどの相対パスは、「.jmx ファイルがあるフォルダ」が基準になります（実行したフォルダではありません）。</t>
  </si>
  <si>
    <t>1回の jmeter コマンドで指定できる .jmx は1つです。</t>
  </si>
  <si>
    <t>Linux はファイル名の大文字・小文字を区別します。途中まで入力して Tab キーを押すと名前が補完され、入力ミスを防げます。</t>
  </si>
  <si>
    <t>3-2. 結果ファイル（-l）・ログ（-j）・レポート（-o）の出力先</t>
  </si>
  <si>
    <t>出力されるもの</t>
  </si>
  <si>
    <t>-l result.jtl</t>
  </si>
  <si>
    <t>全リクエストの結果（CSV 形式、拡張子は .jtl）</t>
  </si>
  <si>
    <t>同じ名前のファイルがあると追記されます（-e を付けているとエラーで止まります）。</t>
  </si>
  <si>
    <t>-j jmeter.log</t>
  </si>
  <si>
    <t>JMeter の実行ログ（開始・終了・エラー）</t>
  </si>
  <si>
    <t>省略すると、コマンドを実行したフォルダに jmeter.log が作られます。</t>
  </si>
  <si>
    <t>-e -o report</t>
  </si>
  <si>
    <t>HTML レポート一式（index.html など）</t>
  </si>
  <si>
    <t>出力先フォルダは「存在しない」か「空」である必要があります。</t>
  </si>
  <si>
    <t>おすすめは、実行のたびに「日時＋シナリオ名＋スレッド数」の名前のフォルダを作り、その中に3つをまとめる方法です。次の実行スクリプトがこれを自動で行います。</t>
  </si>
  <si>
    <t>▼ 出力フォルダの構成</t>
  </si>
  <si>
    <t>~/jmeter-work/results/</t>
  </si>
  <si>
    <t>└─ 20261001_100000_api_loadtest_20th/   … 実行ごとのフォルダ（日時_シナリオ_スレッド数）</t>
  </si>
  <si>
    <t xml:space="preserve">      ├─ result.jtl     … 結果ファイル（Excel 分析に使う）</t>
  </si>
  <si>
    <t xml:space="preserve">      ├─ jmeter.log     … 実行ログ</t>
  </si>
  <si>
    <t xml:space="preserve">      ├─ console.log    … 画面に出た途中経過の記録</t>
  </si>
  <si>
    <t xml:space="preserve">      └─ report/        … HTML レポート（index.html を開く）</t>
  </si>
  <si>
    <t>4. 実行スクリプト（run_test.sh）を作る</t>
  </si>
  <si>
    <t>毎回長いコマンドを打つとミスが起きやすいため、スクリプトにまとめます。Windows で作ると改行コードの問題が起きるため、実行サーバ上で直接作ります。</t>
  </si>
  <si>
    <t>作成を開始</t>
  </si>
  <si>
    <t>SSH でログインし、下のコマンドを入力して Enter を押します（画面は入力待ちになります）。</t>
  </si>
  <si>
    <t>cat &gt; ~/jmeter-work/scripts/run_test.sh &lt;&lt; 'EOF'</t>
  </si>
  <si>
    <t>中身を貼り付け</t>
  </si>
  <si>
    <t>下の「run_test.sh の内容」をすべてコピーして貼り付けます。</t>
  </si>
  <si>
    <t>作成を終了</t>
  </si>
  <si>
    <t>最後に「EOF」とだけ入力して Enter を押します。</t>
  </si>
  <si>
    <t>ここでファイルが保存されます。</t>
  </si>
  <si>
    <t>実行権限を付ける</t>
  </si>
  <si>
    <t>下のコマンドを実行します。</t>
  </si>
  <si>
    <t>chmod +x ~/jmeter-work/scripts/run_test.sh</t>
  </si>
  <si>
    <t>内容を確認</t>
  </si>
  <si>
    <t>下のコマンドで中身を表示し、貼り付けた内容と同じか確認します。</t>
  </si>
  <si>
    <t>cat ~/jmeter-work/scripts/run_test.sh</t>
  </si>
  <si>
    <t>▼ run_test.sh の内容</t>
  </si>
  <si>
    <t>#!/bin/bash</t>
  </si>
  <si>
    <t># ==========================================================</t>
  </si>
  <si>
    <t>#  run_test.sh : JMeter load test runner</t>
  </si>
  <si>
    <t>#  usage : ./run_test.sh &lt;scenario&gt; &lt;env&gt; &lt;threads&gt; &lt;rampup_sec&gt; &lt;duration_sec&gt;</t>
  </si>
  <si>
    <t>#  e.g.  : ./run_test.sh api_loadtest stg 20 60 600</t>
  </si>
  <si>
    <t>set -u</t>
  </si>
  <si>
    <t>SCENARIO=${1:?"usage: ./run_test.sh &lt;scenario&gt; &lt;env&gt; &lt;threads&gt; &lt;rampup&gt; &lt;duration&gt;"}</t>
  </si>
  <si>
    <t>ENV_NAME=${2:-stg}</t>
  </si>
  <si>
    <t>THREADS=${3:-1}</t>
  </si>
  <si>
    <t>RAMPUP=${4:-1}</t>
  </si>
  <si>
    <t>DURATION=${5:-60}</t>
  </si>
  <si>
    <t>JMETER_HOME=/opt/jmeter</t>
  </si>
  <si>
    <t>WORK_DIR=${HOME}/jmeter-work</t>
  </si>
  <si>
    <t>JMX=${WORK_DIR}/scenarios/${SCENARIO}.jmx</t>
  </si>
  <si>
    <t>PROPS=${WORK_DIR}/props/env_${ENV_NAME}.properties</t>
  </si>
  <si>
    <t>TS=$(date +%Y%m%d_%H%M%S)</t>
  </si>
  <si>
    <t>OUT_DIR=${WORK_DIR}/results/${TS}_${SCENARIO}_${THREADS}th</t>
  </si>
  <si>
    <t># ---- pre-check ----</t>
  </si>
  <si>
    <t>[ -f "${JMX}" ]   || { echo "[ERROR] jmx not found: ${JMX}"; exit 1; }</t>
  </si>
  <si>
    <t>[ -f "${PROPS}" ] || { echo "[ERROR] properties not found: ${PROPS}"; exit 1; }</t>
  </si>
  <si>
    <t>mkdir -p "${OUT_DIR}"</t>
  </si>
  <si>
    <t># ---- JVM heap / open files ----</t>
  </si>
  <si>
    <t>export HEAP="-Xms2g -Xmx2g -XX:MaxMetaspaceSize=256m"</t>
  </si>
  <si>
    <t>ulimit -n 65536 2&gt;/dev/null || echo "[WARN] open files limit: $(ulimit -n)"</t>
  </si>
  <si>
    <t>echo "[INFO] start   : $(date '+%Y-%m-%d %H:%M:%S %Z')"</t>
  </si>
  <si>
    <t>echo "[INFO] jmx     : ${JMX}"</t>
  </si>
  <si>
    <t>echo "[INFO] load    : threads=${THREADS} rampup=${RAMPUP}s duration=${DURATION}s"</t>
  </si>
  <si>
    <t>echo "[INFO] output  : ${OUT_DIR}"</t>
  </si>
  <si>
    <t>"${JMETER_HOME}/bin/jmeter" -n \</t>
  </si>
  <si>
    <t xml:space="preserve">  -t "${JMX}" \</t>
  </si>
  <si>
    <t xml:space="preserve">  -q "${PROPS}" \</t>
  </si>
  <si>
    <t xml:space="preserve">  -Jthreads="${THREADS}" \</t>
  </si>
  <si>
    <t xml:space="preserve">  -Jrampup="${RAMPUP}" \</t>
  </si>
  <si>
    <t xml:space="preserve">  -Jloops=-1 \</t>
  </si>
  <si>
    <t xml:space="preserve">  -Jduration="${DURATION}" \</t>
  </si>
  <si>
    <t xml:space="preserve">  -l "${OUT_DIR}/result.jtl" \</t>
  </si>
  <si>
    <t xml:space="preserve">  -j "${OUT_DIR}/jmeter.log" \</t>
  </si>
  <si>
    <t xml:space="preserve">  -e -o "${OUT_DIR}/report" 2&gt;&amp;1 | tee "${OUT_DIR}/console.log"</t>
  </si>
  <si>
    <t>echo "[INFO] end     : $(date '+%Y-%m-%d %H:%M:%S %Z')"</t>
  </si>
  <si>
    <t>echo "[INFO] samples : $(grep -cE '^[0-9]{13},' "${OUT_DIR}/result.jtl")"</t>
  </si>
  <si>
    <t>echo "[INFO] errors  : $(grep -c ',false,' "${OUT_DIR}/result.jtl")"</t>
  </si>
  <si>
    <t>echo "[INFO] report  : ${OUT_DIR}/report/index.html"</t>
  </si>
  <si>
    <t>行末の「¥」は、このブックのフォントでの「\」（バックスラッシュ）の表示です。「次の行に続く」という意味の記号で、コピーして貼り付けると正しく「\」になります。</t>
  </si>
  <si>
    <t>SCENARIO=${1:?…} ほか</t>
  </si>
  <si>
    <t>実行時に渡す引数（シナリオ名・環境名・スレッド数・Ramp-up 秒・試験時間 秒）を受け取ります。省略時は ENV_NAME=stg、THREADS=1 などの既定値になります。</t>
  </si>
  <si>
    <t>実行開始の日時（例：20261001_100000）。出力フォルダ名に使います。</t>
  </si>
  <si>
    <t>[ -f … ] || { … exit 1; }</t>
  </si>
  <si>
    <t>jmx と properties が無ければ、エラーを表示して止めます。</t>
  </si>
  <si>
    <t>export HEAP=…</t>
  </si>
  <si>
    <t>JMeter のメモリ量（ここでは 2GB）。サーバのメモリの半分程度までにします。</t>
  </si>
  <si>
    <t>ulimit -n 65536</t>
  </si>
  <si>
    <t>同時に開けるファイル数の上限を引き上げます。</t>
  </si>
  <si>
    <t>-q … -J…</t>
  </si>
  <si>
    <t>接続情報を読み込み、負荷の値を上書きします（-q が先）。-Jloops=-1 で回数制限なし、試験時間で終了します。</t>
  </si>
  <si>
    <t>2&gt;&amp;1 | tee …/console.log</t>
  </si>
  <si>
    <t>画面に途中経過を表示しながら、同じ内容を console.log にも保存します。</t>
  </si>
  <si>
    <t>samples ／ errors</t>
  </si>
  <si>
    <t>終了後に件数とエラー件数（目安）を表示します。件数は、行頭が 13 桁の timeStamp の行だけを数えます（failureMessage の改行で1件が複数行になることがあるため、wc -l は使いません）。</t>
  </si>
  <si>
    <t>端末で作った run_test.sh を転送して使う場合は、改行コードを LF に変換してください：sed -i 's/\r$//' ~/jmeter-work/scripts/run_test.sh（変換しないと「/bin/bash^M: bad interpreter」というエラーになります）。</t>
  </si>
  <si>
    <t>5. 実行する（SSH が切れても止まらない方法）</t>
  </si>
  <si>
    <t>5-1. tmux を使う方法（推奨）</t>
  </si>
  <si>
    <t>SSH で実行サーバにログインします。</t>
  </si>
  <si>
    <t>tmux を開始</t>
  </si>
  <si>
    <t>名前を付けて tmux の画面を開きます。</t>
  </si>
  <si>
    <t>tmux new -s jmeter</t>
  </si>
  <si>
    <t>画面の下に緑色の帯が表示されます。</t>
  </si>
  <si>
    <t>フォルダへ移動</t>
  </si>
  <si>
    <t>cd ~/jmeter-work/scripts</t>
  </si>
  <si>
    <t>実行</t>
  </si>
  <si>
    <t>シナリオ名・環境名・スレッド数・Ramp-up 秒・試験時間 秒 を指定して実行します。</t>
  </si>
  <si>
    <t>./run_test.sh api_loadtest stg 20 60 600</t>
  </si>
  <si>
    <t>例：20スレッド、60秒かけて起動、600秒間実行</t>
  </si>
  <si>
    <t>途中経過を見る</t>
  </si>
  <si>
    <t>30秒ごとに summary の行が表示されます（6章で見方を説明）。</t>
  </si>
  <si>
    <t>画面から離れる（デタッチ）</t>
  </si>
  <si>
    <t>Ctrl＋b を押して指を離し、続けて d を押します。</t>
  </si>
  <si>
    <t>Ctrl＋b → d</t>
  </si>
  <si>
    <t>試験は裏で続きます。この状態なら SSH を切っても止まりません。</t>
  </si>
  <si>
    <t>画面に戻る（アタッチ）</t>
  </si>
  <si>
    <t>再度 SSH でログインし、下のコマンドを実行します。</t>
  </si>
  <si>
    <t>tmux attach -t jmeter</t>
  </si>
  <si>
    <t>終了の確認</t>
  </si>
  <si>
    <t>「... end of run」と「[INFO] end」が表示されたら終了です。</t>
  </si>
  <si>
    <t>tmux を閉じる</t>
  </si>
  <si>
    <t>exit と入力します。</t>
  </si>
  <si>
    <t>exit</t>
  </si>
  <si>
    <t>［ 画像貼付エリア ］
図12-1　tmux で run_test.sh を実行中の画面
撮影対象：summary 行が表示されている実行中の画面
（この枠の左上のセルを選択して Ctrl+V で貼り付け、枠内に収まるようにサイズを調整してください）</t>
  </si>
  <si>
    <t>図12-1　tmux で run_test.sh を実行中の画面</t>
  </si>
  <si>
    <t>5-2. nohup を使う方法（tmux が使えない場合）</t>
  </si>
  <si>
    <t>▼ Linux（tail -f は Ctrl＋C で抜けても試験は止まりません）</t>
  </si>
  <si>
    <t>nohup ./run_test.sh api_loadtest stg 20 60 600 &gt; ~/jmeter-work/results/nohup.out 2&gt;&amp;1 &amp;</t>
  </si>
  <si>
    <t>tail -f ~/jmeter-work/results/nohup.out</t>
  </si>
  <si>
    <t>6. 実行中の画面の見方</t>
  </si>
  <si>
    <t>▼ 画面表示の例（数値は例）</t>
  </si>
  <si>
    <t>Creating summariser &lt;summary&gt;</t>
  </si>
  <si>
    <t>Created the tree successfully using /home/ec2-user/jmeter-work/scenarios/api_loadtest.jmx</t>
  </si>
  <si>
    <t>Starting standalone test @ （開始日時）</t>
  </si>
  <si>
    <t>Waiting for possible Shutdown/StopTestNow/HeapDump/ThreadDump message on port 4445</t>
  </si>
  <si>
    <t>summary +    154 in 00:00:28 =    5.5/s Avg:   142 Min:    85 Max:   402 Err:     0 (0.00%) Active: 10 Started: 10 Finished: 0</t>
  </si>
  <si>
    <t>summary +    182 in 00:00:30 =    6.1/s Avg:   151 Min:    88 Max:   515 Err:     0 (0.00%) Active: 10 Started: 10 Finished: 0</t>
  </si>
  <si>
    <t>summary =    336 in 00:00:58 =    5.8/s Avg:   147 Min:    85 Max:   515 Err:     0 (0.00%)</t>
  </si>
  <si>
    <t>summary +    179 in 00:00:30 =    6.0/s Avg:   612 Min:    90 Max:  3020 Err:     4 (2.23%) Active: 10 Started: 10 Finished: 0</t>
  </si>
  <si>
    <t>summary =    515 in 00:01:28 =    5.9/s Avg:   309 Min:    85 Max:  3020 Err:     4 (0.78%)</t>
  </si>
  <si>
    <t>（中略）</t>
  </si>
  <si>
    <t>Tidying up ...    @ （終了日時）</t>
  </si>
  <si>
    <t>... end of run</t>
  </si>
  <si>
    <t>summary +</t>
  </si>
  <si>
    <t>直近の区間（既定 30 秒）の集計</t>
  </si>
  <si>
    <t>summary =</t>
  </si>
  <si>
    <t>試験開始からの累計</t>
  </si>
  <si>
    <t>154 in 00:00:28</t>
  </si>
  <si>
    <t>その区間の件数と、区間の長さ（時:分:秒）</t>
  </si>
  <si>
    <t>= 5.5/s</t>
  </si>
  <si>
    <t>スループット（1秒あたりの件数）</t>
  </si>
  <si>
    <t>Avg ／ Min ／ Max</t>
  </si>
  <si>
    <t>応答時間の平均・最小・最大（ミリ秒）</t>
  </si>
  <si>
    <t>Err: 4 (2.23%)</t>
  </si>
  <si>
    <t>エラー件数（エラー率）</t>
  </si>
  <si>
    <t>Active ／ Started ／ Finished</t>
  </si>
  <si>
    <t>実行中／起動済み／終了済みのスレッド数</t>
  </si>
  <si>
    <t>Tidying up … ／ … end of run</t>
  </si>
  <si>
    <t>終了処理の開始 ／ 完了（HTML レポートの作成後に表示）</t>
  </si>
  <si>
    <t>監視のポイント：①Err（エラー）が増えていないか ②Avg（平均応答時間）が急に悪化していないか ③Active が設定したスレッド数に達しているか ④スループット（/s）が急に落ちていないか。エラーが急増した場合は、関係者と相談して停止を判断します。</t>
  </si>
  <si>
    <t>7. 並行して監視するコマンド</t>
  </si>
  <si>
    <t>tmux の中で新しい画面を開く（Ctrl＋b → c、画面の切り替えは Ctrl＋b → n）か、別の SSH 接続を開いて実行します。</t>
  </si>
  <si>
    <t>▼ 最新の出力フォルダに移動する</t>
  </si>
  <si>
    <t>cd "$(ls -dt ~/jmeter-work/results/*/ | head -1)"</t>
  </si>
  <si>
    <t>pwd</t>
  </si>
  <si>
    <t>わかること</t>
  </si>
  <si>
    <t>tail -f jmeter.log</t>
  </si>
  <si>
    <t>実行ログをリアルタイムに表示（ERROR・WARN の行に注目）</t>
  </si>
  <si>
    <t>Ctrl＋C</t>
  </si>
  <si>
    <t>grep -c ',false,' result.jtl</t>
  </si>
  <si>
    <t>失敗したリクエストの件数（目安）</t>
  </si>
  <si>
    <t>grep -cE '^[0-9]{13},' result.jtl</t>
  </si>
  <si>
    <t>記録済みのリクエスト件数（行頭が13桁の timeStamp の行を数える）</t>
  </si>
  <si>
    <t>tail -n 5 result.jtl</t>
  </si>
  <si>
    <t>直近5件の結果</t>
  </si>
  <si>
    <t>grep -E '^[0-9]{13},' result.jtl | awk -F',' '{print $4}' | sort | uniq -c</t>
  </si>
  <si>
    <t>ステータスコード別の件数（目安）</t>
  </si>
  <si>
    <t>top</t>
  </si>
  <si>
    <t>CPU・メモリの使用状況（java のプロセスに注目）</t>
  </si>
  <si>
    <t>q キー</t>
  </si>
  <si>
    <t>vmstat 5</t>
  </si>
  <si>
    <t>5秒ごとの CPU・メモリ・スワップの状況</t>
  </si>
  <si>
    <t>free -h ／ df -h</t>
  </si>
  <si>
    <t>メモリの空き ／ ディスクの空き</t>
  </si>
  <si>
    <t>ps -ef | grep [A]pacheJMeter</t>
  </si>
  <si>
    <t>JMeter が動いているか</t>
  </si>
  <si>
    <t>結果ファイルは「1件＝1行」とは限りません。アサーションが NG になると、failureMessage の列に改行を含むメッセージが入り、1件が複数の行にまたがります（07 の4章）。件数は wc -l（行数）ではなく、上の表のように行頭が timeStamp（13桁の数字）の行を数えます。</t>
  </si>
  <si>
    <t>負荷生成サーバの CPU 使用率が 80% を超え続ける場合、JMeter 側が限界に達して測定値が不正確になります。スレッド数を減らすか、サーバを増強・増設してください。</t>
  </si>
  <si>
    <t>8. 停止のしかた</t>
  </si>
  <si>
    <t>通常の停止（推奨）</t>
  </si>
  <si>
    <t>/opt/jmeter/bin/shutdown.sh</t>
  </si>
  <si>
    <t>新しいリクエストを止め、実行中のリクエストの完了を待って停止。HTML レポートも作られる</t>
  </si>
  <si>
    <t>即時停止</t>
  </si>
  <si>
    <t>/opt/jmeter/bin/stoptest.sh</t>
  </si>
  <si>
    <t>実行中のリクエストも中断してすぐに停止</t>
  </si>
  <si>
    <t>画面で中断</t>
  </si>
  <si>
    <t>実行中の画面で Ctrl＋C</t>
  </si>
  <si>
    <t>JMeter を強制終了（HTML レポートは作られない）</t>
  </si>
  <si>
    <t>最終手段</t>
  </si>
  <si>
    <t>ps -ef | grep [A]pacheJMeter で番号（PID）を調べ、kill &lt;PID&gt;</t>
  </si>
  <si>
    <t>応答がないときのみ。結果ファイルの最後が欠けることがある</t>
  </si>
  <si>
    <t>shutdown.sh と stoptest.sh は、同じサーバ上の JMeter に UDP の 4445 番ポートで停止の合図を送ります（別の SSH 接続から実行）。複数の JMeter を同時に動かしている場合は、4446、4447… と順に使われます。</t>
  </si>
  <si>
    <t>9. 終了後の確認</t>
  </si>
  <si>
    <t>コマンド・場所</t>
  </si>
  <si>
    <t>正常に終了したか</t>
  </si>
  <si>
    <t>画面（console.log）の最後</t>
  </si>
  <si>
    <t>「... end of run」と表示されている</t>
  </si>
  <si>
    <t>ログにエラーがないか</t>
  </si>
  <si>
    <t>grep -E "ERROR|FATAL" jmeter.log | head</t>
  </si>
  <si>
    <t>何も表示されない（または原因が分かっているもののみ）</t>
  </si>
  <si>
    <t>ファイルがそろっているか</t>
  </si>
  <si>
    <t>ls -l ; ls report/index.html</t>
  </si>
  <si>
    <t>result.jtl、jmeter.log、console.log、report/index.html がある</t>
  </si>
  <si>
    <t>件数とエラー件数</t>
  </si>
  <si>
    <t>スクリプトの最後の [INFO] samples ／ errors</t>
  </si>
  <si>
    <t>想定どおりの件数で、エラーが 0 または許容範囲</t>
  </si>
  <si>
    <t>10. HTML レポートを作り直す（-g）</t>
  </si>
  <si>
    <t>レポートができなかった場合や、集計の条件を変えたい場合は、結果ファイルから作り直せます。出力先は新しいフォルダ名にします。</t>
  </si>
  <si>
    <t>▼ Linux（フォルダ名は実際のものに置き換え）</t>
  </si>
  <si>
    <t>cd ~/jmeter-work/results/20261001_100000_api_loadtest_20th</t>
  </si>
  <si>
    <t>jmeter -g result.jtl -o report_retry</t>
  </si>
  <si>
    <t>jmeter -g result.jtl -o report_10s -Jjmeter.reportgenerator.overall_granularity=10000</t>
  </si>
  <si>
    <t>jmeter -g result.jtl -o report_api_only -Jjmeter.reportgenerator.sample_filter='^A0.*'</t>
  </si>
  <si>
    <t>-g result.jtl -o report_retry</t>
  </si>
  <si>
    <t>同じ条件でレポートを作り直します。</t>
  </si>
  <si>
    <t>…overall_granularity=10000</t>
  </si>
  <si>
    <t>グラフの集計間隔を 10 秒にします（短い試験で推移を細かく見たいとき）。</t>
  </si>
  <si>
    <t>…sample_filter='^A0.*'</t>
  </si>
  <si>
    <t>名前が A0 で始まるリクエストだけで集計します（トークン取得 T01 を除外）。</t>
  </si>
  <si>
    <t>11. 段階的に負荷を上げる例</t>
  </si>
  <si>
    <t>▼ Linux（1回ずつ終了を確認してから次を実行）</t>
  </si>
  <si>
    <t>./run_test.sh api_loadtest stg 10 30 600</t>
  </si>
  <si>
    <t>./run_test.sh api_loadtest stg 40 120 600</t>
  </si>
  <si>
    <t>各回の間は 5 分程度あけ、サーバ側の状態（処理待ちや接続）が落ち着いてから次を実行します。スレッド数を増やしてもスループットが増えなくなり、応答時間が悪化し始めたところが、そのシステムの限界の目安です。</t>
  </si>
  <si>
    <t>13　結果の回収（Linux → Windows）</t>
  </si>
  <si>
    <t>実行サーバに出力された結果一式を圧縮して端末へ転送し、展開して HTML レポートを開くまでの手順です。</t>
  </si>
  <si>
    <t>1. 回収する成果物</t>
  </si>
  <si>
    <t>報告での使い道</t>
  </si>
  <si>
    <t>result.jtl</t>
  </si>
  <si>
    <t>全リクエストの結果（CSV）</t>
  </si>
  <si>
    <t>Excel 分析の元データ（14・15）</t>
  </si>
  <si>
    <t>jmeter.log</t>
  </si>
  <si>
    <t>JMeter の実行ログ</t>
  </si>
  <si>
    <t>エラーの調査、実行条件の証跡</t>
  </si>
  <si>
    <t>console.log</t>
  </si>
  <si>
    <t>画面に出た途中経過（summary 行）</t>
  </si>
  <si>
    <t>実行経過の証跡</t>
  </si>
  <si>
    <t>report/</t>
  </si>
  <si>
    <t>HTML レポート一式</t>
  </si>
  <si>
    <t>グラフ・統計表の画面キャプチャ</t>
  </si>
  <si>
    <t>（任意）サーバ側メトリクス</t>
  </si>
  <si>
    <t>CloudWatch のグラフ・CSV</t>
  </si>
  <si>
    <t>考察の根拠</t>
  </si>
  <si>
    <t>2. 実行サーバで圧縮する</t>
  </si>
  <si>
    <t>▼ Linux（フォルダ名は ls -lt で表示された実際の名前に置き換え）</t>
  </si>
  <si>
    <t>cd ~/jmeter-work/results</t>
  </si>
  <si>
    <t>ls -lt | head</t>
  </si>
  <si>
    <t>tar -czf 20261001_100000_api_loadtest_20th.tar.gz 20261001_100000_api_loadtest_20th</t>
  </si>
  <si>
    <t>ls -lh 20261001_100000_api_loadtest_20th.tar.gz</t>
  </si>
  <si>
    <t>新しい順に一覧を表示し、今回のフォルダ名を確認します。</t>
  </si>
  <si>
    <t>tar -czf 圧縮後.tar.gz フォルダ</t>
  </si>
  <si>
    <t>フォルダを1つのファイル（.tar.gz）にまとめて圧縮します。</t>
  </si>
  <si>
    <t>ls -lh …</t>
  </si>
  <si>
    <t>できたファイルの大きさを確認します。</t>
  </si>
  <si>
    <t>3. 端末へ転送する</t>
  </si>
  <si>
    <t>▼ PowerShell（10 の 2-2 の設定ファイルを使う場合）</t>
  </si>
  <si>
    <t>scp jmeter-server:/home/ec2-user/jmeter-work/results/20261001_100000_api_loadtest_20th.tar.gz C:\work\jmeter\results\</t>
  </si>
  <si>
    <t xml:space="preserve">    ec2-user@10.0.1.25:/home/ec2-user/jmeter-work/results/20261001_100000_api_loadtest_20th.tar.gz `</t>
  </si>
  <si>
    <t xml:space="preserve">    C:\work\jmeter\results\</t>
  </si>
  <si>
    <t>WinSCP を使う場合は、右側（サーバ）の tar.gz を左側（端末）の C:\work\jmeter\results へドラッグ＆ドロップします。</t>
  </si>
  <si>
    <t>4. 展開して HTML レポートを開く</t>
  </si>
  <si>
    <t>▼ PowerShell（Windows 11 は tar コマンドが標準で使えます）</t>
  </si>
  <si>
    <t>cd C:\work\jmeter\results</t>
  </si>
  <si>
    <t>tar -xzf .\20261001_100000_api_loadtest_20th.tar.gz</t>
  </si>
  <si>
    <t>Get-ChildItem .\20261001_100000_api_loadtest_20th</t>
  </si>
  <si>
    <t>Start-Process .\20261001_100000_api_loadtest_20th\report\index.html</t>
  </si>
  <si>
    <t>［ 画像貼付エリア ］
図13-1　回収した結果フォルダ
撮影対象：エクスプローラーで展開後のフォルダ（result.jtl・jmeter.log・report）を表示した状態
（この枠の左上のセルを選択して Ctrl+V で貼り付け、枠内に収まるようにサイズを調整してください）</t>
  </si>
  <si>
    <t>図13-1　回収した結果フォルダ</t>
  </si>
  <si>
    <t>5. 保管のルール（おすすめ）</t>
  </si>
  <si>
    <t>フォルダ名は「日時_シナリオ名_スレッド数」のまま保管し、どの試験の結果か分かるようにします。</t>
  </si>
  <si>
    <t>元の結果ファイル（result.jtl）は書き換えません（読み取り専用にしておくと安心です）。分析は別の Excel ブックで行います。</t>
  </si>
  <si>
    <t>試験条件（スレッド数・Ramp-up・試験時間・JMeter と Java の版・対象環境）を、報告書（18）か同じフォルダのメモに必ず残します。</t>
  </si>
  <si>
    <t>サーバ側メトリクス（CloudWatch の画面キャプチャ等）も、同じフォルダにまとめて保管します。</t>
  </si>
  <si>
    <t>6. 実行サーバの後片付け</t>
  </si>
  <si>
    <t>タイミング</t>
  </si>
  <si>
    <t>回収済みの結果を削除</t>
  </si>
  <si>
    <t>rm -rf ~/jmeter-work/results/&lt;フォルダ名&gt; ~/jmeter-work/results/&lt;フォルダ名&gt;.tar.gz</t>
  </si>
  <si>
    <t>端末で中身を確認した後（ディスクの空きを確保）</t>
  </si>
  <si>
    <t>接続情報ファイルを削除</t>
  </si>
  <si>
    <t>rm -f ~/jmeter-work/props/env_stg.properties</t>
  </si>
  <si>
    <t>試験期間が終わったら（シークレットを残さない）</t>
  </si>
  <si>
    <t>プロセスが残っていないか</t>
  </si>
  <si>
    <t>試験の終了後</t>
  </si>
  <si>
    <t>14　結果ファイル（JTL）を Excel に取り込む</t>
  </si>
  <si>
    <t>回収した result.jtl を、文字化けや型の崩れなく Excel に取り込む手順です。Excel for Microsoft 365（Windows）の画面で説明します。</t>
  </si>
  <si>
    <t>1. 取り込み方法の比較</t>
  </si>
  <si>
    <t>評価</t>
  </si>
  <si>
    <t>A：Power Query で取り込む（推奨）</t>
  </si>
  <si>
    <t>［データ］→［テキストまたは CSV から］で、文字コード・区切り文字・列の型を指定して取り込む</t>
  </si>
  <si>
    <t>◎ 文字化けや型の崩れを防げる。次の試験結果への差し替えも簡単</t>
  </si>
  <si>
    <t>B：ダブルクリックで開く</t>
  </si>
  <si>
    <t>.jtl を .csv に名前を変えて開く</t>
  </si>
  <si>
    <t>× 日本語が文字化けする（UTF-8 を Shift_JIS と誤認）、timeStamp が 1.79E+12 のような指数表示になる、responseCode が数値になる</t>
  </si>
  <si>
    <t>2. Power Query で取り込む手順</t>
  </si>
  <si>
    <t>分析用のブックを作る</t>
  </si>
  <si>
    <t>Excel を起動して［空白のブック］を開き、C:\work\jmeter\analysis に保存します。</t>
  </si>
  <si>
    <t>例：analysis_20261001_20th.xlsx</t>
  </si>
  <si>
    <t>結果ファイル（result.jtl）とは別のブックで分析します。</t>
  </si>
  <si>
    <t>取り込みを開始</t>
  </si>
  <si>
    <t>［データ］タブ →［データの取得と変換］グループ →［テキストまたは CSV から］をクリックします。</t>
  </si>
  <si>
    <t>ファイルを選ぶ</t>
  </si>
  <si>
    <t>ダイアログ右下のファイルの種類を［すべてのファイル (*.*)］に変え、回収したフォルダの result.jtl を選んで［インポート］します。</t>
  </si>
  <si>
    <t>C:\work\jmeter\results\&lt;フォルダ&gt;\result.jtl</t>
  </si>
  <si>
    <t>最初は .csv と .txt しか表示されないため、種類の変更が必要です。</t>
  </si>
  <si>
    <t>読み込み方を指定</t>
  </si>
  <si>
    <t>プレビュー画面の上部で次のように選びます。</t>
  </si>
  <si>
    <t>元のファイル：65001 : Unicode (UTF-8)
区切り記号：コンマ
データ型検出：最初の 200 行に基づく</t>
  </si>
  <si>
    <t>1行目の列名（timeStamp, elapsed…）が見出しになっていることを確認します。</t>
  </si>
  <si>
    <t>変換画面を開く</t>
  </si>
  <si>
    <t>右下の［データの変換］をクリックします（［読み込み］ではありません）。</t>
  </si>
  <si>
    <t>［データの変換］</t>
  </si>
  <si>
    <t>Power Query エディターが開きます。</t>
  </si>
  <si>
    <t>引用符の中の改行を正しく読む</t>
  </si>
  <si>
    <t>右側の［適用したステップ］の一番上の［ソース］をクリックし、画面上部の数式バーの式の最後にある QuoteStyle=QuoteStyle.None を QuoteStyle=QuoteStyle.Csv に書き換えて、Enter キーを押します（最初から QuoteStyle.Csv なら変更不要）。</t>
  </si>
  <si>
    <t>QuoteStyle=QuoteStyle.Csv</t>
  </si>
  <si>
    <t>NG になったリクエストの行は failureMessage に改行を含みます（07 の4章）。None のままだと1件が複数の行に分かれ、表が崩れます。数式バーが見えない場合は［表示］→［数式バー］にチェックを入れます。</t>
  </si>
  <si>
    <t>見出しの確認</t>
  </si>
  <si>
    <t>列名が timeStamp、elapsed … になっているか確認します。Column1… になっている場合は［ホーム］→［1 行目をヘッダーとして使用］をクリックします。</t>
  </si>
  <si>
    <t>列の型を設定</t>
  </si>
  <si>
    <t>各列の見出しの左にあるアイコン（ABC や 123）をクリックして、下の表のとおりに型を選びます。</t>
  </si>
  <si>
    <t>下の表を参照</t>
  </si>
  <si>
    <t>特に responseCode は必ず「テキスト」にします。</t>
  </si>
  <si>
    <t>日時の列を追加</t>
  </si>
  <si>
    <t>［列の追加］→［カスタム列］をクリックし、新しい列名と式を入力して［OK］。追加された列の型を［日付/時刻］にします。</t>
  </si>
  <si>
    <t>列名：開始日時JST
式：= #datetime(1970,1,1,9,0,0) + #duration(0,0,0,[timeStamp]/1000)</t>
  </si>
  <si>
    <t>1970/1/1 からのミリ秒（UTC 基準）を、日本時間の日時に変換します。</t>
  </si>
  <si>
    <t>シートに読み込む</t>
  </si>
  <si>
    <t>［ホーム］→［閉じて読み込む］をクリックします。</t>
  </si>
  <si>
    <t>新しいシートに表（テーブル）として読み込まれます。</t>
  </si>
  <si>
    <t>テーブル名を変える</t>
  </si>
  <si>
    <t>表の中をクリック →［テーブル デザイン］タブ → 左端の［テーブル名］を書き換えます。</t>
  </si>
  <si>
    <t>tblJTL</t>
  </si>
  <si>
    <t>数式で tblJTL[elapsed] のように列を指定できるようになります（15 で使用）。</t>
  </si>
  <si>
    <t>日時の表示形式</t>
  </si>
  <si>
    <t>開始日時JST の列を選び、Ctrl＋1 →［表示形式］→［ユーザー定義］→ 種類に下の書式を入力 →［OK］。</t>
  </si>
  <si>
    <t>yyyy/mm/dd hh:mm:ss.000</t>
  </si>
  <si>
    <t>ミリ秒まで表示されます。</t>
  </si>
  <si>
    <t>件数の確認</t>
  </si>
  <si>
    <t>表のデータの件数（見出しを除く行数）が、試験の総リクエスト数と一致するか確認します。</t>
  </si>
  <si>
    <t>12 の run_test.sh が最後に表示する [INFO] samples の件数、または HTML レポートの Statistics の Total の #Samples</t>
  </si>
  <si>
    <t>表の行を選ぶと、画面下のステータスバーに「データの個数」が表示されます。結果ファイルの行数とは一致しないことがあります（failureMessage の改行のため）。</t>
  </si>
  <si>
    <t>［ 画像貼付エリア ］
図14-1　［テキストまたは CSV から］のプレビュー画面
撮影対象：元のファイル＝65001 : Unicode (UTF-8)、区切り記号＝コンマを選んだ状態
（この枠の左上のセルを選択して Ctrl+V で貼り付け、枠内に収まるようにサイズを調整してください）</t>
  </si>
  <si>
    <t>図14-1　［テキストまたは CSV から］のプレビュー画面</t>
  </si>
  <si>
    <t>［ 画像貼付エリア ］
図14-2　Power Query エディターで型とカスタム列を設定した画面
撮影対象：［ソース］の式が QuoteStyle.Csv、responseCode がテキスト型、開始日時JST の列を追加した状態
（この枠の左上のセルを選択して Ctrl+V で貼り付け、枠内に収まるようにサイズを調整してください）</t>
  </si>
  <si>
    <t>図14-2　Power Query エディターで型とカスタム列を設定した画面</t>
  </si>
  <si>
    <t>列のデータ型（手順8）</t>
  </si>
  <si>
    <t>列</t>
  </si>
  <si>
    <t>型</t>
  </si>
  <si>
    <t>理由</t>
  </si>
  <si>
    <t>整数</t>
  </si>
  <si>
    <t>1970年1月1日からのミリ秒（13 桁の数値）</t>
  </si>
  <si>
    <t>elapsed、bytes、sentBytes、grpThreads、allThreads、Latency、IdleTime、Connect</t>
  </si>
  <si>
    <t>時間（ミリ秒）・バイト数・スレッド数</t>
  </si>
  <si>
    <t>label、responseMessage、threadName、dataType、failureMessage、URL</t>
  </si>
  <si>
    <t>テキスト</t>
  </si>
  <si>
    <t>文字列</t>
  </si>
  <si>
    <t>通信エラーのときは「Non HTTP response code: java.net…」という文字列が入るため。整数にするとその行がエラーになり、エラーの件数を数え漏らします。</t>
  </si>
  <si>
    <t>True/False</t>
  </si>
  <si>
    <t>成功＝TRUE、失敗＝FALSE</t>
  </si>
  <si>
    <t>数式で日時に変換する方法もあります（Power Query を使わない場合）。開始日時JST の列に =[@timeStamp]/86400000+DATE(1970,1,1)+TIME(9,0,0) と入力すると、日本時間の日時になります（86400000 は1日のミリ秒数、TIME(9,0,0) は＋9時間）。</t>
  </si>
  <si>
    <t>3. 【別の方法】M コードを貼り付けて一度に取り込む</t>
  </si>
  <si>
    <t>手順2～9 の画面操作は、Power Query の命令文（M コード）としても書けます。下のコードを貼り付けると、文字コード・区切り記号・引用符の中の改行・列の型・日本時間の列が一度に設定されます。画面操作に慣れたら、こちらの方が速く、設定漏れもありません。</t>
  </si>
  <si>
    <t>空のクエリを作る</t>
  </si>
  <si>
    <t>分析用のブックで［データ］→［データの取得］→［その他のデータ ソースから］→［空のクエリ］をクリックします。</t>
  </si>
  <si>
    <t>詳細エディターを開く</t>
  </si>
  <si>
    <t>［ホーム］→［詳細エディター］をクリックします。</t>
  </si>
  <si>
    <t>最初から入っている「let … in …」の文字は、次の手順ですべて置き換えます。</t>
  </si>
  <si>
    <t>コードを貼り付ける</t>
  </si>
  <si>
    <t>エディター内の文字をすべて選択（Ctrl＋A）して消し、下のコードを貼り付けます。FilePath の右側の "…" を、実際の result.jtl の場所に書き換えて［完了］をクリックします。</t>
  </si>
  <si>
    <t>FilePath = "C:\work\jmeter\results\&lt;フォルダ&gt;\result.jtl",</t>
  </si>
  <si>
    <t>エクスプローラーでファイルを右クリック →［パスのコピー］でコピーした値は、前後に「"」が付いています。"…" の部分全体と置き換えます。</t>
  </si>
  <si>
    <t>クエリの名前を変える</t>
  </si>
  <si>
    <t>右側の［クエリの設定］→［プロパティ］の［名前］を書き換えます。</t>
  </si>
  <si>
    <t>読み込んだ表（テーブル）にも通常は同じ名前が付きます。読み込み後のテーブル名が tblJTL になっていない場合は、手順11 で変更します。</t>
  </si>
  <si>
    <t>読み込む</t>
  </si>
  <si>
    <t>新しいシートにテーブル tblJTL ができます。</t>
  </si>
  <si>
    <t>仕上げ</t>
  </si>
  <si>
    <t>手順12（日時の表示形式）と手順13（件数の確認）を行います。</t>
  </si>
  <si>
    <t>▼ 詳細エディターに貼り付ける M コード（FilePath = の行だけを書き換える）</t>
  </si>
  <si>
    <t>let</t>
  </si>
  <si>
    <t xml:space="preserve">    // ① 読み込む結果ファイル（試験ごとにここだけを書き換える）</t>
  </si>
  <si>
    <t xml:space="preserve">    FilePath = "C:\work\jmeter\results\20261001_100000_api_loadtest_10th\result.jtl",</t>
  </si>
  <si>
    <t xml:space="preserve">    // ② CSV として読む（UTF-8・コンマ区切り・引用符の中の改行はデータとして扱う）</t>
  </si>
  <si>
    <t xml:space="preserve">    Source = Csv.Document(File.Contents(FilePath),</t>
  </si>
  <si>
    <t xml:space="preserve">        [Delimiter = ",", Columns = 17, Encoding = 65001, QuoteStyle = QuoteStyle.Csv]),</t>
  </si>
  <si>
    <t xml:space="preserve">    // ③ 1行目を列名にする</t>
  </si>
  <si>
    <t xml:space="preserve">    Promoted = Table.PromoteHeaders(Source, [PromoteAllScalars = true]),</t>
  </si>
  <si>
    <t xml:space="preserve">    // ④ 列の型を設定する（responseCode は必ずテキスト）</t>
  </si>
  <si>
    <t xml:space="preserve">    Typed = Table.TransformColumnTypes(Promoted, {</t>
  </si>
  <si>
    <t xml:space="preserve">        {"timeStamp", Int64.Type}, {"elapsed", Int64.Type}, {"label", type text},</t>
  </si>
  <si>
    <t xml:space="preserve">        {"responseCode", type text}, {"responseMessage", type text}, {"threadName", type text},</t>
  </si>
  <si>
    <t xml:space="preserve">        {"dataType", type text}, {"success", type logical}, {"failureMessage", type text},</t>
  </si>
  <si>
    <t xml:space="preserve">        {"bytes", Int64.Type}, {"sentBytes", Int64.Type}, {"grpThreads", Int64.Type},</t>
  </si>
  <si>
    <t xml:space="preserve">        {"allThreads", Int64.Type}, {"URL", type text}, {"Latency", Int64.Type},</t>
  </si>
  <si>
    <t xml:space="preserve">        {"IdleTime", Int64.Type}, {"Connect", Int64.Type}}),</t>
  </si>
  <si>
    <t xml:space="preserve">    // ⑤ 日本時間の開始日時の列を追加する</t>
  </si>
  <si>
    <t xml:space="preserve">    AddJST = Table.AddColumn(Typed, "開始日時JST",</t>
  </si>
  <si>
    <t xml:space="preserve">        each #datetime(1970, 1, 1, 9, 0, 0) + #duration(0, 0, 0, [timeStamp] / 1000), type datetime)</t>
  </si>
  <si>
    <t>in</t>
  </si>
  <si>
    <t xml:space="preserve">    AddJST</t>
  </si>
  <si>
    <t>FilePath = "…"</t>
  </si>
  <si>
    <t>読み込むファイルの場所です。試験ごとにここだけを書き換えます。</t>
  </si>
  <si>
    <t>Csv.Document(…)</t>
  </si>
  <si>
    <t>CSV として読みます。Encoding = 65001 は UTF-8、Columns = 17 は列の数（JMeter 5.6.3 の既定の JTL は 17 列）、QuoteStyle = QuoteStyle.Csv は「引用符の中の改行をデータの一部として扱う」指定です（手順6 と同じ）。</t>
  </si>
  <si>
    <t>Table.PromoteHeaders(…)</t>
  </si>
  <si>
    <t>1行目（timeStamp, elapsed …）を列名にします（手順7）。</t>
  </si>
  <si>
    <t>Table.TransformColumnTypes(…)</t>
  </si>
  <si>
    <t>列ごとの型を設定します（手順8 の表と同じ）。Int64.Type は整数、type text はテキスト、type logical は True/False です。</t>
  </si>
  <si>
    <t>Table.AddColumn(…, "開始日時JST", …)</t>
  </si>
  <si>
    <t>日本時間の開始日時の列を追加します（手順9 と同じ）。</t>
  </si>
  <si>
    <t>jmeter.properties の保存項目（jmeter.save.saveservice.～）を変えて列の数が 17 以外になっている場合は、Columns の数字と、型を設定する列の一覧を、実際の見出しに合わせて変えます。列の数は、result.jtl の1行目をメモ帳で開き、コンマの数＋1 で数えられます。</t>
  </si>
  <si>
    <t>［ 画像貼付エリア ］
図14-3　詳細エディターに M コードを貼り付けた画面
撮影対象：FilePath を書き換え、構文エラーがない状態
（この枠の左上のセルを選択して Ctrl+V で貼り付け、枠内に収まるようにサイズを調整してください）</t>
  </si>
  <si>
    <t>図14-3　詳細エディターに M コードを貼り付けた画面</t>
  </si>
  <si>
    <t>4. 次の試験結果に差し替える</t>
  </si>
  <si>
    <t>同じ分析ブックを次の試験でも使う場合は、読み込むファイルだけを差し替えます。集計の数式やグラフは自動で更新されます。</t>
  </si>
  <si>
    <t>クエリの一覧を開く</t>
  </si>
  <si>
    <t>［データ］→［クエリと接続］をクリックします。</t>
  </si>
  <si>
    <t>右側に「result」などのクエリが表示されます。</t>
  </si>
  <si>
    <t>編集</t>
  </si>
  <si>
    <t>クエリを右クリック →［編集］で Power Query エディターを開きます。</t>
  </si>
  <si>
    <t>ファイルの場所を変える</t>
  </si>
  <si>
    <t>右側の「適用したステップ」の一番上［ソース］の歯車アイコンをクリックし、ファイルのパスを新しい result.jtl に変えて［OK］。</t>
  </si>
  <si>
    <t>読み込み</t>
  </si>
  <si>
    <t>テーブル tblJTL の中身が新しい結果に置き換わります。</t>
  </si>
  <si>
    <t>ファイルの場所が同じで中身だけを上書きした場合は、［データ］→［すべて更新］だけで最新の内容になります。</t>
  </si>
  <si>
    <t>3章の M コードで取り込んだ場合は、手順3 で［ソース］の歯車アイコンの代わりに、［ホーム］→［詳細エディター］を開いて FilePath の値を書き換え、［完了］をクリックします。</t>
  </si>
  <si>
    <t>5. 大きな結果ファイルの扱い（100 万件を超える場合）</t>
  </si>
  <si>
    <t>Excel のシートに入る最大の行数は 1,048,576 行です。これを超える結果ファイルは、そのままでは読み込めません。次のいずれかの方法を使います。</t>
  </si>
  <si>
    <t>特徴</t>
  </si>
  <si>
    <t>① データモデルに読み込む</t>
  </si>
  <si>
    <t>手順10で［閉じて次に読み込む］→「接続の作成のみ」と「このデータをデータ モデルに追加する」を選び、ピボットテーブルで集計する</t>
  </si>
  <si>
    <t>数千万行でも扱える。ただしパーセンタイルの計算にはひと工夫が必要</t>
  </si>
  <si>
    <t>② Power Query で集計してから読み込む</t>
  </si>
  <si>
    <t>Power Query エディターで［ホーム］→［グループ化］を使い、label と 1分ごとの単位で件数・平均などを集計してから読み込む</t>
  </si>
  <si>
    <t>シートには集計結果だけが入るため軽い</t>
  </si>
  <si>
    <t>③ HTML レポートの statistics.json を使う</t>
  </si>
  <si>
    <t>report フォルダの statistics.json を［データ］→［データの取得］→［ファイルから］→［JSON から］で読み込む</t>
  </si>
  <si>
    <t>JMeter が全件から計算した統計値（パーセンタイルを含む）をそのまま使える</t>
  </si>
  <si>
    <t>statistics.json の読み込み手順と項目の意味</t>
  </si>
  <si>
    <t>JSON を読み込む</t>
  </si>
  <si>
    <t>［データ］→［データの取得］→［ファイルから］→［JSON から］→ report フォルダの statistics.json を選びます。</t>
  </si>
  <si>
    <t>表に変換</t>
  </si>
  <si>
    <t>Power Query エディターで［変換］タブ（または［レコード ツール］）の［テーブルへの変換］をクリックします。</t>
  </si>
  <si>
    <t>Name（ラベル名）と Value の2列になります。</t>
  </si>
  <si>
    <t>展開</t>
  </si>
  <si>
    <t>Value の列見出しの右にある展開アイコン（左右の矢印）をクリックし、すべての項目を選んで［OK］。</t>
  </si>
  <si>
    <t>［ホーム］→［閉じて読み込む］。</t>
  </si>
  <si>
    <t>ラベルごとに1行の統計表ができます（Total は全体）。</t>
  </si>
  <si>
    <t>項目名</t>
  </si>
  <si>
    <t>transaction</t>
  </si>
  <si>
    <t>ラベル名（Total は全体）</t>
  </si>
  <si>
    <t>sampleCount ／ errorCount ／ errorPct</t>
  </si>
  <si>
    <t>件数 ／ エラー件数 ／ エラー率（％の数値）</t>
  </si>
  <si>
    <t>meanResTime ／ medianResTime</t>
  </si>
  <si>
    <t>平均応答時間 ／ 中央値（ミリ秒）</t>
  </si>
  <si>
    <t>minResTime ／ maxResTime</t>
  </si>
  <si>
    <t>最小 ／ 最大（ミリ秒）</t>
  </si>
  <si>
    <t>pct1ResTime ／ pct2ResTime ／ pct3ResTime</t>
  </si>
  <si>
    <t>90 ／ 95 ／ 99 パーセンタイル（ミリ秒）</t>
  </si>
  <si>
    <t>throughput</t>
  </si>
  <si>
    <t>スループット（件/秒）</t>
  </si>
  <si>
    <t>receivedKBytesPerSec ／ sentKBytesPerSec</t>
  </si>
  <si>
    <t>受信量 ／ 送信量（KB/秒）</t>
  </si>
  <si>
    <t>15　Excel での結果分析と報告書の作成</t>
  </si>
  <si>
    <t>取り込んだ結果（テーブル tblJTL）から、API 別の統計表・時系列の集計・グラフを作り、目標値と比べて判定し、報告書にまとめる手順です。完成例は 16～18 のシートにあります。</t>
  </si>
  <si>
    <t>1. 分析ブックの構成（おすすめ）</t>
  </si>
  <si>
    <t>シート</t>
  </si>
  <si>
    <t>このブックの完成例</t>
  </si>
  <si>
    <t>JTL</t>
  </si>
  <si>
    <t>取り込んだ生データ（テーブル tblJTL）＋ 分析用の補助列</t>
  </si>
  <si>
    <t>集計</t>
  </si>
  <si>
    <t>目標値と評価区間、試験全体の情報、API 別の統計（全区間・評価区間）と判定、エラーの内訳</t>
  </si>
  <si>
    <t>17_分析サンプル の1～5章</t>
  </si>
  <si>
    <t>時系列・グラフ</t>
  </si>
  <si>
    <t>1分ごとの件数・応答時間・エラー数と、そのグラフ</t>
  </si>
  <si>
    <t>17_分析サンプル の6～7章</t>
  </si>
  <si>
    <t>報告書</t>
  </si>
  <si>
    <t>提出用の様式</t>
  </si>
  <si>
    <t>16～18 のシートには、ダミーデータと数式が入った完成例があります。実際の分析では、16 の表を実データに置き換える（14 の手順で取り込んだ表に、下の補助列を追加する）と、17・18 の数値とグラフが自動で再計算されます。</t>
  </si>
  <si>
    <t>2. STEP1：補助列を追加する</t>
  </si>
  <si>
    <t>tblJTL の右端の空いている列に見出しを入力すると、テーブルが自動で広がります。続けて1行目に数式を入力すると、全行に同じ数式が自動で入ります（[@列名] は「同じ行のその列」という意味です）。</t>
  </si>
  <si>
    <t>列名（見出し）</t>
  </si>
  <si>
    <t>数式（1行目に入力）</t>
  </si>
  <si>
    <t>開始日時JST</t>
  </si>
  <si>
    <t>=[@timeStamp]/86400000+DATE(1970,1,1)+TIME(9,0,0)</t>
  </si>
  <si>
    <t>日本時間の開始日時（14 の手順9 や M コードで作った場合は不要）</t>
  </si>
  <si>
    <t>終了ms</t>
  </si>
  <si>
    <t>=[@timeStamp]+[@elapsed]</t>
  </si>
  <si>
    <t>リクエストの終了時刻（ミリ秒）</t>
  </si>
  <si>
    <t>経過秒</t>
  </si>
  <si>
    <t>=([@timeStamp]-集計!$E$18)/1000</t>
  </si>
  <si>
    <t>試験開始からの経過秒。集計!$E$18 は試験開始（STEP2 の MIN）のセル</t>
  </si>
  <si>
    <t>経過分</t>
  </si>
  <si>
    <t>=INT([@経過秒]/60)</t>
  </si>
  <si>
    <t>1分ごとに集計するための区分（0, 1, 2 …）</t>
  </si>
  <si>
    <t>エラー</t>
  </si>
  <si>
    <t>=IF(OR([@success]=FALSE,[@success]="false"),1,0)</t>
  </si>
  <si>
    <t>失敗なら 1、成功なら 0（件数の合計に使う）</t>
  </si>
  <si>
    <t>評価対象</t>
  </si>
  <si>
    <t>=IF(AND([@経過秒]&gt;=集計!$E$11,[@経過秒]&lt;集計!$E$12),1,0)</t>
  </si>
  <si>
    <t>評価区間（集計シートで入力する開始秒～終了秒）に開始したリクエストなら 1（STEP7 で使う）</t>
  </si>
  <si>
    <t>完成例（16_JTLサンプル）では、「集計!$E$18」の部分が '17_分析サンプル'!$E$18 になっています。シート名に合わせて書き換えてください。</t>
  </si>
  <si>
    <t>3. STEP2：試験全体の情報</t>
  </si>
  <si>
    <t>数式</t>
  </si>
  <si>
    <t>表示形式</t>
  </si>
  <si>
    <t>試験開始（エポックミリ秒）</t>
  </si>
  <si>
    <t>=MIN(tblJTL[timeStamp])</t>
  </si>
  <si>
    <t>試験開始（日本時間）</t>
  </si>
  <si>
    <t>=E18/86400000+DATE(1970,1,1)+TIME(9,0,0)</t>
  </si>
  <si>
    <t>yyyy/mm/dd hh:mm:ss</t>
  </si>
  <si>
    <t>試験終了（日本時間）</t>
  </si>
  <si>
    <t>=MAX(tblJTL[終了ms])/86400000+DATE(1970,1,1)+TIME(9,0,0)</t>
  </si>
  <si>
    <t>=(MAX(tblJTL[終了ms])-E18)/1000</t>
  </si>
  <si>
    <t>#,##0.0</t>
  </si>
  <si>
    <t>総リクエスト数</t>
  </si>
  <si>
    <t>=COUNTA(tblJTL[label])</t>
  </si>
  <si>
    <t>#,##0</t>
  </si>
  <si>
    <t>総エラー数</t>
  </si>
  <si>
    <t>=SUM(tblJTL[エラー])</t>
  </si>
  <si>
    <t>全体のエラー率</t>
  </si>
  <si>
    <t>=IF(E22=0,0,E23/E22)</t>
  </si>
  <si>
    <t>0.00%</t>
  </si>
  <si>
    <t>最大スレッド数</t>
  </si>
  <si>
    <t>=MAX(tblJTL[allThreads])</t>
  </si>
  <si>
    <t>4. STEP3：API（ラベル）別の統計表</t>
  </si>
  <si>
    <t>B 列にラベル名（例：A01_GET_items）を入れた行に、次の数式を入力します（例は 35 行目）。下の行へはコピーして使います。</t>
  </si>
  <si>
    <t>数式（35 行目の例）</t>
  </si>
  <si>
    <t>=COUNTIFS(tblJTL[label],$B35)</t>
  </si>
  <si>
    <t>そのラベルの件数</t>
  </si>
  <si>
    <t>平均（ms）</t>
  </si>
  <si>
    <t>=AVERAGEIFS(tblJTL[elapsed],tblJTL[label],$B35)</t>
  </si>
  <si>
    <t>最小（ms）</t>
  </si>
  <si>
    <t>=AGGREGATE(15,6,tblJTL[elapsed]/(tblJTL[label]=$B35),1)</t>
  </si>
  <si>
    <t>15＝SMALL（小さい方から1番目）</t>
  </si>
  <si>
    <t>最大（ms）</t>
  </si>
  <si>
    <t>=AGGREGATE(14,6,tblJTL[elapsed]/(tblJTL[label]=$B35),1)</t>
  </si>
  <si>
    <t>14＝LARGE（大きい方から1番目）</t>
  </si>
  <si>
    <t>中央値（ms）</t>
  </si>
  <si>
    <t>=AGGREGATE(16,6,tblJTL[elapsed]/(tblJTL[label]=$B35),0.5)</t>
  </si>
  <si>
    <t>16＝PERCENTILE.INC（50%）</t>
  </si>
  <si>
    <t>90／95／99 パーセンタイル（ms）</t>
  </si>
  <si>
    <t>=AGGREGATE(16,6,tblJTL[elapsed]/(tblJTL[label]=$B35),0.9)</t>
  </si>
  <si>
    <t>最後の 0.9 を 0.95、0.99 に変える</t>
  </si>
  <si>
    <t>エラー数</t>
  </si>
  <si>
    <t>=SUMIFS(tblJTL[エラー],tblJTL[label],$B35)</t>
  </si>
  <si>
    <t>エラー列の合計</t>
  </si>
  <si>
    <t>=IF(C35=0,0,K35/C35)</t>
  </si>
  <si>
    <t>エラー数÷サンプル数（表示形式 0.00%）</t>
  </si>
  <si>
    <t>=IF(C35=0,0,C35/((AGGREGATE(14,6,tblJTL[終了ms]/(tblJTL[label]=$B35),1)-AGGREGATE(15,6,tblJTL[timeStamp]/(tblJTL[label]=$B35),1))/1000))</t>
  </si>
  <si>
    <t>件数÷（そのラベルの最初の開始～最後の終了の秒数）。JMeter と同じ考え方</t>
  </si>
  <si>
    <t>判定</t>
  </si>
  <si>
    <t>=IF($B35=$E$10,"対象外",IF(AND(I35&lt;=$E$7,L35&lt;$E$8),"OK","NG"))</t>
  </si>
  <si>
    <t>95%tile と エラー率を目標値（E7・E8）と比べる</t>
  </si>
  <si>
    <t>AGGREGATE 関数のしくみ</t>
  </si>
  <si>
    <t>=AGGREGATE(16,6,tblJTL[elapsed]/(tblJTL[label]=$B35),0.95) は、次のように動きます。</t>
  </si>
  <si>
    <t>(tblJTL[label]=$B35) は、各行のラベルが B35 と同じなら TRUE（＝1）、違えば FALSE（＝0）になります。</t>
  </si>
  <si>
    <t>tblJTL[elapsed]/(…) で、対象のラベルの行は「応答時間÷1＝応答時間」、それ以外の行は「÷0」でエラー（#DIV/0!）になります。</t>
  </si>
  <si>
    <t>第2引数の 6 は「エラーの値を無視する」指定です。これにより、対象のラベルの応答時間だけが計算に使われます。</t>
  </si>
  <si>
    <t>第1引数の 16 は PERCENTILE.INC（パーセンタイル）、最後の 0.95 は 95% を表します。</t>
  </si>
  <si>
    <t>Excel 2010 以降で使え、Ctrl＋Shift＋Enter（配列数式の入力）は不要です。</t>
  </si>
  <si>
    <t>Microsoft 365 では =PERCENTILE.INC(FILTER(tblJTL[elapsed],tblJTL[label]=$B35),0.95) や =MINIFS／=MAXIFS でも同じ結果になります。社内の Excel の版が混在する場合は、どの版でも動く AGGREGATE をおすすめします。</t>
  </si>
  <si>
    <t>パーセンタイルは計算方法の違いにより、JMeter（HTML レポート・Aggregate Report）と Excel で数ミリ秒ずれることがあります。報告書には、どちらの値を使ったかを明記してください。</t>
  </si>
  <si>
    <t>5. STEP4：時系列（1分ごと）の集計</t>
  </si>
  <si>
    <t>数式（63 行目の例。B63 に経過分 0, 1, 2 … を入力）</t>
  </si>
  <si>
    <t>時刻（JST）</t>
  </si>
  <si>
    <t>=$E$19+B63/1440</t>
  </si>
  <si>
    <t>試験開始＋経過分（1440＝1日の分数）。表示形式 hh:mm</t>
  </si>
  <si>
    <t>リクエスト数</t>
  </si>
  <si>
    <t>=COUNTIFS(tblJTL[経過分],$B63)</t>
  </si>
  <si>
    <t>その1分間の件数</t>
  </si>
  <si>
    <t>=D63/60</t>
  </si>
  <si>
    <t>1分間の件数÷60 秒</t>
  </si>
  <si>
    <t>平均応答（ms）</t>
  </si>
  <si>
    <t>=IFERROR(AVERAGEIFS(tblJTL[elapsed],tblJTL[経過分],$B63),0)</t>
  </si>
  <si>
    <t>95%tile（ms）</t>
  </si>
  <si>
    <t>=IFERROR(AGGREGATE(16,6,tblJTL[elapsed]/(tblJTL[経過分]=$B63),0.95),0)</t>
  </si>
  <si>
    <t>=SUMIFS(tblJTL[エラー],tblJTL[経過分],$B63)</t>
  </si>
  <si>
    <t>平均スレッド数</t>
  </si>
  <si>
    <t>=IFERROR(AVERAGEIFS(tblJTL[allThreads],tblJTL[経過分],$B63),0)</t>
  </si>
  <si>
    <t>Ramp-up の様子が分かる</t>
  </si>
  <si>
    <t>最初の1分（Ramp-up 中）と最後の1分（途中で終了）は件数が少なくなります。グラフを読むときや、スループットを評価するときに注意してください。</t>
  </si>
  <si>
    <t>6. STEP5：グラフを作る（モノトーン）</t>
  </si>
  <si>
    <t>範囲を選ぶ</t>
  </si>
  <si>
    <t>時系列の表の「時刻」列と、グラフにしたい列（例：平均応答・95%tile）を、Ctrl キーを押しながら見出しごとドラッグして選びます。</t>
  </si>
  <si>
    <t>グラフを挿入</t>
  </si>
  <si>
    <t>［挿入］→［グラフ］グループの［折れ線］→［マーカー付き折れ線］をクリックします。</t>
  </si>
  <si>
    <t>モノトーンにする</t>
  </si>
  <si>
    <t>グラフを選び、［グラフのデザイン］→［色の変更］→「モノクロ」のパレットを選びます。</t>
  </si>
  <si>
    <t>白黒印刷でも系列を区別できるよう、線の種類（実線・破線）も変えると見やすくなります。</t>
  </si>
  <si>
    <t>タイトル・軸ラベル</t>
  </si>
  <si>
    <t>グラフ右上の［＋］（グラフ要素）→［軸ラベル］にチェックを入れ、「ミリ秒」「時刻（JST）」などと入力します。</t>
  </si>
  <si>
    <t>単位を必ず書きます。</t>
  </si>
  <si>
    <t>2軸のグラフ（任意）</t>
  </si>
  <si>
    <t>スレッド数など単位の違う系列は、系列を右クリック →［データ系列の書式設定］→［第2軸］を選びます。</t>
  </si>
  <si>
    <t>フォント</t>
  </si>
  <si>
    <t>グラフ全体を選び、［ホーム］タブでフォントを Meiryo UI にします。</t>
  </si>
  <si>
    <t>報告書に貼る</t>
  </si>
  <si>
    <t>グラフを選んで Ctrl＋C → 報告書のシートで Ctrl＋V（図として貼るなら［形式を選択して貼り付け］→［図］）。</t>
  </si>
  <si>
    <t>7. STEP6：ピボットテーブルで集計する（数式の代わりに）</t>
  </si>
  <si>
    <t>作成</t>
  </si>
  <si>
    <t>tblJTL の中をクリック →［挿入］→［ピボットテーブル］→［新規ワークシート］→［OK］。</t>
  </si>
  <si>
    <t>行と値</t>
  </si>
  <si>
    <t>フィールドの一覧から、label を「行」へ、elapsed を「値」へ3回ドラッグします。</t>
  </si>
  <si>
    <t>集計方法</t>
  </si>
  <si>
    <t>値の各フィールドを右クリック →［値の集計方法］で「個数」「平均」「最大値」に変えます。</t>
  </si>
  <si>
    <t>エラー件数</t>
  </si>
  <si>
    <t>エラー列を「値」にドラッグします（合計＝エラー件数）。</t>
  </si>
  <si>
    <t>コード別の件数</t>
  </si>
  <si>
    <t>responseCode を「列」にドラッグすると、ラベル×ステータスコードの件数表になります。</t>
  </si>
  <si>
    <t>エラーの内訳の確認に便利です。</t>
  </si>
  <si>
    <t>時系列</t>
  </si>
  <si>
    <t>経過分を「行」にすると、1分ごとの集計になります。</t>
  </si>
  <si>
    <t>ピボットテーブルではパーセンタイルを計算できません。パーセンタイルは STEP3 の AGGREGATE 関数で求めます。</t>
  </si>
  <si>
    <t>8. STEP7：定常状態の区間（評価区間）だけで評価する</t>
  </si>
  <si>
    <t>試験の最初（Ramp-up 中）はスレッドが少なく、最後の数十秒は途中で終わるリクエストがあるため、全区間の値はシステムの実力を正しく表しません。そこで、負荷が一定になった「定常状態」の区間（評価区間）を決め、その区間のリクエストだけで統計と判定を行います。完成例は 17_分析サンプル の4章です。</t>
  </si>
  <si>
    <t>評価区間を決める</t>
  </si>
  <si>
    <t>Ramp-up が終わる時刻を開始、試験終了の 1 分前を終了にします（00 の6章の見積り表に計算結果があります）。</t>
  </si>
  <si>
    <t>例：開始 60 秒、終了 540 秒</t>
  </si>
  <si>
    <t>試験時間 600 秒・Ramp-up 60 秒の場合の例です。</t>
  </si>
  <si>
    <t>集計シートに入力</t>
  </si>
  <si>
    <t>目標値の表の下に、開始秒・終了秒の入力欄を作って値を入れます。</t>
  </si>
  <si>
    <t>17 の E11・E12</t>
  </si>
  <si>
    <t>全区間で評価したい場合は、開始＝0、終了＝99999 にします。</t>
  </si>
  <si>
    <t>補助列を追加</t>
  </si>
  <si>
    <t>STEP1 の表の「評価対象」の列を tblJTL に追加します。</t>
  </si>
  <si>
    <t>評価区間に開始したリクエストが 1 になります。</t>
  </si>
  <si>
    <t>評価区間の統計表を作る</t>
  </si>
  <si>
    <t>STEP3 の表をコピーし、下の表のように条件を1つずつ追加します。</t>
  </si>
  <si>
    <t>全区間の表は参考として残しておきます。</t>
  </si>
  <si>
    <t>報告書に明記する</t>
  </si>
  <si>
    <t>報告書の「試験条件」に評価区間を書きます（18 の3章）。</t>
  </si>
  <si>
    <t>評価区間を書かないと、読み手が数値の意味を誤解します。</t>
  </si>
  <si>
    <t>数式（評価区間の表の 44 行目の例）</t>
  </si>
  <si>
    <t>STEP3 との違い</t>
  </si>
  <si>
    <t>件数</t>
  </si>
  <si>
    <t>=COUNTIFS(tblJTL[label],$B44,tblJTL[評価対象],1)</t>
  </si>
  <si>
    <t>条件（評価対象＝1）を1つ追加</t>
  </si>
  <si>
    <t>平均</t>
  </si>
  <si>
    <t>=IF(C44=0,"―",AVERAGEIFS(tblJTL[elapsed],tblJTL[label],$B44,tblJTL[評価対象],1))</t>
  </si>
  <si>
    <t>件数が 0 のときは「―」を表示</t>
  </si>
  <si>
    <t>95%tile</t>
  </si>
  <si>
    <t>=IF(C44=0,"―",AGGREGATE(16,6,tblJTL[elapsed]/((tblJTL[label]=$B44)*(tblJTL[評価対象]=1)),0.95))</t>
  </si>
  <si>
    <t>2つの条件を * でつなぐ（両方 TRUE のときだけ 1）</t>
  </si>
  <si>
    <t>=SUMIFS(tblJTL[エラー],tblJTL[label],$B44,tblJTL[評価対象],1)</t>
  </si>
  <si>
    <t>条件を1つ追加</t>
  </si>
  <si>
    <t>=IF($E$27=0,0,C44/$E$27)</t>
  </si>
  <si>
    <t>件数÷評価区間の長さ（秒）。$E$27 は =MAX(0,MIN(終了秒,試験時間)-MAX(0,開始秒)) のセル</t>
  </si>
  <si>
    <t>9. STEP8：判定を見やすくする（条件付き書式）</t>
  </si>
  <si>
    <t>判定の列（例：N44:N46）を選びます。</t>
  </si>
  <si>
    <t>ルールを作る</t>
  </si>
  <si>
    <t>［ホーム］→［条件付き書式］→［セルの強調表示ルール］→［文字列］をクリックします。</t>
  </si>
  <si>
    <t>書式を決める</t>
  </si>
  <si>
    <t>左の欄に NG と入力し、右の一覧で［ユーザー設定の書式］→ 塗りつぶし＝黒、フォント＝白・太字 →［OK］。</t>
  </si>
  <si>
    <t>NG</t>
  </si>
  <si>
    <t>モノトーンでも NG が目立ちます。</t>
  </si>
  <si>
    <t>10. STEP9：報告書を書く</t>
  </si>
  <si>
    <t>章</t>
  </si>
  <si>
    <t>書くこと</t>
  </si>
  <si>
    <t>情報源</t>
  </si>
  <si>
    <t>1. 試験概要</t>
  </si>
  <si>
    <t>目的、対象システム・API、実施日時、実施者</t>
  </si>
  <si>
    <t>試験計画書</t>
  </si>
  <si>
    <t>2. 試験環境</t>
  </si>
  <si>
    <t>構成図、負荷生成サーバの仕様、JMeter・Java の版、対象環境</t>
  </si>
  <si>
    <t>10、構成図</t>
  </si>
  <si>
    <t>3. 試験条件</t>
  </si>
  <si>
    <t>シナリオの内容（API・順序・思考時間）、スレッド数、Ramp-up、試験時間、試験データ</t>
  </si>
  <si>
    <t>.jmx、run_test.sh の引数</t>
  </si>
  <si>
    <t>4. 目標値</t>
  </si>
  <si>
    <t>応答時間・エラー率・スループットの目標</t>
  </si>
  <si>
    <t>5. 試験結果</t>
  </si>
  <si>
    <t>API 別の統計表、時系列グラフ、エラーの内訳</t>
  </si>
  <si>
    <t>17、HTML レポート</t>
  </si>
  <si>
    <t>6. 判定</t>
  </si>
  <si>
    <t>目標値との比較（OK／NG）</t>
  </si>
  <si>
    <t>7. 考察</t>
  </si>
  <si>
    <t>ボトルネック、サーバ側メトリクスとの対応、改善案</t>
  </si>
  <si>
    <t>CloudWatch など</t>
  </si>
  <si>
    <t>8. 課題・今後の対応</t>
  </si>
  <si>
    <t>追加の試験、改善後の再試験</t>
  </si>
  <si>
    <t>9. 添付資料</t>
  </si>
  <si>
    <t>HTML レポート、ログ、試験データ</t>
  </si>
  <si>
    <t>考察の書き方</t>
  </si>
  <si>
    <t>「事実（数値）→ 解釈（なぜそうなったか）→ 根拠（メトリクス等）→ 提案」の順に書くと、読み手に伝わりやすくなります。</t>
  </si>
  <si>
    <t>例）A01_GET_items の 95 パーセンタイル応答時間は 250ms で、目標（1,000ms 以下）を満たした。</t>
  </si>
  <si>
    <t>例）A02_POST_orders は、試験開始 4～5 分後に応答時間が悪化し（最大 29,041ms）、HTTP 429（Too Many Requests）が 6 件、504（Gateway Timeout）が 2 件発生した。同じ時刻に API Gateway の Count がピークとなり、Lambda の Throttles も記録されていた。</t>
  </si>
  <si>
    <t>例）以上から、ボトルネックは Lambda の同時実行数の上限と考えられる。予約同時実行数の見直し後に再試験を行うことを提案する。</t>
  </si>
  <si>
    <t>提出前の最終チェック</t>
  </si>
  <si>
    <t>単位（ms・秒・件/秒・%）が表とグラフでそろっている</t>
  </si>
  <si>
    <t>時刻が日本時間（JST）にそろっており、そのことを明記した</t>
  </si>
  <si>
    <t>試験条件（スレッド数・Ramp-up・時間・JMeter と Java の版）を書いた</t>
  </si>
  <si>
    <t>評価区間（全区間か、定常状態の区間か）を明記した</t>
  </si>
  <si>
    <t>平均だけでなく、パーセンタイルを書いた</t>
  </si>
  <si>
    <t>エラーの内容と件数を書き、原因（推定を含む）を書いた</t>
  </si>
  <si>
    <t>画面キャプチャのトークン・キー・IP アドレス等を塗りつぶした</t>
  </si>
  <si>
    <t>元データ（JTL・ログ・HTML レポート）を所定の場所に保管した</t>
  </si>
  <si>
    <t>数値の書き写し間違いがない（数式で参照している、または2人で確認した）</t>
  </si>
  <si>
    <t>16　JTL サンプル（分析練習用のダミーデータ：10 スレッド・600 秒）</t>
  </si>
  <si>
    <t>本シートは分析手順の練習用に作成した架空の結果データです（実在のシステムの結果ではありません）。列 B～R は JMeter が出力する JTL の標準の17列、列 S～X（明るい灰色の見出し）は分析用に追加した補助列で、数式が入っています。実際の分析では、14 の手順で取り込んだ表に置き換えます。</t>
  </si>
  <si>
    <t>bytes</t>
  </si>
  <si>
    <t>sentBytes</t>
  </si>
  <si>
    <t>grpThreads</t>
  </si>
  <si>
    <t>allThreads</t>
  </si>
  <si>
    <t>setUp_Token 1-1</t>
  </si>
  <si>
    <t>https://example-auth.auth.ap-northeast-1.amazoncognito.com/oauth2/token</t>
  </si>
  <si>
    <t>TG01_API 1-1</t>
  </si>
  <si>
    <t>https://abcde12345.execute-api.ap-northeast-1.amazonaws.com/stg/items?limit=10</t>
  </si>
  <si>
    <t>201</t>
  </si>
  <si>
    <t>Created</t>
  </si>
  <si>
    <t>https://abcde12345.execute-api.ap-northeast-1.amazonaws.com/stg/orders</t>
  </si>
  <si>
    <t>TG01_API 1-2</t>
  </si>
  <si>
    <t>TG01_API 1-4</t>
  </si>
  <si>
    <t>TG01_API 1-5</t>
  </si>
  <si>
    <t>TG01_API 1-6</t>
  </si>
  <si>
    <t>TG01_API 1-7</t>
  </si>
  <si>
    <t>TG01_API 1-8</t>
  </si>
  <si>
    <t>TG01_API 1-9</t>
  </si>
  <si>
    <t>TG01_API 1-10</t>
  </si>
  <si>
    <t>429</t>
  </si>
  <si>
    <t>Too Many Requests</t>
  </si>
  <si>
    <t>Test failed: code expected to equal /
****** received  : [[[429]]]
****** comparison: [[[200]]]
/</t>
  </si>
  <si>
    <t>Test failed: code expected to equal /
****** received  : [[[429]]]
****** comparison: [[[201]]]
/</t>
  </si>
  <si>
    <t>504</t>
  </si>
  <si>
    <t>Gateway Timeout</t>
  </si>
  <si>
    <t>Test failed: code expected to equal /
****** received  : [[[504]]]
****** comparison: [[[201]]]
/</t>
  </si>
  <si>
    <t>17　分析サンプル（数式入りの完成例）</t>
  </si>
  <si>
    <t>16_JTLサンプル（テーブル tblJTL）を、15 で説明した数式で集計した完成例です。白地・点線枠のセル（目標値）を変えると判定が再計算されます。表の数値はすべてダミーデータによる例です。</t>
  </si>
  <si>
    <t>1. 目標値と評価区間（入力欄：白地・点線枠のセルを書き換えてください）</t>
  </si>
  <si>
    <t>設定値</t>
  </si>
  <si>
    <t>95 パーセンタイル応答時間の上限（ms）</t>
  </si>
  <si>
    <t>業務 API（A01・A02）ごとに、95% Line がこの値以下なら OK</t>
  </si>
  <si>
    <t>エラー率の上限（この値未満なら OK）</t>
  </si>
  <si>
    <t>1.0% 未満なら OK（例）</t>
  </si>
  <si>
    <t>スループットの下限（件/秒・業務 API 合計）</t>
  </si>
  <si>
    <t>業務 API 合計のスループットがこの値以上なら OK</t>
  </si>
  <si>
    <t>集計から除外するラベル（トークン取得）</t>
  </si>
  <si>
    <t>setUp で1回だけ実行されるため、業務 API の合計と判定から除外</t>
  </si>
  <si>
    <t>評価区間の開始（試験開始からの秒）</t>
  </si>
  <si>
    <t>Ramp-up が終わる時刻を目安にします（00 の6章の見積り表の「評価区間」）。4章の統計と判定は、この区間のリクエストだけで計算します</t>
  </si>
  <si>
    <t>評価区間の終了（試験開始からの秒）</t>
  </si>
  <si>
    <t>試験終了の 1 分前を目安にします。全区間で評価する場合は、開始＝0、終了＝99999 にします</t>
  </si>
  <si>
    <t>2. 試験全体の情報</t>
  </si>
  <si>
    <t>セルに入っている数式</t>
  </si>
  <si>
    <t>評価区間（日本時間）</t>
  </si>
  <si>
    <t>=TEXT(E19+MAX(0,$E$11)/86400,"hh:mm:ss")&amp;" ～ "&amp;TEXT(E19+MIN($E$12,E21)/86400,"hh:mm:ss")</t>
  </si>
  <si>
    <t>評価区間の長さ（秒）</t>
  </si>
  <si>
    <t>=MAX(0,MIN($E$12,E21)-MAX(0,$E$11))</t>
  </si>
  <si>
    <t>評価区間のリクエスト数（全ラベル）</t>
  </si>
  <si>
    <t>=SUM(tblJTL[評価対象])</t>
  </si>
  <si>
    <t>3. API（ラベル）別の統計（全区間）</t>
  </si>
  <si>
    <t>ラベル</t>
  </si>
  <si>
    <t>平均
(ms)</t>
  </si>
  <si>
    <t>最小
(ms)</t>
  </si>
  <si>
    <t>最大
(ms)</t>
  </si>
  <si>
    <t>中央値
(ms)</t>
  </si>
  <si>
    <t>90%tile
(ms)</t>
  </si>
  <si>
    <t>95%tile
(ms)</t>
  </si>
  <si>
    <t>99%tile
(ms)</t>
  </si>
  <si>
    <t>スループット
(件/秒)</t>
  </si>
  <si>
    <t>判定
（参考）</t>
  </si>
  <si>
    <t>業務API合計（T01 除く）</t>
  </si>
  <si>
    <t>※ 最小・最大・パーセンタイルは AGGREGATE 関数で計算しています（15 の4章）。スループットは「件数÷（そのラベルの最初の開始から最後の終了までの秒数）」で、JMeter の計算方法に合わせています。T01 は1件だけのため、スループットの値に意味はありません。この表は試験の全区間（Ramp-up 中と終了間際を含む）の値で、HTML レポートの Statistics とほぼ同じになります。判定は参考です。報告書の判定には 4章（評価区間）を使います。</t>
  </si>
  <si>
    <t>4. API（ラベル）別の統計（評価区間：報告書の判定に使用）</t>
  </si>
  <si>
    <t>※ 1章で設定した評価区間（試験開始から指定した秒数の間に開始したリクエスト）だけで計算しています。16 の補助列「評価対象」が 1 の行が対象です。スループットは「件数÷評価区間の長さ（2章）」です。Ramp-up 中のスレッドが少ない時間や、終了間際の中途半端な時間を除くため、システムの実力を正しく評価できます。T01（トークン取得）は試験の最初に1回だけ実行され、評価区間に入らないため、この表には含めていません。初期値の例では、業務API合計の 95%tile は全区間（3章）では目標以内ですが、評価区間では目標を超えて NG になります。負荷の軽い時間帯（Ramp-up 中や終了間際）の結果が混ざると、性能が実際より良く見える場合があることが分かります。</t>
  </si>
  <si>
    <t>5. エラーの内訳（ステータスコード別の件数・全区間）</t>
  </si>
  <si>
    <t>その他</t>
  </si>
  <si>
    <t>合計</t>
  </si>
  <si>
    <t>※ 見出しの 200・201・429・504 は文字列として入力しています（responseCode をテキスト型で取り込むため）。必要に応じてコードを書き換えてください。</t>
  </si>
  <si>
    <t>6. 時系列（1分ごと）</t>
  </si>
  <si>
    <t>時刻
（JST）</t>
  </si>
  <si>
    <t>平均応答
(ms)</t>
  </si>
  <si>
    <t>平均
スレッド数</t>
  </si>
  <si>
    <t>評価区間</t>
  </si>
  <si>
    <t>※ 経過分 0 は Ramp-up 中、経過分 10 は試験終了直前の数秒分のため、件数が少なくなっています。経過分 4～5 で応答時間の悪化とエラー（429・504）が発生しているのが読み取れます。「評価区間」の列は、その1分間が評価区間に全部入る場合は ○、一部だけ入る場合は △ です。</t>
  </si>
  <si>
    <t>7. グラフ（モノトーン）</t>
  </si>
  <si>
    <t>【システム名】API 負荷試験 結果報告書</t>
  </si>
  <si>
    <t>報告書の様式（記入例付き）です。白地・点線枠のセルに記入します。数値の欄には 17_分析サンプル を参照する数式が入っています（実際の分析ブックでは、参照先を自分の集計シートに合わせてください）。</t>
  </si>
  <si>
    <t>0. 文書情報</t>
  </si>
  <si>
    <t>報告日</t>
  </si>
  <si>
    <t>例）2026/10/02</t>
  </si>
  <si>
    <t>報告者</t>
  </si>
  <si>
    <t>例）○○ ○○（性能試験担当）</t>
  </si>
  <si>
    <t>提出先</t>
  </si>
  <si>
    <t>例）△△システム 開発プロジェクト</t>
  </si>
  <si>
    <t>第1.0版</t>
  </si>
  <si>
    <t>試験の目的</t>
  </si>
  <si>
    <t>例）注文 API のリリース前に、想定ピーク負荷（同時 10 ユーザー）での応答性能とエラーの有無を確認する。</t>
  </si>
  <si>
    <t>試験対象</t>
  </si>
  <si>
    <t>例）ステージング環境（stg）の A01 商品一覧取得 API（GET /stg/items）、A02 注文登録 API（POST /stg/orders）</t>
  </si>
  <si>
    <t>実施日時</t>
  </si>
  <si>
    <t>実施場所</t>
  </si>
  <si>
    <t>例）負荷生成サーバ（AWS 東京リージョンの EC2）</t>
  </si>
  <si>
    <t>実施者</t>
  </si>
  <si>
    <t>例）○○ ○○</t>
  </si>
  <si>
    <t>区分</t>
  </si>
  <si>
    <t>負荷生成</t>
  </si>
  <si>
    <t>サーバ</t>
  </si>
  <si>
    <t>例）EC2（2 vCPU／8 GB）、Amazon Linux 2023</t>
  </si>
  <si>
    <t>ツール</t>
  </si>
  <si>
    <t>Apache JMeter 5.6.3 ／ Java 21（Amazon Corretto）</t>
  </si>
  <si>
    <t>環境</t>
  </si>
  <si>
    <t>例）ステージング環境（stg）</t>
  </si>
  <si>
    <t>認証</t>
  </si>
  <si>
    <t>Amazon Cognito（OAuth 2.0 client_credentials）</t>
  </si>
  <si>
    <t>API</t>
  </si>
  <si>
    <t>Amazon API Gateway（REST）＋ バックエンド（例：AWS Lambda）</t>
  </si>
  <si>
    <t>［ 画像貼付エリア ］
図18-1　試験環境の構成図
撮影対象：負荷生成サーバから試験対象までの構成と通信経路
（この枠の左上のセルを選択して Ctrl+V で貼り付け、枠内に収まるようにサイズを調整してください）</t>
  </si>
  <si>
    <t>図18-1　試験環境の構成図</t>
  </si>
  <si>
    <t>T01 トークン取得（setUp で1回）→ A01 → A02 の繰り返し</t>
  </si>
  <si>
    <t>思考時間 1～3 秒（ランダム）</t>
  </si>
  <si>
    <t>スレッド数（同時ユーザー数）</t>
  </si>
  <si>
    <t>実行時に -Jthreads で指定</t>
  </si>
  <si>
    <t>Ramp-up</t>
  </si>
  <si>
    <t>60 秒</t>
  </si>
  <si>
    <t>6 秒ごとに 1 スレッドずつ起動</t>
  </si>
  <si>
    <t>600 秒</t>
  </si>
  <si>
    <t>Ramp-up 中と終了前の 1 分を除いた定常状態の区間（17 の1章で設定）</t>
  </si>
  <si>
    <t>4. 目標値（判定基準）</t>
  </si>
  <si>
    <t>目標値</t>
  </si>
  <si>
    <t>95 パーセンタイル応答時間</t>
  </si>
  <si>
    <t>業務 API ごと</t>
  </si>
  <si>
    <t>業務 API ごと・合計</t>
  </si>
  <si>
    <t>業務 API 合計</t>
  </si>
  <si>
    <t>5. 試験結果（サマリ：評価区間）</t>
  </si>
  <si>
    <t>API（ラベル）</t>
  </si>
  <si>
    <t>※ 数値は 17_分析サンプル の4章（評価区間）を参照しています（ダミーデータ）。全区間の値は 17 の3章にあります。トークン取得（T01_Cognito_Token）は試験開始時に1回だけ実行されるため、表から除外しています。</t>
  </si>
  <si>
    <t>6. グラフ</t>
  </si>
  <si>
    <t>［ 画像貼付エリア ］
図18-2　応答時間の推移（HTML レポート：Response Times Over Time、または 17 の図）
撮影対象：HTML レポートの Charts → Over Time → Response Times Over Time
（この枠の左上のセルを選択して Ctrl+V で貼り付け、枠内に収まるようにサイズを調整してください）</t>
  </si>
  <si>
    <t>図18-2　応答時間の推移（HTML レポート：Response Times Over Time、または 17 の図）</t>
  </si>
  <si>
    <t>［ 画像貼付エリア ］
図18-3　スループットの推移（HTML レポート：Transactions Per Second）
撮影対象：HTML レポートの Charts → Throughput → Transactions Per Second
（この枠の左上のセルを選択して Ctrl+V で貼り付け、枠内に収まるようにサイズを調整してください）</t>
  </si>
  <si>
    <t>図18-3　スループットの推移（HTML レポート：Transactions Per Second）</t>
  </si>
  <si>
    <t>［ 画像貼付エリア ］
図18-4　スレッド数の推移（HTML レポート：Active Threads Over Time）
撮影対象：HTML レポートの Charts → Over Time → Active Threads Over Time
（この枠の左上のセルを選択して Ctrl+V で貼り付け、枠内に収まるようにサイズを調整してください）</t>
  </si>
  <si>
    <t>図18-4　スレッド数の推移（HTML レポート：Active Threads Over Time）</t>
  </si>
  <si>
    <t>7. 判定</t>
  </si>
  <si>
    <t>総合判定</t>
  </si>
  <si>
    <t>判定の補足</t>
  </si>
  <si>
    <t>例）A02_POST_orders の 95 パーセンタイル応答時間が目標（1,000ms 以下）を満たさなかった。その他の項目は目標を満たした。</t>
  </si>
  <si>
    <t>8. 考察</t>
  </si>
  <si>
    <t>例）
・A01_GET_items は、試験を通じて応答時間が安定しており、95 パーセンタイルは 250ms で目標を満たした。
・A02_POST_orders は、試験開始 4～5 分後に応答時間が悪化し（最大 29,041ms）、HTTP 429（Too Many Requests）が 6 件、504（Gateway Timeout）が 2 件発生した。
・同じ時刻に、API Gateway の Count がピークとなり、Lambda の Throttles が記録されていた（CloudWatch のグラフを添付）。
・以上から、ボトルネックは Lambda の同時実行数の上限と考えられる。予約同時実行数の見直し後に再試験を行うことを提案する。</t>
  </si>
  <si>
    <t>9. 課題・今後の対応</t>
  </si>
  <si>
    <t>課題</t>
  </si>
  <si>
    <t>対応案</t>
  </si>
  <si>
    <t>期限</t>
  </si>
  <si>
    <t>例）A02 の高負荷時の応答時間悪化とエラー（429・504）</t>
  </si>
  <si>
    <t>例）Lambda の同時実行数の見直し後に再試験</t>
  </si>
  <si>
    <t>例）開発チーム</t>
  </si>
  <si>
    <t>例）10/15</t>
  </si>
  <si>
    <t>10. 添付資料</t>
  </si>
  <si>
    <t>HTML レポート（report/index.html 一式）</t>
  </si>
  <si>
    <t>結果ファイル（result.jtl）、実行ログ（jmeter.log）、画面出力（console.log）</t>
  </si>
  <si>
    <t>サーバ側メトリクス（CloudWatch のグラフ）</t>
  </si>
  <si>
    <t>シナリオ（api_loadtest.jmx）※シークレットを含まないことを確認のうえ</t>
  </si>
  <si>
    <t>19　試験実施記録（実行ごとの条件・結果と、試験中の出来事の記録）</t>
  </si>
  <si>
    <t>負荷試験の当日に、実行のたびに条件と結果を1行ずつ記録します。どの結果がどの条件で得られたかを後から確実に追えるようにし、報告書（18）の元資料にします。</t>
  </si>
  <si>
    <t>1. この記録の目的と書き方</t>
  </si>
  <si>
    <t>負荷試験は、スレッド数などの条件を変えながら何度も実行します。実行のたびに「2. 実行ごとの記録」に1行ずつ書き、結果と条件の対応が分かるようにします。</t>
  </si>
  <si>
    <t>記録は、実行サーバでの作業と並行してその場で書きます。後から記憶をたどって書くと、時刻や条件を取り違える原因になります。</t>
  </si>
  <si>
    <t>「結果フォルダ名」には、run_test.sh が表示する [INFO] output の最後の部分（例：20261001_100000_api_loadtest_10th）をそのまま書きます。HTML レポート・JTL・ログと記録を結び付ける鍵になります。</t>
  </si>
  <si>
    <t>サンプル数・エラー率は run_test.sh の最後の [INFO] samples ／ errors から、95%tile・スループットは分析ブックの評価区間の表（17 の4章と同じ表）から転記します。HTML レポートの値を使った場合は、特記事項にその旨を書きます。</t>
  </si>
  <si>
    <t>試し実行や、途中で止めた実行も必ず記録します（種別＝試し実行・中止）。報告書の「試験条件」と「試験結果」は、この記録から転記します。</t>
  </si>
  <si>
    <t>灰色の「例」の行は記入例です（数値は 17_分析サンプル を参照する数式）。実際の記録は、その下の白地・点線枠の行に書きます。行が足りなくなったら、最後の行をコピーして下に挿入します。</t>
  </si>
  <si>
    <t>2. 実行ごとの記録（1回の実行＝1行）</t>
  </si>
  <si>
    <t>実施日</t>
  </si>
  <si>
    <t>開始</t>
  </si>
  <si>
    <t>終了</t>
  </si>
  <si>
    <t>種別</t>
  </si>
  <si>
    <t>スレッド数</t>
  </si>
  <si>
    <t>Ramp-up
(秒)</t>
  </si>
  <si>
    <t>試験時間
(秒)</t>
  </si>
  <si>
    <t>結果フォルダ名（[INFO] output）</t>
  </si>
  <si>
    <t>特記事項（異常・中断・前回からの変更点）</t>
  </si>
  <si>
    <t>本番</t>
  </si>
  <si>
    <t>20261001_100000_api_loadtest_10th</t>
  </si>
  <si>
    <t>例）評価区間（60～540 秒）の業務 API 合計の値。開始 4～5 分後に A02 で 429・504 が発生（3. の出来事の記録を参照）。</t>
  </si>
  <si>
    <t>例）○○</t>
  </si>
  <si>
    <t>※ 種別と判定はリストから選べます（種別：試し実行／本番／段階負荷／再試験／中止、判定：OK／NG／参考／中止）。判定が NG の行は黒地に白文字で表示されます。</t>
  </si>
  <si>
    <t>3. 試験中の出来事の記録（タイムライン）</t>
  </si>
  <si>
    <t>試験の開始・終了の連絡、監視中に気付いたこと、異常と対応、停止の判断などを、時刻とともに記録します。異常の原因調査や報告書の「考察」を書くときに、CloudWatch などのグラフと時刻で突き合わせる材料になります。</t>
  </si>
  <si>
    <t>日時</t>
  </si>
  <si>
    <t>内容（何が起きたか・何を見たか）</t>
  </si>
  <si>
    <t>対応・連絡（誰に・何を）</t>
  </si>
  <si>
    <t>記入者</t>
  </si>
  <si>
    <t>2026/10/01 09:50</t>
  </si>
  <si>
    <t>連絡</t>
  </si>
  <si>
    <t>試験開始の予定（10:00～10:10、10 スレッド）を、監視担当・開発担当にメールで連絡した</t>
  </si>
  <si>
    <t>監視担当から了承の返信あり</t>
  </si>
  <si>
    <t>2026/10/01 10:00</t>
  </si>
  <si>
    <t>./run_test.sh api_loadtest stg 10 60 600 を tmux の中で実行した</t>
  </si>
  <si>
    <t>2026/10/01 10:04</t>
  </si>
  <si>
    <t>異常</t>
  </si>
  <si>
    <t>summary 行の Err が増え始めた（429・504）。A02 の Avg が 1,000ms を超えた</t>
  </si>
  <si>
    <t>開発担当に電話で連絡。試験は最後まで継続すると合意</t>
  </si>
  <si>
    <t>2026/10/01 10:10</t>
  </si>
  <si>
    <t>「... end of run」を確認。[INFO] samples 2477、errors 13</t>
  </si>
  <si>
    <t>関係者に終了とエラーの発生をメールで連絡</t>
  </si>
  <si>
    <t>時刻は、実行サーバの画面（Starting standalone test @ …）や PC の時計で確認し、日本時間で書きます。CloudWatch のグラフは既定で UTC 表示の場合があるため、突き合わせるときはタイムゾーンをそろえます。</t>
  </si>
  <si>
    <t>4. 試験当日のチェックリスト</t>
  </si>
  <si>
    <t>参照</t>
  </si>
  <si>
    <t>開始前</t>
  </si>
  <si>
    <t>関係者（監視担当・開発担当・依頼元）に、試験の日時と負荷の大きさを連絡した</t>
  </si>
  <si>
    <t>09 の No.1</t>
  </si>
  <si>
    <t>試験対象の状態（デプロイ済みの版、他の試験や作業と重なっていないか）を確認した</t>
  </si>
  <si>
    <t>08</t>
  </si>
  <si>
    <t>実行サーバのディスクの空き（df -h ~）とメモリ（free -h）を確認した</t>
  </si>
  <si>
    <t>10・12 の7章</t>
  </si>
  <si>
    <t>シナリオ・properties・試験データが最新で、View Results Tree が無効になっている</t>
  </si>
  <si>
    <t>11 の4章</t>
  </si>
  <si>
    <t>実行条件（スレッド数・Ramp-up・試験時間）を、00 の6章の見積りと照合した</t>
  </si>
  <si>
    <t>00 の6章</t>
  </si>
  <si>
    <t>CloudWatch などの監視画面（API Gateway・Lambda 等）を開いた</t>
  </si>
  <si>
    <t>08 の3章</t>
  </si>
  <si>
    <t>実行中</t>
  </si>
  <si>
    <t>tmux（または nohup）で実行し、summary 行を定期的に確認している</t>
  </si>
  <si>
    <t>12 の5・6章</t>
  </si>
  <si>
    <t>異常（エラーの急増・応答時間の急な悪化）に気付いたら、3. の出来事の記録に書いた</t>
  </si>
  <si>
    <t>本シート</t>
  </si>
  <si>
    <t>終了後</t>
  </si>
  <si>
    <t>「... end of run」と [INFO] samples ／ errors を確認した</t>
  </si>
  <si>
    <t>12 の9章</t>
  </si>
  <si>
    <t>2. の実行ごとの記録に、結果フォルダ名と結果を書いた</t>
  </si>
  <si>
    <t>結果を回収し、実行サーバの不要なファイルを片付けた</t>
  </si>
  <si>
    <t>関係者に、試験の終了と速報（エラーの有無）を連絡した</t>
  </si>
  <si>
    <t>付録A　コマンド集（Windows・Linux・JMeter）</t>
  </si>
  <si>
    <t>本ガイドで使うコマンドを、用途別にまとめました。&lt; &gt; の部分は現場の値に置き換えます。</t>
  </si>
  <si>
    <t>1. Windows（PowerShell）</t>
  </si>
  <si>
    <t>Java の版を確認</t>
  </si>
  <si>
    <t>17／21 などが表示されれば導入済み</t>
  </si>
  <si>
    <t>java の場所を確認</t>
  </si>
  <si>
    <t>一番上が実際に使われる java</t>
  </si>
  <si>
    <t>JAVA_HOME を確認</t>
  </si>
  <si>
    <t>Java のフォルダが表示される</t>
  </si>
  <si>
    <t>ハッシュ値を計算</t>
  </si>
  <si>
    <t>Get-FileHash .\apache-jmeter-5.6.3.zip -Algorithm SHA512</t>
  </si>
  <si>
    <t>公式の .sha512 と比べる</t>
  </si>
  <si>
    <t>ブロックを解除</t>
  </si>
  <si>
    <t>Unblock-File .\apache-jmeter-5.6.3.zip</t>
  </si>
  <si>
    <t>展開前に実行</t>
  </si>
  <si>
    <t>tar -xf .\apache-jmeter-5.6.3.zip -C C:\jmeter</t>
  </si>
  <si>
    <t>Windows 11 標準の tar</t>
  </si>
  <si>
    <t>フォルダを作る</t>
  </si>
  <si>
    <t>New-Item -ItemType Directory -Force C:\work\jmeter\scenarios</t>
  </si>
  <si>
    <t>Base64 を計算</t>
  </si>
  <si>
    <t>[Convert]::ToBase64String([Text.Encoding]::UTF8.GetBytes("&lt;id&gt;:&lt;secret&gt;"))</t>
  </si>
  <si>
    <t>確認用</t>
  </si>
  <si>
    <t>curl で呼び出し</t>
  </si>
  <si>
    <t>curl.exe -s "https://&lt;ホスト&gt;/&lt;パス&gt;" -H "X-API-ID: &lt;キー&gt;"</t>
  </si>
  <si>
    <t>PowerShell では curl.exe と書く</t>
  </si>
  <si>
    <t>JMeter（GUI）を起動</t>
  </si>
  <si>
    <t>C:\work\jmeter\scripts\start_jmeter_stg.bat</t>
  </si>
  <si>
    <t>接続情報ファイルを読み込んで起動</t>
  </si>
  <si>
    <t>tar.gz を展開</t>
  </si>
  <si>
    <t>tar -xzf .\&lt;結果フォルダ&gt;.tar.gz</t>
  </si>
  <si>
    <t>回収した結果の展開</t>
  </si>
  <si>
    <t>HTML レポートを開く</t>
  </si>
  <si>
    <t>Start-Process .\&lt;結果フォルダ&gt;\report\index.html</t>
  </si>
  <si>
    <t>2. SSH・ファイル転送（PowerShell）</t>
  </si>
  <si>
    <t>ログイン（鍵を指定）</t>
  </si>
  <si>
    <t>ssh -i $env:USERPROFILE\.ssh\&lt;鍵&gt;.pem &lt;ユーザー&gt;@&lt;IP&gt;</t>
  </si>
  <si>
    <t>ログイン（設定ファイル）</t>
  </si>
  <si>
    <t>~/.ssh/config に Host を定義した場合</t>
  </si>
  <si>
    <t>鍵の権限を修正</t>
  </si>
  <si>
    <t>icacls $env:USERPROFILE\.ssh\&lt;鍵&gt;.pem /inheritance:r</t>
  </si>
  <si>
    <t>続けて /grant:r "$($env:USERNAME):(R)"</t>
  </si>
  <si>
    <t>ファイルを送る</t>
  </si>
  <si>
    <t>scp &lt;端末のファイル&gt; jmeter-server:/home/&lt;ユーザー&gt;/jmeter-work/&lt;フォルダ&gt;/</t>
  </si>
  <si>
    <t>フォルダを送る</t>
  </si>
  <si>
    <t>scp -r C:\work\jmeter\data jmeter-server:/home/&lt;ユーザー&gt;/jmeter-work/</t>
  </si>
  <si>
    <t>ファイルを受け取る</t>
  </si>
  <si>
    <t>scp jmeter-server:/home/&lt;ユーザー&gt;/jmeter-work/results/&lt;名前&gt;.tar.gz C:\work\jmeter\results\</t>
  </si>
  <si>
    <t>ハッシュ値（SHA256）</t>
  </si>
  <si>
    <t>Get-FileHash &lt;ファイル&gt; -Algorithm SHA256</t>
  </si>
  <si>
    <t>サーバの sha256sum と比べる</t>
  </si>
  <si>
    <t>3. Linux（実行サーバ）</t>
  </si>
  <si>
    <t>OS の確認</t>
  </si>
  <si>
    <t>CPU・メモリ・ディスク</t>
  </si>
  <si>
    <t>nproc ; free -h ; df -h ~</t>
  </si>
  <si>
    <t>時刻・タイムゾーン</t>
  </si>
  <si>
    <t>Java（Amazon Linux 2023）</t>
  </si>
  <si>
    <t>Java（RHEL 系）</t>
  </si>
  <si>
    <t>Java（Ubuntu）</t>
  </si>
  <si>
    <t>先に sudo apt update</t>
  </si>
  <si>
    <t>JMeter のダウンロード</t>
  </si>
  <si>
    <t>旧版は archive.apache.org/dist</t>
  </si>
  <si>
    <t>ハッシュ値の確認</t>
  </si>
  <si>
    <t>「OK」なら正常</t>
  </si>
  <si>
    <t>リンク作成</t>
  </si>
  <si>
    <t>権限（シークレット）</t>
  </si>
  <si>
    <t>改行コードの変換</t>
  </si>
  <si>
    <t>sed -i 's/\r$//' &lt;ファイル&gt;</t>
  </si>
  <si>
    <t>CRLF → LF</t>
  </si>
  <si>
    <t>sha256sum &lt;ファイル&gt;</t>
  </si>
  <si>
    <t>圧縮</t>
  </si>
  <si>
    <t>tar -czf &lt;名前&gt;.tar.gz &lt;フォルダ&gt;</t>
  </si>
  <si>
    <t>ファイル数の上限</t>
  </si>
  <si>
    <t>ulimit -n ; ulimit -n 65536</t>
  </si>
  <si>
    <t>確認 ／ 引き上げ</t>
  </si>
  <si>
    <t>4. JMeter（CLI）</t>
  </si>
  <si>
    <t>版の確認</t>
  </si>
  <si>
    <t>オプション一覧</t>
  </si>
  <si>
    <t>試し実行（1回）</t>
  </si>
  <si>
    <t>~/jmeter-work で実行</t>
  </si>
  <si>
    <t>負荷試験（スクリプト）</t>
  </si>
  <si>
    <t>シナリオ・環境・スレッド・Ramp-up・時間</t>
  </si>
  <si>
    <t>負荷試験（直接）</t>
  </si>
  <si>
    <t>jmeter -n -t &lt;jmx&gt; -q &lt;properties&gt; -Jthreads=20 -Jrampup=60 -Jloops=-1 -Jduration=600 -l &lt;jtl&gt; -j &lt;log&gt; -e -o &lt;report&gt;</t>
  </si>
  <si>
    <t>レポートの作り直し</t>
  </si>
  <si>
    <t>出力先は空のフォルダ</t>
  </si>
  <si>
    <t>T01 を除いたレポート</t>
  </si>
  <si>
    <t>jmeter -g result.jtl -o report_api -Jjmeter.reportgenerator.sample_filter='^A0.*'</t>
  </si>
  <si>
    <t>通常の停止</t>
  </si>
  <si>
    <t>別の SSH 接続から</t>
  </si>
  <si>
    <t>プラグインの導入</t>
  </si>
  <si>
    <t>/opt/jmeter/bin/PluginsManagerCMD.sh install-for-jmx &lt;jmx&gt;</t>
  </si>
  <si>
    <t>10 の9章の準備が必要</t>
  </si>
  <si>
    <t>5. tmux・監視</t>
  </si>
  <si>
    <t>コマンド・キー</t>
  </si>
  <si>
    <t>画面から離れる</t>
  </si>
  <si>
    <t>試験は続く</t>
  </si>
  <si>
    <t>画面に戻る</t>
  </si>
  <si>
    <t>新しい画面</t>
  </si>
  <si>
    <t>Ctrl＋b → c</t>
  </si>
  <si>
    <t>切り替えは Ctrl＋b → n</t>
  </si>
  <si>
    <t>セッション一覧</t>
  </si>
  <si>
    <t>tmux ls</t>
  </si>
  <si>
    <t>ログをリアルタイム表示</t>
  </si>
  <si>
    <t>Ctrl＋C で終了</t>
  </si>
  <si>
    <t>失敗件数（目安）</t>
  </si>
  <si>
    <t>コード別件数（目安）</t>
  </si>
  <si>
    <t>awk -F',' 'NR&gt;1 {print $4}' result.jtl | sort | uniq -c</t>
  </si>
  <si>
    <t>CPU・メモリ</t>
  </si>
  <si>
    <t>top ／ vmstat 5 ／ free -h</t>
  </si>
  <si>
    <t>top は q で終了</t>
  </si>
  <si>
    <t>JMeter のプロセス</t>
  </si>
  <si>
    <t>最新の結果フォルダへ移動</t>
  </si>
  <si>
    <t>付録B　トラブル対応（症状・原因・対処）</t>
  </si>
  <si>
    <t>よくあるエラーと対処をまとめました。症状やエラーメッセージで探してください（Ctrl＋F で検索できます）。</t>
  </si>
  <si>
    <t>症状・エラーメッセージ</t>
  </si>
  <si>
    <t>主な原因</t>
  </si>
  <si>
    <t>対処（参照シート）</t>
  </si>
  <si>
    <t>導入・起動（Windows）</t>
  </si>
  <si>
    <t>java : 用語 'java' は、コマンドレット…として認識されません</t>
  </si>
  <si>
    <t>Java が入っていない、Path が設定されていない</t>
  </si>
  <si>
    <t>Java を導入する。PowerShell を開き直して java -version を確認
（参照：01）</t>
  </si>
  <si>
    <t>jmeter.bat を実行すると黒い画面がすぐ消える</t>
  </si>
  <si>
    <t>Java が見つからない、または Java が古い</t>
  </si>
  <si>
    <t>コマンドプロンプトで jmeter.bat を実行し、メッセージ（Not able to find Java executable or version. 等）を確認
（参照：01）</t>
  </si>
  <si>
    <t>「Windows によって PC が保護されました」</t>
  </si>
  <si>
    <t>SmartScreen の警告</t>
  </si>
  <si>
    <t>入手元とハッシュ値を確認のうえ［詳細情報］→［実行］。展開前にブロックを解除
（参照：01）</t>
  </si>
  <si>
    <t>Plugins Manager の一覧が空</t>
  </si>
  <si>
    <t>プロキシ環境でインターネットに接続できない</t>
  </si>
  <si>
    <t>-H／-P でプロキシを指定して JMeter を起動
（参照：01）</t>
  </si>
  <si>
    <t>画面の文字が小さい・大きい</t>
  </si>
  <si>
    <t>［Options］→［Zoom In］／［Zoom Out］
（参照：01）</t>
  </si>
  <si>
    <t>シナリオ・認証（Cognito）</t>
  </si>
  <si>
    <t>T01 が 400 {"error":"invalid_client"}</t>
  </si>
  <si>
    <t>クライアント ID／シークレットの誤り、Base64 の元の文字列の誤り（改行の混入など）、「Basic 」のスペース不足</t>
  </si>
  <si>
    <t>properties の値、jmeter.log の BASIC_AUTH の行、Request Headers を確認
（参照：04）</t>
  </si>
  <si>
    <t>T01 が 400 {"error":"unauthorized_client"}</t>
  </si>
  <si>
    <t>Cognito の管理者に設定を依頼
（参照：04）</t>
  </si>
  <si>
    <t>T01 が 400 {"error":"invalid_scope"} または "invalid_grant"</t>
  </si>
  <si>
    <t>scope の値（リソースサーバ識別子/スコープ名）を確認
（参照：04）</t>
  </si>
  <si>
    <t>T01 が 400 {"error":"unsupported_grant_type"}</t>
  </si>
  <si>
    <t>grant_type の綴りの誤り</t>
  </si>
  <si>
    <t>client_credentials を確認
（参照：04）</t>
  </si>
  <si>
    <t>T01 が 405 や 404</t>
  </si>
  <si>
    <t>メソッドやパスの誤り（GET になっている等）</t>
  </si>
  <si>
    <t>POST と /oauth2/token を確認
（参照：04）</t>
  </si>
  <si>
    <t>cognito.host／api.host の値（https:// を含めない）とプロキシ設定を確認
（参照：04）</t>
  </si>
  <si>
    <t>Non HTTP response code: org.apache.http.conn.HttpHostConnectException ／ connect timed out</t>
  </si>
  <si>
    <t>ネットワークで到達できない（ファイアウォール・セキュリティグループ・プロキシ）</t>
  </si>
  <si>
    <t>curl で疎通を確認し、ネットワーク担当に相談
（参照：10）</t>
  </si>
  <si>
    <t>Non HTTP response code: javax.net.ssl.SSLHandshakeException</t>
  </si>
  <si>
    <t>社内プロキシの SSL 検査で証明書が信頼されない</t>
  </si>
  <si>
    <t>社内のルート証明書を Java に登録する必要がある（情報システム部門に相談）</t>
  </si>
  <si>
    <t>ACCESS_TOKEN が ACCESS_TOKEN_NOT_FOUND のまま</t>
  </si>
  <si>
    <t>正規表現の不一致、レスポンスがエラー</t>
  </si>
  <si>
    <t>05 の手順で RegExp Tester を使って確認
（参照：05）</t>
  </si>
  <si>
    <t>A01 の Authorization が「Bearer TOKEN_NOT_SET」</t>
  </si>
  <si>
    <t>トークンがプロパティに保存されていない（POST_SaveToken の位置や無効化）</t>
  </si>
  <si>
    <t>ツリーの順序（EXT_AccessToken → POST_SaveToken）と有効状態を確認
（参照：04）</t>
  </si>
  <si>
    <t>リクエストに ${ITEM_ID} という文字がそのまま送られる</t>
  </si>
  <si>
    <t>変数が作られていない（抽出の失敗、綴りや大文字小文字の違い）</t>
  </si>
  <si>
    <t>Debug Sampler で変数の一覧を確認
（参照：05）</t>
  </si>
  <si>
    <t>401 {"message":"Unauthorized"}</t>
  </si>
  <si>
    <t>トークンなし・期限切れ・形式の誤り（Bearer の綴り・スペース）</t>
  </si>
  <si>
    <t>Authorization ヘッダーを確認。長時間の試験ならトークンの定期再取得（04 の6章 パターンB）
（参照：04）</t>
  </si>
  <si>
    <t>API 仕様書のヘッダー名とキーを確認
（参照：04）</t>
  </si>
  <si>
    <t>URL（/stg/items 等）とメソッドを確認
（参照：04）</t>
  </si>
  <si>
    <t>403（Lambda オーソライザーによる拒否）</t>
  </si>
  <si>
    <t>スコープ不足、オーソライザーの判定</t>
  </si>
  <si>
    <t>開発担当に確認</t>
  </si>
  <si>
    <t>403（AWS WAF）</t>
  </si>
  <si>
    <t>WAF のレート制限・IP 制限</t>
  </si>
  <si>
    <t>WAF のログとルールを基盤担当に確認
（参照：09）</t>
  </si>
  <si>
    <t>429 {"message":"Too Many Requests"} ／ {"message":"Limit Exceeded"}</t>
  </si>
  <si>
    <t>使用量プランやアカウントのスロットリング、クォータ超過</t>
  </si>
  <si>
    <t>上限値を確認し、負荷量を調整
（参照：08）</t>
  </si>
  <si>
    <t>502 Bad Gateway</t>
  </si>
  <si>
    <t>Lambda のエラー、応答の形式の誤り</t>
  </si>
  <si>
    <t>CloudWatch Logs の確認を開発担当に依頼
（参照：08）</t>
  </si>
  <si>
    <t>503 Service Unavailable</t>
  </si>
  <si>
    <t>バックエンドの過負荷・制限</t>
  </si>
  <si>
    <t>サーバ側メトリクスを確認
（参照：08）</t>
  </si>
  <si>
    <t>504 Gateway Timeout（約 29 秒）</t>
  </si>
  <si>
    <t>バックエンドの処理が統合タイムアウト（既定 29 秒）を超えた</t>
  </si>
  <si>
    <t>遅い処理の調査を開発担当に依頼
（参照：08）</t>
  </si>
  <si>
    <t>実行サーバ・CLI</t>
  </si>
  <si>
    <t>jmeter: command not found</t>
  </si>
  <si>
    <t>PATH が設定されていない</t>
  </si>
  <si>
    <t>/opt/jmeter/bin/jmeter とフルパスで実行するか、~/.bashrc を確認
（参照：10）</t>
  </si>
  <si>
    <t>Permission denied（jmeter を実行したとき）</t>
  </si>
  <si>
    <t>zip を Linux で展開して実行権限が失われた</t>
  </si>
  <si>
    <t>tgz を使う。または chmod +x /opt/jmeter/bin/jmeter /opt/jmeter/bin/*.sh
（参照：10）</t>
  </si>
  <si>
    <t>/bin/bash^M: bad interpreter</t>
  </si>
  <si>
    <t>スクリプトの改行コードが CRLF（Windows 形式）</t>
  </si>
  <si>
    <t>sed -i 's/\r$//' run_test.sh
（参照：12）</t>
  </si>
  <si>
    <t>Results file … is not empty（-e 指定時）</t>
  </si>
  <si>
    <t>既存の結果ファイルに書き込もうとした</t>
  </si>
  <si>
    <t>新しいファイル名・フォルダを指定する、または -f を付ける
（参照：12）</t>
  </si>
  <si>
    <t>レポートの出力先フォルダが空でないというエラー</t>
  </si>
  <si>
    <t>-o のフォルダに既にファイルがある</t>
  </si>
  <si>
    <t>新しいフォルダを指定する、または -f を付ける
（参照：12）</t>
  </si>
  <si>
    <t>CannotResolveClassException: kg.apc.… ／ jmx が読み込めない</t>
  </si>
  <si>
    <t>プラグインが入っていない</t>
  </si>
  <si>
    <t>実行サーバにも同じプラグインを導入
（参照：10）</t>
  </si>
  <si>
    <t>java.lang.OutOfMemoryError: Java heap space</t>
  </si>
  <si>
    <t>メモリ（HEAP）不足、リスナーの使いすぎ</t>
  </si>
  <si>
    <t>HEAP を増やす。View Results Tree 等を無効化
（参照：12）</t>
  </si>
  <si>
    <t>Too many open files</t>
  </si>
  <si>
    <t>同時に開けるファイル数の上限が低い</t>
  </si>
  <si>
    <t>ulimit -n 65536（上限が低い場合はインフラ担当に相談）
（参照：10）</t>
  </si>
  <si>
    <t>SSH が切れて試験が止まった</t>
  </si>
  <si>
    <t>画面に直接つないだまま実行した</t>
  </si>
  <si>
    <t>tmux または nohup で実行
（参照：12）</t>
  </si>
  <si>
    <t>FileNotFoundException（CSV）</t>
  </si>
  <si>
    <t>パスやファイル名の大文字・小文字の違い</t>
  </si>
  <si>
    <t>.jmx からの相対パスとファイル名を確認
（参照：11）</t>
  </si>
  <si>
    <t>失敗したリクエストのレスポンスを見たい</t>
  </si>
  <si>
    <t>JTL（CSV）にはレスポンスの本文が保存されない</t>
  </si>
  <si>
    <t>GUI で同じ条件を再現する、または［Save Responses to a file］を「Save Failed Responses only」で追加
（参照：03）</t>
  </si>
  <si>
    <t>転送（SSH・scp）</t>
  </si>
  <si>
    <t>WARNING: UNPROTECTED PRIVATE KEY FILE! ／ bad permissions</t>
  </si>
  <si>
    <t>鍵ファイルのアクセス権が広すぎる（Windows）</t>
  </si>
  <si>
    <t>icacls で本人だけが読めるようにする
（参照：10）</t>
  </si>
  <si>
    <t>Permission denied (publickey)</t>
  </si>
  <si>
    <t>鍵またはユーザー名の誤り</t>
  </si>
  <si>
    <t>ec2-user／ubuntu などのユーザー名と鍵を確認
（参照：10）</t>
  </si>
  <si>
    <t>初回接続時の確認メッセージ（Are you sure you want to continue connecting）</t>
  </si>
  <si>
    <t>初めて接続するサーバ</t>
  </si>
  <si>
    <t>フィンガープリントをインフラ担当に確認して yes
（参照：10）</t>
  </si>
  <si>
    <t>日本語が文字化けする</t>
  </si>
  <si>
    <t>ダブルクリックで開いた（文字コードの誤認）</t>
  </si>
  <si>
    <t>Power Query で UTF-8 を指定して取り込む
（参照：14）</t>
  </si>
  <si>
    <t>timeStamp が 1.79E+12 と表示される</t>
  </si>
  <si>
    <t>表示形式を「0」にする
（参照：14）</t>
  </si>
  <si>
    <t>responseCode の列に Error と表示される</t>
  </si>
  <si>
    <t>型を整数にした</t>
  </si>
  <si>
    <t>テキスト型に変える
（参照：14）</t>
  </si>
  <si>
    <t>取り込んだ表の行が崩れる（timeStamp の列に Error や文字が入る）</t>
  </si>
  <si>
    <t>failureMessage の改行で、1件が複数の行に分かれた（［ソース］の式が QuoteStyle.None）</t>
  </si>
  <si>
    <t>QuoteStyle=QuoteStyle.Csv に書き換える、または M コードで取り込む
（参照：14）</t>
  </si>
  <si>
    <t>表の件数が result.jtl の行数より少ない</t>
  </si>
  <si>
    <t>failureMessage の改行のため、ファイルの行数は件数より多くなる（正常）</t>
  </si>
  <si>
    <t>件数は [INFO] samples や HTML レポートの #Samples と比べる
（参照：14）</t>
  </si>
  <si>
    <t>1,048,576 行で切れる</t>
  </si>
  <si>
    <t>Excel の行数の上限</t>
  </si>
  <si>
    <t>データモデル、Power Query での集計、statistics.json を使う
（参照：14）</t>
  </si>
  <si>
    <t>AGGREGATE の結果が #VALUE! や 0 になる</t>
  </si>
  <si>
    <t>条件の範囲と値の範囲の行数の不一致、ラベル名の綴りの違い</t>
  </si>
  <si>
    <t>テーブルの列（tblJTL[列名]）で指定し、ラベル名を確認
（参照：15）</t>
  </si>
  <si>
    <t>時刻が9時間ずれる</t>
  </si>
  <si>
    <t>UTC のまま表示している</t>
  </si>
  <si>
    <t>＋9時間（TIME(9,0,0)）して日本時間に変換
（参照：14）</t>
  </si>
  <si>
    <t>付録C　用語集</t>
  </si>
  <si>
    <t>本ガイドに出てくる用語の意味をまとめました。</t>
  </si>
  <si>
    <t>用語</t>
  </si>
  <si>
    <t>英語・別名</t>
  </si>
  <si>
    <t>負荷試験・JMeter</t>
  </si>
  <si>
    <t>負荷試験</t>
  </si>
  <si>
    <t>Load Test</t>
  </si>
  <si>
    <t>想定した負荷をかけて、性能（応答時間・処理量）と安定性を確認する試験</t>
  </si>
  <si>
    <t>負荷生成サーバ（実行サーバ）</t>
  </si>
  <si>
    <t>Load Generator</t>
  </si>
  <si>
    <t>JMeter を動かしてリクエストを送るサーバ</t>
  </si>
  <si>
    <t>シナリオ（テスト計画）</t>
  </si>
  <si>
    <t>Test Plan（.jmx）</t>
  </si>
  <si>
    <t>JMeter の試験手順を記述したファイル（XML 形式）</t>
  </si>
  <si>
    <t>スレッド</t>
  </si>
  <si>
    <t>Thread（Virtual User）</t>
  </si>
  <si>
    <t>仮想ユーザー。1スレッドが1人の利用者のように、順番にリクエストを送る</t>
  </si>
  <si>
    <t>Ramp-up（ランプアップ）</t>
  </si>
  <si>
    <t>Ramp-up period</t>
  </si>
  <si>
    <t>全スレッドを起動し終えるまでの時間。急激な負荷を避けるため</t>
  </si>
  <si>
    <t>イテレーション</t>
  </si>
  <si>
    <t>Iteration／Loop</t>
  </si>
  <si>
    <t>スレッドがシナリオを1周すること</t>
  </si>
  <si>
    <t>思考時間</t>
  </si>
  <si>
    <t>Think Time</t>
  </si>
  <si>
    <t>利用者が画面を見て考える時間を再現した待ち時間（タイマーで設定）</t>
  </si>
  <si>
    <t>サンプラー</t>
  </si>
  <si>
    <t>リクエストを送る要素（HTTP Request など）</t>
  </si>
  <si>
    <t>サンプル</t>
  </si>
  <si>
    <t>Sample</t>
  </si>
  <si>
    <t>1回のリクエストの結果（JTL の1行）</t>
  </si>
  <si>
    <t>結果を表示・保存する要素</t>
  </si>
  <si>
    <t>アサーション</t>
  </si>
  <si>
    <t>応答の正しさを検証する要素</t>
  </si>
  <si>
    <t>JMeter Test Log</t>
  </si>
  <si>
    <t>結果ファイル（本ガイドでは CSV 形式）</t>
  </si>
  <si>
    <t>CLI モード</t>
  </si>
  <si>
    <t>Non-GUI Mode</t>
  </si>
  <si>
    <t>画面を使わず、コマンドで JMeter を実行する方式</t>
  </si>
  <si>
    <t>プロパティ</t>
  </si>
  <si>
    <t>Property</t>
  </si>
  <si>
    <t>JMeter 全体で共有される設定値（-J などで外から指定できる）</t>
  </si>
  <si>
    <t>変数</t>
  </si>
  <si>
    <t>Variable</t>
  </si>
  <si>
    <t>スレッドごとに保持される値</t>
  </si>
  <si>
    <t>Groovy</t>
  </si>
  <si>
    <t>JMeter のスクリプト（JSR223）で推奨されるプログラミング言語</t>
  </si>
  <si>
    <t>JSR223</t>
  </si>
  <si>
    <t>Java でスクリプト言語を使うための仕組み。JMeter では Groovy を使う</t>
  </si>
  <si>
    <t>文字列のパターンを表す書き方</t>
  </si>
  <si>
    <t>JSONPath</t>
  </si>
  <si>
    <t>JSON から値を指定する書き方（例：$.access_token）</t>
  </si>
  <si>
    <t>性能の指標</t>
  </si>
  <si>
    <t>Response Time／Elapsed</t>
  </si>
  <si>
    <t>送信の直前から、応答の最後の1バイトを受け取るまでの時間</t>
  </si>
  <si>
    <t>送信の直前から、応答の最初の1バイトを受け取るまでの時間</t>
  </si>
  <si>
    <t>TCP 接続（＋TLS の準備）にかかった時間</t>
  </si>
  <si>
    <t>Throughput</t>
  </si>
  <si>
    <t>単位時間あたりの処理件数（件/秒）</t>
  </si>
  <si>
    <t>TPS／RPS</t>
  </si>
  <si>
    <t>Transactions／Requests Per Second</t>
  </si>
  <si>
    <t>1秒あたりのトランザクション数／リクエスト数</t>
  </si>
  <si>
    <t>Percentile</t>
  </si>
  <si>
    <t>値を小さい順に並べたときの位置。95 パーセンタイル＝全体の 95% がその値以下</t>
  </si>
  <si>
    <t>Median</t>
  </si>
  <si>
    <t>50 パーセンタイル</t>
  </si>
  <si>
    <t>Standard Deviation</t>
  </si>
  <si>
    <t>ばらつきの大きさ</t>
  </si>
  <si>
    <t>Application Performance Index</t>
  </si>
  <si>
    <t>応答時間に対する利用者の満足度を 0～1 で表す指標</t>
  </si>
  <si>
    <t>定常状態</t>
  </si>
  <si>
    <t>Steady State</t>
  </si>
  <si>
    <t>Ramp-up が終わり、負荷が一定になっている区間</t>
  </si>
  <si>
    <t>ボトルネック</t>
  </si>
  <si>
    <t>Bottleneck</t>
  </si>
  <si>
    <t>全体の性能を制限している箇所</t>
  </si>
  <si>
    <t>AWS・認証</t>
  </si>
  <si>
    <t>Amazon Cognito</t>
  </si>
  <si>
    <t>AWS の認証サービス。ユーザープールが OAuth 2.0 のトークンを発行する</t>
  </si>
  <si>
    <t>ユーザープール</t>
  </si>
  <si>
    <t>User Pool</t>
  </si>
  <si>
    <t>Cognito の認証の基盤（利用者やアプリクライアントを管理）</t>
  </si>
  <si>
    <t>アプリクライアント</t>
  </si>
  <si>
    <t>App Client</t>
  </si>
  <si>
    <t>ユーザープールを使うアプリの登録情報（クライアント ID・シークレット）</t>
  </si>
  <si>
    <t>トークンエンドポイント</t>
  </si>
  <si>
    <t>Token Endpoint</t>
  </si>
  <si>
    <t>トークンを発行する URL（/oauth2/token）</t>
  </si>
  <si>
    <t>Client Credentials Grant</t>
  </si>
  <si>
    <t>利用者を介さず、アプリ（機械）同士でトークンを取得する OAuth 2.0 の方式（M2M）</t>
  </si>
  <si>
    <t>アクセストークン</t>
  </si>
  <si>
    <t>Access Token</t>
  </si>
  <si>
    <t>API を呼び出す権限を示すトークン（JWT 形式）。Authorization: Bearer で送る</t>
  </si>
  <si>
    <t>JWT</t>
  </si>
  <si>
    <t>JSON Web Token</t>
  </si>
  <si>
    <t>署名付きのトークンの形式。eyJ… で始まる3つの部分をドットでつないだ文字列</t>
  </si>
  <si>
    <t>スコープ</t>
  </si>
  <si>
    <t>Scope</t>
  </si>
  <si>
    <t>トークンに与える権限の範囲（例：example-api/read）</t>
  </si>
  <si>
    <t>リソースサーバ</t>
  </si>
  <si>
    <t>Resource Server</t>
  </si>
  <si>
    <t>Cognito でカスタムスコープを定義する単位（識別子/スコープ名）</t>
  </si>
  <si>
    <t>Base64</t>
  </si>
  <si>
    <t>データを英数字と記号（+ / =）で表す符号化の方式。暗号化ではない</t>
  </si>
  <si>
    <t>Basic 認証ヘッダー</t>
  </si>
  <si>
    <t>Basic Authentication</t>
  </si>
  <si>
    <t>Authorization: Basic Base64(ID:パスワード) の形のヘッダー</t>
  </si>
  <si>
    <t>Amazon API Gateway</t>
  </si>
  <si>
    <t>AWS の API 公開サービス</t>
  </si>
  <si>
    <t>ステージ</t>
  </si>
  <si>
    <t>Stage</t>
  </si>
  <si>
    <t>API の公開先（dev／stg／prod など）。URL のパスに含まれる</t>
  </si>
  <si>
    <t>APIキー</t>
  </si>
  <si>
    <t>API Key</t>
  </si>
  <si>
    <t>API の利用者を識別する文字列。使用量プランと組み合わせて流量の制限に使う</t>
  </si>
  <si>
    <t>使用量プラン</t>
  </si>
  <si>
    <t>Usage Plan</t>
  </si>
  <si>
    <t>APIキーごとのスロットリング（1秒あたりの上限）とクォータ（期間内の上限）</t>
  </si>
  <si>
    <t>スロットリング</t>
  </si>
  <si>
    <t>Throttling</t>
  </si>
  <si>
    <t>上限を超えたリクエストを拒否（429）して流量を制限すること</t>
  </si>
  <si>
    <t>CloudWatch</t>
  </si>
  <si>
    <t>AWS の監視サービス（メトリクス・ログ）</t>
  </si>
  <si>
    <t>Excel・ツール</t>
  </si>
  <si>
    <t>Power Query</t>
  </si>
  <si>
    <t>Excel のデータの取り込み・変換の機能</t>
  </si>
  <si>
    <t>構造化参照</t>
  </si>
  <si>
    <t>Structured Reference</t>
  </si>
  <si>
    <t>テーブル名と列名で範囲を指す Excel の書き方（例：tblJTL[elapsed]）</t>
  </si>
  <si>
    <t>tmux</t>
  </si>
  <si>
    <t>SSH が切れてもコマンドを動かし続けられるソフト</t>
  </si>
  <si>
    <t>scp</t>
  </si>
  <si>
    <t>Secure Copy</t>
  </si>
  <si>
    <t>SSH を使ったファイル転送のコマンド</t>
  </si>
  <si>
    <t>付録D　画像差込一覧（スクリーンショットの貼り付け管理）</t>
  </si>
  <si>
    <t>本ブックの「画像貼付エリア」の一覧です。図番号をクリックすると該当の場所へ移動します。貼り付けが済んだら［状態］を「済」にします。</t>
  </si>
  <si>
    <t>図番号</t>
  </si>
  <si>
    <t>図の内容（シート）</t>
  </si>
  <si>
    <t>撮影対象</t>
  </si>
  <si>
    <t>状態</t>
  </si>
  <si>
    <t>図00-1</t>
  </si>
  <si>
    <t>試験環境の構成図（現場の構成図を貼り付け）
（00_全体像と準備）</t>
  </si>
  <si>
    <t>Windows 端末・踏み台・実行サーバ・Cognito・API Gateway・バックエンドの位置関係と通信経路（ポート番号）が分かる図</t>
  </si>
  <si>
    <t>図01-1</t>
  </si>
  <si>
    <t>java -version の実行結果
（01_Windows導入）</t>
  </si>
  <si>
    <t>PowerShell で java -version を実行した画面</t>
  </si>
  <si>
    <t>図01-2</t>
  </si>
  <si>
    <t>Temurin インストーラーの Custom Setup 画面
（01_Windows導入）</t>
  </si>
  <si>
    <t>「Set JAVA_HOME variable」を「Will be installed on local hard drive」にした状態</t>
  </si>
  <si>
    <t>図01-3</t>
  </si>
  <si>
    <t>JMeter 公式ダウンロードページ
（01_Windows導入）</t>
  </si>
  <si>
    <t>Binaries 欄の apache-jmeter-5.6.3.zip と sha512 リンクの部分</t>
  </si>
  <si>
    <t>図01-4</t>
  </si>
  <si>
    <t>ハッシュ値の照合結果
（01_Windows導入）</t>
  </si>
  <si>
    <t>PowerShell に「OK：ハッシュ値が一致しました」と表示された画面</t>
  </si>
  <si>
    <t>図01-5</t>
  </si>
  <si>
    <t>展開後の JMeter フォルダ
（01_Windows導入）</t>
  </si>
  <si>
    <t>エクスプローラーで C:\jmeter\apache-jmeter-5.6.3 を開いた画面</t>
  </si>
  <si>
    <t>図01-6</t>
  </si>
  <si>
    <t>起動時のコンソール画面
（01_Windows導入）</t>
  </si>
  <si>
    <t>jmeter.bat をダブルクリックした直後の黒い画面</t>
  </si>
  <si>
    <t>図01-7</t>
  </si>
  <si>
    <t>JMeter の起動直後の画面
（01_Windows導入）</t>
  </si>
  <si>
    <t>Apache JMeter (5.6.3) の画面全体（左に Test Plan が表示された状態）</t>
  </si>
  <si>
    <t>図01-8</t>
  </si>
  <si>
    <t>Look and Feel メニュー
（01_Windows導入）</t>
  </si>
  <si>
    <t>［Options］→［Look and Feel］を開いた状態</t>
  </si>
  <si>
    <t>図01-9</t>
  </si>
  <si>
    <t>Plugins Manager の画面
（01_Windows導入）</t>
  </si>
  <si>
    <t>［Available Plugins］タブでプラグインを選択した状態</t>
  </si>
  <si>
    <t>図02-1</t>
  </si>
  <si>
    <t>JMeter のメイン画面（各部の名称）
（02_画面の基本）</t>
  </si>
  <si>
    <t>JMeter の画面全体。下表の①～⑤の位置に番号を書き入れると分かりやすい</t>
  </si>
  <si>
    <t>図04-1</t>
  </si>
  <si>
    <t>完成したシナリオのツリー
（04_シナリオ作成）</t>
  </si>
  <si>
    <t>すべての要素を追加し終えたツリー全体（左側のツリー部分）</t>
  </si>
  <si>
    <t>図04-2</t>
  </si>
  <si>
    <t>Test Plan の設定画面
（04_シナリオ作成）</t>
  </si>
  <si>
    <t>Test Plan を選択し、User Defined Variables に 7 行を入力した状態</t>
  </si>
  <si>
    <t>図04-3</t>
  </si>
  <si>
    <t>setUp Thread Group の設定画面
（04_シナリオ作成）</t>
  </si>
  <si>
    <t>setUp_Token の設定パネル（Stop Test を選択した状態）</t>
  </si>
  <si>
    <t>図04-4</t>
  </si>
  <si>
    <t>T01_Cognito_Token の設定画面（Basic タブ）
（04_シナリオ作成）</t>
  </si>
  <si>
    <t>Protocol・Server Name・Method・Path・Parameters を入力した状態</t>
  </si>
  <si>
    <t>図04-5</t>
  </si>
  <si>
    <t>T01_Cognito_Token の Advanced タブ
（04_シナリオ作成）</t>
  </si>
  <si>
    <t>Timeouts の Connect／Response を入力した状態</t>
  </si>
  <si>
    <t>図04-6</t>
  </si>
  <si>
    <t>HDR_Token の設定画面
（04_シナリオ作成）</t>
  </si>
  <si>
    <t>Content-Type と Authorization の 2 行を入力した状態</t>
  </si>
  <si>
    <t>図04-7</t>
  </si>
  <si>
    <t>PRE_BasicAuth の設定画面
（04_シナリオ作成）</t>
  </si>
  <si>
    <t>Language＝groovy、Script にコードを貼り付けた状態</t>
  </si>
  <si>
    <t>図04-8</t>
  </si>
  <si>
    <t>EXT_AccessToken の設定画面
（04_シナリオ作成）</t>
  </si>
  <si>
    <t>Regular Expression Extractor の各項目を入力した状態</t>
  </si>
  <si>
    <t>図04-9</t>
  </si>
  <si>
    <t>POST_SaveToken の設定画面とツリーの並び順
（04_シナリオ作成）</t>
  </si>
  <si>
    <t>EXT_AccessToken の下に POST_SaveToken がある状態</t>
  </si>
  <si>
    <t>図04-10</t>
  </si>
  <si>
    <t>AST_Token_Code の設定画面
（04_シナリオ作成）</t>
  </si>
  <si>
    <t>Field to Test＝Response Code、Equals、200 を設定した状態</t>
  </si>
  <si>
    <t>図04-11</t>
  </si>
  <si>
    <t>TG01_API の設定画面
（04_シナリオ作成）</t>
  </si>
  <si>
    <t>Number of Threads 等に ${__P(…)} を入力し、Specify Thread lifetime をオンにした状態</t>
  </si>
  <si>
    <t>図04-12</t>
  </si>
  <si>
    <t>HDR_API の設定画面
（04_シナリオ作成）</t>
  </si>
  <si>
    <t>4 つのヘッダーを入力した状態（APIキーの実値は写さないこと）</t>
  </si>
  <si>
    <t>図04-13</t>
  </si>
  <si>
    <t>A01_GET_items の設定画面
（04_シナリオ作成）</t>
  </si>
  <si>
    <t>Method＝GET、Path、Parameters を入力した状態</t>
  </si>
  <si>
    <t>図04-14</t>
  </si>
  <si>
    <t>A02_POST_orders の Body Data タブ
（04_シナリオ作成）</t>
  </si>
  <si>
    <t>Method＝POST、Body Data に JSON を貼り付けた状態</t>
  </si>
  <si>
    <t>図05-1</t>
  </si>
  <si>
    <t>RegExp Tester の画面
（05_正規表現抽出）</t>
  </si>
  <si>
    <t>正規表現を入力して［Test］を押し、Match[1][1] にトークンが表示された状態（トークンは塗りつぶす）</t>
  </si>
  <si>
    <t>図05-2</t>
  </si>
  <si>
    <t>Debug Sampler の結果
（05_正規表現抽出）</t>
  </si>
  <si>
    <t>View Results Tree で Debug Sampler の Response data を表示した状態（トークンは塗りつぶす）</t>
  </si>
  <si>
    <t>図06-1</t>
  </si>
  <si>
    <t>実行中の画面
（06_GUI実行）</t>
  </si>
  <si>
    <t>実行中の右上の表示（経過時間・スレッド数）が分かる画面</t>
  </si>
  <si>
    <t>図06-2</t>
  </si>
  <si>
    <t>View Results Tree：トークン取得の結果
（06_GUI実行）</t>
  </si>
  <si>
    <t>T01_Cognito_Token を選び、Response data にレスポンスが表示された状態（トークンは塗りつぶす）</t>
  </si>
  <si>
    <t>図06-3</t>
  </si>
  <si>
    <t>View Results Tree：API 呼び出しのリクエストヘッダー
（06_GUI実行）</t>
  </si>
  <si>
    <t>A01_GET_items の Request → Request Headers（APIキーとトークンは塗りつぶす）</t>
  </si>
  <si>
    <t>図07-1</t>
  </si>
  <si>
    <t>Aggregate Report の画面
（07_結果の見方）</t>
  </si>
  <si>
    <t>GUI 実行後の Aggregate Report（ラベル別の統計）</t>
  </si>
  <si>
    <t>図07-2</t>
  </si>
  <si>
    <t>HTML レポートの Dashboard 画面
（07_結果の見方）</t>
  </si>
  <si>
    <t>index.html をブラウザで開いた最初の画面（APDEX・Requests Summary・Statistics）</t>
  </si>
  <si>
    <t>図07-3</t>
  </si>
  <si>
    <t>HTML レポートの Response Times Over Time
（07_結果の見方）</t>
  </si>
  <si>
    <t>Charts → Over Time → Response Times Over Time のグラフ</t>
  </si>
  <si>
    <t>34</t>
  </si>
  <si>
    <t>図10-1</t>
  </si>
  <si>
    <t>SSH で実行サーバにログインした画面
（10_Linux準備）</t>
  </si>
  <si>
    <t>PowerShell から ssh でログインし、プロンプトが表示された状態（IP 等は塗りつぶす）</t>
  </si>
  <si>
    <t>35</t>
  </si>
  <si>
    <t>図10-2</t>
  </si>
  <si>
    <t>jmeter -v の実行結果
（10_Linux準備）</t>
  </si>
  <si>
    <t>jmeter -v を実行し、バージョン 5.6.3 が表示された画面</t>
  </si>
  <si>
    <t>36</t>
  </si>
  <si>
    <t>図11-1</t>
  </si>
  <si>
    <t>WinSCP のログイン画面
（11_転送と配置）</t>
  </si>
  <si>
    <t>接続先（SFTP・ホスト名・ユーザー名）を入力した状態（IP 等は塗りつぶす）</t>
  </si>
  <si>
    <t>37</t>
  </si>
  <si>
    <t>図11-2</t>
  </si>
  <si>
    <t>WinSCP でのファイル転送
（11_転送と配置）</t>
  </si>
  <si>
    <t>左に端末のフォルダ、右にサーバの ~/jmeter-work を表示した状態</t>
  </si>
  <si>
    <t>38</t>
  </si>
  <si>
    <t>図11-3</t>
  </si>
  <si>
    <t>試し実行の結果
（11_転送と配置）</t>
  </si>
  <si>
    <t>試し実行の画面と cat /tmp/smoke.jtl の結果（success が true）</t>
  </si>
  <si>
    <t>39</t>
  </si>
  <si>
    <t>図12-1</t>
  </si>
  <si>
    <t>tmux で run_test.sh を実行中の画面
（12_CLI実行と監視）</t>
  </si>
  <si>
    <t>summary 行が表示されている実行中の画面</t>
  </si>
  <si>
    <t>40</t>
  </si>
  <si>
    <t>図13-1</t>
  </si>
  <si>
    <t>回収した結果フォルダ
（13_結果回収）</t>
  </si>
  <si>
    <t>エクスプローラーで展開後のフォルダ（result.jtl・jmeter.log・report）を表示した状態</t>
  </si>
  <si>
    <t>41</t>
  </si>
  <si>
    <t>図14-1</t>
  </si>
  <si>
    <t>［テキストまたは CSV から］のプレビュー画面
（14_Excel取込）</t>
  </si>
  <si>
    <t>元のファイル＝65001 : Unicode (UTF-8)、区切り記号＝コンマを選んだ状態</t>
  </si>
  <si>
    <t>42</t>
  </si>
  <si>
    <t>図14-2</t>
  </si>
  <si>
    <t>Power Query エディターで型とカスタム列を設定した画面
（14_Excel取込）</t>
  </si>
  <si>
    <t>［ソース］の式が QuoteStyle.Csv、responseCode がテキスト型、開始日時JST の列を追加した状態</t>
  </si>
  <si>
    <t>43</t>
  </si>
  <si>
    <t>図14-3</t>
  </si>
  <si>
    <t>詳細エディターに M コードを貼り付けた画面
（14_Excel取込）</t>
  </si>
  <si>
    <t>FilePath を書き換え、構文エラーがない状態</t>
  </si>
  <si>
    <t>44</t>
  </si>
  <si>
    <t>図18-1</t>
  </si>
  <si>
    <t>試験環境の構成図
（18_報告書様式）</t>
  </si>
  <si>
    <t>負荷生成サーバから試験対象までの構成と通信経路</t>
  </si>
  <si>
    <t>45</t>
  </si>
  <si>
    <t>図18-2</t>
  </si>
  <si>
    <t>応答時間の推移（HTML レポート：Response Times Over Time、または 17 の図）
（18_報告書様式）</t>
  </si>
  <si>
    <t>HTML レポートの Charts → Over Time → Response Times Over Time</t>
  </si>
  <si>
    <t>46</t>
  </si>
  <si>
    <t>図18-3</t>
  </si>
  <si>
    <t>スループットの推移（HTML レポート：Transactions Per Second）
（18_報告書様式）</t>
  </si>
  <si>
    <t>HTML レポートの Charts → Throughput → Transactions Per Second</t>
  </si>
  <si>
    <t>47</t>
  </si>
  <si>
    <t>図18-4</t>
  </si>
  <si>
    <t>スレッド数の推移（HTML レポート：Active Threads Over Time）
（18_報告書様式）</t>
  </si>
  <si>
    <t>HTML レポートの Charts → Over Time → Active Threads Over Time</t>
  </si>
  <si>
    <t>図E-1</t>
  </si>
  <si>
    <t>完成版の jmx を開いた直後の画面
（付録E_完成版jmx）</t>
  </si>
  <si>
    <t>［File］→［Open］で api_loadtest.jmx を開き、ツリーをすべて展開した状態</t>
  </si>
  <si>
    <t>スクリーンショットに、クライアントシークレット・APIキー・アクセストークン・社内の IP アドレスやホスト名が写っていないか、貼り付ける前に必ず確認してください（目次の「4. 画像の貼り付け手順」参照）。</t>
  </si>
  <si>
    <t>付録E　完成版のシナリオ（api_loadtest.jmx）</t>
  </si>
  <si>
    <t>04 の手順どおりに作ったシナリオの完成形です。自分で作ったシナリオとの見比べや、設定漏れの確認に使います。ファイルとして保存すれば、そのまま JMeter で開けます。</t>
  </si>
  <si>
    <t>1. この付録の使い方</t>
  </si>
  <si>
    <t>自分のシナリオと見比べる：3章の表で、要素の並び順・名前・主な設定値を確認します（04 の9章 セルフチェックの No.10）。</t>
  </si>
  <si>
    <t>完成版をそのまま使う：このブックと一緒に提供される api_loadtest.jmx、または 4章の全文から作ったファイルを JMeter で開き、06 の手順で動作を確認します。</t>
  </si>
  <si>
    <t>設定の意味を調べる：3章の表の各行の最後に、詳しい説明がある 04 のステップ番号を書いています。</t>
  </si>
  <si>
    <t>この jmx には、クライアントシークレットや APIキーの値は書かれていません。接続先とシークレットは、実行時に env_stg.properties（04 の2章）から読み込みます。GUI で開くときは、01 の5章の start_jmeter_stg.bat から JMeter を起動してください（properties を読み込まずに実行すると、接続先が空になりエラーになります）。</t>
  </si>
  <si>
    <t>この完成版は、04 のステップ16 まで終えた状態です（View Results Tree が有効）。実行サーバへ転送する前に、06 の8章の手順で View Results Tree を無効化して保存し直してください。</t>
  </si>
  <si>
    <t>この完成版は、JMeter 5.6.3 で読み込めること、そして検証用のダミーのサーバに対して「トークン取得 → API 呼び出し」が成功し、誤ったシークレットでは試験が止まることを確認しています。実際の環境では、API の応答の形（$.items[0].id）、送信する JSON、成功時のステータスコード（200・201）を API 仕様に合わせて変更してください。</t>
  </si>
  <si>
    <t>2. ファイルとして保存する（.jmx を作る）</t>
  </si>
  <si>
    <t>提供ファイルを使う場合</t>
  </si>
  <si>
    <t>このブックと同じフォルダにある api_loadtest.jmx を、作業フォルダにコピーします。</t>
  </si>
  <si>
    <t>提供ファイルがない場合は、手順2～4 でこのシートから作ります。</t>
  </si>
  <si>
    <t>全文をコピーする</t>
  </si>
  <si>
    <t>画面左上の名前ボックス（数式バーの左の欄）をクリックし、右の範囲を入力して Enter を押すと、4章の全文のセルがまとめて選択されます。そのまま Ctrl＋C でコピーします。</t>
  </si>
  <si>
    <t>C82:C518</t>
  </si>
  <si>
    <t>全文の途中には空のセル（スクリプトの空行）があるため、Ctrl＋Shift＋↓ では最後まで選択できません。名前ボックスを使います。</t>
  </si>
  <si>
    <t>メモ帳に貼り付ける</t>
  </si>
  <si>
    <t>メモ帳を開いて Ctrl＋V で貼り付けます。1行目が &lt;?xml version="1.0" encoding="UTF-8"?&gt; で始まり、最後の行が &lt;/jmeterTestPlan&gt; であることを確認します。</t>
  </si>
  <si>
    <t>保存する</t>
  </si>
  <si>
    <t>［ファイル］→［名前を付けて保存］で、ファイルの種類＝「すべてのファイル」、エンコード＝「UTF-8」を選んで保存します。</t>
  </si>
  <si>
    <t>ファイルの種類が「テキスト文書」のままだと api_loadtest.jmx.txt になってしまいます。</t>
  </si>
  <si>
    <t>JMeter で開く</t>
  </si>
  <si>
    <t>start_jmeter_stg.bat で JMeter を起動し、［File］→［Open］で保存したファイルを開きます。</t>
  </si>
  <si>
    <t>エラーのダイアログが出ずに、左側にツリーが表示されれば読み込み成功です。</t>
  </si>
  <si>
    <t>動作を確認する</t>
  </si>
  <si>
    <t>3章の表とツリーを見比べたあと、06 の手順で1ユーザーで実行します。</t>
  </si>
  <si>
    <t>T01・A01・A02 がすべて成功（緑）になることを確認します。</t>
  </si>
  <si>
    <t>［ 画像貼付エリア ］
図E-1　完成版の jmx を開いた直後の画面
撮影対象：［File］→［Open］で api_loadtest.jmx を開き、ツリーをすべて展開した状態
（この枠の左上のセルを選択して Ctrl+V で貼り付け、枠内に収まるようにサイズを調整してください）</t>
  </si>
  <si>
    <t>図E-1　完成版の jmx を開いた直後の画面</t>
  </si>
  <si>
    <t>3. 要素と設定値の一覧（ツリー順）</t>
  </si>
  <si>
    <t>JMeter の左側のツリーと同じ順番です。自分のシナリオの各要素をクリックし、右側の設定パネルの値がこの表と同じかを確認します。</t>
  </si>
  <si>
    <t>主な設定値（かっこ内は詳しい説明がある 04 のステップ）</t>
  </si>
  <si>
    <t>Comments＝Cognito token -&gt; API Gateway load test。User Defined Variables に 7 個の変数（COGNITO_HOST・SCOPE・CLIENT_ID・CLIENT_SECRET・API_HOST・API_STAGE・API_KEY）。値はすべて ${__P(…)} で properties ファイルから読む（04 のステップ1）</t>
  </si>
  <si>
    <t>Action to be taken after a Sampler error＝Stop Test、Number of Threads＝1、Ramp-up period＝1、Loop Count＝1（04 のステップ2）</t>
  </si>
  <si>
    <t>Protocol＝https、Server Name＝${COGNITO_HOST}、Port＝443、POST、Path＝/oauth2/token、Content encoding＝UTF-8。Parameters：grant_type＝client_credentials、scope＝${SCOPE}（どちらも URL Encode? オン）。Timeouts：Connect＝10000、Response＝30000（04 のステップ3）</t>
  </si>
  <si>
    <t>Content-Type＝application/x-www-form-urlencoded、Authorization＝Basic ${BASIC_AUTH}（04 のステップ4）</t>
  </si>
  <si>
    <t>Language＝groovy、Cache compiled script if available＝オン、Script＝04 のスクリプト（client_id:client_secret を Base64 にして BASIC_AUTH に入れる）（04 のステップ5）</t>
  </si>
  <si>
    <t>Apply to＝Main sample only、Field to check＝Body、Name of created variable＝ACCESS_TOKEN、Regular Expression＝"access_token"\s*:\s*"([^"]+)"、Template＝$1$、Match No.＝1、Default Value＝ACCESS_TOKEN_NOT_FOUND（04 のステップ6）</t>
  </si>
  <si>
    <t>Language＝groovy、Script＝04 のスクリプト（props.put でトークンをプロパティ ACCESS_TOKEN に保存）（04 のステップ7）</t>
  </si>
  <si>
    <t>Field to Test＝Response Code、Pattern Matching Rules＝Equals、Patterns to Test＝200（04 のステップ8）</t>
  </si>
  <si>
    <t>Field to Test＝Text Response、Pattern Matching Rules＝Substring、Patterns to Test＝access_token（04 のステップ8）</t>
  </si>
  <si>
    <t>Continue、Number of Threads＝${__P(threads,1)}、Ramp-up period＝${__P(rampup,1)}、Loop Count＝${__P(loops,1)}、Same user on each iteration＝オン、Specify Thread lifetime＝オン、Duration＝${__P(duration,60)}（04 のステップ9）</t>
  </si>
  <si>
    <t>Protocol＝https、Server Name＝${API_HOST}、Port＝443、Content encoding＝UTF-8、Implementation＝HttpClient4、Timeouts：Connect＝10000、Response＝30000（04 のステップ10）</t>
  </si>
  <si>
    <t>Content-Type＝application/json、Accept＝application/json、X-API-ID＝${API_KEY}、Authorization＝Bearer ${__P(ACCESS_TOKEN,TOKEN_NOT_SET)}（04 のステップ11）</t>
  </si>
  <si>
    <t>Random Delay Maximum＝2000、Constant Delay Offset＝1000（1～3 秒待つ）（04 のステップ12）</t>
  </si>
  <si>
    <t>GET、Path＝/${API_STAGE}/items、Parameters：limit＝10。Protocol・Server Name・Port は空欄（DEF_API の値を使う）（04 のステップ13）</t>
  </si>
  <si>
    <t>Field to Test＝Response Code、Equals、200（04 のステップ13）</t>
  </si>
  <si>
    <t>Names of created variables＝ITEM_ID、JSON Path expressions＝$.items[0].id、Match No.＝1、Default Values＝ITEM_ID_NOT_FOUND（04 のステップ13）</t>
  </si>
  <si>
    <t>POST、Path＝/${API_STAGE}/orders、Body Data＝04 の JSON（itemId＝${ITEM_ID}、quantity＝1、requestId＝${__UUID()}）（04 のステップ14）</t>
  </si>
  <si>
    <t>Field to Test＝Response Code、Equals、201（04 のステップ14）</t>
  </si>
  <si>
    <t>GUI での確認用。この完成版では有効。実行サーバへ転送する前に無効化する（06 の8章）（04 のステップ15）</t>
  </si>
  <si>
    <t>集計表（無効化してもよい）（04 のステップ15）</t>
  </si>
  <si>
    <t>パーセンタイル付きの集計表（無効化してもよい）（04 のステップ15）</t>
  </si>
  <si>
    <t>4. jmx ファイルの全文（437 行）</t>
  </si>
  <si>
    <t>JMeter 5.6.3 の保存形式です。「&amp;quot;」は「"」、「&amp;gt;」は「&gt;」、「&amp;apos;」は「'」を表す XML の書き方で、JMeter が読み込むときに元の文字に戻します。スクリプトの部分（&lt;stringProp name="script"&gt; の中）は、04 のステップ5・7 のスクリプトと同じ内容です。</t>
  </si>
  <si>
    <t>▼ api_loadtest.jmx（C82:C518 のセルをまとめてコピーすると、ファイルの内容になります）</t>
  </si>
  <si>
    <t>&lt;?xml version="1.0" encoding="UTF-8"?&gt;</t>
  </si>
  <si>
    <t>&lt;jmeterTestPlan version="1.2" properties="5.0" jmeter="5.6.3"&gt;</t>
  </si>
  <si>
    <t xml:space="preserve">  &lt;hashTree&gt;</t>
  </si>
  <si>
    <t xml:space="preserve">    &lt;TestPlan guiclass="TestPlanGui" testclass="TestPlan" testname="API_LoadTest"&gt;</t>
  </si>
  <si>
    <t xml:space="preserve">      &lt;stringProp name="TestPlan.comments"&gt;Cognito token -&amp;gt; API Gateway load test&lt;/stringProp&gt;</t>
  </si>
  <si>
    <t xml:space="preserve">      &lt;boolProp name="TestPlan.functional_mode"&gt;false&lt;/boolProp&gt;</t>
  </si>
  <si>
    <t xml:space="preserve">      &lt;boolProp name="TestPlan.tearDown_on_shutdown"&gt;true&lt;/boolProp&gt;</t>
  </si>
  <si>
    <t xml:space="preserve">      &lt;boolProp name="TestPlan.serialize_threadgroups"&gt;false&lt;/boolProp&gt;</t>
  </si>
  <si>
    <t xml:space="preserve">      &lt;elementProp name="TestPlan.user_defined_variables" elementType="Arguments" guiclass="ArgumentsPanel" testclass="Arguments" testname="User Defined Variables"&gt;</t>
  </si>
  <si>
    <t xml:space="preserve">        &lt;collectionProp name="Arguments.arguments"&gt;</t>
  </si>
  <si>
    <t xml:space="preserve">          &lt;elementProp name="COGNITO_HOST" elementType="Argument"&gt;</t>
  </si>
  <si>
    <t xml:space="preserve">            &lt;stringProp name="Argument.name"&gt;COGNITO_HOST&lt;/stringProp&gt;</t>
  </si>
  <si>
    <t xml:space="preserve">            &lt;stringProp name="Argument.value"&gt;${__P(cognito.host,)}&lt;/stringProp&gt;</t>
  </si>
  <si>
    <t xml:space="preserve">            &lt;stringProp name="Argument.metadata"&gt;=&lt;/stringProp&gt;</t>
  </si>
  <si>
    <t xml:space="preserve">          &lt;/elementProp&gt;</t>
  </si>
  <si>
    <t xml:space="preserve">          &lt;elementProp name="SCOPE" elementType="Argument"&gt;</t>
  </si>
  <si>
    <t xml:space="preserve">            &lt;stringProp name="Argument.name"&gt;SCOPE&lt;/stringProp&gt;</t>
  </si>
  <si>
    <t xml:space="preserve">            &lt;stringProp name="Argument.value"&gt;${__P(scope,)}&lt;/stringProp&gt;</t>
  </si>
  <si>
    <t xml:space="preserve">          &lt;elementProp name="CLIENT_ID" elementType="Argument"&gt;</t>
  </si>
  <si>
    <t xml:space="preserve">            &lt;stringProp name="Argument.name"&gt;CLIENT_ID&lt;/stringProp&gt;</t>
  </si>
  <si>
    <t xml:space="preserve">            &lt;stringProp name="Argument.value"&gt;${__P(client.id,)}&lt;/stringProp&gt;</t>
  </si>
  <si>
    <t xml:space="preserve">          &lt;elementProp name="CLIENT_SECRET" elementType="Argument"&gt;</t>
  </si>
  <si>
    <t xml:space="preserve">            &lt;stringProp name="Argument.name"&gt;CLIENT_SECRET&lt;/stringProp&gt;</t>
  </si>
  <si>
    <t xml:space="preserve">            &lt;stringProp name="Argument.value"&gt;${__P(client.secret,)}&lt;/stringProp&gt;</t>
  </si>
  <si>
    <t xml:space="preserve">          &lt;elementProp name="API_HOST" elementType="Argument"&gt;</t>
  </si>
  <si>
    <t xml:space="preserve">            &lt;stringProp name="Argument.name"&gt;API_HOST&lt;/stringProp&gt;</t>
  </si>
  <si>
    <t xml:space="preserve">            &lt;stringProp name="Argument.value"&gt;${__P(api.host,)}&lt;/stringProp&gt;</t>
  </si>
  <si>
    <t xml:space="preserve">          &lt;elementProp name="API_STAGE" elementType="Argument"&gt;</t>
  </si>
  <si>
    <t xml:space="preserve">            &lt;stringProp name="Argument.name"&gt;API_STAGE&lt;/stringProp&gt;</t>
  </si>
  <si>
    <t xml:space="preserve">            &lt;stringProp name="Argument.value"&gt;${__P(api.stage,stg)}&lt;/stringProp&gt;</t>
  </si>
  <si>
    <t xml:space="preserve">          &lt;elementProp name="API_KEY" elementType="Argument"&gt;</t>
  </si>
  <si>
    <t xml:space="preserve">            &lt;stringProp name="Argument.name"&gt;API_KEY&lt;/stringProp&gt;</t>
  </si>
  <si>
    <t xml:space="preserve">            &lt;stringProp name="Argument.value"&gt;${__P(api.key,)}&lt;/stringProp&gt;</t>
  </si>
  <si>
    <t xml:space="preserve">        &lt;/collectionProp&gt;</t>
  </si>
  <si>
    <t xml:space="preserve">      &lt;/elementProp&gt;</t>
  </si>
  <si>
    <t xml:space="preserve">      &lt;stringProp name="TestPlan.user_define_classpath"&gt;&lt;/stringProp&gt;</t>
  </si>
  <si>
    <t xml:space="preserve">    &lt;/TestPlan&gt;</t>
  </si>
  <si>
    <t xml:space="preserve">    &lt;hashTree&gt;</t>
  </si>
  <si>
    <t xml:space="preserve">      &lt;SetupThreadGroup guiclass="SetupThreadGroupGui" testclass="SetupThreadGroup" testname="setUp_Token"&gt;</t>
  </si>
  <si>
    <t xml:space="preserve">        &lt;stringProp name="ThreadGroup.on_sample_error"&gt;stoptest&lt;/stringProp&gt;</t>
  </si>
  <si>
    <t xml:space="preserve">        &lt;elementProp name="ThreadGroup.main_controller" elementType="LoopController" guiclass="LoopControlPanel" testclass="LoopController" testname="Loop Controller"&gt;</t>
  </si>
  <si>
    <t xml:space="preserve">          &lt;boolProp name="LoopController.continue_forever"&gt;false&lt;/boolProp&gt;</t>
  </si>
  <si>
    <t xml:space="preserve">          &lt;stringProp name="LoopController.loops"&gt;1&lt;/stringProp&gt;</t>
  </si>
  <si>
    <t xml:space="preserve">        &lt;/elementProp&gt;</t>
  </si>
  <si>
    <t xml:space="preserve">        &lt;stringProp name="ThreadGroup.num_threads"&gt;1&lt;/stringProp&gt;</t>
  </si>
  <si>
    <t xml:space="preserve">        &lt;stringProp name="ThreadGroup.ramp_time"&gt;1&lt;/stringProp&gt;</t>
  </si>
  <si>
    <t xml:space="preserve">        &lt;boolProp name="ThreadGroup.scheduler"&gt;false&lt;/boolProp&gt;</t>
  </si>
  <si>
    <t xml:space="preserve">        &lt;stringProp name="ThreadGroup.duration"&gt;&lt;/stringProp&gt;</t>
  </si>
  <si>
    <t xml:space="preserve">        &lt;stringProp name="ThreadGroup.delay"&gt;&lt;/stringProp&gt;</t>
  </si>
  <si>
    <t xml:space="preserve">        &lt;boolProp name="ThreadGroup.same_user_on_next_iteration"&gt;true&lt;/boolProp&gt;</t>
  </si>
  <si>
    <t xml:space="preserve">      &lt;/SetupThreadGroup&gt;</t>
  </si>
  <si>
    <t xml:space="preserve">      &lt;hashTree&gt;</t>
  </si>
  <si>
    <t xml:space="preserve">        &lt;HTTPSamplerProxy guiclass="HttpTestSampleGui" testclass="HTTPSamplerProxy" testname="T01_Cognito_Token"&gt;</t>
  </si>
  <si>
    <t xml:space="preserve">          &lt;elementProp name="HTTPsampler.Arguments" elementType="Arguments" guiclass="HTTPArgumentsPanel" testclass="Arguments" testname="User Defined Variables"&gt;</t>
  </si>
  <si>
    <t xml:space="preserve">            &lt;collectionProp name="Arguments.arguments"&gt;</t>
  </si>
  <si>
    <t xml:space="preserve">              &lt;elementProp name="grant_type" elementType="HTTPArgument"&gt;</t>
  </si>
  <si>
    <t xml:space="preserve">                &lt;boolProp name="HTTPArgument.always_encode"&gt;true&lt;/boolProp&gt;</t>
  </si>
  <si>
    <t xml:space="preserve">                &lt;stringProp name="Argument.value"&gt;client_credentials&lt;/stringProp&gt;</t>
  </si>
  <si>
    <t xml:space="preserve">                &lt;stringProp name="Argument.metadata"&gt;=&lt;/stringProp&gt;</t>
  </si>
  <si>
    <t xml:space="preserve">                &lt;boolProp name="HTTPArgument.use_equals"&gt;true&lt;/boolProp&gt;</t>
  </si>
  <si>
    <t xml:space="preserve">                &lt;stringProp name="Argument.name"&gt;grant_type&lt;/stringProp&gt;</t>
  </si>
  <si>
    <t xml:space="preserve">              &lt;/elementProp&gt;</t>
  </si>
  <si>
    <t xml:space="preserve">              &lt;elementProp name="scope" elementType="HTTPArgument"&gt;</t>
  </si>
  <si>
    <t xml:space="preserve">                &lt;stringProp name="Argument.value"&gt;${SCOPE}&lt;/stringProp&gt;</t>
  </si>
  <si>
    <t xml:space="preserve">                &lt;stringProp name="Argument.name"&gt;scope&lt;/stringProp&gt;</t>
  </si>
  <si>
    <t xml:space="preserve">            &lt;/collectionProp&gt;</t>
  </si>
  <si>
    <t xml:space="preserve">          &lt;stringProp name="HTTPSampler.domain"&gt;${COGNITO_HOST}&lt;/stringProp&gt;</t>
  </si>
  <si>
    <t xml:space="preserve">          &lt;stringProp name="HTTPSampler.port"&gt;443&lt;/stringProp&gt;</t>
  </si>
  <si>
    <t xml:space="preserve">          &lt;stringProp name="HTTPSampler.protocol"&gt;https&lt;/stringProp&gt;</t>
  </si>
  <si>
    <t xml:space="preserve">          &lt;stringProp name="HTTPSampler.contentEncoding"&gt;UTF-8&lt;/stringProp&gt;</t>
  </si>
  <si>
    <t xml:space="preserve">          &lt;stringProp name="HTTPSampler.path"&gt;/oauth2/token&lt;/stringProp&gt;</t>
  </si>
  <si>
    <t xml:space="preserve">          &lt;stringProp name="HTTPSampler.method"&gt;POST&lt;/stringProp&gt;</t>
  </si>
  <si>
    <t xml:space="preserve">          &lt;boolProp name="HTTPSampler.follow_redirects"&gt;true&lt;/boolProp&gt;</t>
  </si>
  <si>
    <t xml:space="preserve">          &lt;boolProp name="HTTPSampler.auto_redirects"&gt;false&lt;/boolProp&gt;</t>
  </si>
  <si>
    <t xml:space="preserve">          &lt;boolProp name="HTTPSampler.use_keepalive"&gt;true&lt;/boolProp&gt;</t>
  </si>
  <si>
    <t xml:space="preserve">          &lt;boolProp name="HTTPSampler.DO_MULTIPART_POST"&gt;false&lt;/boolProp&gt;</t>
  </si>
  <si>
    <t xml:space="preserve">          &lt;stringProp name="HTTPSampler.embedded_url_re"&gt;&lt;/stringProp&gt;</t>
  </si>
  <si>
    <t xml:space="preserve">          &lt;stringProp name="HTTPSampler.connect_timeout"&gt;10000&lt;/stringProp&gt;</t>
  </si>
  <si>
    <t xml:space="preserve">          &lt;stringProp name="HTTPSampler.response_timeout"&gt;30000&lt;/stringProp&gt;</t>
  </si>
  <si>
    <t xml:space="preserve">        &lt;/HTTPSamplerProxy&gt;</t>
  </si>
  <si>
    <t xml:space="preserve">        &lt;hashTree&gt;</t>
  </si>
  <si>
    <t xml:space="preserve">          &lt;HeaderManager guiclass="HeaderPanel" testclass="HeaderManager" testname="HDR_Token"&gt;</t>
  </si>
  <si>
    <t xml:space="preserve">            &lt;collectionProp name="HeaderManager.headers"&gt;</t>
  </si>
  <si>
    <t xml:space="preserve">              &lt;elementProp name="" elementType="Header"&gt;</t>
  </si>
  <si>
    <t xml:space="preserve">                &lt;stringProp name="Header.name"&gt;Content-Type&lt;/stringProp&gt;</t>
  </si>
  <si>
    <t xml:space="preserve">                &lt;stringProp name="Header.value"&gt;application/x-www-form-urlencoded&lt;/stringProp&gt;</t>
  </si>
  <si>
    <t xml:space="preserve">                &lt;stringProp name="Header.name"&gt;Authorization&lt;/stringProp&gt;</t>
  </si>
  <si>
    <t xml:space="preserve">                &lt;stringProp name="Header.value"&gt;Basic ${BASIC_AUTH}&lt;/stringProp&gt;</t>
  </si>
  <si>
    <t xml:space="preserve">          &lt;/HeaderManager&gt;</t>
  </si>
  <si>
    <t xml:space="preserve">          &lt;hashTree/&gt;</t>
  </si>
  <si>
    <t xml:space="preserve">          &lt;JSR223PreProcessor guiclass="TestBeanGUI" testclass="JSR223PreProcessor" testname="PRE_BasicAuth"&gt;</t>
  </si>
  <si>
    <t xml:space="preserve">            &lt;stringProp name="scriptLanguage"&gt;groovy&lt;/stringProp&gt;</t>
  </si>
  <si>
    <t xml:space="preserve">            &lt;stringProp name="parameters"&gt;&lt;/stringProp&gt;</t>
  </si>
  <si>
    <t xml:space="preserve">            &lt;stringProp name="filename"&gt;&lt;/stringProp&gt;</t>
  </si>
  <si>
    <t xml:space="preserve">            &lt;stringProp name="cacheKey"&gt;true&lt;/stringProp&gt;</t>
  </si>
  <si>
    <t xml:space="preserve">            &lt;stringProp name="script"&gt;// client_id:client_secret を Base64 エンコードして、変数 BASIC_AUTH に入れる</t>
  </si>
  <si>
    <t>String clientId     = vars.get(&amp;quot;CLIENT_ID&amp;quot;)</t>
  </si>
  <si>
    <t>String clientSecret = vars.get(&amp;quot;CLIENT_SECRET&amp;quot;)</t>
  </si>
  <si>
    <t xml:space="preserve">    log.error(&amp;quot;CLIENT_ID or CLIENT_SECRET is empty. Check the properties file.&amp;quot;)</t>
  </si>
  <si>
    <t>String raw     = clientId + &amp;quot;:&amp;quot; + clientSecret</t>
  </si>
  <si>
    <t>vars.put(&amp;quot;BASIC_AUTH&amp;quot;, encoded)</t>
  </si>
  <si>
    <t>log.info(&amp;quot;BASIC_AUTH created. length=&amp;quot; + encoded.length())&lt;/stringProp&gt;</t>
  </si>
  <si>
    <t xml:space="preserve">          &lt;/JSR223PreProcessor&gt;</t>
  </si>
  <si>
    <t xml:space="preserve">          &lt;RegexExtractor guiclass="RegexExtractorGui" testclass="RegexExtractor" testname="EXT_AccessToken"&gt;</t>
  </si>
  <si>
    <t xml:space="preserve">            &lt;stringProp name="RegexExtractor.useHeaders"&gt;false&lt;/stringProp&gt;</t>
  </si>
  <si>
    <t xml:space="preserve">            &lt;stringProp name="RegexExtractor.refname"&gt;ACCESS_TOKEN&lt;/stringProp&gt;</t>
  </si>
  <si>
    <t xml:space="preserve">            &lt;stringProp name="RegexExtractor.regex"&gt;&amp;quot;access_token&amp;quot;\s*:\s*&amp;quot;([^&amp;quot;]+)&amp;quot;&lt;/stringProp&gt;</t>
  </si>
  <si>
    <t xml:space="preserve">            &lt;stringProp name="RegexExtractor.template"&gt;$1$&lt;/stringProp&gt;</t>
  </si>
  <si>
    <t xml:space="preserve">            &lt;stringProp name="RegexExtractor.default"&gt;ACCESS_TOKEN_NOT_FOUND&lt;/stringProp&gt;</t>
  </si>
  <si>
    <t xml:space="preserve">            &lt;boolProp name="RegexExtractor.default_empty_value"&gt;false&lt;/boolProp&gt;</t>
  </si>
  <si>
    <t xml:space="preserve">            &lt;stringProp name="RegexExtractor.match_number"&gt;1&lt;/stringProp&gt;</t>
  </si>
  <si>
    <t xml:space="preserve">          &lt;/RegexExtractor&gt;</t>
  </si>
  <si>
    <t xml:space="preserve">          &lt;JSR223PostProcessor guiclass="TestBeanGUI" testclass="JSR223PostProcessor" testname="POST_SaveToken"&gt;</t>
  </si>
  <si>
    <t xml:space="preserve">            &lt;stringProp name="script"&gt;// 取り出したアクセストークンを「プロパティ」に保存し、全スレッドグループから使えるようにする</t>
  </si>
  <si>
    <t>String token = vars.get(&amp;quot;ACCESS_TOKEN&amp;quot;)</t>
  </si>
  <si>
    <t>if (token != null &amp;amp;&amp;amp; token != &amp;quot;ACCESS_TOKEN_NOT_FOUND&amp;quot;) {</t>
  </si>
  <si>
    <t xml:space="preserve">    props.put(&amp;quot;ACCESS_TOKEN&amp;quot;, token)</t>
  </si>
  <si>
    <t xml:space="preserve">    log.info(&amp;quot;ACCESS_TOKEN saved to properties. length=&amp;quot; + token.length())</t>
  </si>
  <si>
    <t xml:space="preserve">    log.error(&amp;quot;ACCESS_TOKEN was not extracted. Check the token response.&amp;quot;)</t>
  </si>
  <si>
    <t>}&lt;/stringProp&gt;</t>
  </si>
  <si>
    <t xml:space="preserve">          &lt;/JSR223PostProcessor&gt;</t>
  </si>
  <si>
    <t xml:space="preserve">          &lt;ResponseAssertion guiclass="AssertionGui" testclass="ResponseAssertion" testname="AST_Token_Code"&gt;</t>
  </si>
  <si>
    <t xml:space="preserve">            &lt;collectionProp name="Asserion.test_strings"&gt;</t>
  </si>
  <si>
    <t xml:space="preserve">              &lt;stringProp name="49586"&gt;200&lt;/stringProp&gt;</t>
  </si>
  <si>
    <t xml:space="preserve">            &lt;stringProp name="Assertion.custom_message"&gt;&lt;/stringProp&gt;</t>
  </si>
  <si>
    <t xml:space="preserve">            &lt;stringProp name="Assertion.test_field"&gt;Assertion.response_code&lt;/stringProp&gt;</t>
  </si>
  <si>
    <t xml:space="preserve">            &lt;boolProp name="Assertion.assume_success"&gt;false&lt;/boolProp&gt;</t>
  </si>
  <si>
    <t xml:space="preserve">            &lt;intProp name="Assertion.test_type"&gt;8&lt;/intProp&gt;</t>
  </si>
  <si>
    <t xml:space="preserve">          &lt;/ResponseAssertion&gt;</t>
  </si>
  <si>
    <t xml:space="preserve">          &lt;ResponseAssertion guiclass="AssertionGui" testclass="ResponseAssertion" testname="AST_Token_Body"&gt;</t>
  </si>
  <si>
    <t xml:space="preserve">              &lt;stringProp name="-1938933922"&gt;access_token&lt;/stringProp&gt;</t>
  </si>
  <si>
    <t xml:space="preserve">            &lt;stringProp name="Assertion.test_field"&gt;Assertion.response_data&lt;/stringProp&gt;</t>
  </si>
  <si>
    <t xml:space="preserve">            &lt;intProp name="Assertion.test_type"&gt;16&lt;/intProp&gt;</t>
  </si>
  <si>
    <t xml:space="preserve">        &lt;/hashTree&gt;</t>
  </si>
  <si>
    <t xml:space="preserve">      &lt;/hashTree&gt;</t>
  </si>
  <si>
    <t xml:space="preserve">      &lt;ThreadGroup guiclass="ThreadGroupGui" testclass="ThreadGroup" testname="TG01_API"&gt;</t>
  </si>
  <si>
    <t xml:space="preserve">        &lt;stringProp name="ThreadGroup.on_sample_error"&gt;continue&lt;/stringProp&gt;</t>
  </si>
  <si>
    <t xml:space="preserve">          &lt;stringProp name="LoopController.loops"&gt;${__P(loops,1)}&lt;/stringProp&gt;</t>
  </si>
  <si>
    <t xml:space="preserve">        &lt;stringProp name="ThreadGroup.num_threads"&gt;${__P(threads,1)}&lt;/stringProp&gt;</t>
  </si>
  <si>
    <t xml:space="preserve">        &lt;stringProp name="ThreadGroup.ramp_time"&gt;${__P(rampup,1)}&lt;/stringProp&gt;</t>
  </si>
  <si>
    <t xml:space="preserve">        &lt;boolProp name="ThreadGroup.scheduler"&gt;true&lt;/boolProp&gt;</t>
  </si>
  <si>
    <t xml:space="preserve">        &lt;stringProp name="ThreadGroup.duration"&gt;${__P(duration,60)}&lt;/stringProp&gt;</t>
  </si>
  <si>
    <t xml:space="preserve">        &lt;boolProp name="ThreadGroup.delayedStart"&gt;false&lt;/boolProp&gt;</t>
  </si>
  <si>
    <t xml:space="preserve">      &lt;/ThreadGroup&gt;</t>
  </si>
  <si>
    <t xml:space="preserve">        &lt;ConfigTestElement guiclass="HttpDefaultsGui" testclass="ConfigTestElement" testname="DEF_API"&gt;</t>
  </si>
  <si>
    <t xml:space="preserve">            &lt;collectionProp name="Arguments.arguments"/&gt;</t>
  </si>
  <si>
    <t xml:space="preserve">          &lt;stringProp name="HTTPSampler.domain"&gt;${API_HOST}&lt;/stringProp&gt;</t>
  </si>
  <si>
    <t xml:space="preserve">          &lt;stringProp name="HTTPSampler.path"&gt;&lt;/stringProp&gt;</t>
  </si>
  <si>
    <t xml:space="preserve">          &lt;stringProp name="HTTPSampler.implementation"&gt;HttpClient4&lt;/stringProp&gt;</t>
  </si>
  <si>
    <t xml:space="preserve">        &lt;/ConfigTestElement&gt;</t>
  </si>
  <si>
    <t xml:space="preserve">        &lt;hashTree/&gt;</t>
  </si>
  <si>
    <t xml:space="preserve">        &lt;HeaderManager guiclass="HeaderPanel" testclass="HeaderManager" testname="HDR_API"&gt;</t>
  </si>
  <si>
    <t xml:space="preserve">          &lt;collectionProp name="HeaderManager.headers"&gt;</t>
  </si>
  <si>
    <t xml:space="preserve">            &lt;elementProp name="" elementType="Header"&gt;</t>
  </si>
  <si>
    <t xml:space="preserve">              &lt;stringProp name="Header.name"&gt;Content-Type&lt;/stringProp&gt;</t>
  </si>
  <si>
    <t xml:space="preserve">              &lt;stringProp name="Header.value"&gt;application/json&lt;/stringProp&gt;</t>
  </si>
  <si>
    <t xml:space="preserve">            &lt;/elementProp&gt;</t>
  </si>
  <si>
    <t xml:space="preserve">              &lt;stringProp name="Header.name"&gt;Accept&lt;/stringProp&gt;</t>
  </si>
  <si>
    <t xml:space="preserve">              &lt;stringProp name="Header.name"&gt;X-API-ID&lt;/stringProp&gt;</t>
  </si>
  <si>
    <t xml:space="preserve">              &lt;stringProp name="Header.value"&gt;${API_KEY}&lt;/stringProp&gt;</t>
  </si>
  <si>
    <t xml:space="preserve">              &lt;stringProp name="Header.name"&gt;Authorization&lt;/stringProp&gt;</t>
  </si>
  <si>
    <t xml:space="preserve">              &lt;stringProp name="Header.value"&gt;Bearer ${__P(ACCESS_TOKEN,TOKEN_NOT_SET)}&lt;/stringProp&gt;</t>
  </si>
  <si>
    <t xml:space="preserve">          &lt;/collectionProp&gt;</t>
  </si>
  <si>
    <t xml:space="preserve">        &lt;/HeaderManager&gt;</t>
  </si>
  <si>
    <t xml:space="preserve">        &lt;UniformRandomTimer guiclass="UniformRandomTimerGui" testclass="UniformRandomTimer" testname="TMR_ThinkTime"&gt;</t>
  </si>
  <si>
    <t xml:space="preserve">          &lt;stringProp name="ConstantTimer.delay"&gt;1000&lt;/stringProp&gt;</t>
  </si>
  <si>
    <t xml:space="preserve">          &lt;stringProp name="RandomTimer.range"&gt;2000&lt;/stringProp&gt;</t>
  </si>
  <si>
    <t xml:space="preserve">        &lt;/UniformRandomTimer&gt;</t>
  </si>
  <si>
    <t xml:space="preserve">        &lt;HTTPSamplerProxy guiclass="HttpTestSampleGui" testclass="HTTPSamplerProxy" testname="A01_GET_items"&gt;</t>
  </si>
  <si>
    <t xml:space="preserve">              &lt;elementProp name="limit" elementType="HTTPArgument"&gt;</t>
  </si>
  <si>
    <t xml:space="preserve">                &lt;boolProp name="HTTPArgument.always_encode"&gt;false&lt;/boolProp&gt;</t>
  </si>
  <si>
    <t xml:space="preserve">                &lt;stringProp name="Argument.value"&gt;10&lt;/stringProp&gt;</t>
  </si>
  <si>
    <t xml:space="preserve">                &lt;stringProp name="Argument.name"&gt;limit&lt;/stringProp&gt;</t>
  </si>
  <si>
    <t xml:space="preserve">          &lt;stringProp name="HTTPSampler.domain"&gt;&lt;/stringProp&gt;</t>
  </si>
  <si>
    <t xml:space="preserve">          &lt;stringProp name="HTTPSampler.port"&gt;&lt;/stringProp&gt;</t>
  </si>
  <si>
    <t xml:space="preserve">          &lt;stringProp name="HTTPSampler.protocol"&gt;&lt;/stringProp&gt;</t>
  </si>
  <si>
    <t xml:space="preserve">          &lt;stringProp name="HTTPSampler.contentEncoding"&gt;&lt;/stringProp&gt;</t>
  </si>
  <si>
    <t xml:space="preserve">          &lt;stringProp name="HTTPSampler.path"&gt;/${API_STAGE}/items&lt;/stringProp&gt;</t>
  </si>
  <si>
    <t xml:space="preserve">          &lt;stringProp name="HTTPSampler.method"&gt;GET&lt;/stringProp&gt;</t>
  </si>
  <si>
    <t xml:space="preserve">          &lt;stringProp name="HTTPSampler.connect_timeout"&gt;&lt;/stringProp&gt;</t>
  </si>
  <si>
    <t xml:space="preserve">          &lt;stringProp name="HTTPSampler.response_timeout"&gt;&lt;/stringProp&gt;</t>
  </si>
  <si>
    <t xml:space="preserve">          &lt;ResponseAssertion guiclass="AssertionGui" testclass="ResponseAssertion" testname="AST_A01_Code"&gt;</t>
  </si>
  <si>
    <t xml:space="preserve">          &lt;JSONPostProcessor guiclass="JSONPostProcessorGui" testclass="JSONPostProcessor" testname="EXT_ItemId"&gt;</t>
  </si>
  <si>
    <t xml:space="preserve">            &lt;stringProp name="JSONPostProcessor.referenceNames"&gt;ITEM_ID&lt;/stringProp&gt;</t>
  </si>
  <si>
    <t xml:space="preserve">            &lt;stringProp name="JSONPostProcessor.jsonPathExprs"&gt;$.items[0].id&lt;/stringProp&gt;</t>
  </si>
  <si>
    <t xml:space="preserve">            &lt;stringProp name="JSONPostProcessor.match_numbers"&gt;1&lt;/stringProp&gt;</t>
  </si>
  <si>
    <t xml:space="preserve">            &lt;stringProp name="JSONPostProcessor.defaultValues"&gt;ITEM_ID_NOT_FOUND&lt;/stringProp&gt;</t>
  </si>
  <si>
    <t xml:space="preserve">          &lt;/JSONPostProcessor&gt;</t>
  </si>
  <si>
    <t xml:space="preserve">        &lt;HTTPSamplerProxy guiclass="HttpTestSampleGui" testclass="HTTPSamplerProxy" testname="A02_POST_orders"&gt;</t>
  </si>
  <si>
    <t xml:space="preserve">          &lt;elementProp name="HTTPsampler.Arguments" elementType="Arguments"&gt;</t>
  </si>
  <si>
    <t xml:space="preserve">              &lt;elementProp name="" elementType="HTTPArgument"&gt;</t>
  </si>
  <si>
    <t xml:space="preserve">                &lt;stringProp name="Argument.value"&gt;{</t>
  </si>
  <si>
    <t xml:space="preserve">  &amp;quot;itemId&amp;quot;: &amp;quot;${ITEM_ID}&amp;quot;,</t>
  </si>
  <si>
    <t xml:space="preserve">  &amp;quot;quantity&amp;quot;: 1,</t>
  </si>
  <si>
    <t xml:space="preserve">  &amp;quot;requestId&amp;quot;: &amp;quot;${__UUID()}&amp;quot;</t>
  </si>
  <si>
    <t xml:space="preserve">          &lt;boolProp name="HTTPSampler.postBodyRaw"&gt;true&lt;/boolProp&gt;</t>
  </si>
  <si>
    <t xml:space="preserve">          &lt;stringProp name="HTTPSampler.path"&gt;/${API_STAGE}/orders&lt;/stringProp&gt;</t>
  </si>
  <si>
    <t xml:space="preserve">          &lt;ResponseAssertion guiclass="AssertionGui" testclass="ResponseAssertion" testname="AST_A02_Code"&gt;</t>
  </si>
  <si>
    <t xml:space="preserve">              &lt;stringProp name="49587"&gt;201&lt;/stringProp&gt;</t>
  </si>
  <si>
    <t xml:space="preserve">      &lt;ResultCollector guiclass="ViewResultsFullVisualizer" testclass="ResultCollector" testname="View Results Tree"&gt;</t>
  </si>
  <si>
    <t xml:space="preserve">        &lt;boolProp name="ResultCollector.error_logging"&gt;false&lt;/boolProp&gt;</t>
  </si>
  <si>
    <t xml:space="preserve">        &lt;objProp&gt;</t>
  </si>
  <si>
    <t xml:space="preserve">          &lt;name&gt;saveConfig&lt;/name&gt;</t>
  </si>
  <si>
    <t xml:space="preserve">          &lt;value class="SampleSaveConfiguration"&gt;</t>
  </si>
  <si>
    <t xml:space="preserve">            &lt;time&gt;true&lt;/time&gt;</t>
  </si>
  <si>
    <t xml:space="preserve">            &lt;latency&gt;true&lt;/latency&gt;</t>
  </si>
  <si>
    <t xml:space="preserve">            &lt;timestamp&gt;true&lt;/timestamp&gt;</t>
  </si>
  <si>
    <t xml:space="preserve">            &lt;success&gt;true&lt;/success&gt;</t>
  </si>
  <si>
    <t xml:space="preserve">            &lt;label&gt;true&lt;/label&gt;</t>
  </si>
  <si>
    <t xml:space="preserve">            &lt;code&gt;true&lt;/code&gt;</t>
  </si>
  <si>
    <t xml:space="preserve">            &lt;message&gt;true&lt;/message&gt;</t>
  </si>
  <si>
    <t xml:space="preserve">            &lt;threadName&gt;true&lt;/threadName&gt;</t>
  </si>
  <si>
    <t xml:space="preserve">            &lt;dataType&gt;true&lt;/dataType&gt;</t>
  </si>
  <si>
    <t xml:space="preserve">            &lt;encoding&gt;false&lt;/encoding&gt;</t>
  </si>
  <si>
    <t xml:space="preserve">            &lt;assertions&gt;true&lt;/assertions&gt;</t>
  </si>
  <si>
    <t xml:space="preserve">            &lt;subresults&gt;true&lt;/subresults&gt;</t>
  </si>
  <si>
    <t xml:space="preserve">            &lt;responseData&gt;false&lt;/responseData&gt;</t>
  </si>
  <si>
    <t xml:space="preserve">            &lt;samplerData&gt;false&lt;/samplerData&gt;</t>
  </si>
  <si>
    <t xml:space="preserve">            &lt;xml&gt;false&lt;/xml&gt;</t>
  </si>
  <si>
    <t xml:space="preserve">            &lt;fieldNames&gt;true&lt;/fieldNames&gt;</t>
  </si>
  <si>
    <t xml:space="preserve">            &lt;responseHeaders&gt;false&lt;/responseHeaders&gt;</t>
  </si>
  <si>
    <t xml:space="preserve">            &lt;requestHeaders&gt;false&lt;/requestHeaders&gt;</t>
  </si>
  <si>
    <t xml:space="preserve">            &lt;responseDataOnError&gt;false&lt;/responseDataOnError&gt;</t>
  </si>
  <si>
    <t xml:space="preserve">            &lt;saveAssertionResultsFailureMessage&gt;true&lt;/saveAssertionResultsFailureMessage&gt;</t>
  </si>
  <si>
    <t xml:space="preserve">            &lt;assertionsResultsToSave&gt;0&lt;/assertionsResultsToSave&gt;</t>
  </si>
  <si>
    <t xml:space="preserve">            &lt;bytes&gt;true&lt;/bytes&gt;</t>
  </si>
  <si>
    <t xml:space="preserve">            &lt;sentBytes&gt;true&lt;/sentBytes&gt;</t>
  </si>
  <si>
    <t xml:space="preserve">            &lt;url&gt;true&lt;/url&gt;</t>
  </si>
  <si>
    <t xml:space="preserve">            &lt;threadCounts&gt;true&lt;/threadCounts&gt;</t>
  </si>
  <si>
    <t xml:space="preserve">            &lt;idleTime&gt;true&lt;/idleTime&gt;</t>
  </si>
  <si>
    <t xml:space="preserve">            &lt;connectTime&gt;true&lt;/connectTime&gt;</t>
  </si>
  <si>
    <t xml:space="preserve">          &lt;/value&gt;</t>
  </si>
  <si>
    <t xml:space="preserve">        &lt;/objProp&gt;</t>
  </si>
  <si>
    <t xml:space="preserve">        &lt;stringProp name="filename"&gt;&lt;/stringProp&gt;</t>
  </si>
  <si>
    <t xml:space="preserve">      &lt;/ResultCollector&gt;</t>
  </si>
  <si>
    <t xml:space="preserve">      &lt;hashTree/&gt;</t>
  </si>
  <si>
    <t xml:space="preserve">      &lt;ResultCollector guiclass="SummaryReport" testclass="ResultCollector" testname="Summary Report"&gt;</t>
  </si>
  <si>
    <t xml:space="preserve">      &lt;ResultCollector guiclass="StatVisualizer" testclass="ResultCollector" testname="Aggregate Report"&gt;</t>
  </si>
  <si>
    <t xml:space="preserve">    &lt;/hashTree&gt;</t>
  </si>
  <si>
    <t xml:space="preserve">  &lt;/hashTree&gt;</t>
  </si>
  <si>
    <t>&lt;/jmeterTestPlan&gt;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</si>
</sst>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76" formatCode="0.0&quot; 件/秒&quot;"/>
    <numFmt numFmtId="177" formatCode="#,##0&quot; ms&quot;"/>
    <numFmt numFmtId="178" formatCode="#,##0&quot; 秒&quot;"/>
    <numFmt numFmtId="179" formatCode="0.00&quot; 秒&quot;"/>
    <numFmt numFmtId="180" formatCode="0.000&quot; 件/秒&quot;"/>
    <numFmt numFmtId="181" formatCode="0.0&quot; スレッド&quot;"/>
    <numFmt numFmtId="182" formatCode="0&quot; スレッド&quot;"/>
    <numFmt numFmtId="183" formatCode="#,##0&quot; 件&quot;"/>
    <numFmt numFmtId="184" formatCode="0.00&quot; MB&quot;"/>
    <numFmt numFmtId="185" formatCode="0.0%"/>
    <numFmt numFmtId="186" formatCode="0.0"/>
    <numFmt numFmtId="187" formatCode="yyyy/mm/dd\ hh:mm:ss"/>
    <numFmt numFmtId="188" formatCode="#,##0.0"/>
    <numFmt numFmtId="189" formatCode="hh:mm"/>
    <numFmt numFmtId="190" formatCode="yyyy/mm/dd\ hh:mm:ss.000"/>
    <numFmt numFmtId="191" formatCode="0.000"/>
    <numFmt numFmtId="192" formatCode="#,##0&quot; スレッド&quot;"/>
    <numFmt numFmtId="193" formatCode="#,##0&quot; ms 以下&quot;"/>
    <numFmt numFmtId="194" formatCode="0.0%&quot; 未満&quot;"/>
    <numFmt numFmtId="195" formatCode="0.0&quot; 件/秒 以上&quot;"/>
    <numFmt numFmtId="196" formatCode="yyyy/mm/dd"/>
  </numFmts>
  <fonts count="28" x14ac:knownFonts="1">
    <font>
      <sz val="10"/>
      <color theme="1"/>
      <name val="Meiryo UI"/>
      <family val="2"/>
      <scheme val="minor"/>
    </font>
    <font>
      <sz val="10"/>
      <color rgb="FF1A1A1A"/>
      <name val="Meiryo UI"/>
      <charset val="128"/>
    </font>
    <font>
      <sz val="11"/>
      <color rgb="FF595959"/>
      <name val="Meiryo UI"/>
      <charset val="128"/>
    </font>
    <font>
      <b/>
      <sz val="26"/>
      <color rgb="FF1A1A1A"/>
      <name val="Meiryo UI"/>
      <charset val="128"/>
    </font>
    <font>
      <b/>
      <sz val="13"/>
      <color rgb="FF404040"/>
      <name val="Meiryo UI"/>
      <charset val="128"/>
    </font>
    <font>
      <b/>
      <sz val="11.5"/>
      <color rgb="FFFFFFFF"/>
      <name val="Meiryo UI"/>
      <charset val="128"/>
    </font>
    <font>
      <b/>
      <sz val="10"/>
      <color rgb="FF1A1A1A"/>
      <name val="Meiryo UI"/>
      <charset val="128"/>
    </font>
    <font>
      <b/>
      <sz val="10"/>
      <color rgb="FFFFFFFF"/>
      <name val="Meiryo UI"/>
      <charset val="128"/>
    </font>
    <font>
      <b/>
      <sz val="16"/>
      <color rgb="FFFFFFFF"/>
      <name val="Meiryo UI"/>
      <charset val="128"/>
    </font>
    <font>
      <sz val="9.5"/>
      <color rgb="FF595959"/>
      <name val="Meiryo UI"/>
      <charset val="128"/>
    </font>
    <font>
      <u/>
      <sz val="9.5"/>
      <color rgb="FF1A1A1A"/>
      <name val="Meiryo UI"/>
      <charset val="128"/>
    </font>
    <font>
      <b/>
      <sz val="12.5"/>
      <color rgb="FFFFFFFF"/>
      <name val="Meiryo UI"/>
      <charset val="128"/>
    </font>
    <font>
      <b/>
      <sz val="9"/>
      <color rgb="FFFFFFFF"/>
      <name val="Meiryo UI"/>
      <charset val="128"/>
    </font>
    <font>
      <b/>
      <sz val="10.5"/>
      <color rgb="FFFFFFFF"/>
      <name val="Meiryo UI"/>
      <charset val="128"/>
    </font>
    <font>
      <b/>
      <sz val="11"/>
      <color rgb="FF1A1A1A"/>
      <name val="Meiryo UI"/>
      <charset val="128"/>
    </font>
    <font>
      <sz val="10"/>
      <color rgb="FF808080"/>
      <name val="Meiryo UI"/>
      <charset val="128"/>
    </font>
    <font>
      <b/>
      <sz val="9.5"/>
      <color rgb="FF595959"/>
      <name val="Meiryo UI"/>
      <charset val="128"/>
    </font>
    <font>
      <sz val="9.5"/>
      <color rgb="FF1A1A1A"/>
      <name val="Meiryo UI"/>
      <charset val="128"/>
    </font>
    <font>
      <b/>
      <sz val="9"/>
      <color rgb="FF1A1A1A"/>
      <name val="Meiryo UI"/>
      <charset val="128"/>
    </font>
    <font>
      <b/>
      <sz val="9"/>
      <color rgb="FF595959"/>
      <name val="Meiryo UI"/>
      <charset val="128"/>
    </font>
    <font>
      <b/>
      <sz val="10.5"/>
      <color rgb="FF1A1A1A"/>
      <name val="Meiryo UI"/>
      <charset val="128"/>
    </font>
    <font>
      <b/>
      <sz val="9.5"/>
      <color rgb="FFFFFFFF"/>
      <name val="Meiryo UI"/>
      <charset val="128"/>
    </font>
    <font>
      <b/>
      <sz val="9.5"/>
      <color rgb="FF1A1A1A"/>
      <name val="Meiryo UI"/>
      <charset val="128"/>
    </font>
    <font>
      <b/>
      <sz val="11"/>
      <color rgb="FFFFFFFF"/>
      <name val="Meiryo UI"/>
      <charset val="128"/>
    </font>
    <font>
      <b/>
      <sz val="12"/>
      <color rgb="FF1A1A1A"/>
      <name val="Meiryo UI"/>
      <charset val="128"/>
    </font>
    <font>
      <sz val="9"/>
      <color rgb="FF1A1A1A"/>
      <name val="Meiryo UI"/>
      <charset val="128"/>
    </font>
    <font>
      <b/>
      <u/>
      <sz val="10"/>
      <color rgb="FF1A1A1A"/>
      <name val="Meiryo UI"/>
      <charset val="128"/>
    </font>
    <font>
      <sz val="6"/>
      <name val="Meiryo UI"/>
      <family val="3"/>
      <charset val="128"/>
      <scheme val="minor"/>
    </font>
  </fonts>
  <fills count="11">
    <fill>
      <patternFill patternType="none"/>
    </fill>
    <fill>
      <patternFill patternType="gray125"/>
    </fill>
    <fill>
      <patternFill patternType="solid">
        <fgColor rgb="FF262626"/>
        <bgColor rgb="FF262626"/>
      </patternFill>
    </fill>
    <fill>
      <patternFill patternType="solid">
        <fgColor rgb="FF404040"/>
        <bgColor rgb="FF404040"/>
      </patternFill>
    </fill>
    <fill>
      <patternFill patternType="solid">
        <fgColor rgb="FFF2F2F2"/>
        <bgColor rgb="FFF2F2F2"/>
      </patternFill>
    </fill>
    <fill>
      <patternFill patternType="solid">
        <fgColor rgb="FFFFFFFF"/>
        <bgColor rgb="FFFFFFFF"/>
      </patternFill>
    </fill>
    <fill>
      <patternFill patternType="solid">
        <fgColor rgb="FF595959"/>
        <bgColor rgb="FF595959"/>
      </patternFill>
    </fill>
    <fill>
      <patternFill patternType="solid">
        <fgColor rgb="FFF7F7F7"/>
        <bgColor rgb="FFF7F7F7"/>
      </patternFill>
    </fill>
    <fill>
      <patternFill patternType="solid">
        <fgColor rgb="FFFAFAFA"/>
        <bgColor rgb="FFFAFAFA"/>
      </patternFill>
    </fill>
    <fill>
      <patternFill patternType="solid">
        <fgColor rgb="FFD9D9D9"/>
        <bgColor rgb="FFD9D9D9"/>
      </patternFill>
    </fill>
    <fill>
      <patternFill patternType="solid">
        <fgColor rgb="FFEDEDED"/>
        <bgColor rgb="FFEDEDED"/>
      </patternFill>
    </fill>
  </fills>
  <borders count="50">
    <border>
      <left/>
      <right/>
      <top/>
      <bottom/>
      <diagonal/>
    </border>
    <border>
      <left/>
      <right/>
      <top/>
      <bottom style="medium">
        <color rgb="FF262626"/>
      </bottom>
      <diagonal/>
    </border>
    <border>
      <left/>
      <right/>
      <top/>
      <bottom style="medium">
        <color rgb="FF262626"/>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dotted">
        <color rgb="FF000000"/>
      </left>
      <right style="dotted">
        <color rgb="FF000000"/>
      </right>
      <top style="dotted">
        <color rgb="FF000000"/>
      </top>
      <bottom style="dotted">
        <color rgb="FF000000"/>
      </bottom>
      <diagonal/>
    </border>
    <border>
      <left/>
      <right/>
      <top style="dotted">
        <color rgb="FF000000"/>
      </top>
      <bottom/>
      <diagonal/>
    </border>
    <border>
      <left/>
      <right style="dotted">
        <color rgb="FF000000"/>
      </right>
      <top style="dotted">
        <color rgb="FF000000"/>
      </top>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n">
        <color rgb="FF595959"/>
      </left>
      <right style="thin">
        <color rgb="FF595959"/>
      </right>
      <top style="thin">
        <color rgb="FF595959"/>
      </top>
      <bottom style="thin">
        <color rgb="FF595959"/>
      </bottom>
      <diagonal/>
    </border>
    <border>
      <left/>
      <right style="thin">
        <color rgb="FFBFBFBF"/>
      </right>
      <top style="thin">
        <color rgb="FFBFBFBF"/>
      </top>
      <bottom style="thin">
        <color rgb="FFBFBFBF"/>
      </bottom>
      <diagonal/>
    </border>
    <border>
      <left style="thin">
        <color rgb="FFFFFFFF"/>
      </left>
      <right style="thin">
        <color rgb="FFFFFFFF"/>
      </right>
      <top/>
      <bottom/>
      <diagonal/>
    </border>
    <border>
      <left/>
      <right style="thin">
        <color rgb="FFFFFFFF"/>
      </right>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mediumDashed">
        <color rgb="FF808080"/>
      </left>
      <right style="mediumDashed">
        <color rgb="FF808080"/>
      </right>
      <top style="mediumDashed">
        <color rgb="FF808080"/>
      </top>
      <bottom style="mediumDashed">
        <color rgb="FF808080"/>
      </bottom>
      <diagonal/>
    </border>
    <border>
      <left/>
      <right/>
      <top style="mediumDashed">
        <color rgb="FF808080"/>
      </top>
      <bottom/>
      <diagonal/>
    </border>
    <border>
      <left style="mediumDashed">
        <color rgb="FF808080"/>
      </left>
      <right/>
      <top/>
      <bottom/>
      <diagonal/>
    </border>
    <border>
      <left/>
      <right style="mediumDashed">
        <color rgb="FF808080"/>
      </right>
      <top style="mediumDashed">
        <color rgb="FF808080"/>
      </top>
      <bottom/>
      <diagonal/>
    </border>
    <border>
      <left/>
      <right style="mediumDashed">
        <color rgb="FF808080"/>
      </right>
      <top/>
      <bottom/>
      <diagonal/>
    </border>
    <border>
      <left style="mediumDashed">
        <color rgb="FF808080"/>
      </left>
      <right/>
      <top/>
      <bottom style="mediumDashed">
        <color rgb="FF808080"/>
      </bottom>
      <diagonal/>
    </border>
    <border>
      <left/>
      <right/>
      <top/>
      <bottom style="mediumDashed">
        <color rgb="FF808080"/>
      </bottom>
      <diagonal/>
    </border>
    <border>
      <left/>
      <right style="mediumDashed">
        <color rgb="FF808080"/>
      </right>
      <top/>
      <bottom style="mediumDashed">
        <color rgb="FF808080"/>
      </bottom>
      <diagonal/>
    </border>
    <border>
      <left style="thick">
        <color rgb="FF262626"/>
      </left>
      <right/>
      <top/>
      <bottom/>
      <diagonal/>
    </border>
    <border>
      <left style="thin">
        <color rgb="FFFFFFFF"/>
      </left>
      <right style="thin">
        <color rgb="FFFFFFFF"/>
      </right>
      <top style="thin">
        <color rgb="FF595959"/>
      </top>
      <bottom style="thin">
        <color rgb="FF595959"/>
      </bottom>
      <diagonal/>
    </border>
    <border>
      <left/>
      <right style="thin">
        <color rgb="FFFFFFFF"/>
      </right>
      <top style="thin">
        <color rgb="FF595959"/>
      </top>
      <bottom style="thin">
        <color rgb="FF595959"/>
      </bottom>
      <diagonal/>
    </border>
    <border>
      <left style="thin">
        <color rgb="FF262626"/>
      </left>
      <right style="thin">
        <color rgb="FF262626"/>
      </right>
      <top style="thin">
        <color rgb="FF262626"/>
      </top>
      <bottom style="thin">
        <color rgb="FF262626"/>
      </bottom>
      <diagonal/>
    </border>
    <border>
      <left style="thin">
        <color rgb="FFD9D9D9"/>
      </left>
      <right style="thin">
        <color rgb="FFD9D9D9"/>
      </right>
      <top style="thin">
        <color rgb="FFD9D9D9"/>
      </top>
      <bottom style="thin">
        <color rgb="FFD9D9D9"/>
      </bottom>
      <diagonal/>
    </border>
    <border>
      <left style="medium">
        <color rgb="FF808080"/>
      </left>
      <right/>
      <top style="thin">
        <color rgb="FFBFBFBF"/>
      </top>
      <bottom/>
      <diagonal/>
    </border>
    <border>
      <left/>
      <right/>
      <top style="thin">
        <color rgb="FFBFBFBF"/>
      </top>
      <bottom/>
      <diagonal/>
    </border>
    <border>
      <left/>
      <right style="thin">
        <color rgb="FFBFBFBF"/>
      </right>
      <top style="thin">
        <color rgb="FFBFBFBF"/>
      </top>
      <bottom/>
      <diagonal/>
    </border>
    <border>
      <left style="medium">
        <color rgb="FF808080"/>
      </left>
      <right/>
      <top/>
      <bottom/>
      <diagonal/>
    </border>
    <border>
      <left/>
      <right/>
      <top/>
      <bottom/>
      <diagonal/>
    </border>
    <border>
      <left/>
      <right style="thin">
        <color rgb="FFBFBFBF"/>
      </right>
      <top/>
      <bottom/>
      <diagonal/>
    </border>
    <border>
      <left style="medium">
        <color rgb="FF808080"/>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595959"/>
      </top>
      <bottom style="thin">
        <color rgb="FF595959"/>
      </bottom>
      <diagonal/>
    </border>
    <border>
      <left style="medium">
        <color rgb="FF808080"/>
      </left>
      <right/>
      <top style="thin">
        <color rgb="FFBFBFBF"/>
      </top>
      <bottom style="thin">
        <color rgb="FFBFBFBF"/>
      </bottom>
      <diagonal/>
    </border>
    <border>
      <left/>
      <right/>
      <top style="thin">
        <color rgb="FFBFBFBF"/>
      </top>
      <bottom style="thin">
        <color rgb="FFBFBFBF"/>
      </bottom>
      <diagonal/>
    </border>
    <border>
      <left/>
      <right/>
      <top/>
      <bottom style="thin">
        <color rgb="FF808080"/>
      </bottom>
      <diagonal/>
    </border>
    <border>
      <left/>
      <right/>
      <top/>
      <bottom style="thin">
        <color rgb="FF808080"/>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right style="mediumDashed">
        <color rgb="FF808080"/>
      </right>
      <top style="mediumDashed">
        <color rgb="FF808080"/>
      </top>
      <bottom style="mediumDashed">
        <color rgb="FF808080"/>
      </bottom>
      <diagonal/>
    </border>
  </borders>
  <cellStyleXfs count="1">
    <xf numFmtId="0" fontId="0" fillId="0" borderId="0"/>
  </cellStyleXfs>
  <cellXfs count="220">
    <xf numFmtId="0" fontId="0" fillId="0" borderId="0" xfId="0"/>
    <xf numFmtId="0" fontId="7" fillId="6" borderId="3"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6" xfId="0" applyFont="1" applyFill="1" applyBorder="1" applyAlignment="1">
      <alignment horizontal="center" vertical="center"/>
    </xf>
    <xf numFmtId="0" fontId="10" fillId="0" borderId="0" xfId="0" applyFont="1" applyAlignment="1">
      <alignment horizontal="right" vertical="center"/>
    </xf>
    <xf numFmtId="0" fontId="1" fillId="0" borderId="0" xfId="0" applyFont="1" applyAlignment="1">
      <alignment horizontal="right" vertical="top"/>
    </xf>
    <xf numFmtId="0" fontId="6" fillId="9" borderId="3" xfId="0" applyFont="1" applyFill="1" applyBorder="1" applyAlignment="1">
      <alignment horizontal="center" vertical="center"/>
    </xf>
    <xf numFmtId="0" fontId="7" fillId="6" borderId="26" xfId="0" applyFont="1" applyFill="1" applyBorder="1" applyAlignment="1">
      <alignment horizontal="center" vertical="center" wrapText="1"/>
    </xf>
    <xf numFmtId="0" fontId="1" fillId="5" borderId="3" xfId="0" applyFont="1" applyFill="1" applyBorder="1" applyAlignment="1">
      <alignment horizontal="center" vertical="top" wrapText="1"/>
    </xf>
    <xf numFmtId="0" fontId="26" fillId="5" borderId="3" xfId="0" applyFont="1" applyFill="1" applyBorder="1" applyAlignment="1">
      <alignment horizontal="left" vertical="top" wrapText="1"/>
    </xf>
    <xf numFmtId="0" fontId="1" fillId="5" borderId="3" xfId="0" applyFont="1" applyFill="1" applyBorder="1" applyAlignment="1">
      <alignment horizontal="left" vertical="top" wrapText="1"/>
    </xf>
    <xf numFmtId="0" fontId="1" fillId="7" borderId="3" xfId="0" applyFont="1" applyFill="1" applyBorder="1" applyAlignment="1">
      <alignment horizontal="center" vertical="top" wrapText="1"/>
    </xf>
    <xf numFmtId="0" fontId="26" fillId="7" borderId="3" xfId="0" applyFont="1" applyFill="1" applyBorder="1" applyAlignment="1">
      <alignment horizontal="left" vertical="top" wrapText="1"/>
    </xf>
    <xf numFmtId="0" fontId="1" fillId="7" borderId="3" xfId="0" applyFont="1" applyFill="1" applyBorder="1" applyAlignment="1">
      <alignment horizontal="left" vertical="top" wrapText="1"/>
    </xf>
    <xf numFmtId="0" fontId="6" fillId="5" borderId="3" xfId="0" applyFont="1" applyFill="1" applyBorder="1" applyAlignment="1">
      <alignment horizontal="left" vertical="top" wrapText="1"/>
    </xf>
    <xf numFmtId="0" fontId="6" fillId="7" borderId="3" xfId="0" applyFont="1" applyFill="1" applyBorder="1" applyAlignment="1">
      <alignment horizontal="left" vertical="top" wrapText="1"/>
    </xf>
    <xf numFmtId="0" fontId="12" fillId="6" borderId="11"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4" fillId="4" borderId="3" xfId="0" applyFont="1" applyFill="1" applyBorder="1" applyAlignment="1">
      <alignment horizontal="center" vertical="center"/>
    </xf>
    <xf numFmtId="0" fontId="6" fillId="5" borderId="15" xfId="0" applyFont="1" applyFill="1" applyBorder="1" applyAlignment="1">
      <alignment vertical="center" wrapText="1" indent="1"/>
    </xf>
    <xf numFmtId="0" fontId="1" fillId="7" borderId="3" xfId="0" applyFont="1" applyFill="1" applyBorder="1" applyAlignment="1">
      <alignment vertical="center" wrapText="1" indent="1"/>
    </xf>
    <xf numFmtId="0" fontId="1" fillId="5" borderId="6" xfId="0" applyFont="1" applyFill="1" applyBorder="1" applyAlignment="1">
      <alignment horizontal="left" vertical="top" wrapText="1"/>
    </xf>
    <xf numFmtId="0" fontId="12" fillId="2" borderId="28" xfId="0" applyFont="1" applyFill="1" applyBorder="1" applyAlignment="1">
      <alignment horizontal="center" vertical="center" wrapText="1"/>
    </xf>
    <xf numFmtId="0" fontId="1" fillId="10" borderId="3" xfId="0" applyFont="1" applyFill="1" applyBorder="1" applyAlignment="1">
      <alignment horizontal="left" vertical="top" wrapText="1"/>
    </xf>
    <xf numFmtId="0" fontId="7" fillId="6" borderId="26" xfId="0" applyFont="1" applyFill="1" applyBorder="1" applyAlignment="1">
      <alignment horizontal="center" vertical="center"/>
    </xf>
    <xf numFmtId="176" fontId="14" fillId="5" borderId="6" xfId="0" applyNumberFormat="1" applyFont="1" applyFill="1" applyBorder="1" applyAlignment="1">
      <alignment horizontal="center" vertical="center"/>
    </xf>
    <xf numFmtId="177" fontId="14" fillId="5" borderId="6" xfId="0" applyNumberFormat="1" applyFont="1" applyFill="1" applyBorder="1" applyAlignment="1">
      <alignment horizontal="center" vertical="center"/>
    </xf>
    <xf numFmtId="9" fontId="14" fillId="5" borderId="6" xfId="0" applyNumberFormat="1" applyFont="1" applyFill="1" applyBorder="1" applyAlignment="1">
      <alignment horizontal="center" vertical="center"/>
    </xf>
    <xf numFmtId="178" fontId="14" fillId="5" borderId="6" xfId="0" applyNumberFormat="1" applyFont="1" applyFill="1" applyBorder="1" applyAlignment="1">
      <alignment horizontal="center" vertical="center"/>
    </xf>
    <xf numFmtId="179" fontId="14" fillId="4" borderId="3" xfId="0" applyNumberFormat="1" applyFont="1" applyFill="1" applyBorder="1" applyAlignment="1">
      <alignment horizontal="center" vertical="center"/>
    </xf>
    <xf numFmtId="180" fontId="14" fillId="4" borderId="3" xfId="0" applyNumberFormat="1" applyFont="1" applyFill="1" applyBorder="1" applyAlignment="1">
      <alignment horizontal="center" vertical="center"/>
    </xf>
    <xf numFmtId="181" fontId="14" fillId="4" borderId="3" xfId="0" applyNumberFormat="1" applyFont="1" applyFill="1" applyBorder="1" applyAlignment="1">
      <alignment horizontal="center" vertical="center"/>
    </xf>
    <xf numFmtId="182" fontId="14" fillId="4" borderId="3" xfId="0" applyNumberFormat="1" applyFont="1" applyFill="1" applyBorder="1" applyAlignment="1">
      <alignment horizontal="center" vertical="center"/>
    </xf>
    <xf numFmtId="178" fontId="14" fillId="4" borderId="3" xfId="0" applyNumberFormat="1" applyFont="1" applyFill="1" applyBorder="1" applyAlignment="1">
      <alignment horizontal="center" vertical="center"/>
    </xf>
    <xf numFmtId="183" fontId="14" fillId="4" borderId="3" xfId="0" applyNumberFormat="1" applyFont="1" applyFill="1" applyBorder="1" applyAlignment="1">
      <alignment horizontal="center" vertical="center"/>
    </xf>
    <xf numFmtId="184" fontId="14" fillId="4" borderId="3" xfId="0" applyNumberFormat="1" applyFont="1" applyFill="1" applyBorder="1" applyAlignment="1">
      <alignment horizontal="center" vertical="center"/>
    </xf>
    <xf numFmtId="0" fontId="6" fillId="10" borderId="3" xfId="0" applyFont="1" applyFill="1" applyBorder="1" applyAlignment="1">
      <alignment horizontal="left" vertical="center" indent="1"/>
    </xf>
    <xf numFmtId="0" fontId="18" fillId="9" borderId="29" xfId="0" applyFont="1" applyFill="1" applyBorder="1" applyAlignment="1">
      <alignment horizontal="center" vertical="center" wrapText="1"/>
    </xf>
    <xf numFmtId="0" fontId="6" fillId="0" borderId="0" xfId="0" applyFont="1" applyAlignment="1">
      <alignment horizontal="right" vertical="top"/>
    </xf>
    <xf numFmtId="0" fontId="1" fillId="10" borderId="30" xfId="0" applyFont="1" applyFill="1" applyBorder="1" applyAlignment="1">
      <alignment vertical="center" indent="1"/>
    </xf>
    <xf numFmtId="0" fontId="0" fillId="10" borderId="31" xfId="0" applyFill="1" applyBorder="1"/>
    <xf numFmtId="0" fontId="0" fillId="10" borderId="32" xfId="0" applyFill="1" applyBorder="1"/>
    <xf numFmtId="0" fontId="1" fillId="10" borderId="33" xfId="0" applyFont="1" applyFill="1" applyBorder="1" applyAlignment="1">
      <alignment vertical="center" indent="1"/>
    </xf>
    <xf numFmtId="0" fontId="0" fillId="10" borderId="34" xfId="0" applyFill="1" applyBorder="1"/>
    <xf numFmtId="0" fontId="0" fillId="10" borderId="35" xfId="0" applyFill="1" applyBorder="1"/>
    <xf numFmtId="0" fontId="1" fillId="10" borderId="36" xfId="0" applyFont="1" applyFill="1" applyBorder="1" applyAlignment="1">
      <alignment vertical="center" indent="1"/>
    </xf>
    <xf numFmtId="0" fontId="0" fillId="10" borderId="37" xfId="0" applyFill="1" applyBorder="1"/>
    <xf numFmtId="0" fontId="0" fillId="10" borderId="38" xfId="0" applyFill="1" applyBorder="1"/>
    <xf numFmtId="0" fontId="1" fillId="10" borderId="40" xfId="0" applyFont="1" applyFill="1" applyBorder="1" applyAlignment="1">
      <alignment vertical="center" indent="1"/>
    </xf>
    <xf numFmtId="0" fontId="0" fillId="10" borderId="41" xfId="0" applyFill="1" applyBorder="1"/>
    <xf numFmtId="0" fontId="0" fillId="10" borderId="12" xfId="0" applyFill="1" applyBorder="1"/>
    <xf numFmtId="0" fontId="1" fillId="10" borderId="30" xfId="0" quotePrefix="1" applyFont="1" applyFill="1" applyBorder="1" applyAlignment="1">
      <alignment vertical="center" indent="1"/>
    </xf>
    <xf numFmtId="0" fontId="1" fillId="10" borderId="36" xfId="0" quotePrefix="1" applyFont="1" applyFill="1" applyBorder="1" applyAlignment="1">
      <alignment vertical="center" indent="1"/>
    </xf>
    <xf numFmtId="0" fontId="1" fillId="5" borderId="6" xfId="0" applyFont="1" applyFill="1" applyBorder="1" applyAlignment="1">
      <alignment horizontal="center" vertical="top" wrapText="1"/>
    </xf>
    <xf numFmtId="0" fontId="1" fillId="10" borderId="3" xfId="0" quotePrefix="1" applyFont="1" applyFill="1" applyBorder="1" applyAlignment="1">
      <alignment horizontal="left" vertical="top" wrapText="1"/>
    </xf>
    <xf numFmtId="0" fontId="21" fillId="6" borderId="3" xfId="0" applyFont="1" applyFill="1" applyBorder="1" applyAlignment="1">
      <alignment horizontal="center" vertical="center"/>
    </xf>
    <xf numFmtId="0" fontId="22" fillId="9" borderId="3" xfId="0" applyFont="1" applyFill="1" applyBorder="1" applyAlignment="1">
      <alignment horizontal="center" vertical="center"/>
    </xf>
    <xf numFmtId="1" fontId="17" fillId="0" borderId="0" xfId="0" applyNumberFormat="1" applyFont="1"/>
    <xf numFmtId="3" fontId="17" fillId="0" borderId="0" xfId="0" applyNumberFormat="1" applyFont="1"/>
    <xf numFmtId="0" fontId="17" fillId="0" borderId="0" xfId="0" applyFont="1"/>
    <xf numFmtId="190" fontId="17" fillId="0" borderId="0" xfId="0" applyNumberFormat="1" applyFont="1"/>
    <xf numFmtId="191" fontId="17" fillId="0" borderId="0" xfId="0" applyNumberFormat="1" applyFont="1"/>
    <xf numFmtId="0" fontId="21" fillId="6" borderId="26" xfId="0" applyFont="1" applyFill="1" applyBorder="1" applyAlignment="1">
      <alignment horizontal="center" vertical="center" wrapText="1"/>
    </xf>
    <xf numFmtId="0" fontId="6" fillId="4" borderId="3" xfId="0" applyFont="1" applyFill="1" applyBorder="1" applyAlignment="1">
      <alignment horizontal="left" vertical="center" wrapText="1" indent="1"/>
    </xf>
    <xf numFmtId="188" fontId="1" fillId="5" borderId="3" xfId="0" applyNumberFormat="1" applyFont="1" applyFill="1" applyBorder="1" applyAlignment="1">
      <alignment horizontal="right" vertical="center"/>
    </xf>
    <xf numFmtId="3" fontId="1" fillId="5" borderId="3" xfId="0" applyNumberFormat="1" applyFont="1" applyFill="1" applyBorder="1" applyAlignment="1">
      <alignment horizontal="right" vertical="center"/>
    </xf>
    <xf numFmtId="10" fontId="1" fillId="5" borderId="3" xfId="0" applyNumberFormat="1" applyFont="1" applyFill="1" applyBorder="1" applyAlignment="1">
      <alignment horizontal="right" vertical="center"/>
    </xf>
    <xf numFmtId="2" fontId="1" fillId="5" borderId="3" xfId="0" applyNumberFormat="1" applyFont="1" applyFill="1" applyBorder="1" applyAlignment="1">
      <alignment horizontal="right" vertical="center"/>
    </xf>
    <xf numFmtId="0" fontId="6" fillId="5" borderId="3" xfId="0" applyFont="1" applyFill="1" applyBorder="1" applyAlignment="1">
      <alignment horizontal="center" vertical="center"/>
    </xf>
    <xf numFmtId="0" fontId="6" fillId="9" borderId="3" xfId="0" applyFont="1" applyFill="1" applyBorder="1" applyAlignment="1">
      <alignment horizontal="left" vertical="center" wrapText="1" indent="1"/>
    </xf>
    <xf numFmtId="3" fontId="6" fillId="9" borderId="3" xfId="0" applyNumberFormat="1" applyFont="1" applyFill="1" applyBorder="1" applyAlignment="1">
      <alignment horizontal="right" vertical="center"/>
    </xf>
    <xf numFmtId="188" fontId="6" fillId="9" borderId="3" xfId="0" applyNumberFormat="1" applyFont="1" applyFill="1" applyBorder="1" applyAlignment="1">
      <alignment horizontal="right" vertical="center"/>
    </xf>
    <xf numFmtId="10" fontId="6" fillId="9" borderId="3" xfId="0" applyNumberFormat="1" applyFont="1" applyFill="1" applyBorder="1" applyAlignment="1">
      <alignment horizontal="right" vertical="center"/>
    </xf>
    <xf numFmtId="2" fontId="6" fillId="9" borderId="3" xfId="0" applyNumberFormat="1" applyFont="1" applyFill="1" applyBorder="1" applyAlignment="1">
      <alignment horizontal="right" vertical="center"/>
    </xf>
    <xf numFmtId="3" fontId="6" fillId="5" borderId="3" xfId="0" applyNumberFormat="1" applyFont="1" applyFill="1" applyBorder="1" applyAlignment="1">
      <alignment horizontal="right" vertical="center"/>
    </xf>
    <xf numFmtId="1" fontId="6" fillId="4" borderId="3" xfId="0" applyNumberFormat="1" applyFont="1" applyFill="1" applyBorder="1" applyAlignment="1">
      <alignment horizontal="center" vertical="center" wrapText="1"/>
    </xf>
    <xf numFmtId="189" fontId="1" fillId="5" borderId="3" xfId="0" applyNumberFormat="1" applyFont="1" applyFill="1" applyBorder="1" applyAlignment="1">
      <alignment horizontal="center" vertical="center"/>
    </xf>
    <xf numFmtId="186" fontId="1" fillId="5" borderId="3" xfId="0" applyNumberFormat="1" applyFont="1" applyFill="1" applyBorder="1" applyAlignment="1">
      <alignment horizontal="right" vertical="center"/>
    </xf>
    <xf numFmtId="3" fontId="1" fillId="5" borderId="3" xfId="0" applyNumberFormat="1" applyFont="1" applyFill="1" applyBorder="1" applyAlignment="1">
      <alignment horizontal="right" vertical="top" wrapText="1"/>
    </xf>
    <xf numFmtId="188" fontId="1" fillId="5" borderId="3" xfId="0" applyNumberFormat="1" applyFont="1" applyFill="1" applyBorder="1" applyAlignment="1">
      <alignment horizontal="right" vertical="top" wrapText="1"/>
    </xf>
    <xf numFmtId="10" fontId="1" fillId="5" borderId="3" xfId="0" applyNumberFormat="1" applyFont="1" applyFill="1" applyBorder="1" applyAlignment="1">
      <alignment horizontal="right" vertical="top" wrapText="1"/>
    </xf>
    <xf numFmtId="2" fontId="1" fillId="5" borderId="3" xfId="0" applyNumberFormat="1" applyFont="1" applyFill="1" applyBorder="1" applyAlignment="1">
      <alignment horizontal="right" vertical="top" wrapText="1"/>
    </xf>
    <xf numFmtId="0" fontId="6" fillId="5" borderId="3" xfId="0" applyFont="1" applyFill="1" applyBorder="1" applyAlignment="1">
      <alignment horizontal="center" vertical="top" wrapText="1"/>
    </xf>
    <xf numFmtId="3" fontId="1" fillId="7" borderId="3" xfId="0" applyNumberFormat="1" applyFont="1" applyFill="1" applyBorder="1" applyAlignment="1">
      <alignment horizontal="right" vertical="top" wrapText="1"/>
    </xf>
    <xf numFmtId="188" fontId="1" fillId="7" borderId="3" xfId="0" applyNumberFormat="1" applyFont="1" applyFill="1" applyBorder="1" applyAlignment="1">
      <alignment horizontal="right" vertical="top" wrapText="1"/>
    </xf>
    <xf numFmtId="10" fontId="1" fillId="7" borderId="3" xfId="0" applyNumberFormat="1" applyFont="1" applyFill="1" applyBorder="1" applyAlignment="1">
      <alignment horizontal="right" vertical="top" wrapText="1"/>
    </xf>
    <xf numFmtId="2" fontId="1" fillId="7" borderId="3" xfId="0" applyNumberFormat="1" applyFont="1" applyFill="1" applyBorder="1" applyAlignment="1">
      <alignment horizontal="right" vertical="top" wrapText="1"/>
    </xf>
    <xf numFmtId="0" fontId="6" fillId="7" borderId="3" xfId="0" applyFont="1" applyFill="1" applyBorder="1" applyAlignment="1">
      <alignment horizontal="center" vertical="top" wrapText="1"/>
    </xf>
    <xf numFmtId="0" fontId="6" fillId="9" borderId="3" xfId="0" applyFont="1" applyFill="1" applyBorder="1" applyAlignment="1">
      <alignment horizontal="center" vertical="top" wrapText="1"/>
    </xf>
    <xf numFmtId="196" fontId="1" fillId="9" borderId="3" xfId="0" applyNumberFormat="1" applyFont="1" applyFill="1" applyBorder="1" applyAlignment="1">
      <alignment horizontal="center" vertical="top" wrapText="1"/>
    </xf>
    <xf numFmtId="189" fontId="1" fillId="9" borderId="3" xfId="0" applyNumberFormat="1" applyFont="1" applyFill="1" applyBorder="1" applyAlignment="1">
      <alignment horizontal="center" vertical="top" wrapText="1"/>
    </xf>
    <xf numFmtId="0" fontId="1" fillId="9" borderId="3" xfId="0" applyFont="1" applyFill="1" applyBorder="1" applyAlignment="1">
      <alignment horizontal="center" vertical="top" wrapText="1"/>
    </xf>
    <xf numFmtId="3" fontId="1" fillId="9" borderId="3" xfId="0" applyNumberFormat="1" applyFont="1" applyFill="1" applyBorder="1" applyAlignment="1">
      <alignment horizontal="right" vertical="top" wrapText="1"/>
    </xf>
    <xf numFmtId="0" fontId="17" fillId="9" borderId="3" xfId="0" applyFont="1" applyFill="1" applyBorder="1" applyAlignment="1">
      <alignment horizontal="left" vertical="top" wrapText="1"/>
    </xf>
    <xf numFmtId="10" fontId="1" fillId="9" borderId="3" xfId="0" applyNumberFormat="1" applyFont="1" applyFill="1" applyBorder="1" applyAlignment="1">
      <alignment horizontal="right" vertical="top" wrapText="1"/>
    </xf>
    <xf numFmtId="2" fontId="1" fillId="9" borderId="3" xfId="0" applyNumberFormat="1" applyFont="1" applyFill="1" applyBorder="1" applyAlignment="1">
      <alignment horizontal="right" vertical="top" wrapText="1"/>
    </xf>
    <xf numFmtId="196" fontId="1" fillId="5" borderId="6" xfId="0" applyNumberFormat="1" applyFont="1" applyFill="1" applyBorder="1" applyAlignment="1">
      <alignment horizontal="center" vertical="top" wrapText="1"/>
    </xf>
    <xf numFmtId="189" fontId="1" fillId="5" borderId="6" xfId="0" applyNumberFormat="1" applyFont="1" applyFill="1" applyBorder="1" applyAlignment="1">
      <alignment horizontal="center" vertical="top" wrapText="1"/>
    </xf>
    <xf numFmtId="3" fontId="1" fillId="5" borderId="6" xfId="0" applyNumberFormat="1" applyFont="1" applyFill="1" applyBorder="1" applyAlignment="1">
      <alignment horizontal="right" vertical="top" wrapText="1"/>
    </xf>
    <xf numFmtId="10" fontId="1" fillId="5" borderId="6" xfId="0" applyNumberFormat="1" applyFont="1" applyFill="1" applyBorder="1" applyAlignment="1">
      <alignment horizontal="right" vertical="top" wrapText="1"/>
    </xf>
    <xf numFmtId="2" fontId="1" fillId="5" borderId="6" xfId="0" applyNumberFormat="1" applyFont="1" applyFill="1" applyBorder="1" applyAlignment="1">
      <alignment horizontal="right" vertical="top" wrapText="1"/>
    </xf>
    <xf numFmtId="0" fontId="25" fillId="10" borderId="30" xfId="0" applyFont="1" applyFill="1" applyBorder="1" applyAlignment="1">
      <alignment vertical="center" indent="1"/>
    </xf>
    <xf numFmtId="0" fontId="25" fillId="10" borderId="33" xfId="0" applyFont="1" applyFill="1" applyBorder="1" applyAlignment="1">
      <alignment vertical="center" indent="1"/>
    </xf>
    <xf numFmtId="0" fontId="25" fillId="10" borderId="36" xfId="0" applyFont="1" applyFill="1" applyBorder="1" applyAlignment="1">
      <alignment vertical="center" indent="1"/>
    </xf>
    <xf numFmtId="0" fontId="6" fillId="4" borderId="3" xfId="0" applyFont="1" applyFill="1" applyBorder="1" applyAlignment="1">
      <alignment vertical="center" wrapText="1" indent="1"/>
    </xf>
    <xf numFmtId="0" fontId="0" fillId="4" borderId="4" xfId="0" applyFill="1" applyBorder="1"/>
    <xf numFmtId="0" fontId="1" fillId="5" borderId="6" xfId="0" applyFont="1" applyFill="1" applyBorder="1" applyAlignment="1">
      <alignment horizontal="left" vertical="center" wrapText="1" indent="1"/>
    </xf>
    <xf numFmtId="0" fontId="0" fillId="5" borderId="9" xfId="0" applyFill="1" applyBorder="1"/>
    <xf numFmtId="0" fontId="0" fillId="5" borderId="10" xfId="0" applyFill="1" applyBorder="1"/>
    <xf numFmtId="0" fontId="1" fillId="5" borderId="3" xfId="0" applyFont="1" applyFill="1" applyBorder="1" applyAlignment="1">
      <alignment vertical="center" wrapText="1" indent="1"/>
    </xf>
    <xf numFmtId="0" fontId="0" fillId="5" borderId="5" xfId="0" applyFill="1" applyBorder="1"/>
    <xf numFmtId="0" fontId="0" fillId="5" borderId="4" xfId="0" applyFill="1" applyBorder="1"/>
    <xf numFmtId="0" fontId="4" fillId="0" borderId="0" xfId="0" applyFont="1" applyAlignment="1">
      <alignment vertical="center"/>
    </xf>
    <xf numFmtId="0" fontId="0" fillId="0" borderId="0" xfId="0"/>
    <xf numFmtId="0" fontId="1" fillId="0" borderId="0" xfId="0" applyFont="1" applyAlignment="1">
      <alignment vertical="center" wrapText="1"/>
    </xf>
    <xf numFmtId="0" fontId="3" fillId="0" borderId="0" xfId="0" applyFont="1" applyAlignment="1">
      <alignment vertical="center"/>
    </xf>
    <xf numFmtId="0" fontId="1" fillId="5" borderId="3" xfId="0" applyFont="1" applyFill="1" applyBorder="1" applyAlignment="1">
      <alignment horizontal="left" vertical="center" wrapText="1" indent="1"/>
    </xf>
    <xf numFmtId="0" fontId="1" fillId="2" borderId="0" xfId="0" applyFont="1" applyFill="1" applyAlignment="1">
      <alignment vertical="top" wrapText="1"/>
    </xf>
    <xf numFmtId="0" fontId="0" fillId="2" borderId="0" xfId="0" applyFill="1"/>
    <xf numFmtId="0" fontId="2" fillId="0" borderId="0" xfId="0" applyFont="1" applyAlignment="1">
      <alignment vertical="center"/>
    </xf>
    <xf numFmtId="0" fontId="7" fillId="6" borderId="3" xfId="0" applyFont="1" applyFill="1" applyBorder="1" applyAlignment="1">
      <alignment horizontal="center" vertical="center"/>
    </xf>
    <xf numFmtId="0" fontId="0" fillId="6" borderId="5" xfId="0" applyFill="1" applyBorder="1"/>
    <xf numFmtId="0" fontId="0" fillId="6" borderId="4" xfId="0" applyFill="1" applyBorder="1"/>
    <xf numFmtId="0" fontId="5" fillId="3" borderId="0" xfId="0" applyFont="1" applyFill="1" applyAlignment="1">
      <alignment vertical="center" indent="1"/>
    </xf>
    <xf numFmtId="0" fontId="0" fillId="3" borderId="0" xfId="0" applyFill="1"/>
    <xf numFmtId="0" fontId="1" fillId="0" borderId="1" xfId="0" applyFont="1" applyBorder="1" applyAlignment="1">
      <alignment vertical="top" wrapText="1"/>
    </xf>
    <xf numFmtId="0" fontId="0" fillId="0" borderId="2" xfId="0" applyBorder="1"/>
    <xf numFmtId="0" fontId="1" fillId="5" borderId="6" xfId="0" applyFont="1" applyFill="1" applyBorder="1" applyAlignment="1">
      <alignment vertical="center" wrapText="1" indent="1"/>
    </xf>
    <xf numFmtId="0" fontId="11" fillId="3" borderId="0" xfId="0" applyFont="1" applyFill="1" applyAlignment="1">
      <alignment vertical="center" indent="1"/>
    </xf>
    <xf numFmtId="0" fontId="1" fillId="0" borderId="0" xfId="0" applyFont="1" applyAlignment="1">
      <alignment vertical="top" wrapText="1"/>
    </xf>
    <xf numFmtId="0" fontId="1" fillId="5" borderId="3" xfId="0" applyFont="1" applyFill="1" applyBorder="1" applyAlignment="1">
      <alignment horizontal="left" vertical="top" wrapText="1"/>
    </xf>
    <xf numFmtId="0" fontId="6" fillId="5" borderId="6" xfId="0" applyFont="1" applyFill="1" applyBorder="1" applyAlignment="1">
      <alignment horizontal="center" vertical="center"/>
    </xf>
    <xf numFmtId="0" fontId="1" fillId="7" borderId="3" xfId="0" applyFont="1" applyFill="1" applyBorder="1" applyAlignment="1">
      <alignment horizontal="left" vertical="top" wrapText="1"/>
    </xf>
    <xf numFmtId="0" fontId="0" fillId="7" borderId="4" xfId="0" applyFill="1" applyBorder="1"/>
    <xf numFmtId="0" fontId="6" fillId="9" borderId="3" xfId="0" applyFont="1" applyFill="1" applyBorder="1" applyAlignment="1">
      <alignment horizontal="center" vertical="center"/>
    </xf>
    <xf numFmtId="0" fontId="0" fillId="9" borderId="4" xfId="0" applyFill="1" applyBorder="1"/>
    <xf numFmtId="0" fontId="6" fillId="10" borderId="3" xfId="0" applyFont="1" applyFill="1" applyBorder="1" applyAlignment="1">
      <alignment horizontal="center" vertical="center"/>
    </xf>
    <xf numFmtId="0" fontId="0" fillId="10" borderId="4" xfId="0" applyFill="1" applyBorder="1"/>
    <xf numFmtId="0" fontId="8" fillId="2" borderId="0" xfId="0" applyFont="1" applyFill="1" applyAlignment="1">
      <alignment vertical="center" indent="1"/>
    </xf>
    <xf numFmtId="0" fontId="6" fillId="8" borderId="17" xfId="0" applyFont="1" applyFill="1" applyBorder="1" applyAlignment="1">
      <alignment horizontal="center" vertical="center"/>
    </xf>
    <xf numFmtId="0" fontId="0" fillId="8" borderId="49" xfId="0" applyFill="1" applyBorder="1"/>
    <xf numFmtId="0" fontId="9" fillId="0" borderId="0" xfId="0" applyFont="1" applyAlignment="1">
      <alignment vertical="center" wrapText="1"/>
    </xf>
    <xf numFmtId="0" fontId="7" fillId="2" borderId="3" xfId="0" applyFont="1" applyFill="1" applyBorder="1" applyAlignment="1">
      <alignment horizontal="center" vertical="center"/>
    </xf>
    <xf numFmtId="0" fontId="0" fillId="2" borderId="4" xfId="0" applyFill="1" applyBorder="1"/>
    <xf numFmtId="0" fontId="7" fillId="6" borderId="26" xfId="0" applyFont="1" applyFill="1" applyBorder="1" applyAlignment="1">
      <alignment horizontal="center" vertical="center" wrapText="1"/>
    </xf>
    <xf numFmtId="0" fontId="0" fillId="6" borderId="27" xfId="0" applyFill="1" applyBorder="1"/>
    <xf numFmtId="0" fontId="6" fillId="5" borderId="15" xfId="0" applyFont="1" applyFill="1" applyBorder="1" applyAlignment="1">
      <alignment vertical="center" wrapText="1" indent="1"/>
    </xf>
    <xf numFmtId="0" fontId="0" fillId="5" borderId="16" xfId="0" applyFill="1" applyBorder="1"/>
    <xf numFmtId="0" fontId="17" fillId="5" borderId="3" xfId="0" applyFont="1" applyFill="1" applyBorder="1" applyAlignment="1">
      <alignment vertical="center" wrapText="1" indent="1"/>
    </xf>
    <xf numFmtId="0" fontId="1" fillId="10" borderId="3" xfId="0" applyFont="1" applyFill="1" applyBorder="1" applyAlignment="1">
      <alignment horizontal="left" vertical="top" wrapText="1"/>
    </xf>
    <xf numFmtId="0" fontId="1" fillId="7" borderId="3" xfId="0" applyFont="1" applyFill="1" applyBorder="1" applyAlignment="1">
      <alignment vertical="center" wrapText="1" indent="1"/>
    </xf>
    <xf numFmtId="0" fontId="16" fillId="0" borderId="0" xfId="0" applyFont="1" applyAlignment="1">
      <alignment horizontal="center" vertical="center"/>
    </xf>
    <xf numFmtId="0" fontId="1" fillId="4" borderId="12" xfId="0" applyFont="1" applyFill="1" applyBorder="1" applyAlignment="1">
      <alignment vertical="center" wrapText="1" indent="1"/>
    </xf>
    <xf numFmtId="0" fontId="0" fillId="4" borderId="5" xfId="0" applyFill="1" applyBorder="1"/>
    <xf numFmtId="0" fontId="7" fillId="6" borderId="26" xfId="0" applyFont="1" applyFill="1" applyBorder="1" applyAlignment="1">
      <alignment horizontal="center" vertical="center"/>
    </xf>
    <xf numFmtId="0" fontId="6" fillId="5" borderId="3" xfId="0" applyFont="1" applyFill="1" applyBorder="1" applyAlignment="1">
      <alignment vertical="center" wrapText="1" indent="1"/>
    </xf>
    <xf numFmtId="0" fontId="14" fillId="9" borderId="25" xfId="0" applyFont="1" applyFill="1" applyBorder="1" applyAlignment="1">
      <alignment vertical="center" indent="1"/>
    </xf>
    <xf numFmtId="0" fontId="0" fillId="9" borderId="0" xfId="0" applyFill="1"/>
    <xf numFmtId="0" fontId="15" fillId="8" borderId="17" xfId="0" applyFont="1" applyFill="1" applyBorder="1" applyAlignment="1">
      <alignment horizontal="center" vertical="center" wrapText="1"/>
    </xf>
    <xf numFmtId="0" fontId="0" fillId="0" borderId="18" xfId="0"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0" fillId="0" borderId="24" xfId="0" applyBorder="1"/>
    <xf numFmtId="0" fontId="9" fillId="0" borderId="0" xfId="0" applyFont="1" applyAlignment="1">
      <alignment vertical="top" wrapText="1"/>
    </xf>
    <xf numFmtId="0" fontId="13" fillId="2" borderId="13" xfId="0" applyFont="1" applyFill="1" applyBorder="1" applyAlignment="1">
      <alignment horizontal="center" vertical="center" wrapText="1"/>
    </xf>
    <xf numFmtId="0" fontId="0" fillId="2" borderId="14" xfId="0" applyFill="1" applyBorder="1"/>
    <xf numFmtId="0" fontId="0" fillId="7" borderId="5" xfId="0" applyFill="1" applyBorder="1"/>
    <xf numFmtId="0" fontId="19" fillId="0" borderId="0" xfId="0" applyFont="1"/>
    <xf numFmtId="0" fontId="0" fillId="6" borderId="39" xfId="0" applyFill="1" applyBorder="1"/>
    <xf numFmtId="0" fontId="1" fillId="5" borderId="3" xfId="0" applyFont="1" applyFill="1" applyBorder="1" applyAlignment="1">
      <alignment horizontal="center" vertical="top" wrapText="1"/>
    </xf>
    <xf numFmtId="0" fontId="6" fillId="7" borderId="3" xfId="0" applyFont="1" applyFill="1" applyBorder="1" applyAlignment="1">
      <alignment horizontal="left" vertical="top" wrapText="1"/>
    </xf>
    <xf numFmtId="0" fontId="6" fillId="5" borderId="3" xfId="0" applyFont="1" applyFill="1" applyBorder="1" applyAlignment="1">
      <alignment horizontal="left" vertical="top" wrapText="1"/>
    </xf>
    <xf numFmtId="0" fontId="1" fillId="7" borderId="3" xfId="0" applyFont="1" applyFill="1" applyBorder="1" applyAlignment="1">
      <alignment horizontal="center" vertical="top" wrapText="1"/>
    </xf>
    <xf numFmtId="0" fontId="6" fillId="9" borderId="3" xfId="0" applyFont="1" applyFill="1" applyBorder="1" applyAlignment="1">
      <alignment vertical="center" indent="1"/>
    </xf>
    <xf numFmtId="0" fontId="0" fillId="9" borderId="5" xfId="0" applyFill="1" applyBorder="1"/>
    <xf numFmtId="0" fontId="20" fillId="0" borderId="42" xfId="0" applyFont="1" applyBorder="1" applyAlignment="1">
      <alignment vertical="center"/>
    </xf>
    <xf numFmtId="0" fontId="0" fillId="0" borderId="43" xfId="0" applyBorder="1"/>
    <xf numFmtId="0" fontId="6" fillId="10" borderId="3" xfId="0" applyFont="1" applyFill="1" applyBorder="1" applyAlignment="1">
      <alignment horizontal="left" vertical="top" wrapText="1"/>
    </xf>
    <xf numFmtId="0" fontId="1" fillId="10" borderId="3" xfId="0" quotePrefix="1" applyFont="1" applyFill="1" applyBorder="1" applyAlignment="1">
      <alignment horizontal="left" vertical="top" wrapText="1"/>
    </xf>
    <xf numFmtId="0" fontId="1" fillId="0" borderId="0" xfId="0" quotePrefix="1" applyFont="1" applyAlignment="1">
      <alignment vertical="top" wrapText="1"/>
    </xf>
    <xf numFmtId="0" fontId="10" fillId="0" borderId="0" xfId="0" applyFont="1" applyAlignment="1">
      <alignment horizontal="right" vertical="center"/>
    </xf>
    <xf numFmtId="0" fontId="6" fillId="4" borderId="3" xfId="0" applyFont="1" applyFill="1" applyBorder="1" applyAlignment="1">
      <alignment horizontal="left" vertical="center" wrapText="1" indent="1"/>
    </xf>
    <xf numFmtId="178" fontId="6" fillId="5" borderId="6" xfId="0" applyNumberFormat="1" applyFont="1" applyFill="1" applyBorder="1" applyAlignment="1">
      <alignment horizontal="right" vertical="center" wrapText="1"/>
    </xf>
    <xf numFmtId="0" fontId="17" fillId="5" borderId="3" xfId="0" applyFont="1" applyFill="1" applyBorder="1" applyAlignment="1">
      <alignment horizontal="left" vertical="center" wrapText="1" indent="1"/>
    </xf>
    <xf numFmtId="0" fontId="17" fillId="10" borderId="3" xfId="0" quotePrefix="1" applyFont="1" applyFill="1" applyBorder="1" applyAlignment="1">
      <alignment horizontal="left" vertical="center" wrapText="1" indent="1"/>
    </xf>
    <xf numFmtId="0" fontId="0" fillId="10" borderId="5" xfId="0" applyFill="1" applyBorder="1"/>
    <xf numFmtId="10" fontId="1" fillId="5" borderId="3" xfId="0" applyNumberFormat="1" applyFont="1" applyFill="1" applyBorder="1" applyAlignment="1">
      <alignment horizontal="right" vertical="center"/>
    </xf>
    <xf numFmtId="0" fontId="21" fillId="6" borderId="26" xfId="0" applyFont="1" applyFill="1" applyBorder="1" applyAlignment="1">
      <alignment horizontal="center" vertical="center" wrapText="1"/>
    </xf>
    <xf numFmtId="3" fontId="1" fillId="5" borderId="3" xfId="0" applyNumberFormat="1" applyFont="1" applyFill="1" applyBorder="1" applyAlignment="1">
      <alignment horizontal="right" vertical="center"/>
    </xf>
    <xf numFmtId="185" fontId="6" fillId="5" borderId="6" xfId="0" applyNumberFormat="1" applyFont="1" applyFill="1" applyBorder="1" applyAlignment="1">
      <alignment horizontal="right" vertical="center" wrapText="1"/>
    </xf>
    <xf numFmtId="187" fontId="1" fillId="5" borderId="3" xfId="0" applyNumberFormat="1" applyFont="1" applyFill="1" applyBorder="1" applyAlignment="1">
      <alignment horizontal="right" vertical="center"/>
    </xf>
    <xf numFmtId="0" fontId="6" fillId="5" borderId="6" xfId="0" applyFont="1" applyFill="1" applyBorder="1" applyAlignment="1">
      <alignment horizontal="left" vertical="center" wrapText="1" indent="1"/>
    </xf>
    <xf numFmtId="186" fontId="6" fillId="5" borderId="6" xfId="0" applyNumberFormat="1" applyFont="1" applyFill="1" applyBorder="1" applyAlignment="1">
      <alignment horizontal="right" vertical="center" wrapText="1"/>
    </xf>
    <xf numFmtId="188" fontId="1" fillId="5" borderId="3" xfId="0" applyNumberFormat="1" applyFont="1" applyFill="1" applyBorder="1" applyAlignment="1">
      <alignment horizontal="right" vertical="center"/>
    </xf>
    <xf numFmtId="0" fontId="1" fillId="5" borderId="3" xfId="0" applyFont="1" applyFill="1" applyBorder="1" applyAlignment="1">
      <alignment horizontal="center" vertical="center"/>
    </xf>
    <xf numFmtId="3" fontId="6" fillId="5" borderId="6" xfId="0" applyNumberFormat="1" applyFont="1" applyFill="1" applyBorder="1" applyAlignment="1">
      <alignment horizontal="right" vertical="center" wrapText="1"/>
    </xf>
    <xf numFmtId="1" fontId="1" fillId="5" borderId="3" xfId="0" applyNumberFormat="1" applyFont="1" applyFill="1" applyBorder="1" applyAlignment="1">
      <alignment horizontal="right" vertical="center"/>
    </xf>
    <xf numFmtId="193" fontId="1" fillId="5" borderId="3" xfId="0" applyNumberFormat="1" applyFont="1" applyFill="1" applyBorder="1" applyAlignment="1">
      <alignment horizontal="left" vertical="top" wrapText="1"/>
    </xf>
    <xf numFmtId="0" fontId="1" fillId="5" borderId="6" xfId="0" applyFont="1" applyFill="1" applyBorder="1" applyAlignment="1">
      <alignment horizontal="left" vertical="top" wrapText="1"/>
    </xf>
    <xf numFmtId="192" fontId="1" fillId="5" borderId="6" xfId="0" applyNumberFormat="1" applyFont="1" applyFill="1" applyBorder="1" applyAlignment="1">
      <alignment horizontal="left" vertical="top" wrapText="1"/>
    </xf>
    <xf numFmtId="195" fontId="1" fillId="5" borderId="3" xfId="0" applyNumberFormat="1" applyFont="1" applyFill="1" applyBorder="1" applyAlignment="1">
      <alignment horizontal="left" vertical="top" wrapText="1"/>
    </xf>
    <xf numFmtId="194" fontId="1" fillId="7" borderId="3" xfId="0" applyNumberFormat="1" applyFont="1" applyFill="1" applyBorder="1" applyAlignment="1">
      <alignment horizontal="left" vertical="top" wrapText="1"/>
    </xf>
    <xf numFmtId="0" fontId="24" fillId="5" borderId="3" xfId="0" applyFont="1" applyFill="1" applyBorder="1" applyAlignment="1">
      <alignment horizontal="center" vertical="center"/>
    </xf>
    <xf numFmtId="0" fontId="1" fillId="0" borderId="6" xfId="0" applyFont="1" applyBorder="1" applyAlignment="1">
      <alignment vertical="top" wrapText="1" indent="1"/>
    </xf>
    <xf numFmtId="0" fontId="0" fillId="0" borderId="7" xfId="0" applyBorder="1"/>
    <xf numFmtId="0" fontId="0" fillId="0" borderId="8"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0" borderId="48" xfId="0" applyBorder="1"/>
    <xf numFmtId="0" fontId="23" fillId="6" borderId="3" xfId="0" applyFont="1" applyFill="1" applyBorder="1" applyAlignment="1">
      <alignment horizontal="center" vertical="center"/>
    </xf>
    <xf numFmtId="0" fontId="6" fillId="5" borderId="3" xfId="0" applyFont="1" applyFill="1" applyBorder="1" applyAlignment="1">
      <alignment horizontal="center" vertical="top" wrapText="1"/>
    </xf>
    <xf numFmtId="0" fontId="6" fillId="7" borderId="3" xfId="0" applyFont="1" applyFill="1" applyBorder="1" applyAlignment="1">
      <alignment horizontal="center" vertical="top" wrapText="1"/>
    </xf>
    <xf numFmtId="0" fontId="1" fillId="5" borderId="6" xfId="0" applyFont="1" applyFill="1" applyBorder="1" applyAlignment="1">
      <alignment horizontal="center" vertical="top" wrapText="1"/>
    </xf>
    <xf numFmtId="0" fontId="1" fillId="9" borderId="3" xfId="0" applyFont="1" applyFill="1" applyBorder="1" applyAlignment="1">
      <alignment horizontal="left" vertical="top" wrapText="1"/>
    </xf>
    <xf numFmtId="0" fontId="1" fillId="9" borderId="3" xfId="0" applyFont="1" applyFill="1" applyBorder="1" applyAlignment="1">
      <alignment horizontal="center" vertical="top" wrapText="1"/>
    </xf>
  </cellXfs>
  <cellStyles count="1">
    <cellStyle name="標準" xfId="0" builtinId="0" customBuiltin="1"/>
  </cellStyles>
  <dxfs count="5">
    <dxf>
      <font>
        <b/>
        <color rgb="FFFFFFFF"/>
        <name val="Meiryo UI"/>
      </font>
      <fill>
        <patternFill patternType="solid">
          <fgColor rgb="FF000000"/>
          <bgColor rgb="FF000000"/>
        </patternFill>
      </fill>
    </dxf>
    <dxf>
      <font>
        <b/>
        <color rgb="FFFFFFFF"/>
        <name val="Meiryo UI"/>
      </font>
      <fill>
        <patternFill patternType="solid">
          <fgColor rgb="FF000000"/>
          <bgColor rgb="FF000000"/>
        </patternFill>
      </fill>
    </dxf>
    <dxf>
      <font>
        <b/>
        <color rgb="FFFFFFFF"/>
        <name val="Meiryo UI"/>
      </font>
      <fill>
        <patternFill patternType="solid">
          <fgColor rgb="FF000000"/>
          <bgColor rgb="FF000000"/>
        </patternFill>
      </fill>
    </dxf>
    <dxf>
      <font>
        <b/>
        <color rgb="FFFFFFFF"/>
        <name val="Meiryo UI"/>
      </font>
      <fill>
        <patternFill patternType="solid">
          <fgColor rgb="FF000000"/>
          <bgColor rgb="FF000000"/>
        </patternFill>
      </fill>
    </dxf>
    <dxf>
      <font>
        <b/>
        <color rgb="FFFFFFFF"/>
        <name val="Meiryo UI"/>
      </font>
      <fill>
        <patternFill patternType="solid">
          <fgColor rgb="FF0000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sz="1100" b="1"/>
            </a:pPr>
            <a:r>
              <a:rPr sz="1100" b="1"/>
              <a:t>応答時間の推移（平均・95パーセンタイル）</a:t>
            </a:r>
          </a:p>
        </c:rich>
      </c:tx>
      <c:overlay val="0"/>
    </c:title>
    <c:autoTitleDeleted val="0"/>
    <c:plotArea>
      <c:layout/>
      <c:lineChart>
        <c:grouping val="standard"/>
        <c:varyColors val="1"/>
        <c:ser>
          <c:idx val="0"/>
          <c:order val="0"/>
          <c:tx>
            <c:v>平均応答時間（ms）</c:v>
          </c:tx>
          <c:spPr>
            <a:ln w="22000">
              <a:solidFill>
                <a:srgbClr val="000000"/>
              </a:solidFill>
              <a:prstDash val="solid"/>
            </a:ln>
          </c:spPr>
          <c:marker>
            <c:symbol val="circle"/>
            <c:size val="5"/>
            <c:spPr>
              <a:solidFill>
                <a:srgbClr val="000000"/>
              </a:solidFill>
              <a:ln>
                <a:solidFill>
                  <a:srgbClr val="000000"/>
                </a:solidFill>
                <a:prstDash val="solid"/>
              </a:ln>
            </c:spPr>
          </c:marker>
          <c:cat>
            <c:numRef>
              <c:f>'17_分析サンプル'!$C$63:$C$73</c:f>
              <c:numCache>
                <c:formatCode>hh:mm</c:formatCode>
                <c:ptCount val="11"/>
                <c:pt idx="0">
                  <c:v>46296.416668749996</c:v>
                </c:pt>
                <c:pt idx="1">
                  <c:v>46296.417363194443</c:v>
                </c:pt>
                <c:pt idx="2">
                  <c:v>46296.418057638883</c:v>
                </c:pt>
                <c:pt idx="3">
                  <c:v>46296.418752083329</c:v>
                </c:pt>
                <c:pt idx="4">
                  <c:v>46296.419446527776</c:v>
                </c:pt>
                <c:pt idx="5">
                  <c:v>46296.420140972215</c:v>
                </c:pt>
                <c:pt idx="6">
                  <c:v>46296.420835416662</c:v>
                </c:pt>
                <c:pt idx="7">
                  <c:v>46296.421529861109</c:v>
                </c:pt>
                <c:pt idx="8">
                  <c:v>46296.422224305556</c:v>
                </c:pt>
                <c:pt idx="9">
                  <c:v>46296.422918749995</c:v>
                </c:pt>
                <c:pt idx="10">
                  <c:v>46296.423613194442</c:v>
                </c:pt>
              </c:numCache>
            </c:numRef>
          </c:cat>
          <c:val>
            <c:numRef>
              <c:f>'17_分析サンプル'!$F$63:$F$73</c:f>
              <c:numCache>
                <c:formatCode>#,##0.0</c:formatCode>
                <c:ptCount val="11"/>
                <c:pt idx="0">
                  <c:v>181.28873239436621</c:v>
                </c:pt>
                <c:pt idx="1">
                  <c:v>189.46428571428572</c:v>
                </c:pt>
                <c:pt idx="2">
                  <c:v>190.02573529411765</c:v>
                </c:pt>
                <c:pt idx="3">
                  <c:v>187.69963369963369</c:v>
                </c:pt>
                <c:pt idx="4">
                  <c:v>1017.2796208530806</c:v>
                </c:pt>
                <c:pt idx="5">
                  <c:v>626.70192307692309</c:v>
                </c:pt>
                <c:pt idx="6">
                  <c:v>186.44326241134752</c:v>
                </c:pt>
                <c:pt idx="7">
                  <c:v>194.24719101123594</c:v>
                </c:pt>
                <c:pt idx="8">
                  <c:v>187.41544117647058</c:v>
                </c:pt>
                <c:pt idx="9">
                  <c:v>204.25</c:v>
                </c:pt>
                <c:pt idx="10">
                  <c:v>166.5</c:v>
                </c:pt>
              </c:numCache>
            </c:numRef>
          </c:val>
          <c:smooth val="0"/>
          <c:extLst>
            <c:ext xmlns:c16="http://schemas.microsoft.com/office/drawing/2014/chart" uri="{C3380CC4-5D6E-409C-BE32-E72D297353CC}">
              <c16:uniqueId val="{00000000-4E14-417F-BDFF-5F86F8741AE1}"/>
            </c:ext>
          </c:extLst>
        </c:ser>
        <c:ser>
          <c:idx val="1"/>
          <c:order val="1"/>
          <c:tx>
            <c:v>95パーセンタイル（ms）</c:v>
          </c:tx>
          <c:spPr>
            <a:ln w="22000">
              <a:solidFill>
                <a:srgbClr val="7F7F7F"/>
              </a:solidFill>
              <a:prstDash val="dash"/>
            </a:ln>
          </c:spPr>
          <c:marker>
            <c:symbol val="circle"/>
            <c:size val="5"/>
            <c:spPr>
              <a:solidFill>
                <a:srgbClr val="7F7F7F"/>
              </a:solidFill>
              <a:ln>
                <a:solidFill>
                  <a:srgbClr val="7F7F7F"/>
                </a:solidFill>
                <a:prstDash val="solid"/>
              </a:ln>
            </c:spPr>
          </c:marker>
          <c:cat>
            <c:numRef>
              <c:f>'17_分析サンプル'!$C$63:$C$73</c:f>
              <c:numCache>
                <c:formatCode>hh:mm</c:formatCode>
                <c:ptCount val="11"/>
                <c:pt idx="0">
                  <c:v>46296.416668749996</c:v>
                </c:pt>
                <c:pt idx="1">
                  <c:v>46296.417363194443</c:v>
                </c:pt>
                <c:pt idx="2">
                  <c:v>46296.418057638883</c:v>
                </c:pt>
                <c:pt idx="3">
                  <c:v>46296.418752083329</c:v>
                </c:pt>
                <c:pt idx="4">
                  <c:v>46296.419446527776</c:v>
                </c:pt>
                <c:pt idx="5">
                  <c:v>46296.420140972215</c:v>
                </c:pt>
                <c:pt idx="6">
                  <c:v>46296.420835416662</c:v>
                </c:pt>
                <c:pt idx="7">
                  <c:v>46296.421529861109</c:v>
                </c:pt>
                <c:pt idx="8">
                  <c:v>46296.422224305556</c:v>
                </c:pt>
                <c:pt idx="9">
                  <c:v>46296.422918749995</c:v>
                </c:pt>
                <c:pt idx="10">
                  <c:v>46296.423613194442</c:v>
                </c:pt>
              </c:numCache>
            </c:numRef>
          </c:cat>
          <c:val>
            <c:numRef>
              <c:f>'17_分析サンプル'!$G$63:$G$73</c:f>
              <c:numCache>
                <c:formatCode>#,##0.0</c:formatCode>
                <c:ptCount val="11"/>
                <c:pt idx="0">
                  <c:v>311.79999999999995</c:v>
                </c:pt>
                <c:pt idx="1">
                  <c:v>339</c:v>
                </c:pt>
                <c:pt idx="2">
                  <c:v>362.9</c:v>
                </c:pt>
                <c:pt idx="3">
                  <c:v>334.79999999999984</c:v>
                </c:pt>
                <c:pt idx="4">
                  <c:v>2348.5</c:v>
                </c:pt>
                <c:pt idx="5">
                  <c:v>2230.1499999999996</c:v>
                </c:pt>
                <c:pt idx="6">
                  <c:v>368.95</c:v>
                </c:pt>
                <c:pt idx="7">
                  <c:v>368.5999999999998</c:v>
                </c:pt>
                <c:pt idx="8">
                  <c:v>350.94999999999987</c:v>
                </c:pt>
                <c:pt idx="9">
                  <c:v>393.65</c:v>
                </c:pt>
                <c:pt idx="10">
                  <c:v>200.25</c:v>
                </c:pt>
              </c:numCache>
            </c:numRef>
          </c:val>
          <c:smooth val="0"/>
          <c:extLst>
            <c:ext xmlns:c16="http://schemas.microsoft.com/office/drawing/2014/chart" uri="{C3380CC4-5D6E-409C-BE32-E72D297353CC}">
              <c16:uniqueId val="{00000001-4E14-417F-BDFF-5F86F8741AE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title>
          <c:tx>
            <c:rich>
              <a:bodyPr/>
              <a:lstStyle/>
              <a:p>
                <a:pPr>
                  <a:defRPr/>
                </a:pPr>
                <a:r>
                  <a:t>時刻（JST）</a:t>
                </a:r>
              </a:p>
            </c:rich>
          </c:tx>
          <c:overlay val="0"/>
        </c:title>
        <c:numFmt formatCode="hh:mm" sourceLinked="0"/>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ミリ秒</a:t>
                </a:r>
              </a:p>
            </c:rich>
          </c:tx>
          <c:overlay val="0"/>
        </c:title>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txPr>
    <a:bodyPr/>
    <a:lstStyle/>
    <a:p>
      <a:pPr>
        <a:defRPr sz="900">
          <a:latin typeface="Meiryo UI"/>
          <a:ea typeface="Meiryo UI"/>
          <a:cs typeface="Meiryo UI"/>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sz="1100" b="1"/>
            </a:pPr>
            <a:r>
              <a:rPr sz="1100" b="1"/>
              <a:t>スループット（件/秒）と平均スレッド数の推移</a:t>
            </a:r>
          </a:p>
        </c:rich>
      </c:tx>
      <c:overlay val="0"/>
    </c:title>
    <c:autoTitleDeleted val="0"/>
    <c:plotArea>
      <c:layout/>
      <c:lineChart>
        <c:grouping val="standard"/>
        <c:varyColors val="1"/>
        <c:ser>
          <c:idx val="0"/>
          <c:order val="0"/>
          <c:tx>
            <c:v>スループット（件/秒）</c:v>
          </c:tx>
          <c:spPr>
            <a:ln w="22000">
              <a:solidFill>
                <a:srgbClr val="000000"/>
              </a:solidFill>
              <a:prstDash val="solid"/>
            </a:ln>
          </c:spPr>
          <c:marker>
            <c:symbol val="circle"/>
            <c:size val="5"/>
            <c:spPr>
              <a:solidFill>
                <a:srgbClr val="000000"/>
              </a:solidFill>
              <a:ln>
                <a:solidFill>
                  <a:srgbClr val="000000"/>
                </a:solidFill>
                <a:prstDash val="solid"/>
              </a:ln>
            </c:spPr>
          </c:marker>
          <c:cat>
            <c:numRef>
              <c:f>'17_分析サンプル'!$C$63:$C$73</c:f>
              <c:numCache>
                <c:formatCode>hh:mm</c:formatCode>
                <c:ptCount val="11"/>
                <c:pt idx="0">
                  <c:v>46296.416668749996</c:v>
                </c:pt>
                <c:pt idx="1">
                  <c:v>46296.417363194443</c:v>
                </c:pt>
                <c:pt idx="2">
                  <c:v>46296.418057638883</c:v>
                </c:pt>
                <c:pt idx="3">
                  <c:v>46296.418752083329</c:v>
                </c:pt>
                <c:pt idx="4">
                  <c:v>46296.419446527776</c:v>
                </c:pt>
                <c:pt idx="5">
                  <c:v>46296.420140972215</c:v>
                </c:pt>
                <c:pt idx="6">
                  <c:v>46296.420835416662</c:v>
                </c:pt>
                <c:pt idx="7">
                  <c:v>46296.421529861109</c:v>
                </c:pt>
                <c:pt idx="8">
                  <c:v>46296.422224305556</c:v>
                </c:pt>
                <c:pt idx="9">
                  <c:v>46296.422918749995</c:v>
                </c:pt>
                <c:pt idx="10">
                  <c:v>46296.423613194442</c:v>
                </c:pt>
              </c:numCache>
            </c:numRef>
          </c:cat>
          <c:val>
            <c:numRef>
              <c:f>'17_分析サンプル'!$E$63:$E$73</c:f>
              <c:numCache>
                <c:formatCode>0.00</c:formatCode>
                <c:ptCount val="11"/>
                <c:pt idx="0">
                  <c:v>2.3666666666666667</c:v>
                </c:pt>
                <c:pt idx="1">
                  <c:v>4.666666666666667</c:v>
                </c:pt>
                <c:pt idx="2">
                  <c:v>4.5333333333333332</c:v>
                </c:pt>
                <c:pt idx="3">
                  <c:v>4.55</c:v>
                </c:pt>
                <c:pt idx="4">
                  <c:v>3.5166666666666666</c:v>
                </c:pt>
                <c:pt idx="5">
                  <c:v>3.4666666666666668</c:v>
                </c:pt>
                <c:pt idx="6">
                  <c:v>4.7</c:v>
                </c:pt>
                <c:pt idx="7">
                  <c:v>4.45</c:v>
                </c:pt>
                <c:pt idx="8">
                  <c:v>4.5333333333333332</c:v>
                </c:pt>
                <c:pt idx="9">
                  <c:v>4.4666666666666668</c:v>
                </c:pt>
                <c:pt idx="10">
                  <c:v>3.3333333333333333E-2</c:v>
                </c:pt>
              </c:numCache>
            </c:numRef>
          </c:val>
          <c:smooth val="0"/>
          <c:extLst>
            <c:ext xmlns:c16="http://schemas.microsoft.com/office/drawing/2014/chart" uri="{C3380CC4-5D6E-409C-BE32-E72D297353CC}">
              <c16:uniqueId val="{00000000-61F0-4419-8059-CFBC6C934B3C}"/>
            </c:ext>
          </c:extLst>
        </c:ser>
        <c:dLbls>
          <c:showLegendKey val="0"/>
          <c:showVal val="0"/>
          <c:showCatName val="0"/>
          <c:showSerName val="0"/>
          <c:showPercent val="0"/>
          <c:showBubbleSize val="0"/>
        </c:dLbls>
        <c:marker val="1"/>
        <c:smooth val="0"/>
        <c:axId val="10"/>
        <c:axId val="100"/>
      </c:lineChart>
      <c:lineChart>
        <c:grouping val="standard"/>
        <c:varyColors val="1"/>
        <c:ser>
          <c:idx val="1"/>
          <c:order val="1"/>
          <c:tx>
            <c:v>平均スレッド数（右軸）</c:v>
          </c:tx>
          <c:spPr>
            <a:ln w="22000">
              <a:solidFill>
                <a:srgbClr val="A6A6A6"/>
              </a:solidFill>
              <a:prstDash val="sysDash"/>
            </a:ln>
          </c:spPr>
          <c:marker>
            <c:symbol val="none"/>
          </c:marker>
          <c:val>
            <c:numRef>
              <c:f>'17_分析サンプル'!$I$63:$I$73</c:f>
              <c:numCache>
                <c:formatCode>0.0</c:formatCode>
                <c:ptCount val="11"/>
                <c:pt idx="0">
                  <c:v>6.943661971830986</c:v>
                </c:pt>
                <c:pt idx="1">
                  <c:v>10</c:v>
                </c:pt>
                <c:pt idx="2">
                  <c:v>10</c:v>
                </c:pt>
                <c:pt idx="3">
                  <c:v>10</c:v>
                </c:pt>
                <c:pt idx="4">
                  <c:v>10</c:v>
                </c:pt>
                <c:pt idx="5">
                  <c:v>10</c:v>
                </c:pt>
                <c:pt idx="6">
                  <c:v>10</c:v>
                </c:pt>
                <c:pt idx="7">
                  <c:v>10</c:v>
                </c:pt>
                <c:pt idx="8">
                  <c:v>10</c:v>
                </c:pt>
                <c:pt idx="9">
                  <c:v>10</c:v>
                </c:pt>
                <c:pt idx="10">
                  <c:v>10</c:v>
                </c:pt>
              </c:numCache>
            </c:numRef>
          </c:val>
          <c:smooth val="0"/>
          <c:extLst>
            <c:ext xmlns:c16="http://schemas.microsoft.com/office/drawing/2014/chart" uri="{C3380CC4-5D6E-409C-BE32-E72D297353CC}">
              <c16:uniqueId val="{00000001-61F0-4419-8059-CFBC6C934B3C}"/>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title>
          <c:tx>
            <c:rich>
              <a:bodyPr/>
              <a:lstStyle/>
              <a:p>
                <a:pPr>
                  <a:defRPr/>
                </a:pPr>
                <a:r>
                  <a:t>時刻（JST）</a:t>
                </a:r>
              </a:p>
            </c:rich>
          </c:tx>
          <c:overlay val="0"/>
        </c:title>
        <c:numFmt formatCode="hh:mm" sourceLinked="0"/>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件/秒</a:t>
                </a:r>
              </a:p>
            </c:rich>
          </c:tx>
          <c:overlay val="0"/>
        </c:title>
        <c:numFmt formatCode="0.0" sourceLinked="0"/>
        <c:majorTickMark val="none"/>
        <c:minorTickMark val="none"/>
        <c:tickLblPos val="nextTo"/>
        <c:crossAx val="10"/>
        <c:crosses val="autoZero"/>
        <c:crossBetween val="between"/>
      </c:valAx>
      <c:valAx>
        <c:axId val="200"/>
        <c:scaling>
          <c:orientation val="minMax"/>
        </c:scaling>
        <c:delete val="0"/>
        <c:axPos val="r"/>
        <c:numFmt formatCode="0" sourceLinked="0"/>
        <c:majorTickMark val="none"/>
        <c:minorTickMark val="none"/>
        <c:tickLblPos val="nextTo"/>
        <c:crossAx val="10"/>
        <c:crosses val="max"/>
        <c:crossBetween val="between"/>
      </c:valAx>
    </c:plotArea>
    <c:legend>
      <c:legendPos val="b"/>
      <c:overlay val="0"/>
    </c:legend>
    <c:plotVisOnly val="1"/>
    <c:dispBlanksAs val="gap"/>
    <c:showDLblsOverMax val="1"/>
  </c:chart>
  <c:txPr>
    <a:bodyPr/>
    <a:lstStyle/>
    <a:p>
      <a:pPr>
        <a:defRPr sz="900">
          <a:latin typeface="Meiryo UI"/>
          <a:ea typeface="Meiryo UI"/>
          <a:cs typeface="Meiryo UI"/>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a:defRPr sz="1100" b="1"/>
            </a:pPr>
            <a:r>
              <a:rPr sz="1100" b="1"/>
              <a:t>エラー数の推移（件/分）</a:t>
            </a:r>
          </a:p>
        </c:rich>
      </c:tx>
      <c:overlay val="0"/>
    </c:title>
    <c:autoTitleDeleted val="0"/>
    <c:plotArea>
      <c:layout/>
      <c:barChart>
        <c:barDir val="col"/>
        <c:grouping val="clustered"/>
        <c:varyColors val="1"/>
        <c:ser>
          <c:idx val="0"/>
          <c:order val="0"/>
          <c:tx>
            <c:strRef>
              <c:f>'17_分析サンプル'!$H$62</c:f>
              <c:strCache>
                <c:ptCount val="1"/>
                <c:pt idx="0">
                  <c:v>エラー数</c:v>
                </c:pt>
              </c:strCache>
            </c:strRef>
          </c:tx>
          <c:spPr>
            <a:solidFill>
              <a:srgbClr val="595959"/>
            </a:solidFill>
            <a:ln>
              <a:solidFill>
                <a:srgbClr val="595959"/>
              </a:solidFill>
              <a:prstDash val="solid"/>
            </a:ln>
          </c:spPr>
          <c:invertIfNegative val="1"/>
          <c:cat>
            <c:numRef>
              <c:f>'17_分析サンプル'!$C$63:$C$73</c:f>
              <c:numCache>
                <c:formatCode>hh:mm</c:formatCode>
                <c:ptCount val="11"/>
                <c:pt idx="0">
                  <c:v>46296.416668749996</c:v>
                </c:pt>
                <c:pt idx="1">
                  <c:v>46296.417363194443</c:v>
                </c:pt>
                <c:pt idx="2">
                  <c:v>46296.418057638883</c:v>
                </c:pt>
                <c:pt idx="3">
                  <c:v>46296.418752083329</c:v>
                </c:pt>
                <c:pt idx="4">
                  <c:v>46296.419446527776</c:v>
                </c:pt>
                <c:pt idx="5">
                  <c:v>46296.420140972215</c:v>
                </c:pt>
                <c:pt idx="6">
                  <c:v>46296.420835416662</c:v>
                </c:pt>
                <c:pt idx="7">
                  <c:v>46296.421529861109</c:v>
                </c:pt>
                <c:pt idx="8">
                  <c:v>46296.422224305556</c:v>
                </c:pt>
                <c:pt idx="9">
                  <c:v>46296.422918749995</c:v>
                </c:pt>
                <c:pt idx="10">
                  <c:v>46296.423613194442</c:v>
                </c:pt>
              </c:numCache>
            </c:numRef>
          </c:cat>
          <c:val>
            <c:numRef>
              <c:f>'17_分析サンプル'!$H$63:$H$73</c:f>
              <c:numCache>
                <c:formatCode>#,##0</c:formatCode>
                <c:ptCount val="11"/>
                <c:pt idx="0">
                  <c:v>0</c:v>
                </c:pt>
                <c:pt idx="1">
                  <c:v>0</c:v>
                </c:pt>
                <c:pt idx="2">
                  <c:v>0</c:v>
                </c:pt>
                <c:pt idx="3">
                  <c:v>0</c:v>
                </c:pt>
                <c:pt idx="4">
                  <c:v>8</c:v>
                </c:pt>
                <c:pt idx="5">
                  <c:v>5</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595959"/>
                    </a:solidFill>
                    <a:prstDash val="solid"/>
                  </a:ln>
                </c14:spPr>
              </c14:invertSolidFillFmt>
            </c:ext>
            <c:ext xmlns:c16="http://schemas.microsoft.com/office/drawing/2014/chart" uri="{C3380CC4-5D6E-409C-BE32-E72D297353CC}">
              <c16:uniqueId val="{00000000-FFE7-4E32-99BE-77333603BA02}"/>
            </c:ext>
          </c:extLst>
        </c:ser>
        <c:dLbls>
          <c:showLegendKey val="0"/>
          <c:showVal val="0"/>
          <c:showCatName val="0"/>
          <c:showSerName val="0"/>
          <c:showPercent val="0"/>
          <c:showBubbleSize val="0"/>
        </c:dLbls>
        <c:gapWidth val="60"/>
        <c:axId val="10"/>
        <c:axId val="100"/>
      </c:barChart>
      <c:catAx>
        <c:axId val="10"/>
        <c:scaling>
          <c:orientation val="minMax"/>
        </c:scaling>
        <c:delete val="0"/>
        <c:axPos val="b"/>
        <c:title>
          <c:tx>
            <c:rich>
              <a:bodyPr/>
              <a:lstStyle/>
              <a:p>
                <a:pPr>
                  <a:defRPr/>
                </a:pPr>
                <a:r>
                  <a:t>時刻（JST）</a:t>
                </a:r>
              </a:p>
            </c:rich>
          </c:tx>
          <c:overlay val="0"/>
        </c:title>
        <c:numFmt formatCode="hh:mm" sourceLinked="0"/>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t>件</a:t>
                </a:r>
              </a:p>
            </c:rich>
          </c:tx>
          <c:overlay val="0"/>
        </c:title>
        <c:numFmt formatCode="0" sourceLinked="0"/>
        <c:majorTickMark val="none"/>
        <c:minorTickMark val="none"/>
        <c:tickLblPos val="nextTo"/>
        <c:crossAx val="10"/>
        <c:crosses val="autoZero"/>
        <c:crossBetween val="between"/>
      </c:valAx>
    </c:plotArea>
    <c:plotVisOnly val="1"/>
    <c:dispBlanksAs val="gap"/>
    <c:showDLblsOverMax val="1"/>
  </c:chart>
  <c:txPr>
    <a:bodyPr/>
    <a:lstStyle/>
    <a:p>
      <a:pPr>
        <a:defRPr sz="900">
          <a:latin typeface="Meiryo UI"/>
          <a:ea typeface="Meiryo UI"/>
          <a:cs typeface="Meiryo UI"/>
        </a:defRPr>
      </a:pPr>
      <a:endParaRPr lang="ja-JP"/>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79</xdr:row>
      <xdr:rowOff>0</xdr:rowOff>
    </xdr:from>
    <xdr:ext cx="5940000" cy="2880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79</xdr:row>
      <xdr:rowOff>0</xdr:rowOff>
    </xdr:from>
    <xdr:ext cx="5940000" cy="2880000"/>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97</xdr:row>
      <xdr:rowOff>0</xdr:rowOff>
    </xdr:from>
    <xdr:ext cx="5940000" cy="2880000"/>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JTL" displayName="tblJTL" ref="B5:X2482">
  <autoFilter ref="B5:X2482" xr:uid="{00000000-0009-0000-0100-000001000000}"/>
  <tableColumns count="23">
    <tableColumn id="2" xr3:uid="{00000000-0010-0000-0000-000002000000}" name="timeStamp"/>
    <tableColumn id="3" xr3:uid="{00000000-0010-0000-0000-000003000000}" name="elapsed"/>
    <tableColumn id="4" xr3:uid="{00000000-0010-0000-0000-000004000000}" name="label"/>
    <tableColumn id="5" xr3:uid="{00000000-0010-0000-0000-000005000000}" name="responseCode"/>
    <tableColumn id="6" xr3:uid="{00000000-0010-0000-0000-000006000000}" name="responseMessage"/>
    <tableColumn id="7" xr3:uid="{00000000-0010-0000-0000-000007000000}" name="threadName"/>
    <tableColumn id="8" xr3:uid="{00000000-0010-0000-0000-000008000000}" name="dataType"/>
    <tableColumn id="9" xr3:uid="{00000000-0010-0000-0000-000009000000}" name="success"/>
    <tableColumn id="10" xr3:uid="{00000000-0010-0000-0000-00000A000000}" name="failureMessage"/>
    <tableColumn id="11" xr3:uid="{00000000-0010-0000-0000-00000B000000}" name="bytes"/>
    <tableColumn id="12" xr3:uid="{00000000-0010-0000-0000-00000C000000}" name="sentBytes"/>
    <tableColumn id="13" xr3:uid="{00000000-0010-0000-0000-00000D000000}" name="grpThreads"/>
    <tableColumn id="14" xr3:uid="{00000000-0010-0000-0000-00000E000000}" name="allThreads"/>
    <tableColumn id="15" xr3:uid="{00000000-0010-0000-0000-00000F000000}" name="URL"/>
    <tableColumn id="16" xr3:uid="{00000000-0010-0000-0000-000010000000}" name="Latency"/>
    <tableColumn id="17" xr3:uid="{00000000-0010-0000-0000-000011000000}" name="IdleTime"/>
    <tableColumn id="18" xr3:uid="{00000000-0010-0000-0000-000012000000}" name="Connect"/>
    <tableColumn id="19" xr3:uid="{00000000-0010-0000-0000-000013000000}" name="開始日時JST"/>
    <tableColumn id="20" xr3:uid="{00000000-0010-0000-0000-000014000000}" name="終了ms"/>
    <tableColumn id="21" xr3:uid="{00000000-0010-0000-0000-000015000000}" name="経過秒"/>
    <tableColumn id="22" xr3:uid="{00000000-0010-0000-0000-000016000000}" name="経過分"/>
    <tableColumn id="23" xr3:uid="{00000000-0010-0000-0000-000017000000}" name="エラー"/>
    <tableColumn id="24" xr3:uid="{00000000-0010-0000-0000-000018000000}" name="評価対象"/>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
        <a:font script="Jpan" typeface="Meiryo UI"/>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
        <a:font script="Jpan" typeface="Meiryo UI"/>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B1:H35"/>
  <sheetViews>
    <sheetView showGridLines="0" tabSelected="1" zoomScaleNormal="100" workbookViewId="0"/>
  </sheetViews>
  <sheetFormatPr defaultRowHeight="15" x14ac:dyDescent="0.3"/>
  <cols>
    <col min="1" max="1" width="3" customWidth="1"/>
    <col min="2" max="8" width="18" customWidth="1"/>
    <col min="9" max="9" width="3" customWidth="1"/>
  </cols>
  <sheetData>
    <row r="1" spans="2:8" ht="30" customHeight="1" x14ac:dyDescent="0.3"/>
    <row r="2" spans="2:8" ht="7.95" customHeight="1" x14ac:dyDescent="0.3">
      <c r="B2" s="117"/>
      <c r="C2" s="118"/>
      <c r="D2" s="118"/>
      <c r="E2" s="118"/>
      <c r="F2" s="118"/>
      <c r="G2" s="118"/>
      <c r="H2" s="118"/>
    </row>
    <row r="3" spans="2:8" ht="34.049999999999997" customHeight="1" x14ac:dyDescent="0.3"/>
    <row r="4" spans="2:8" ht="22.05" customHeight="1" x14ac:dyDescent="0.3">
      <c r="B4" s="119" t="s">
        <v>0</v>
      </c>
      <c r="C4" s="113"/>
      <c r="D4" s="113"/>
      <c r="E4" s="113"/>
      <c r="F4" s="113"/>
      <c r="G4" s="113"/>
      <c r="H4" s="113"/>
    </row>
    <row r="5" spans="2:8" ht="52.05" customHeight="1" x14ac:dyDescent="0.3">
      <c r="B5" s="115" t="s">
        <v>1</v>
      </c>
      <c r="C5" s="113"/>
      <c r="D5" s="113"/>
      <c r="E5" s="113"/>
      <c r="F5" s="113"/>
      <c r="G5" s="113"/>
      <c r="H5" s="113"/>
    </row>
    <row r="6" spans="2:8" ht="28.05" customHeight="1" x14ac:dyDescent="0.3">
      <c r="B6" s="112" t="s">
        <v>2</v>
      </c>
      <c r="C6" s="113"/>
      <c r="D6" s="113"/>
      <c r="E6" s="113"/>
      <c r="F6" s="113"/>
      <c r="G6" s="113"/>
      <c r="H6" s="113"/>
    </row>
    <row r="7" spans="2:8" ht="24" customHeight="1" x14ac:dyDescent="0.3">
      <c r="B7" s="119" t="s">
        <v>3</v>
      </c>
      <c r="C7" s="113"/>
      <c r="D7" s="113"/>
      <c r="E7" s="113"/>
      <c r="F7" s="113"/>
      <c r="G7" s="113"/>
      <c r="H7" s="113"/>
    </row>
    <row r="8" spans="2:8" ht="10.050000000000001" customHeight="1" x14ac:dyDescent="0.3">
      <c r="B8" s="125"/>
      <c r="C8" s="126"/>
      <c r="D8" s="126"/>
      <c r="E8" s="126"/>
      <c r="F8" s="126"/>
      <c r="G8" s="126"/>
      <c r="H8" s="126"/>
    </row>
    <row r="9" spans="2:8" ht="22.05" customHeight="1" x14ac:dyDescent="0.3"/>
    <row r="10" spans="2:8" ht="25.05" customHeight="1" x14ac:dyDescent="0.3">
      <c r="B10" s="123" t="s">
        <v>4</v>
      </c>
      <c r="C10" s="124"/>
      <c r="D10" s="124"/>
      <c r="E10" s="124"/>
      <c r="F10" s="124"/>
      <c r="G10" s="124"/>
      <c r="H10" s="124"/>
    </row>
    <row r="11" spans="2:8" ht="24" customHeight="1" x14ac:dyDescent="0.3">
      <c r="B11" s="104" t="s">
        <v>5</v>
      </c>
      <c r="C11" s="105"/>
      <c r="D11" s="109" t="s">
        <v>1</v>
      </c>
      <c r="E11" s="110"/>
      <c r="F11" s="110"/>
      <c r="G11" s="110"/>
      <c r="H11" s="111"/>
    </row>
    <row r="12" spans="2:8" ht="24" customHeight="1" x14ac:dyDescent="0.3">
      <c r="B12" s="104" t="s">
        <v>6</v>
      </c>
      <c r="C12" s="105"/>
      <c r="D12" s="109" t="s">
        <v>7</v>
      </c>
      <c r="E12" s="110"/>
      <c r="F12" s="110"/>
      <c r="G12" s="110"/>
      <c r="H12" s="111"/>
    </row>
    <row r="13" spans="2:8" ht="24" customHeight="1" x14ac:dyDescent="0.3">
      <c r="B13" s="104" t="s">
        <v>8</v>
      </c>
      <c r="C13" s="105"/>
      <c r="D13" s="109" t="s">
        <v>9</v>
      </c>
      <c r="E13" s="110"/>
      <c r="F13" s="110"/>
      <c r="G13" s="110"/>
      <c r="H13" s="111"/>
    </row>
    <row r="14" spans="2:8" ht="24" customHeight="1" x14ac:dyDescent="0.3">
      <c r="B14" s="104" t="s">
        <v>10</v>
      </c>
      <c r="C14" s="105"/>
      <c r="D14" s="127"/>
      <c r="E14" s="107"/>
      <c r="F14" s="107"/>
      <c r="G14" s="107"/>
      <c r="H14" s="108"/>
    </row>
    <row r="15" spans="2:8" ht="24" customHeight="1" x14ac:dyDescent="0.3">
      <c r="B15" s="104" t="s">
        <v>11</v>
      </c>
      <c r="C15" s="105"/>
      <c r="D15" s="109" t="s">
        <v>12</v>
      </c>
      <c r="E15" s="110"/>
      <c r="F15" s="110"/>
      <c r="G15" s="110"/>
      <c r="H15" s="111"/>
    </row>
    <row r="16" spans="2:8" ht="24" customHeight="1" x14ac:dyDescent="0.3">
      <c r="B16" s="104" t="s">
        <v>13</v>
      </c>
      <c r="C16" s="105"/>
      <c r="D16" s="109" t="s">
        <v>14</v>
      </c>
      <c r="E16" s="110"/>
      <c r="F16" s="110"/>
      <c r="G16" s="110"/>
      <c r="H16" s="111"/>
    </row>
    <row r="17" spans="2:8" ht="24" customHeight="1" x14ac:dyDescent="0.3">
      <c r="B17" s="104" t="s">
        <v>15</v>
      </c>
      <c r="C17" s="105"/>
      <c r="D17" s="109" t="s">
        <v>16</v>
      </c>
      <c r="E17" s="110"/>
      <c r="F17" s="110"/>
      <c r="G17" s="110"/>
      <c r="H17" s="111"/>
    </row>
    <row r="18" spans="2:8" ht="24" customHeight="1" x14ac:dyDescent="0.3">
      <c r="B18" s="104" t="s">
        <v>17</v>
      </c>
      <c r="C18" s="105"/>
      <c r="D18" s="109" t="s">
        <v>18</v>
      </c>
      <c r="E18" s="110"/>
      <c r="F18" s="110"/>
      <c r="G18" s="110"/>
      <c r="H18" s="111"/>
    </row>
    <row r="19" spans="2:8" ht="33.75" customHeight="1" x14ac:dyDescent="0.3">
      <c r="B19" s="104" t="s">
        <v>19</v>
      </c>
      <c r="C19" s="105"/>
      <c r="D19" s="109" t="s">
        <v>20</v>
      </c>
      <c r="E19" s="110"/>
      <c r="F19" s="110"/>
      <c r="G19" s="110"/>
      <c r="H19" s="111"/>
    </row>
    <row r="20" spans="2:8" ht="18" customHeight="1" x14ac:dyDescent="0.3"/>
    <row r="21" spans="2:8" ht="25.05" customHeight="1" x14ac:dyDescent="0.3">
      <c r="B21" s="123" t="s">
        <v>21</v>
      </c>
      <c r="C21" s="124"/>
      <c r="D21" s="124"/>
      <c r="E21" s="124"/>
      <c r="F21" s="124"/>
      <c r="G21" s="124"/>
      <c r="H21" s="124"/>
    </row>
    <row r="22" spans="2:8" ht="22.05" customHeight="1" x14ac:dyDescent="0.3">
      <c r="B22" s="1" t="s">
        <v>22</v>
      </c>
      <c r="C22" s="1" t="s">
        <v>23</v>
      </c>
      <c r="D22" s="120" t="s">
        <v>24</v>
      </c>
      <c r="E22" s="121"/>
      <c r="F22" s="121"/>
      <c r="G22" s="122"/>
      <c r="H22" s="1" t="s">
        <v>25</v>
      </c>
    </row>
    <row r="23" spans="2:8" ht="22.05" customHeight="1" x14ac:dyDescent="0.3">
      <c r="B23" s="2" t="s">
        <v>26</v>
      </c>
      <c r="C23" s="2" t="s">
        <v>27</v>
      </c>
      <c r="D23" s="116" t="s">
        <v>28</v>
      </c>
      <c r="E23" s="110"/>
      <c r="F23" s="110"/>
      <c r="G23" s="111"/>
      <c r="H23" s="3"/>
    </row>
    <row r="24" spans="2:8" ht="48.15" customHeight="1" x14ac:dyDescent="0.3">
      <c r="B24" s="3" t="s">
        <v>29</v>
      </c>
      <c r="C24" s="3" t="s">
        <v>27</v>
      </c>
      <c r="D24" s="106" t="s">
        <v>30</v>
      </c>
      <c r="E24" s="107"/>
      <c r="F24" s="107"/>
      <c r="G24" s="108"/>
      <c r="H24" s="3"/>
    </row>
    <row r="25" spans="2:8" ht="22.05" customHeight="1" x14ac:dyDescent="0.3">
      <c r="B25" s="3"/>
      <c r="C25" s="3"/>
      <c r="D25" s="106"/>
      <c r="E25" s="107"/>
      <c r="F25" s="107"/>
      <c r="G25" s="108"/>
      <c r="H25" s="3"/>
    </row>
    <row r="26" spans="2:8" ht="22.05" customHeight="1" x14ac:dyDescent="0.3">
      <c r="B26" s="3"/>
      <c r="C26" s="3"/>
      <c r="D26" s="106"/>
      <c r="E26" s="107"/>
      <c r="F26" s="107"/>
      <c r="G26" s="108"/>
      <c r="H26" s="3"/>
    </row>
    <row r="27" spans="2:8" ht="22.05" customHeight="1" x14ac:dyDescent="0.3">
      <c r="B27" s="3"/>
      <c r="C27" s="3"/>
      <c r="D27" s="106"/>
      <c r="E27" s="107"/>
      <c r="F27" s="107"/>
      <c r="G27" s="108"/>
      <c r="H27" s="3"/>
    </row>
    <row r="28" spans="2:8" ht="18" customHeight="1" x14ac:dyDescent="0.3"/>
    <row r="29" spans="2:8" ht="25.05" customHeight="1" x14ac:dyDescent="0.3">
      <c r="B29" s="123" t="s">
        <v>31</v>
      </c>
      <c r="C29" s="124"/>
      <c r="D29" s="124"/>
      <c r="E29" s="124"/>
      <c r="F29" s="124"/>
      <c r="G29" s="124"/>
      <c r="H29" s="124"/>
    </row>
    <row r="30" spans="2:8" ht="22.05" customHeight="1" x14ac:dyDescent="0.3">
      <c r="B30" s="114" t="s">
        <v>32</v>
      </c>
      <c r="C30" s="113"/>
      <c r="D30" s="113"/>
      <c r="E30" s="113"/>
      <c r="F30" s="113"/>
      <c r="G30" s="113"/>
      <c r="H30" s="113"/>
    </row>
    <row r="31" spans="2:8" ht="22.05" customHeight="1" x14ac:dyDescent="0.3">
      <c r="B31" s="114" t="s">
        <v>33</v>
      </c>
      <c r="C31" s="113"/>
      <c r="D31" s="113"/>
      <c r="E31" s="113"/>
      <c r="F31" s="113"/>
      <c r="G31" s="113"/>
      <c r="H31" s="113"/>
    </row>
    <row r="32" spans="2:8" ht="22.05" customHeight="1" x14ac:dyDescent="0.3">
      <c r="B32" s="114" t="s">
        <v>34</v>
      </c>
      <c r="C32" s="113"/>
      <c r="D32" s="113"/>
      <c r="E32" s="113"/>
      <c r="F32" s="113"/>
      <c r="G32" s="113"/>
      <c r="H32" s="113"/>
    </row>
    <row r="33" spans="2:8" ht="22.05" customHeight="1" x14ac:dyDescent="0.3">
      <c r="B33" s="114" t="s">
        <v>35</v>
      </c>
      <c r="C33" s="113"/>
      <c r="D33" s="113"/>
      <c r="E33" s="113"/>
      <c r="F33" s="113"/>
      <c r="G33" s="113"/>
      <c r="H33" s="113"/>
    </row>
    <row r="34" spans="2:8" ht="19.95" customHeight="1" x14ac:dyDescent="0.3"/>
    <row r="35" spans="2:8" ht="7.95" customHeight="1" x14ac:dyDescent="0.3">
      <c r="B35" s="117"/>
      <c r="C35" s="118"/>
      <c r="D35" s="118"/>
      <c r="E35" s="118"/>
      <c r="F35" s="118"/>
      <c r="G35" s="118"/>
      <c r="H35" s="118"/>
    </row>
  </sheetData>
  <mergeCells count="38">
    <mergeCell ref="B2:H2"/>
    <mergeCell ref="D27:G27"/>
    <mergeCell ref="D18:H18"/>
    <mergeCell ref="B8:H8"/>
    <mergeCell ref="D12:H12"/>
    <mergeCell ref="B15:C15"/>
    <mergeCell ref="D15:H15"/>
    <mergeCell ref="B10:H10"/>
    <mergeCell ref="D14:H14"/>
    <mergeCell ref="B35:H35"/>
    <mergeCell ref="B4:H4"/>
    <mergeCell ref="D11:H11"/>
    <mergeCell ref="D13:H13"/>
    <mergeCell ref="B14:C14"/>
    <mergeCell ref="B7:H7"/>
    <mergeCell ref="B17:C17"/>
    <mergeCell ref="D17:H17"/>
    <mergeCell ref="B31:H31"/>
    <mergeCell ref="B13:C13"/>
    <mergeCell ref="D22:G22"/>
    <mergeCell ref="D16:H16"/>
    <mergeCell ref="B19:C19"/>
    <mergeCell ref="B21:H21"/>
    <mergeCell ref="B29:H29"/>
    <mergeCell ref="B30:H30"/>
    <mergeCell ref="B33:H33"/>
    <mergeCell ref="B18:C18"/>
    <mergeCell ref="B5:H5"/>
    <mergeCell ref="B12:C12"/>
    <mergeCell ref="D23:G23"/>
    <mergeCell ref="B32:H32"/>
    <mergeCell ref="D26:G26"/>
    <mergeCell ref="B11:C11"/>
    <mergeCell ref="B16:C16"/>
    <mergeCell ref="D25:G25"/>
    <mergeCell ref="D19:H19"/>
    <mergeCell ref="B6:H6"/>
    <mergeCell ref="D24:G24"/>
  </mergeCells>
  <phoneticPr fontId="27"/>
  <printOptions horizontalCentered="1"/>
  <pageMargins left="0.35" right="0.35" top="0.55000000000000004" bottom="0.55000000000000004" header="0.25" footer="0.25"/>
  <pageSetup paperSize="9" fitToHeight="0" orientation="portrait"/>
  <headerFooter>
    <oddHeader>&amp;R&amp;"Meiryo UI,Regular"&amp;8 &amp;A</oddHeader>
    <oddFooter>&amp;C&amp;"Meiryo UI,Regular"&amp;8 &amp;P / &amp;N</oddFooter>
  </headerFooter>
  <ignoredErrors>
    <ignoredError sqref="B23:B2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pageSetUpPr fitToPage="1"/>
  </sheetPr>
  <dimension ref="B1:F71"/>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36</v>
      </c>
      <c r="C1" s="118"/>
      <c r="D1" s="118"/>
      <c r="E1" s="118"/>
      <c r="F1" s="118"/>
    </row>
    <row r="2" spans="2:6" ht="24" customHeight="1" x14ac:dyDescent="0.3">
      <c r="B2" s="141" t="s">
        <v>37</v>
      </c>
      <c r="C2" s="113"/>
      <c r="D2" s="113"/>
      <c r="E2" s="113"/>
      <c r="F2" s="4" t="s">
        <v>38</v>
      </c>
    </row>
    <row r="3" spans="2:6" ht="12" customHeight="1" x14ac:dyDescent="0.3"/>
    <row r="4" spans="2:6" ht="27" customHeight="1" x14ac:dyDescent="0.3">
      <c r="B4" s="128" t="s">
        <v>39</v>
      </c>
      <c r="C4" s="124"/>
      <c r="D4" s="124"/>
      <c r="E4" s="124"/>
      <c r="F4" s="124"/>
    </row>
    <row r="5" spans="2:6" ht="4.95" customHeight="1" x14ac:dyDescent="0.3"/>
    <row r="6" spans="2:6" ht="19.350000000000001" customHeight="1" x14ac:dyDescent="0.3">
      <c r="B6" s="5" t="s">
        <v>40</v>
      </c>
      <c r="C6" s="129" t="s">
        <v>41</v>
      </c>
      <c r="D6" s="113"/>
      <c r="E6" s="113"/>
      <c r="F6" s="113"/>
    </row>
    <row r="7" spans="2:6" ht="19.350000000000001" customHeight="1" x14ac:dyDescent="0.3">
      <c r="B7" s="5" t="s">
        <v>40</v>
      </c>
      <c r="C7" s="129" t="s">
        <v>42</v>
      </c>
      <c r="D7" s="113"/>
      <c r="E7" s="113"/>
      <c r="F7" s="113"/>
    </row>
    <row r="8" spans="2:6" ht="19.350000000000001" customHeight="1" x14ac:dyDescent="0.3">
      <c r="B8" s="5" t="s">
        <v>40</v>
      </c>
      <c r="C8" s="129" t="s">
        <v>43</v>
      </c>
      <c r="D8" s="113"/>
      <c r="E8" s="113"/>
      <c r="F8" s="113"/>
    </row>
    <row r="9" spans="2:6" ht="19.350000000000001" customHeight="1" x14ac:dyDescent="0.3">
      <c r="B9" s="5" t="s">
        <v>40</v>
      </c>
      <c r="C9" s="129" t="s">
        <v>44</v>
      </c>
      <c r="D9" s="113"/>
      <c r="E9" s="113"/>
      <c r="F9" s="113"/>
    </row>
    <row r="10" spans="2:6" ht="19.350000000000001" customHeight="1" x14ac:dyDescent="0.3">
      <c r="B10" s="5" t="s">
        <v>40</v>
      </c>
      <c r="C10" s="129" t="s">
        <v>45</v>
      </c>
      <c r="D10" s="113"/>
      <c r="E10" s="113"/>
      <c r="F10" s="113"/>
    </row>
    <row r="11" spans="2:6" ht="19.350000000000001" customHeight="1" x14ac:dyDescent="0.3">
      <c r="B11" s="5" t="s">
        <v>40</v>
      </c>
      <c r="C11" s="129" t="s">
        <v>46</v>
      </c>
      <c r="D11" s="113"/>
      <c r="E11" s="113"/>
      <c r="F11" s="113"/>
    </row>
    <row r="12" spans="2:6" ht="19.350000000000001" customHeight="1" x14ac:dyDescent="0.3">
      <c r="B12" s="5" t="s">
        <v>40</v>
      </c>
      <c r="C12" s="129" t="s">
        <v>47</v>
      </c>
      <c r="D12" s="113"/>
      <c r="E12" s="113"/>
      <c r="F12" s="113"/>
    </row>
    <row r="13" spans="2:6" ht="19.350000000000001" customHeight="1" x14ac:dyDescent="0.3">
      <c r="B13" s="5" t="s">
        <v>40</v>
      </c>
      <c r="C13" s="129" t="s">
        <v>48</v>
      </c>
      <c r="D13" s="113"/>
      <c r="E13" s="113"/>
      <c r="F13" s="113"/>
    </row>
    <row r="14" spans="2:6" ht="19.350000000000001" customHeight="1" x14ac:dyDescent="0.3">
      <c r="B14" s="5" t="s">
        <v>40</v>
      </c>
      <c r="C14" s="129" t="s">
        <v>49</v>
      </c>
      <c r="D14" s="113"/>
      <c r="E14" s="113"/>
      <c r="F14" s="113"/>
    </row>
    <row r="15" spans="2:6" ht="33.75" customHeight="1" x14ac:dyDescent="0.3">
      <c r="B15" s="5" t="s">
        <v>40</v>
      </c>
      <c r="C15" s="129" t="s">
        <v>50</v>
      </c>
      <c r="D15" s="113"/>
      <c r="E15" s="113"/>
      <c r="F15" s="113"/>
    </row>
    <row r="16" spans="2:6" ht="12" customHeight="1" x14ac:dyDescent="0.3"/>
    <row r="17" spans="2:6" ht="27" customHeight="1" x14ac:dyDescent="0.3">
      <c r="B17" s="128" t="s">
        <v>51</v>
      </c>
      <c r="C17" s="124"/>
      <c r="D17" s="124"/>
      <c r="E17" s="124"/>
      <c r="F17" s="124"/>
    </row>
    <row r="18" spans="2:6" ht="4.95" customHeight="1" x14ac:dyDescent="0.3"/>
    <row r="19" spans="2:6" ht="22.05" customHeight="1" x14ac:dyDescent="0.3">
      <c r="B19" s="120" t="s">
        <v>52</v>
      </c>
      <c r="C19" s="122"/>
      <c r="D19" s="120" t="s">
        <v>53</v>
      </c>
      <c r="E19" s="121"/>
      <c r="F19" s="122"/>
    </row>
    <row r="20" spans="2:6" ht="24" customHeight="1" x14ac:dyDescent="0.3">
      <c r="B20" s="142" t="s">
        <v>54</v>
      </c>
      <c r="C20" s="143"/>
      <c r="D20" s="109" t="s">
        <v>55</v>
      </c>
      <c r="E20" s="110"/>
      <c r="F20" s="111"/>
    </row>
    <row r="21" spans="2:6" ht="24" customHeight="1" x14ac:dyDescent="0.3">
      <c r="B21" s="134" t="s">
        <v>56</v>
      </c>
      <c r="C21" s="135"/>
      <c r="D21" s="109" t="s">
        <v>57</v>
      </c>
      <c r="E21" s="110"/>
      <c r="F21" s="111"/>
    </row>
    <row r="22" spans="2:6" ht="24" customHeight="1" x14ac:dyDescent="0.3">
      <c r="B22" s="120" t="s">
        <v>58</v>
      </c>
      <c r="C22" s="122"/>
      <c r="D22" s="109" t="s">
        <v>59</v>
      </c>
      <c r="E22" s="110"/>
      <c r="F22" s="111"/>
    </row>
    <row r="23" spans="2:6" ht="24" customHeight="1" x14ac:dyDescent="0.3">
      <c r="B23" s="136" t="s">
        <v>60</v>
      </c>
      <c r="C23" s="137"/>
      <c r="D23" s="109" t="s">
        <v>61</v>
      </c>
      <c r="E23" s="110"/>
      <c r="F23" s="111"/>
    </row>
    <row r="24" spans="2:6" ht="24" customHeight="1" x14ac:dyDescent="0.3">
      <c r="B24" s="142" t="s">
        <v>62</v>
      </c>
      <c r="C24" s="143"/>
      <c r="D24" s="109" t="s">
        <v>63</v>
      </c>
      <c r="E24" s="110"/>
      <c r="F24" s="111"/>
    </row>
    <row r="25" spans="2:6" ht="24" customHeight="1" x14ac:dyDescent="0.3">
      <c r="B25" s="120" t="s">
        <v>64</v>
      </c>
      <c r="C25" s="122"/>
      <c r="D25" s="109" t="s">
        <v>65</v>
      </c>
      <c r="E25" s="110"/>
      <c r="F25" s="111"/>
    </row>
    <row r="26" spans="2:6" ht="24" customHeight="1" x14ac:dyDescent="0.3">
      <c r="B26" s="134" t="s">
        <v>66</v>
      </c>
      <c r="C26" s="135"/>
      <c r="D26" s="109" t="s">
        <v>67</v>
      </c>
      <c r="E26" s="110"/>
      <c r="F26" s="111"/>
    </row>
    <row r="27" spans="2:6" ht="24" customHeight="1" x14ac:dyDescent="0.3">
      <c r="B27" s="131" t="s">
        <v>68</v>
      </c>
      <c r="C27" s="108"/>
      <c r="D27" s="109" t="s">
        <v>69</v>
      </c>
      <c r="E27" s="110"/>
      <c r="F27" s="111"/>
    </row>
    <row r="28" spans="2:6" ht="24" customHeight="1" x14ac:dyDescent="0.3">
      <c r="B28" s="139" t="s">
        <v>70</v>
      </c>
      <c r="C28" s="140"/>
      <c r="D28" s="109" t="s">
        <v>71</v>
      </c>
      <c r="E28" s="110"/>
      <c r="F28" s="111"/>
    </row>
    <row r="29" spans="2:6" ht="6" customHeight="1" x14ac:dyDescent="0.3"/>
    <row r="30" spans="2:6" ht="12" customHeight="1" x14ac:dyDescent="0.3"/>
    <row r="31" spans="2:6" ht="27" customHeight="1" x14ac:dyDescent="0.3">
      <c r="B31" s="128" t="s">
        <v>72</v>
      </c>
      <c r="C31" s="124"/>
      <c r="D31" s="124"/>
      <c r="E31" s="124"/>
      <c r="F31" s="124"/>
    </row>
    <row r="32" spans="2:6" ht="4.95" customHeight="1" x14ac:dyDescent="0.3"/>
    <row r="33" spans="2:6" ht="22.05" customHeight="1" x14ac:dyDescent="0.3">
      <c r="B33" s="7" t="s">
        <v>73</v>
      </c>
      <c r="C33" s="7" t="s">
        <v>74</v>
      </c>
      <c r="D33" s="144" t="s">
        <v>75</v>
      </c>
      <c r="E33" s="145"/>
      <c r="F33" s="7" t="s">
        <v>76</v>
      </c>
    </row>
    <row r="34" spans="2:6" ht="19.95" customHeight="1" x14ac:dyDescent="0.3">
      <c r="B34" s="8" t="s">
        <v>77</v>
      </c>
      <c r="C34" s="9" t="s">
        <v>78</v>
      </c>
      <c r="D34" s="130" t="s">
        <v>79</v>
      </c>
      <c r="E34" s="111"/>
      <c r="F34" s="10" t="s">
        <v>80</v>
      </c>
    </row>
    <row r="35" spans="2:6" ht="19.95" customHeight="1" x14ac:dyDescent="0.3">
      <c r="B35" s="11" t="s">
        <v>81</v>
      </c>
      <c r="C35" s="12" t="s">
        <v>82</v>
      </c>
      <c r="D35" s="132" t="s">
        <v>83</v>
      </c>
      <c r="E35" s="133"/>
      <c r="F35" s="13" t="s">
        <v>84</v>
      </c>
    </row>
    <row r="36" spans="2:6" ht="19.95" customHeight="1" x14ac:dyDescent="0.3">
      <c r="B36" s="8" t="s">
        <v>85</v>
      </c>
      <c r="C36" s="9" t="s">
        <v>86</v>
      </c>
      <c r="D36" s="130" t="s">
        <v>87</v>
      </c>
      <c r="E36" s="111"/>
      <c r="F36" s="10" t="s">
        <v>84</v>
      </c>
    </row>
    <row r="37" spans="2:6" ht="19.95" customHeight="1" x14ac:dyDescent="0.3">
      <c r="B37" s="11" t="s">
        <v>88</v>
      </c>
      <c r="C37" s="12" t="s">
        <v>89</v>
      </c>
      <c r="D37" s="132" t="s">
        <v>90</v>
      </c>
      <c r="E37" s="133"/>
      <c r="F37" s="13" t="s">
        <v>84</v>
      </c>
    </row>
    <row r="38" spans="2:6" ht="19.95" customHeight="1" x14ac:dyDescent="0.3">
      <c r="B38" s="8" t="s">
        <v>91</v>
      </c>
      <c r="C38" s="9" t="s">
        <v>92</v>
      </c>
      <c r="D38" s="130" t="s">
        <v>93</v>
      </c>
      <c r="E38" s="111"/>
      <c r="F38" s="10" t="s">
        <v>84</v>
      </c>
    </row>
    <row r="39" spans="2:6" ht="19.95" customHeight="1" x14ac:dyDescent="0.3">
      <c r="B39" s="11" t="s">
        <v>94</v>
      </c>
      <c r="C39" s="12" t="s">
        <v>95</v>
      </c>
      <c r="D39" s="132" t="s">
        <v>96</v>
      </c>
      <c r="E39" s="133"/>
      <c r="F39" s="13" t="s">
        <v>84</v>
      </c>
    </row>
    <row r="40" spans="2:6" ht="19.95" customHeight="1" x14ac:dyDescent="0.3">
      <c r="B40" s="8" t="s">
        <v>97</v>
      </c>
      <c r="C40" s="9" t="s">
        <v>98</v>
      </c>
      <c r="D40" s="130" t="s">
        <v>99</v>
      </c>
      <c r="E40" s="111"/>
      <c r="F40" s="10" t="s">
        <v>84</v>
      </c>
    </row>
    <row r="41" spans="2:6" ht="19.95" customHeight="1" x14ac:dyDescent="0.3">
      <c r="B41" s="11" t="s">
        <v>100</v>
      </c>
      <c r="C41" s="12" t="s">
        <v>101</v>
      </c>
      <c r="D41" s="132" t="s">
        <v>102</v>
      </c>
      <c r="E41" s="133"/>
      <c r="F41" s="13" t="s">
        <v>84</v>
      </c>
    </row>
    <row r="42" spans="2:6" ht="19.95" customHeight="1" x14ac:dyDescent="0.3">
      <c r="B42" s="8" t="s">
        <v>103</v>
      </c>
      <c r="C42" s="9" t="s">
        <v>104</v>
      </c>
      <c r="D42" s="130" t="s">
        <v>105</v>
      </c>
      <c r="E42" s="111"/>
      <c r="F42" s="10" t="s">
        <v>84</v>
      </c>
    </row>
    <row r="43" spans="2:6" ht="19.95" customHeight="1" x14ac:dyDescent="0.3">
      <c r="B43" s="11" t="s">
        <v>106</v>
      </c>
      <c r="C43" s="12" t="s">
        <v>107</v>
      </c>
      <c r="D43" s="132" t="s">
        <v>108</v>
      </c>
      <c r="E43" s="133"/>
      <c r="F43" s="13" t="s">
        <v>80</v>
      </c>
    </row>
    <row r="44" spans="2:6" ht="19.95" customHeight="1" x14ac:dyDescent="0.3">
      <c r="B44" s="8" t="s">
        <v>109</v>
      </c>
      <c r="C44" s="9" t="s">
        <v>110</v>
      </c>
      <c r="D44" s="130" t="s">
        <v>111</v>
      </c>
      <c r="E44" s="111"/>
      <c r="F44" s="10" t="s">
        <v>112</v>
      </c>
    </row>
    <row r="45" spans="2:6" ht="19.95" customHeight="1" x14ac:dyDescent="0.3">
      <c r="B45" s="11" t="s">
        <v>113</v>
      </c>
      <c r="C45" s="12" t="s">
        <v>114</v>
      </c>
      <c r="D45" s="132" t="s">
        <v>115</v>
      </c>
      <c r="E45" s="133"/>
      <c r="F45" s="13" t="s">
        <v>116</v>
      </c>
    </row>
    <row r="46" spans="2:6" ht="19.95" customHeight="1" x14ac:dyDescent="0.3">
      <c r="B46" s="8" t="s">
        <v>117</v>
      </c>
      <c r="C46" s="9" t="s">
        <v>118</v>
      </c>
      <c r="D46" s="130" t="s">
        <v>119</v>
      </c>
      <c r="E46" s="111"/>
      <c r="F46" s="10" t="s">
        <v>112</v>
      </c>
    </row>
    <row r="47" spans="2:6" ht="19.95" customHeight="1" x14ac:dyDescent="0.3">
      <c r="B47" s="11" t="s">
        <v>120</v>
      </c>
      <c r="C47" s="12" t="s">
        <v>121</v>
      </c>
      <c r="D47" s="132" t="s">
        <v>122</v>
      </c>
      <c r="E47" s="133"/>
      <c r="F47" s="13" t="s">
        <v>123</v>
      </c>
    </row>
    <row r="48" spans="2:6" ht="33.75" customHeight="1" x14ac:dyDescent="0.3">
      <c r="B48" s="8" t="s">
        <v>124</v>
      </c>
      <c r="C48" s="9" t="s">
        <v>125</v>
      </c>
      <c r="D48" s="130" t="s">
        <v>126</v>
      </c>
      <c r="E48" s="111"/>
      <c r="F48" s="10" t="s">
        <v>84</v>
      </c>
    </row>
    <row r="49" spans="2:6" ht="19.95" customHeight="1" x14ac:dyDescent="0.3">
      <c r="B49" s="11" t="s">
        <v>127</v>
      </c>
      <c r="C49" s="12" t="s">
        <v>128</v>
      </c>
      <c r="D49" s="132" t="s">
        <v>129</v>
      </c>
      <c r="E49" s="133"/>
      <c r="F49" s="13" t="s">
        <v>84</v>
      </c>
    </row>
    <row r="50" spans="2:6" ht="19.95" customHeight="1" x14ac:dyDescent="0.3">
      <c r="B50" s="8" t="s">
        <v>130</v>
      </c>
      <c r="C50" s="9" t="s">
        <v>131</v>
      </c>
      <c r="D50" s="130" t="s">
        <v>132</v>
      </c>
      <c r="E50" s="111"/>
      <c r="F50" s="10" t="s">
        <v>84</v>
      </c>
    </row>
    <row r="51" spans="2:6" ht="19.95" customHeight="1" x14ac:dyDescent="0.3">
      <c r="B51" s="11" t="s">
        <v>133</v>
      </c>
      <c r="C51" s="12" t="s">
        <v>134</v>
      </c>
      <c r="D51" s="132" t="s">
        <v>135</v>
      </c>
      <c r="E51" s="133"/>
      <c r="F51" s="13" t="s">
        <v>84</v>
      </c>
    </row>
    <row r="52" spans="2:6" ht="19.95" customHeight="1" x14ac:dyDescent="0.3">
      <c r="B52" s="8" t="s">
        <v>136</v>
      </c>
      <c r="C52" s="9" t="s">
        <v>137</v>
      </c>
      <c r="D52" s="130" t="s">
        <v>138</v>
      </c>
      <c r="E52" s="111"/>
      <c r="F52" s="10" t="s">
        <v>84</v>
      </c>
    </row>
    <row r="53" spans="2:6" ht="19.95" customHeight="1" x14ac:dyDescent="0.3">
      <c r="B53" s="11" t="s">
        <v>139</v>
      </c>
      <c r="C53" s="12" t="s">
        <v>140</v>
      </c>
      <c r="D53" s="132" t="s">
        <v>141</v>
      </c>
      <c r="E53" s="133"/>
      <c r="F53" s="13" t="s">
        <v>142</v>
      </c>
    </row>
    <row r="54" spans="2:6" ht="19.95" customHeight="1" x14ac:dyDescent="0.3">
      <c r="B54" s="8" t="s">
        <v>143</v>
      </c>
      <c r="C54" s="9" t="s">
        <v>144</v>
      </c>
      <c r="D54" s="130" t="s">
        <v>145</v>
      </c>
      <c r="E54" s="111"/>
      <c r="F54" s="10" t="s">
        <v>80</v>
      </c>
    </row>
    <row r="55" spans="2:6" ht="19.95" customHeight="1" x14ac:dyDescent="0.3">
      <c r="B55" s="11" t="s">
        <v>146</v>
      </c>
      <c r="C55" s="12" t="s">
        <v>147</v>
      </c>
      <c r="D55" s="132" t="s">
        <v>148</v>
      </c>
      <c r="E55" s="133"/>
      <c r="F55" s="13" t="s">
        <v>80</v>
      </c>
    </row>
    <row r="56" spans="2:6" ht="19.95" customHeight="1" x14ac:dyDescent="0.3">
      <c r="B56" s="8" t="s">
        <v>149</v>
      </c>
      <c r="C56" s="9" t="s">
        <v>150</v>
      </c>
      <c r="D56" s="130" t="s">
        <v>151</v>
      </c>
      <c r="E56" s="111"/>
      <c r="F56" s="10" t="s">
        <v>80</v>
      </c>
    </row>
    <row r="57" spans="2:6" ht="19.95" customHeight="1" x14ac:dyDescent="0.3">
      <c r="B57" s="11" t="s">
        <v>152</v>
      </c>
      <c r="C57" s="12" t="s">
        <v>153</v>
      </c>
      <c r="D57" s="132" t="s">
        <v>154</v>
      </c>
      <c r="E57" s="133"/>
      <c r="F57" s="13" t="s">
        <v>80</v>
      </c>
    </row>
    <row r="58" spans="2:6" ht="19.95" customHeight="1" x14ac:dyDescent="0.3">
      <c r="B58" s="8" t="s">
        <v>155</v>
      </c>
      <c r="C58" s="9" t="s">
        <v>156</v>
      </c>
      <c r="D58" s="130" t="s">
        <v>157</v>
      </c>
      <c r="E58" s="111"/>
      <c r="F58" s="10" t="s">
        <v>84</v>
      </c>
    </row>
    <row r="59" spans="2:6" ht="6" customHeight="1" x14ac:dyDescent="0.3"/>
    <row r="60" spans="2:6" ht="12" customHeight="1" x14ac:dyDescent="0.3"/>
    <row r="61" spans="2:6" ht="27" customHeight="1" x14ac:dyDescent="0.3">
      <c r="B61" s="128" t="s">
        <v>158</v>
      </c>
      <c r="C61" s="124"/>
      <c r="D61" s="124"/>
      <c r="E61" s="124"/>
      <c r="F61" s="124"/>
    </row>
    <row r="62" spans="2:6" ht="4.95" customHeight="1" x14ac:dyDescent="0.3"/>
    <row r="63" spans="2:6" ht="22.05" customHeight="1" x14ac:dyDescent="0.3">
      <c r="B63" s="7" t="s">
        <v>73</v>
      </c>
      <c r="C63" s="7" t="s">
        <v>159</v>
      </c>
      <c r="D63" s="7" t="s">
        <v>160</v>
      </c>
      <c r="E63" s="7" t="s">
        <v>161</v>
      </c>
      <c r="F63" s="7" t="s">
        <v>162</v>
      </c>
    </row>
    <row r="64" spans="2:6" ht="48.15" customHeight="1" x14ac:dyDescent="0.3">
      <c r="B64" s="8" t="s">
        <v>77</v>
      </c>
      <c r="C64" s="14" t="s">
        <v>163</v>
      </c>
      <c r="D64" s="10" t="s">
        <v>164</v>
      </c>
      <c r="E64" s="10" t="s">
        <v>165</v>
      </c>
      <c r="F64" s="10" t="s">
        <v>166</v>
      </c>
    </row>
    <row r="65" spans="2:6" ht="48.15" customHeight="1" x14ac:dyDescent="0.3">
      <c r="B65" s="11" t="s">
        <v>81</v>
      </c>
      <c r="C65" s="15" t="s">
        <v>167</v>
      </c>
      <c r="D65" s="13" t="s">
        <v>168</v>
      </c>
      <c r="E65" s="13" t="s">
        <v>169</v>
      </c>
      <c r="F65" s="13" t="s">
        <v>170</v>
      </c>
    </row>
    <row r="66" spans="2:6" ht="19.95" customHeight="1" x14ac:dyDescent="0.3">
      <c r="B66" s="8" t="s">
        <v>85</v>
      </c>
      <c r="C66" s="14" t="s">
        <v>171</v>
      </c>
      <c r="D66" s="10" t="s">
        <v>172</v>
      </c>
      <c r="E66" s="10" t="s">
        <v>173</v>
      </c>
      <c r="F66" s="10" t="s">
        <v>174</v>
      </c>
    </row>
    <row r="67" spans="2:6" ht="33.75" customHeight="1" x14ac:dyDescent="0.3">
      <c r="B67" s="11" t="s">
        <v>88</v>
      </c>
      <c r="C67" s="15" t="s">
        <v>175</v>
      </c>
      <c r="D67" s="13" t="s">
        <v>176</v>
      </c>
      <c r="E67" s="13" t="s">
        <v>177</v>
      </c>
      <c r="F67" s="13" t="s">
        <v>178</v>
      </c>
    </row>
    <row r="68" spans="2:6" ht="33.75" customHeight="1" x14ac:dyDescent="0.3">
      <c r="B68" s="8" t="s">
        <v>91</v>
      </c>
      <c r="C68" s="14" t="s">
        <v>179</v>
      </c>
      <c r="D68" s="10" t="s">
        <v>180</v>
      </c>
      <c r="E68" s="10" t="s">
        <v>181</v>
      </c>
      <c r="F68" s="10" t="s">
        <v>182</v>
      </c>
    </row>
    <row r="69" spans="2:6" ht="19.95" customHeight="1" x14ac:dyDescent="0.3">
      <c r="B69" s="11" t="s">
        <v>94</v>
      </c>
      <c r="C69" s="15" t="s">
        <v>183</v>
      </c>
      <c r="D69" s="13" t="s">
        <v>184</v>
      </c>
      <c r="E69" s="13" t="s">
        <v>185</v>
      </c>
      <c r="F69" s="13" t="s">
        <v>186</v>
      </c>
    </row>
    <row r="70" spans="2:6" ht="33.75" customHeight="1" x14ac:dyDescent="0.3">
      <c r="B70" s="8" t="s">
        <v>97</v>
      </c>
      <c r="C70" s="14" t="s">
        <v>187</v>
      </c>
      <c r="D70" s="10" t="s">
        <v>188</v>
      </c>
      <c r="E70" s="10"/>
      <c r="F70" s="10" t="s">
        <v>189</v>
      </c>
    </row>
    <row r="71" spans="2:6" ht="6" customHeight="1" x14ac:dyDescent="0.3"/>
  </sheetData>
  <mergeCells count="62">
    <mergeCell ref="B2:E2"/>
    <mergeCell ref="D56:E56"/>
    <mergeCell ref="C10:F10"/>
    <mergeCell ref="D58:E58"/>
    <mergeCell ref="D20:F20"/>
    <mergeCell ref="D39:E39"/>
    <mergeCell ref="C9:F9"/>
    <mergeCell ref="D19:F19"/>
    <mergeCell ref="B24:C24"/>
    <mergeCell ref="D55:E55"/>
    <mergeCell ref="D42:E42"/>
    <mergeCell ref="D33:E33"/>
    <mergeCell ref="B20:C20"/>
    <mergeCell ref="C12:F12"/>
    <mergeCell ref="D22:F22"/>
    <mergeCell ref="D51:E51"/>
    <mergeCell ref="B61:F61"/>
    <mergeCell ref="B1:F1"/>
    <mergeCell ref="D41:E41"/>
    <mergeCell ref="D25:F25"/>
    <mergeCell ref="D48:E48"/>
    <mergeCell ref="B17:F17"/>
    <mergeCell ref="C14:F14"/>
    <mergeCell ref="D24:F24"/>
    <mergeCell ref="D53:E53"/>
    <mergeCell ref="D47:E47"/>
    <mergeCell ref="D23:F23"/>
    <mergeCell ref="B19:C19"/>
    <mergeCell ref="D43:E43"/>
    <mergeCell ref="B28:C28"/>
    <mergeCell ref="D37:E37"/>
    <mergeCell ref="D26:F26"/>
    <mergeCell ref="D52:E52"/>
    <mergeCell ref="D49:E49"/>
    <mergeCell ref="D57:E57"/>
    <mergeCell ref="C6:F6"/>
    <mergeCell ref="B23:C23"/>
    <mergeCell ref="C15:F15"/>
    <mergeCell ref="D38:E38"/>
    <mergeCell ref="C11:F11"/>
    <mergeCell ref="B26:C26"/>
    <mergeCell ref="D21:F21"/>
    <mergeCell ref="D54:E54"/>
    <mergeCell ref="D44:E44"/>
    <mergeCell ref="D35:E35"/>
    <mergeCell ref="D46:E46"/>
    <mergeCell ref="D40:E40"/>
    <mergeCell ref="B27:C27"/>
    <mergeCell ref="D36:E36"/>
    <mergeCell ref="D50:E50"/>
    <mergeCell ref="D45:E45"/>
    <mergeCell ref="D28:F28"/>
    <mergeCell ref="B4:F4"/>
    <mergeCell ref="D27:F27"/>
    <mergeCell ref="C8:F8"/>
    <mergeCell ref="B25:C25"/>
    <mergeCell ref="D34:E34"/>
    <mergeCell ref="C7:F7"/>
    <mergeCell ref="B22:C22"/>
    <mergeCell ref="B31:F31"/>
    <mergeCell ref="C13:F13"/>
    <mergeCell ref="B21:C21"/>
  </mergeCells>
  <phoneticPr fontId="27"/>
  <hyperlinks>
    <hyperlink ref="F2" location="'目次'!A1" display="▲ 目次へ戻る" xr:uid="{00000000-0004-0000-0100-000000000000}"/>
    <hyperlink ref="C34" location="'00_全体像と準備'!A1" display="00_全体像と準備" xr:uid="{00000000-0004-0000-0100-000001000000}"/>
    <hyperlink ref="C35" location="'01_Windows導入'!A1" display="01_Windows導入" xr:uid="{00000000-0004-0000-0100-000002000000}"/>
    <hyperlink ref="C36" location="'02_画面の基本'!A1" display="02_画面の基本" xr:uid="{00000000-0004-0000-0100-000003000000}"/>
    <hyperlink ref="C37" location="'03_機能一覧'!A1" display="03_機能一覧" xr:uid="{00000000-0004-0000-0100-000004000000}"/>
    <hyperlink ref="C38" location="'04_シナリオ作成'!A1" display="04_シナリオ作成" xr:uid="{00000000-0004-0000-0100-000005000000}"/>
    <hyperlink ref="C39" location="'05_正規表現抽出'!A1" display="05_正規表現抽出" xr:uid="{00000000-0004-0000-0100-000006000000}"/>
    <hyperlink ref="C40" location="'06_GUI実行'!A1" display="06_GUI実行" xr:uid="{00000000-0004-0000-0100-000007000000}"/>
    <hyperlink ref="C41" location="'07_結果の見方'!A1" display="07_結果の見方" xr:uid="{00000000-0004-0000-0100-000008000000}"/>
    <hyperlink ref="C42" location="'08_確認観点'!A1" display="08_確認観点" xr:uid="{00000000-0004-0000-0100-000009000000}"/>
    <hyperlink ref="C43" location="'09_注意点'!A1" display="09_注意点" xr:uid="{00000000-0004-0000-0100-00000A000000}"/>
    <hyperlink ref="C44" location="'10_Linux準備'!A1" display="10_Linux準備" xr:uid="{00000000-0004-0000-0100-00000B000000}"/>
    <hyperlink ref="C45" location="'11_転送と配置'!A1" display="11_転送と配置" xr:uid="{00000000-0004-0000-0100-00000C000000}"/>
    <hyperlink ref="C46" location="'12_CLI実行と監視'!A1" display="12_CLI実行と監視" xr:uid="{00000000-0004-0000-0100-00000D000000}"/>
    <hyperlink ref="C47" location="'13_結果回収'!A1" display="13_結果回収" xr:uid="{00000000-0004-0000-0100-00000E000000}"/>
    <hyperlink ref="C48" location="'14_Excel取込'!A1" display="14_Excel取込" xr:uid="{00000000-0004-0000-0100-00000F000000}"/>
    <hyperlink ref="C49" location="'15_Excel分析'!A1" display="15_Excel分析" xr:uid="{00000000-0004-0000-0100-000010000000}"/>
    <hyperlink ref="C50" location="'16_JTLサンプル'!A1" display="16_JTLサンプル" xr:uid="{00000000-0004-0000-0100-000011000000}"/>
    <hyperlink ref="C51" location="'17_分析サンプル'!A1" display="17_分析サンプル" xr:uid="{00000000-0004-0000-0100-000012000000}"/>
    <hyperlink ref="C52" location="'18_報告書様式'!A1" display="18_報告書様式" xr:uid="{00000000-0004-0000-0100-000013000000}"/>
    <hyperlink ref="C53" location="'19_実施記録'!A1" display="19_実施記録" xr:uid="{00000000-0004-0000-0100-000014000000}"/>
    <hyperlink ref="C54" location="'付録A_コマンド集'!A1" display="付録A_コマンド集" xr:uid="{00000000-0004-0000-0100-000015000000}"/>
    <hyperlink ref="C55" location="'付録B_トラブル対応'!A1" display="付録B_トラブル対応" xr:uid="{00000000-0004-0000-0100-000016000000}"/>
    <hyperlink ref="C56" location="'付録C_用語集'!A1" display="付録C_用語集" xr:uid="{00000000-0004-0000-0100-000017000000}"/>
    <hyperlink ref="C57" location="'付録D_画像差込一覧'!A1" display="付録D_画像差込一覧" xr:uid="{00000000-0004-0000-0100-000018000000}"/>
    <hyperlink ref="C58" location="'付録E_完成版jmx'!A1" display="付録E_完成版jmx" xr:uid="{00000000-0004-0000-0100-000019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34:B58 B64:B7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04040"/>
    <pageSetUpPr fitToPage="1"/>
  </sheetPr>
  <dimension ref="B1:F141"/>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190</v>
      </c>
      <c r="C1" s="118"/>
      <c r="D1" s="118"/>
      <c r="E1" s="118"/>
      <c r="F1" s="118"/>
    </row>
    <row r="2" spans="2:6" ht="24" customHeight="1" x14ac:dyDescent="0.3">
      <c r="B2" s="141" t="s">
        <v>191</v>
      </c>
      <c r="C2" s="113"/>
      <c r="D2" s="113"/>
      <c r="E2" s="113"/>
      <c r="F2" s="4" t="s">
        <v>38</v>
      </c>
    </row>
    <row r="3" spans="2:6" ht="12" customHeight="1" x14ac:dyDescent="0.3"/>
    <row r="4" spans="2:6" ht="27" customHeight="1" x14ac:dyDescent="0.3">
      <c r="B4" s="128" t="s">
        <v>192</v>
      </c>
      <c r="C4" s="124"/>
      <c r="D4" s="124"/>
      <c r="E4" s="124"/>
      <c r="F4" s="124"/>
    </row>
    <row r="5" spans="2:6" ht="4.95" customHeight="1" x14ac:dyDescent="0.3"/>
    <row r="6" spans="2:6" ht="33.75" customHeight="1" x14ac:dyDescent="0.3">
      <c r="B6" s="129" t="s">
        <v>193</v>
      </c>
      <c r="C6" s="113"/>
      <c r="D6" s="113"/>
      <c r="E6" s="113"/>
      <c r="F6" s="113"/>
    </row>
    <row r="7" spans="2:6" ht="19.350000000000001" customHeight="1" x14ac:dyDescent="0.3">
      <c r="B7" s="129" t="s">
        <v>194</v>
      </c>
      <c r="C7" s="113"/>
      <c r="D7" s="113"/>
      <c r="E7" s="113"/>
      <c r="F7" s="113"/>
    </row>
    <row r="8" spans="2:6" ht="22.05" customHeight="1" x14ac:dyDescent="0.3">
      <c r="B8" s="16" t="s">
        <v>64</v>
      </c>
      <c r="C8" s="152" t="s">
        <v>195</v>
      </c>
      <c r="D8" s="153"/>
      <c r="E8" s="153"/>
      <c r="F8" s="105"/>
    </row>
    <row r="9" spans="2:6" ht="4.95" customHeight="1" x14ac:dyDescent="0.3"/>
    <row r="10" spans="2:6" ht="12" customHeight="1" x14ac:dyDescent="0.3"/>
    <row r="11" spans="2:6" ht="27" customHeight="1" x14ac:dyDescent="0.3">
      <c r="B11" s="128" t="s">
        <v>196</v>
      </c>
      <c r="C11" s="124"/>
      <c r="D11" s="124"/>
      <c r="E11" s="124"/>
      <c r="F11" s="124"/>
    </row>
    <row r="12" spans="2:6" ht="4.95" customHeight="1" x14ac:dyDescent="0.3"/>
    <row r="13" spans="2:6" ht="25.95" customHeight="1" x14ac:dyDescent="0.3">
      <c r="B13" s="17" t="s">
        <v>73</v>
      </c>
      <c r="C13" s="167" t="s">
        <v>197</v>
      </c>
      <c r="D13" s="168"/>
      <c r="E13" s="17" t="s">
        <v>198</v>
      </c>
      <c r="F13" s="17" t="s">
        <v>199</v>
      </c>
    </row>
    <row r="14" spans="2:6" ht="30" customHeight="1" x14ac:dyDescent="0.3">
      <c r="B14" s="18" t="s">
        <v>200</v>
      </c>
      <c r="C14" s="146" t="s">
        <v>201</v>
      </c>
      <c r="D14" s="147"/>
      <c r="E14" s="20"/>
      <c r="F14" s="20"/>
    </row>
    <row r="15" spans="2:6" ht="30" customHeight="1" x14ac:dyDescent="0.3">
      <c r="B15" s="18" t="s">
        <v>202</v>
      </c>
      <c r="C15" s="146" t="s">
        <v>203</v>
      </c>
      <c r="D15" s="147"/>
      <c r="E15" s="20"/>
      <c r="F15" s="20"/>
    </row>
    <row r="16" spans="2:6" ht="33.75" customHeight="1" x14ac:dyDescent="0.3">
      <c r="B16" s="18" t="s">
        <v>204</v>
      </c>
      <c r="C16" s="146" t="s">
        <v>205</v>
      </c>
      <c r="D16" s="147"/>
      <c r="E16" s="20"/>
      <c r="F16" s="19" t="s">
        <v>206</v>
      </c>
    </row>
    <row r="17" spans="2:6" ht="30" customHeight="1" x14ac:dyDescent="0.3">
      <c r="B17" s="18" t="s">
        <v>207</v>
      </c>
      <c r="C17" s="146" t="s">
        <v>208</v>
      </c>
      <c r="D17" s="147"/>
      <c r="E17" s="19" t="s">
        <v>209</v>
      </c>
      <c r="F17" s="20"/>
    </row>
    <row r="18" spans="2:6" ht="33.75" customHeight="1" x14ac:dyDescent="0.3">
      <c r="B18" s="18" t="s">
        <v>210</v>
      </c>
      <c r="C18" s="146" t="s">
        <v>211</v>
      </c>
      <c r="D18" s="147"/>
      <c r="E18" s="19" t="s">
        <v>212</v>
      </c>
      <c r="F18" s="19" t="s">
        <v>213</v>
      </c>
    </row>
    <row r="19" spans="2:6" ht="33.75" customHeight="1" x14ac:dyDescent="0.3">
      <c r="B19" s="18" t="s">
        <v>214</v>
      </c>
      <c r="C19" s="150"/>
      <c r="D19" s="133"/>
      <c r="E19" s="19" t="s">
        <v>215</v>
      </c>
      <c r="F19" s="20"/>
    </row>
    <row r="20" spans="2:6" ht="30" customHeight="1" x14ac:dyDescent="0.3">
      <c r="B20" s="18" t="s">
        <v>216</v>
      </c>
      <c r="C20" s="146" t="s">
        <v>217</v>
      </c>
      <c r="D20" s="147"/>
      <c r="E20" s="19" t="s">
        <v>218</v>
      </c>
      <c r="F20" s="20"/>
    </row>
    <row r="21" spans="2:6" ht="30" customHeight="1" x14ac:dyDescent="0.3">
      <c r="B21" s="18" t="s">
        <v>219</v>
      </c>
      <c r="C21" s="146" t="s">
        <v>220</v>
      </c>
      <c r="D21" s="147"/>
      <c r="E21" s="20"/>
      <c r="F21" s="20"/>
    </row>
    <row r="22" spans="2:6" ht="30" customHeight="1" x14ac:dyDescent="0.3">
      <c r="B22" s="18" t="s">
        <v>221</v>
      </c>
      <c r="C22" s="146" t="s">
        <v>222</v>
      </c>
      <c r="D22" s="147"/>
      <c r="E22" s="20"/>
      <c r="F22" s="20"/>
    </row>
    <row r="23" spans="2:6" ht="6" customHeight="1" x14ac:dyDescent="0.3"/>
    <row r="24" spans="2:6" ht="19.350000000000001" customHeight="1" x14ac:dyDescent="0.3">
      <c r="B24" s="166" t="s">
        <v>223</v>
      </c>
      <c r="C24" s="113"/>
      <c r="D24" s="113"/>
      <c r="E24" s="113"/>
      <c r="F24" s="113"/>
    </row>
    <row r="25" spans="2:6" ht="15" customHeight="1" x14ac:dyDescent="0.3">
      <c r="B25" s="158" t="s">
        <v>224</v>
      </c>
      <c r="C25" s="159"/>
      <c r="D25" s="159"/>
      <c r="E25" s="159"/>
      <c r="F25" s="160"/>
    </row>
    <row r="26" spans="2:6" ht="15" customHeight="1" x14ac:dyDescent="0.3">
      <c r="B26" s="161"/>
      <c r="C26" s="113"/>
      <c r="D26" s="113"/>
      <c r="E26" s="113"/>
      <c r="F26" s="162"/>
    </row>
    <row r="27" spans="2:6" ht="15" customHeight="1" x14ac:dyDescent="0.3">
      <c r="B27" s="161"/>
      <c r="C27" s="113"/>
      <c r="D27" s="113"/>
      <c r="E27" s="113"/>
      <c r="F27" s="162"/>
    </row>
    <row r="28" spans="2:6" ht="15" customHeight="1" x14ac:dyDescent="0.3">
      <c r="B28" s="161"/>
      <c r="C28" s="113"/>
      <c r="D28" s="113"/>
      <c r="E28" s="113"/>
      <c r="F28" s="162"/>
    </row>
    <row r="29" spans="2:6" ht="15" customHeight="1" x14ac:dyDescent="0.3">
      <c r="B29" s="161"/>
      <c r="C29" s="113"/>
      <c r="D29" s="113"/>
      <c r="E29" s="113"/>
      <c r="F29" s="162"/>
    </row>
    <row r="30" spans="2:6" ht="15" customHeight="1" x14ac:dyDescent="0.3">
      <c r="B30" s="161"/>
      <c r="C30" s="113"/>
      <c r="D30" s="113"/>
      <c r="E30" s="113"/>
      <c r="F30" s="162"/>
    </row>
    <row r="31" spans="2:6" ht="15" customHeight="1" x14ac:dyDescent="0.3">
      <c r="B31" s="161"/>
      <c r="C31" s="113"/>
      <c r="D31" s="113"/>
      <c r="E31" s="113"/>
      <c r="F31" s="162"/>
    </row>
    <row r="32" spans="2:6" ht="15" customHeight="1" x14ac:dyDescent="0.3">
      <c r="B32" s="161"/>
      <c r="C32" s="113"/>
      <c r="D32" s="113"/>
      <c r="E32" s="113"/>
      <c r="F32" s="162"/>
    </row>
    <row r="33" spans="2:6" ht="15" customHeight="1" x14ac:dyDescent="0.3">
      <c r="B33" s="161"/>
      <c r="C33" s="113"/>
      <c r="D33" s="113"/>
      <c r="E33" s="113"/>
      <c r="F33" s="162"/>
    </row>
    <row r="34" spans="2:6" ht="15" customHeight="1" x14ac:dyDescent="0.3">
      <c r="B34" s="161"/>
      <c r="C34" s="113"/>
      <c r="D34" s="113"/>
      <c r="E34" s="113"/>
      <c r="F34" s="162"/>
    </row>
    <row r="35" spans="2:6" ht="15" customHeight="1" x14ac:dyDescent="0.3">
      <c r="B35" s="161"/>
      <c r="C35" s="113"/>
      <c r="D35" s="113"/>
      <c r="E35" s="113"/>
      <c r="F35" s="162"/>
    </row>
    <row r="36" spans="2:6" ht="15" customHeight="1" x14ac:dyDescent="0.3">
      <c r="B36" s="161"/>
      <c r="C36" s="113"/>
      <c r="D36" s="113"/>
      <c r="E36" s="113"/>
      <c r="F36" s="162"/>
    </row>
    <row r="37" spans="2:6" ht="15" customHeight="1" x14ac:dyDescent="0.3">
      <c r="B37" s="161"/>
      <c r="C37" s="113"/>
      <c r="D37" s="113"/>
      <c r="E37" s="113"/>
      <c r="F37" s="162"/>
    </row>
    <row r="38" spans="2:6" ht="15" customHeight="1" x14ac:dyDescent="0.3">
      <c r="B38" s="161"/>
      <c r="C38" s="113"/>
      <c r="D38" s="113"/>
      <c r="E38" s="113"/>
      <c r="F38" s="162"/>
    </row>
    <row r="39" spans="2:6" ht="15" customHeight="1" x14ac:dyDescent="0.3">
      <c r="B39" s="161"/>
      <c r="C39" s="113"/>
      <c r="D39" s="113"/>
      <c r="E39" s="113"/>
      <c r="F39" s="162"/>
    </row>
    <row r="40" spans="2:6" ht="15" customHeight="1" x14ac:dyDescent="0.3">
      <c r="B40" s="161"/>
      <c r="C40" s="113"/>
      <c r="D40" s="113"/>
      <c r="E40" s="113"/>
      <c r="F40" s="162"/>
    </row>
    <row r="41" spans="2:6" ht="15" customHeight="1" x14ac:dyDescent="0.3">
      <c r="B41" s="161"/>
      <c r="C41" s="113"/>
      <c r="D41" s="113"/>
      <c r="E41" s="113"/>
      <c r="F41" s="162"/>
    </row>
    <row r="42" spans="2:6" ht="15" customHeight="1" x14ac:dyDescent="0.3">
      <c r="B42" s="161"/>
      <c r="C42" s="113"/>
      <c r="D42" s="113"/>
      <c r="E42" s="113"/>
      <c r="F42" s="162"/>
    </row>
    <row r="43" spans="2:6" ht="15" customHeight="1" x14ac:dyDescent="0.3">
      <c r="B43" s="161"/>
      <c r="C43" s="113"/>
      <c r="D43" s="113"/>
      <c r="E43" s="113"/>
      <c r="F43" s="162"/>
    </row>
    <row r="44" spans="2:6" ht="15" customHeight="1" x14ac:dyDescent="0.3">
      <c r="B44" s="163"/>
      <c r="C44" s="164"/>
      <c r="D44" s="164"/>
      <c r="E44" s="164"/>
      <c r="F44" s="165"/>
    </row>
    <row r="45" spans="2:6" ht="19.95" customHeight="1" x14ac:dyDescent="0.3">
      <c r="B45" s="151" t="s">
        <v>225</v>
      </c>
      <c r="C45" s="113"/>
      <c r="D45" s="113"/>
      <c r="E45" s="113"/>
      <c r="F45" s="113"/>
    </row>
    <row r="46" spans="2:6" ht="6" customHeight="1" x14ac:dyDescent="0.3"/>
    <row r="47" spans="2:6" ht="7.05" customHeight="1" x14ac:dyDescent="0.3"/>
    <row r="48" spans="2:6" ht="22.95" customHeight="1" x14ac:dyDescent="0.3">
      <c r="B48" s="156" t="s">
        <v>226</v>
      </c>
      <c r="C48" s="157"/>
      <c r="D48" s="157"/>
      <c r="E48" s="157"/>
      <c r="F48" s="157"/>
    </row>
    <row r="49" spans="2:6" ht="4.05" customHeight="1" x14ac:dyDescent="0.3"/>
    <row r="50" spans="2:6" ht="22.05" customHeight="1" x14ac:dyDescent="0.3">
      <c r="B50" s="144" t="s">
        <v>227</v>
      </c>
      <c r="C50" s="145"/>
      <c r="D50" s="7" t="s">
        <v>228</v>
      </c>
      <c r="E50" s="7" t="s">
        <v>229</v>
      </c>
      <c r="F50" s="7" t="s">
        <v>230</v>
      </c>
    </row>
    <row r="51" spans="2:6" ht="19.95" customHeight="1" x14ac:dyDescent="0.3">
      <c r="B51" s="130" t="s">
        <v>84</v>
      </c>
      <c r="C51" s="111"/>
      <c r="D51" s="10" t="s">
        <v>231</v>
      </c>
      <c r="E51" s="10" t="s">
        <v>232</v>
      </c>
      <c r="F51" s="10" t="s">
        <v>233</v>
      </c>
    </row>
    <row r="52" spans="2:6" ht="33.75" customHeight="1" x14ac:dyDescent="0.3">
      <c r="B52" s="132" t="s">
        <v>84</v>
      </c>
      <c r="C52" s="133"/>
      <c r="D52" s="13" t="s">
        <v>234</v>
      </c>
      <c r="E52" s="13" t="s">
        <v>235</v>
      </c>
      <c r="F52" s="13" t="s">
        <v>236</v>
      </c>
    </row>
    <row r="53" spans="2:6" ht="19.95" customHeight="1" x14ac:dyDescent="0.3">
      <c r="B53" s="130" t="s">
        <v>237</v>
      </c>
      <c r="C53" s="111"/>
      <c r="D53" s="10" t="s">
        <v>234</v>
      </c>
      <c r="E53" s="10" t="s">
        <v>238</v>
      </c>
      <c r="F53" s="10" t="s">
        <v>239</v>
      </c>
    </row>
    <row r="54" spans="2:6" ht="19.95" customHeight="1" x14ac:dyDescent="0.3">
      <c r="B54" s="132" t="s">
        <v>237</v>
      </c>
      <c r="C54" s="133"/>
      <c r="D54" s="13" t="s">
        <v>240</v>
      </c>
      <c r="E54" s="13" t="s">
        <v>241</v>
      </c>
      <c r="F54" s="13" t="s">
        <v>242</v>
      </c>
    </row>
    <row r="55" spans="2:6" ht="6" customHeight="1" x14ac:dyDescent="0.3"/>
    <row r="56" spans="2:6" ht="12" customHeight="1" x14ac:dyDescent="0.3"/>
    <row r="57" spans="2:6" ht="27" customHeight="1" x14ac:dyDescent="0.3">
      <c r="B57" s="128" t="s">
        <v>243</v>
      </c>
      <c r="C57" s="124"/>
      <c r="D57" s="124"/>
      <c r="E57" s="124"/>
      <c r="F57" s="124"/>
    </row>
    <row r="58" spans="2:6" ht="4.95" customHeight="1" x14ac:dyDescent="0.3"/>
    <row r="59" spans="2:6" ht="22.05" customHeight="1" x14ac:dyDescent="0.3">
      <c r="B59" s="7" t="s">
        <v>73</v>
      </c>
      <c r="C59" s="7" t="s">
        <v>244</v>
      </c>
      <c r="D59" s="7" t="s">
        <v>245</v>
      </c>
      <c r="E59" s="7" t="s">
        <v>246</v>
      </c>
      <c r="F59" s="7" t="s">
        <v>247</v>
      </c>
    </row>
    <row r="60" spans="2:6" ht="19.95" customHeight="1" x14ac:dyDescent="0.3">
      <c r="B60" s="8" t="s">
        <v>77</v>
      </c>
      <c r="C60" s="10" t="s">
        <v>248</v>
      </c>
      <c r="D60" s="10" t="s">
        <v>249</v>
      </c>
      <c r="E60" s="10" t="s">
        <v>250</v>
      </c>
      <c r="F60" s="8" t="s">
        <v>251</v>
      </c>
    </row>
    <row r="61" spans="2:6" ht="19.95" customHeight="1" x14ac:dyDescent="0.3">
      <c r="B61" s="11" t="s">
        <v>81</v>
      </c>
      <c r="C61" s="13" t="s">
        <v>252</v>
      </c>
      <c r="D61" s="13" t="s">
        <v>253</v>
      </c>
      <c r="E61" s="13" t="s">
        <v>80</v>
      </c>
      <c r="F61" s="11" t="s">
        <v>254</v>
      </c>
    </row>
    <row r="62" spans="2:6" ht="19.95" customHeight="1" x14ac:dyDescent="0.3">
      <c r="B62" s="8" t="s">
        <v>85</v>
      </c>
      <c r="C62" s="10" t="s">
        <v>255</v>
      </c>
      <c r="D62" s="10" t="s">
        <v>253</v>
      </c>
      <c r="E62" s="10" t="s">
        <v>256</v>
      </c>
      <c r="F62" s="8" t="s">
        <v>257</v>
      </c>
    </row>
    <row r="63" spans="2:6" ht="19.95" customHeight="1" x14ac:dyDescent="0.3">
      <c r="B63" s="11" t="s">
        <v>88</v>
      </c>
      <c r="C63" s="13" t="s">
        <v>258</v>
      </c>
      <c r="D63" s="13" t="s">
        <v>253</v>
      </c>
      <c r="E63" s="13" t="s">
        <v>259</v>
      </c>
      <c r="F63" s="11" t="s">
        <v>260</v>
      </c>
    </row>
    <row r="64" spans="2:6" ht="19.95" customHeight="1" x14ac:dyDescent="0.3">
      <c r="B64" s="8" t="s">
        <v>91</v>
      </c>
      <c r="C64" s="10" t="s">
        <v>261</v>
      </c>
      <c r="D64" s="10" t="s">
        <v>262</v>
      </c>
      <c r="E64" s="10" t="s">
        <v>263</v>
      </c>
      <c r="F64" s="8" t="s">
        <v>106</v>
      </c>
    </row>
    <row r="65" spans="2:6" ht="19.95" customHeight="1" x14ac:dyDescent="0.3">
      <c r="B65" s="11" t="s">
        <v>94</v>
      </c>
      <c r="C65" s="13" t="s">
        <v>264</v>
      </c>
      <c r="D65" s="13" t="s">
        <v>265</v>
      </c>
      <c r="E65" s="13" t="s">
        <v>266</v>
      </c>
      <c r="F65" s="11" t="s">
        <v>109</v>
      </c>
    </row>
    <row r="66" spans="2:6" ht="33.75" customHeight="1" x14ac:dyDescent="0.3">
      <c r="B66" s="8" t="s">
        <v>97</v>
      </c>
      <c r="C66" s="10" t="s">
        <v>267</v>
      </c>
      <c r="D66" s="10" t="s">
        <v>268</v>
      </c>
      <c r="E66" s="10" t="s">
        <v>269</v>
      </c>
      <c r="F66" s="8" t="s">
        <v>270</v>
      </c>
    </row>
    <row r="67" spans="2:6" ht="19.95" customHeight="1" x14ac:dyDescent="0.3">
      <c r="B67" s="11" t="s">
        <v>100</v>
      </c>
      <c r="C67" s="13" t="s">
        <v>271</v>
      </c>
      <c r="D67" s="13" t="s">
        <v>272</v>
      </c>
      <c r="E67" s="13" t="s">
        <v>273</v>
      </c>
      <c r="F67" s="11" t="s">
        <v>117</v>
      </c>
    </row>
    <row r="68" spans="2:6" ht="19.95" customHeight="1" x14ac:dyDescent="0.3">
      <c r="B68" s="8" t="s">
        <v>103</v>
      </c>
      <c r="C68" s="10" t="s">
        <v>274</v>
      </c>
      <c r="D68" s="10" t="s">
        <v>275</v>
      </c>
      <c r="E68" s="10" t="s">
        <v>276</v>
      </c>
      <c r="F68" s="8" t="s">
        <v>277</v>
      </c>
    </row>
    <row r="69" spans="2:6" ht="19.95" customHeight="1" x14ac:dyDescent="0.3">
      <c r="B69" s="11" t="s">
        <v>106</v>
      </c>
      <c r="C69" s="13" t="s">
        <v>278</v>
      </c>
      <c r="D69" s="13" t="s">
        <v>279</v>
      </c>
      <c r="E69" s="13" t="s">
        <v>280</v>
      </c>
      <c r="F69" s="11" t="s">
        <v>281</v>
      </c>
    </row>
    <row r="70" spans="2:6" ht="6" customHeight="1" x14ac:dyDescent="0.3"/>
    <row r="71" spans="2:6" ht="12" customHeight="1" x14ac:dyDescent="0.3"/>
    <row r="72" spans="2:6" ht="27" customHeight="1" x14ac:dyDescent="0.3">
      <c r="B72" s="128" t="s">
        <v>282</v>
      </c>
      <c r="C72" s="124"/>
      <c r="D72" s="124"/>
      <c r="E72" s="124"/>
      <c r="F72" s="124"/>
    </row>
    <row r="73" spans="2:6" ht="4.95" customHeight="1" x14ac:dyDescent="0.3"/>
    <row r="74" spans="2:6" ht="19.350000000000001" customHeight="1" x14ac:dyDescent="0.3">
      <c r="B74" s="129" t="s">
        <v>283</v>
      </c>
      <c r="C74" s="113"/>
      <c r="D74" s="113"/>
      <c r="E74" s="113"/>
      <c r="F74" s="113"/>
    </row>
    <row r="75" spans="2:6" ht="22.05" customHeight="1" x14ac:dyDescent="0.3">
      <c r="B75" s="144" t="s">
        <v>284</v>
      </c>
      <c r="C75" s="145"/>
      <c r="D75" s="7" t="s">
        <v>285</v>
      </c>
      <c r="E75" s="7" t="s">
        <v>286</v>
      </c>
      <c r="F75" s="7" t="s">
        <v>287</v>
      </c>
    </row>
    <row r="76" spans="2:6" ht="33.75" customHeight="1" x14ac:dyDescent="0.3">
      <c r="B76" s="130" t="s">
        <v>288</v>
      </c>
      <c r="C76" s="111"/>
      <c r="D76" s="10" t="s">
        <v>289</v>
      </c>
      <c r="E76" s="10" t="s">
        <v>290</v>
      </c>
      <c r="F76" s="21" t="s">
        <v>291</v>
      </c>
    </row>
    <row r="77" spans="2:6" ht="33.75" customHeight="1" x14ac:dyDescent="0.3">
      <c r="B77" s="132" t="s">
        <v>288</v>
      </c>
      <c r="C77" s="133"/>
      <c r="D77" s="13" t="s">
        <v>292</v>
      </c>
      <c r="E77" s="13" t="s">
        <v>293</v>
      </c>
      <c r="F77" s="21" t="s">
        <v>291</v>
      </c>
    </row>
    <row r="78" spans="2:6" ht="33.75" customHeight="1" x14ac:dyDescent="0.3">
      <c r="B78" s="130" t="s">
        <v>294</v>
      </c>
      <c r="C78" s="111"/>
      <c r="D78" s="10" t="s">
        <v>295</v>
      </c>
      <c r="E78" s="10" t="s">
        <v>296</v>
      </c>
      <c r="F78" s="21" t="s">
        <v>291</v>
      </c>
    </row>
    <row r="79" spans="2:6" ht="19.95" customHeight="1" x14ac:dyDescent="0.3">
      <c r="B79" s="132" t="s">
        <v>294</v>
      </c>
      <c r="C79" s="133"/>
      <c r="D79" s="13" t="s">
        <v>297</v>
      </c>
      <c r="E79" s="13" t="s">
        <v>298</v>
      </c>
      <c r="F79" s="21" t="s">
        <v>291</v>
      </c>
    </row>
    <row r="80" spans="2:6" ht="19.95" customHeight="1" x14ac:dyDescent="0.3">
      <c r="B80" s="130" t="s">
        <v>237</v>
      </c>
      <c r="C80" s="111"/>
      <c r="D80" s="10" t="s">
        <v>299</v>
      </c>
      <c r="E80" s="10" t="s">
        <v>300</v>
      </c>
      <c r="F80" s="21" t="s">
        <v>291</v>
      </c>
    </row>
    <row r="81" spans="2:6" ht="19.95" customHeight="1" x14ac:dyDescent="0.3">
      <c r="B81" s="132" t="s">
        <v>237</v>
      </c>
      <c r="C81" s="133"/>
      <c r="D81" s="13" t="s">
        <v>301</v>
      </c>
      <c r="E81" s="13" t="s">
        <v>300</v>
      </c>
      <c r="F81" s="21" t="s">
        <v>291</v>
      </c>
    </row>
    <row r="82" spans="2:6" ht="19.95" customHeight="1" x14ac:dyDescent="0.3">
      <c r="B82" s="130" t="s">
        <v>237</v>
      </c>
      <c r="C82" s="111"/>
      <c r="D82" s="10" t="s">
        <v>302</v>
      </c>
      <c r="E82" s="10" t="s">
        <v>300</v>
      </c>
      <c r="F82" s="21" t="s">
        <v>291</v>
      </c>
    </row>
    <row r="83" spans="2:6" ht="33.75" customHeight="1" x14ac:dyDescent="0.3">
      <c r="B83" s="132" t="s">
        <v>303</v>
      </c>
      <c r="C83" s="133"/>
      <c r="D83" s="13" t="s">
        <v>304</v>
      </c>
      <c r="E83" s="13" t="s">
        <v>305</v>
      </c>
      <c r="F83" s="21" t="s">
        <v>291</v>
      </c>
    </row>
    <row r="84" spans="2:6" ht="33.75" customHeight="1" x14ac:dyDescent="0.3">
      <c r="B84" s="130" t="s">
        <v>303</v>
      </c>
      <c r="C84" s="111"/>
      <c r="D84" s="10" t="s">
        <v>306</v>
      </c>
      <c r="E84" s="10" t="s">
        <v>307</v>
      </c>
      <c r="F84" s="21" t="s">
        <v>291</v>
      </c>
    </row>
    <row r="85" spans="2:6" ht="19.95" customHeight="1" x14ac:dyDescent="0.3">
      <c r="B85" s="132" t="s">
        <v>303</v>
      </c>
      <c r="C85" s="133"/>
      <c r="D85" s="13" t="s">
        <v>308</v>
      </c>
      <c r="E85" s="13" t="s">
        <v>305</v>
      </c>
      <c r="F85" s="21" t="s">
        <v>291</v>
      </c>
    </row>
    <row r="86" spans="2:6" ht="33.75" customHeight="1" x14ac:dyDescent="0.3">
      <c r="B86" s="130" t="s">
        <v>309</v>
      </c>
      <c r="C86" s="111"/>
      <c r="D86" s="10" t="s">
        <v>310</v>
      </c>
      <c r="E86" s="10" t="s">
        <v>311</v>
      </c>
      <c r="F86" s="21" t="s">
        <v>291</v>
      </c>
    </row>
    <row r="87" spans="2:6" ht="33.75" customHeight="1" x14ac:dyDescent="0.3">
      <c r="B87" s="132" t="s">
        <v>309</v>
      </c>
      <c r="C87" s="133"/>
      <c r="D87" s="13" t="s">
        <v>312</v>
      </c>
      <c r="E87" s="13" t="s">
        <v>311</v>
      </c>
      <c r="F87" s="21" t="s">
        <v>291</v>
      </c>
    </row>
    <row r="88" spans="2:6" ht="33.75" customHeight="1" x14ac:dyDescent="0.3">
      <c r="B88" s="130" t="s">
        <v>309</v>
      </c>
      <c r="C88" s="111"/>
      <c r="D88" s="10" t="s">
        <v>313</v>
      </c>
      <c r="E88" s="10" t="s">
        <v>314</v>
      </c>
      <c r="F88" s="21" t="s">
        <v>291</v>
      </c>
    </row>
    <row r="89" spans="2:6" ht="33.75" customHeight="1" x14ac:dyDescent="0.3">
      <c r="B89" s="132" t="s">
        <v>315</v>
      </c>
      <c r="C89" s="133"/>
      <c r="D89" s="13" t="s">
        <v>316</v>
      </c>
      <c r="E89" s="13" t="s">
        <v>317</v>
      </c>
      <c r="F89" s="21" t="s">
        <v>291</v>
      </c>
    </row>
    <row r="90" spans="2:6" ht="33.75" customHeight="1" x14ac:dyDescent="0.3">
      <c r="B90" s="130" t="s">
        <v>318</v>
      </c>
      <c r="C90" s="111"/>
      <c r="D90" s="10" t="s">
        <v>319</v>
      </c>
      <c r="E90" s="10" t="s">
        <v>320</v>
      </c>
      <c r="F90" s="21" t="s">
        <v>291</v>
      </c>
    </row>
    <row r="91" spans="2:6" ht="19.95" customHeight="1" x14ac:dyDescent="0.3">
      <c r="B91" s="132" t="s">
        <v>318</v>
      </c>
      <c r="C91" s="133"/>
      <c r="D91" s="13" t="s">
        <v>321</v>
      </c>
      <c r="E91" s="13" t="s">
        <v>322</v>
      </c>
      <c r="F91" s="21" t="s">
        <v>291</v>
      </c>
    </row>
    <row r="92" spans="2:6" ht="19.95" customHeight="1" x14ac:dyDescent="0.3">
      <c r="B92" s="130" t="s">
        <v>323</v>
      </c>
      <c r="C92" s="111"/>
      <c r="D92" s="10" t="s">
        <v>324</v>
      </c>
      <c r="E92" s="10" t="s">
        <v>314</v>
      </c>
      <c r="F92" s="21" t="s">
        <v>291</v>
      </c>
    </row>
    <row r="93" spans="2:6" ht="33.75" customHeight="1" x14ac:dyDescent="0.3">
      <c r="B93" s="132" t="s">
        <v>325</v>
      </c>
      <c r="C93" s="133"/>
      <c r="D93" s="13" t="s">
        <v>326</v>
      </c>
      <c r="E93" s="13" t="s">
        <v>327</v>
      </c>
      <c r="F93" s="21" t="s">
        <v>291</v>
      </c>
    </row>
    <row r="94" spans="2:6" ht="6" customHeight="1" x14ac:dyDescent="0.3"/>
    <row r="95" spans="2:6" ht="12" customHeight="1" x14ac:dyDescent="0.3"/>
    <row r="96" spans="2:6" ht="27" customHeight="1" x14ac:dyDescent="0.3">
      <c r="B96" s="128" t="s">
        <v>328</v>
      </c>
      <c r="C96" s="124"/>
      <c r="D96" s="124"/>
      <c r="E96" s="124"/>
      <c r="F96" s="124"/>
    </row>
    <row r="97" spans="2:6" ht="4.95" customHeight="1" x14ac:dyDescent="0.3"/>
    <row r="98" spans="2:6" ht="19.350000000000001" customHeight="1" x14ac:dyDescent="0.3">
      <c r="B98" s="129" t="s">
        <v>329</v>
      </c>
      <c r="C98" s="113"/>
      <c r="D98" s="113"/>
      <c r="E98" s="113"/>
      <c r="F98" s="113"/>
    </row>
    <row r="99" spans="2:6" ht="33.75" customHeight="1" x14ac:dyDescent="0.3">
      <c r="B99" s="22" t="s">
        <v>62</v>
      </c>
      <c r="C99" s="152" t="s">
        <v>330</v>
      </c>
      <c r="D99" s="153"/>
      <c r="E99" s="153"/>
      <c r="F99" s="105"/>
    </row>
    <row r="100" spans="2:6" ht="4.95" customHeight="1" x14ac:dyDescent="0.3"/>
    <row r="101" spans="2:6" ht="22.05" customHeight="1" x14ac:dyDescent="0.3">
      <c r="B101" s="144" t="s">
        <v>331</v>
      </c>
      <c r="C101" s="145"/>
      <c r="D101" s="7" t="s">
        <v>75</v>
      </c>
      <c r="E101" s="7" t="s">
        <v>332</v>
      </c>
      <c r="F101" s="7" t="s">
        <v>333</v>
      </c>
    </row>
    <row r="102" spans="2:6" ht="33.75" customHeight="1" x14ac:dyDescent="0.3">
      <c r="B102" s="149" t="s">
        <v>334</v>
      </c>
      <c r="C102" s="137"/>
      <c r="D102" s="10" t="s">
        <v>335</v>
      </c>
      <c r="E102" s="21"/>
      <c r="F102" s="10" t="s">
        <v>336</v>
      </c>
    </row>
    <row r="103" spans="2:6" ht="19.95" customHeight="1" x14ac:dyDescent="0.3">
      <c r="B103" s="149" t="s">
        <v>337</v>
      </c>
      <c r="C103" s="137"/>
      <c r="D103" s="13" t="s">
        <v>338</v>
      </c>
      <c r="E103" s="21"/>
      <c r="F103" s="13" t="s">
        <v>339</v>
      </c>
    </row>
    <row r="104" spans="2:6" ht="19.95" customHeight="1" x14ac:dyDescent="0.3">
      <c r="B104" s="149" t="s">
        <v>340</v>
      </c>
      <c r="C104" s="137"/>
      <c r="D104" s="10" t="s">
        <v>341</v>
      </c>
      <c r="E104" s="21"/>
      <c r="F104" s="10" t="s">
        <v>342</v>
      </c>
    </row>
    <row r="105" spans="2:6" ht="19.95" customHeight="1" x14ac:dyDescent="0.3">
      <c r="B105" s="149" t="s">
        <v>343</v>
      </c>
      <c r="C105" s="137"/>
      <c r="D105" s="13" t="s">
        <v>344</v>
      </c>
      <c r="E105" s="13" t="s">
        <v>345</v>
      </c>
      <c r="F105" s="13" t="s">
        <v>80</v>
      </c>
    </row>
    <row r="106" spans="2:6" ht="33.75" customHeight="1" x14ac:dyDescent="0.3">
      <c r="B106" s="149" t="s">
        <v>346</v>
      </c>
      <c r="C106" s="137"/>
      <c r="D106" s="10" t="s">
        <v>347</v>
      </c>
      <c r="E106" s="21"/>
      <c r="F106" s="10" t="s">
        <v>348</v>
      </c>
    </row>
    <row r="107" spans="2:6" ht="19.95" customHeight="1" x14ac:dyDescent="0.3">
      <c r="B107" s="149" t="s">
        <v>349</v>
      </c>
      <c r="C107" s="137"/>
      <c r="D107" s="13" t="s">
        <v>350</v>
      </c>
      <c r="E107" s="21"/>
      <c r="F107" s="13" t="s">
        <v>351</v>
      </c>
    </row>
    <row r="108" spans="2:6" ht="19.95" customHeight="1" x14ac:dyDescent="0.3">
      <c r="B108" s="149" t="s">
        <v>352</v>
      </c>
      <c r="C108" s="137"/>
      <c r="D108" s="10" t="s">
        <v>353</v>
      </c>
      <c r="E108" s="10" t="s">
        <v>345</v>
      </c>
      <c r="F108" s="10" t="s">
        <v>80</v>
      </c>
    </row>
    <row r="109" spans="2:6" ht="19.95" customHeight="1" x14ac:dyDescent="0.3">
      <c r="B109" s="149" t="s">
        <v>354</v>
      </c>
      <c r="C109" s="137"/>
      <c r="D109" s="13" t="s">
        <v>355</v>
      </c>
      <c r="E109" s="21"/>
      <c r="F109" s="13" t="s">
        <v>139</v>
      </c>
    </row>
    <row r="110" spans="2:6" ht="19.95" customHeight="1" x14ac:dyDescent="0.3">
      <c r="B110" s="149" t="s">
        <v>356</v>
      </c>
      <c r="C110" s="137"/>
      <c r="D110" s="10" t="s">
        <v>357</v>
      </c>
      <c r="E110" s="21"/>
      <c r="F110" s="10" t="s">
        <v>358</v>
      </c>
    </row>
    <row r="111" spans="2:6" ht="19.95" customHeight="1" x14ac:dyDescent="0.3">
      <c r="B111" s="149" t="s">
        <v>359</v>
      </c>
      <c r="C111" s="137"/>
      <c r="D111" s="13" t="s">
        <v>360</v>
      </c>
      <c r="E111" s="21"/>
      <c r="F111" s="13" t="s">
        <v>361</v>
      </c>
    </row>
    <row r="112" spans="2:6" ht="19.95" customHeight="1" x14ac:dyDescent="0.3">
      <c r="B112" s="149" t="s">
        <v>362</v>
      </c>
      <c r="C112" s="137"/>
      <c r="D112" s="10" t="s">
        <v>363</v>
      </c>
      <c r="E112" s="21"/>
      <c r="F112" s="10" t="s">
        <v>364</v>
      </c>
    </row>
    <row r="113" spans="2:6" ht="6" customHeight="1" x14ac:dyDescent="0.3"/>
    <row r="114" spans="2:6" ht="12" customHeight="1" x14ac:dyDescent="0.3"/>
    <row r="115" spans="2:6" ht="27" customHeight="1" x14ac:dyDescent="0.3">
      <c r="B115" s="128" t="s">
        <v>365</v>
      </c>
      <c r="C115" s="124"/>
      <c r="D115" s="124"/>
      <c r="E115" s="124"/>
      <c r="F115" s="124"/>
    </row>
    <row r="116" spans="2:6" ht="4.95" customHeight="1" x14ac:dyDescent="0.3"/>
    <row r="117" spans="2:6" ht="19.350000000000001" customHeight="1" x14ac:dyDescent="0.3">
      <c r="B117" s="129" t="s">
        <v>366</v>
      </c>
      <c r="C117" s="113"/>
      <c r="D117" s="113"/>
      <c r="E117" s="113"/>
      <c r="F117" s="113"/>
    </row>
    <row r="118" spans="2:6" ht="33.75" customHeight="1" x14ac:dyDescent="0.3">
      <c r="B118" s="16" t="s">
        <v>64</v>
      </c>
      <c r="C118" s="152" t="s">
        <v>367</v>
      </c>
      <c r="D118" s="153"/>
      <c r="E118" s="153"/>
      <c r="F118" s="105"/>
    </row>
    <row r="119" spans="2:6" ht="4.95" customHeight="1" x14ac:dyDescent="0.3"/>
    <row r="120" spans="2:6" ht="33.75" customHeight="1" x14ac:dyDescent="0.3">
      <c r="B120" s="129" t="s">
        <v>368</v>
      </c>
      <c r="C120" s="113"/>
      <c r="D120" s="113"/>
      <c r="E120" s="113"/>
      <c r="F120" s="113"/>
    </row>
    <row r="121" spans="2:6" ht="22.05" customHeight="1" x14ac:dyDescent="0.3">
      <c r="B121" s="154" t="s">
        <v>369</v>
      </c>
      <c r="C121" s="145"/>
      <c r="D121" s="24" t="s">
        <v>370</v>
      </c>
      <c r="E121" s="154" t="s">
        <v>371</v>
      </c>
      <c r="F121" s="145"/>
    </row>
    <row r="122" spans="2:6" ht="33.75" customHeight="1" x14ac:dyDescent="0.3">
      <c r="B122" s="155" t="s">
        <v>372</v>
      </c>
      <c r="C122" s="111"/>
      <c r="D122" s="25">
        <v>4</v>
      </c>
      <c r="E122" s="148" t="s">
        <v>373</v>
      </c>
      <c r="F122" s="111"/>
    </row>
    <row r="123" spans="2:6" ht="31.35" customHeight="1" x14ac:dyDescent="0.3">
      <c r="B123" s="155" t="s">
        <v>374</v>
      </c>
      <c r="C123" s="111"/>
      <c r="D123" s="26">
        <v>250</v>
      </c>
      <c r="E123" s="148" t="s">
        <v>375</v>
      </c>
      <c r="F123" s="111"/>
    </row>
    <row r="124" spans="2:6" ht="33.75" customHeight="1" x14ac:dyDescent="0.3">
      <c r="B124" s="155" t="s">
        <v>376</v>
      </c>
      <c r="C124" s="111"/>
      <c r="D124" s="26">
        <v>2000</v>
      </c>
      <c r="E124" s="148" t="s">
        <v>377</v>
      </c>
      <c r="F124" s="111"/>
    </row>
    <row r="125" spans="2:6" ht="24" customHeight="1" x14ac:dyDescent="0.3">
      <c r="B125" s="155" t="s">
        <v>378</v>
      </c>
      <c r="C125" s="111"/>
      <c r="D125" s="27">
        <v>0.1</v>
      </c>
      <c r="E125" s="148" t="s">
        <v>379</v>
      </c>
      <c r="F125" s="111"/>
    </row>
    <row r="126" spans="2:6" ht="31.35" customHeight="1" x14ac:dyDescent="0.3">
      <c r="B126" s="155" t="s">
        <v>380</v>
      </c>
      <c r="C126" s="111"/>
      <c r="D126" s="28">
        <v>480</v>
      </c>
      <c r="E126" s="148" t="s">
        <v>381</v>
      </c>
      <c r="F126" s="111"/>
    </row>
    <row r="127" spans="2:6" ht="24" customHeight="1" x14ac:dyDescent="0.3">
      <c r="B127" s="104" t="s">
        <v>382</v>
      </c>
      <c r="C127" s="105"/>
      <c r="D127" s="29">
        <f>($D$123+$D$124)/1000</f>
        <v>2.25</v>
      </c>
      <c r="E127" s="148" t="s">
        <v>383</v>
      </c>
      <c r="F127" s="111"/>
    </row>
    <row r="128" spans="2:6" ht="24" customHeight="1" x14ac:dyDescent="0.3">
      <c r="B128" s="104" t="s">
        <v>384</v>
      </c>
      <c r="C128" s="105"/>
      <c r="D128" s="30">
        <f>IF($D$127=0,0,1/$D$127)</f>
        <v>0.44444444444444442</v>
      </c>
      <c r="E128" s="148" t="s">
        <v>385</v>
      </c>
      <c r="F128" s="111"/>
    </row>
    <row r="129" spans="2:6" ht="24" customHeight="1" x14ac:dyDescent="0.3">
      <c r="B129" s="104" t="s">
        <v>386</v>
      </c>
      <c r="C129" s="105"/>
      <c r="D129" s="31">
        <f>$D$122*$D$127</f>
        <v>9</v>
      </c>
      <c r="E129" s="148" t="s">
        <v>387</v>
      </c>
      <c r="F129" s="111"/>
    </row>
    <row r="130" spans="2:6" ht="33.75" customHeight="1" x14ac:dyDescent="0.3">
      <c r="B130" s="104" t="s">
        <v>388</v>
      </c>
      <c r="C130" s="105"/>
      <c r="D130" s="32">
        <f>ROUNDUP($D$129*(1+$D$125),0)</f>
        <v>10</v>
      </c>
      <c r="E130" s="148" t="s">
        <v>389</v>
      </c>
      <c r="F130" s="111"/>
    </row>
    <row r="131" spans="2:6" ht="31.35" customHeight="1" x14ac:dyDescent="0.3">
      <c r="B131" s="104" t="s">
        <v>390</v>
      </c>
      <c r="C131" s="105"/>
      <c r="D131" s="33">
        <f>MAX(60,$D$130*3)</f>
        <v>60</v>
      </c>
      <c r="E131" s="148" t="s">
        <v>391</v>
      </c>
      <c r="F131" s="111"/>
    </row>
    <row r="132" spans="2:6" ht="24" customHeight="1" x14ac:dyDescent="0.3">
      <c r="B132" s="104" t="s">
        <v>392</v>
      </c>
      <c r="C132" s="105"/>
      <c r="D132" s="33">
        <f>$D$131+$D$126+60</f>
        <v>600</v>
      </c>
      <c r="E132" s="148" t="s">
        <v>393</v>
      </c>
      <c r="F132" s="111"/>
    </row>
    <row r="133" spans="2:6" ht="24" customHeight="1" x14ac:dyDescent="0.3">
      <c r="B133" s="104" t="s">
        <v>394</v>
      </c>
      <c r="C133" s="105"/>
      <c r="D133" s="18" t="str">
        <f>$D$131&amp;" 秒 ～ "&amp;($D$131+$D$126)&amp;" 秒"</f>
        <v>60 秒 ～ 540 秒</v>
      </c>
      <c r="E133" s="148" t="s">
        <v>395</v>
      </c>
      <c r="F133" s="111"/>
    </row>
    <row r="134" spans="2:6" ht="33.75" customHeight="1" x14ac:dyDescent="0.3">
      <c r="B134" s="104" t="s">
        <v>396</v>
      </c>
      <c r="C134" s="105"/>
      <c r="D134" s="34">
        <f>$D$122*$D$132</f>
        <v>2400</v>
      </c>
      <c r="E134" s="148" t="s">
        <v>397</v>
      </c>
      <c r="F134" s="111"/>
    </row>
    <row r="135" spans="2:6" ht="33.75" customHeight="1" x14ac:dyDescent="0.3">
      <c r="B135" s="104" t="s">
        <v>398</v>
      </c>
      <c r="C135" s="105"/>
      <c r="D135" s="35">
        <f>$D$134*200/1024/1024</f>
        <v>0.457763671875</v>
      </c>
      <c r="E135" s="148" t="s">
        <v>399</v>
      </c>
      <c r="F135" s="111"/>
    </row>
    <row r="136" spans="2:6" ht="33.75" customHeight="1" x14ac:dyDescent="0.3">
      <c r="B136" s="104" t="s">
        <v>400</v>
      </c>
      <c r="C136" s="105"/>
      <c r="D136" s="36" t="str">
        <f>"./run_test.sh api_loadtest stg "&amp;$D$130&amp;" "&amp;$D$131&amp;" "&amp;$D$132</f>
        <v>./run_test.sh api_loadtest stg 10 60 600</v>
      </c>
      <c r="E136" s="148" t="s">
        <v>401</v>
      </c>
      <c r="F136" s="111"/>
    </row>
    <row r="137" spans="2:6" ht="6" customHeight="1" x14ac:dyDescent="0.3"/>
    <row r="138" spans="2:6" ht="33.75" customHeight="1" x14ac:dyDescent="0.3">
      <c r="B138" s="22" t="s">
        <v>62</v>
      </c>
      <c r="C138" s="152" t="s">
        <v>402</v>
      </c>
      <c r="D138" s="153"/>
      <c r="E138" s="153"/>
      <c r="F138" s="105"/>
    </row>
    <row r="139" spans="2:6" ht="4.95" customHeight="1" x14ac:dyDescent="0.3"/>
    <row r="140" spans="2:6" ht="33.75" customHeight="1" x14ac:dyDescent="0.3">
      <c r="B140" s="37" t="s">
        <v>66</v>
      </c>
      <c r="C140" s="152" t="s">
        <v>403</v>
      </c>
      <c r="D140" s="153"/>
      <c r="E140" s="153"/>
      <c r="F140" s="105"/>
    </row>
    <row r="141" spans="2:6" ht="4.95" customHeight="1" x14ac:dyDescent="0.3"/>
  </sheetData>
  <mergeCells count="101">
    <mergeCell ref="C140:F140"/>
    <mergeCell ref="C16:D16"/>
    <mergeCell ref="B117:F117"/>
    <mergeCell ref="B136:C136"/>
    <mergeCell ref="B111:C111"/>
    <mergeCell ref="B87:C87"/>
    <mergeCell ref="B128:C128"/>
    <mergeCell ref="C99:F99"/>
    <mergeCell ref="C118:F118"/>
    <mergeCell ref="B24:F24"/>
    <mergeCell ref="B123:C123"/>
    <mergeCell ref="B50:C50"/>
    <mergeCell ref="B110:C110"/>
    <mergeCell ref="B1:F1"/>
    <mergeCell ref="B88:C88"/>
    <mergeCell ref="B82:C82"/>
    <mergeCell ref="C21:D21"/>
    <mergeCell ref="E133:F133"/>
    <mergeCell ref="B108:C108"/>
    <mergeCell ref="B2:E2"/>
    <mergeCell ref="B83:C83"/>
    <mergeCell ref="B92:C92"/>
    <mergeCell ref="B124:C124"/>
    <mergeCell ref="E125:F125"/>
    <mergeCell ref="B133:C133"/>
    <mergeCell ref="B76:C76"/>
    <mergeCell ref="B85:C85"/>
    <mergeCell ref="B126:C126"/>
    <mergeCell ref="B75:C75"/>
    <mergeCell ref="B109:C109"/>
    <mergeCell ref="B115:F115"/>
    <mergeCell ref="E126:F126"/>
    <mergeCell ref="C13:D13"/>
    <mergeCell ref="C138:F138"/>
    <mergeCell ref="B4:F4"/>
    <mergeCell ref="E121:F121"/>
    <mergeCell ref="B54:C54"/>
    <mergeCell ref="B125:C125"/>
    <mergeCell ref="E130:F130"/>
    <mergeCell ref="C8:F8"/>
    <mergeCell ref="B134:C134"/>
    <mergeCell ref="B81:C81"/>
    <mergeCell ref="B121:C121"/>
    <mergeCell ref="B122:C122"/>
    <mergeCell ref="E123:F123"/>
    <mergeCell ref="E135:F135"/>
    <mergeCell ref="E132:F132"/>
    <mergeCell ref="B105:C105"/>
    <mergeCell ref="C20:D20"/>
    <mergeCell ref="B52:C52"/>
    <mergeCell ref="B48:F48"/>
    <mergeCell ref="B25:F44"/>
    <mergeCell ref="B107:C107"/>
    <mergeCell ref="C22:D22"/>
    <mergeCell ref="E134:F134"/>
    <mergeCell ref="B135:C135"/>
    <mergeCell ref="B6:F6"/>
    <mergeCell ref="B104:C104"/>
    <mergeCell ref="B51:C51"/>
    <mergeCell ref="E136:F136"/>
    <mergeCell ref="C19:D19"/>
    <mergeCell ref="B106:C106"/>
    <mergeCell ref="B129:C129"/>
    <mergeCell ref="B90:C90"/>
    <mergeCell ref="B72:F72"/>
    <mergeCell ref="E122:F122"/>
    <mergeCell ref="C14:D14"/>
    <mergeCell ref="B131:C131"/>
    <mergeCell ref="E127:F127"/>
    <mergeCell ref="B96:F96"/>
    <mergeCell ref="B130:C130"/>
    <mergeCell ref="B120:F120"/>
    <mergeCell ref="B98:F98"/>
    <mergeCell ref="B132:C132"/>
    <mergeCell ref="B53:C53"/>
    <mergeCell ref="B57:F57"/>
    <mergeCell ref="B103:C103"/>
    <mergeCell ref="B84:C84"/>
    <mergeCell ref="B74:F74"/>
    <mergeCell ref="E124:F124"/>
    <mergeCell ref="B91:C91"/>
    <mergeCell ref="B7:F7"/>
    <mergeCell ref="C15:D15"/>
    <mergeCell ref="E129:F129"/>
    <mergeCell ref="B93:C93"/>
    <mergeCell ref="B102:C102"/>
    <mergeCell ref="B77:C77"/>
    <mergeCell ref="E131:F131"/>
    <mergeCell ref="B86:C86"/>
    <mergeCell ref="B11:F11"/>
    <mergeCell ref="E128:F128"/>
    <mergeCell ref="B101:C101"/>
    <mergeCell ref="B78:C78"/>
    <mergeCell ref="B112:C112"/>
    <mergeCell ref="B127:C127"/>
    <mergeCell ref="C17:D17"/>
    <mergeCell ref="B80:C80"/>
    <mergeCell ref="B89:C89"/>
    <mergeCell ref="B45:F45"/>
    <mergeCell ref="C18:D18"/>
    <mergeCell ref="B79:C79"/>
  </mergeCells>
  <phoneticPr fontId="27"/>
  <dataValidations count="1">
    <dataValidation type="list" allowBlank="1" error="リストから選択してください" prompt="リストから選択" sqref="F76 F77 F78 F79 F80 F81 F82 F83 F84 F85 F86 F87 F88 F89 F90 F91 F92 F93" xr:uid="{00000000-0002-0000-0200-000000000000}">
      <formula1>"未,済,対象外"</formula1>
    </dataValidation>
  </dataValidations>
  <hyperlinks>
    <hyperlink ref="F2" location="'目次'!A1" display="▲ 目次へ戻る" xr:uid="{00000000-0004-0000-02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60:B69 F60 F64:F65 F67 F109:F11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04040"/>
    <pageSetUpPr fitToPage="1"/>
  </sheetPr>
  <dimension ref="B1:F449"/>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404</v>
      </c>
      <c r="C1" s="118"/>
      <c r="D1" s="118"/>
      <c r="E1" s="118"/>
      <c r="F1" s="118"/>
    </row>
    <row r="2" spans="2:6" ht="24" customHeight="1" x14ac:dyDescent="0.3">
      <c r="B2" s="141" t="s">
        <v>405</v>
      </c>
      <c r="C2" s="113"/>
      <c r="D2" s="113"/>
      <c r="E2" s="113"/>
      <c r="F2" s="4" t="s">
        <v>38</v>
      </c>
    </row>
    <row r="3" spans="2:6" ht="12" customHeight="1" x14ac:dyDescent="0.3"/>
    <row r="4" spans="2:6" ht="27" customHeight="1" x14ac:dyDescent="0.3">
      <c r="B4" s="128" t="s">
        <v>406</v>
      </c>
      <c r="C4" s="124"/>
      <c r="D4" s="124"/>
      <c r="E4" s="124"/>
      <c r="F4" s="124"/>
    </row>
    <row r="5" spans="2:6" ht="4.95" customHeight="1" x14ac:dyDescent="0.3"/>
    <row r="6" spans="2:6" ht="19.350000000000001" customHeight="1" x14ac:dyDescent="0.3">
      <c r="B6" s="38" t="s">
        <v>200</v>
      </c>
      <c r="C6" s="129" t="s">
        <v>407</v>
      </c>
      <c r="D6" s="113"/>
      <c r="E6" s="113"/>
      <c r="F6" s="113"/>
    </row>
    <row r="7" spans="2:6" ht="19.350000000000001" customHeight="1" x14ac:dyDescent="0.3">
      <c r="B7" s="38" t="s">
        <v>202</v>
      </c>
      <c r="C7" s="129" t="s">
        <v>408</v>
      </c>
      <c r="D7" s="113"/>
      <c r="E7" s="113"/>
      <c r="F7" s="113"/>
    </row>
    <row r="8" spans="2:6" ht="19.350000000000001" customHeight="1" x14ac:dyDescent="0.3">
      <c r="B8" s="38" t="s">
        <v>204</v>
      </c>
      <c r="C8" s="129" t="s">
        <v>409</v>
      </c>
      <c r="D8" s="113"/>
      <c r="E8" s="113"/>
      <c r="F8" s="113"/>
    </row>
    <row r="9" spans="2:6" ht="19.350000000000001" customHeight="1" x14ac:dyDescent="0.3">
      <c r="B9" s="38" t="s">
        <v>207</v>
      </c>
      <c r="C9" s="129" t="s">
        <v>410</v>
      </c>
      <c r="D9" s="113"/>
      <c r="E9" s="113"/>
      <c r="F9" s="113"/>
    </row>
    <row r="10" spans="2:6" ht="19.350000000000001" customHeight="1" x14ac:dyDescent="0.3">
      <c r="B10" s="38" t="s">
        <v>210</v>
      </c>
      <c r="C10" s="129" t="s">
        <v>411</v>
      </c>
      <c r="D10" s="113"/>
      <c r="E10" s="113"/>
      <c r="F10" s="113"/>
    </row>
    <row r="11" spans="2:6" ht="19.350000000000001" customHeight="1" x14ac:dyDescent="0.3">
      <c r="B11" s="38" t="s">
        <v>214</v>
      </c>
      <c r="C11" s="129" t="s">
        <v>412</v>
      </c>
      <c r="D11" s="113"/>
      <c r="E11" s="113"/>
      <c r="F11" s="113"/>
    </row>
    <row r="12" spans="2:6" ht="19.350000000000001" customHeight="1" x14ac:dyDescent="0.3">
      <c r="B12" s="38" t="s">
        <v>216</v>
      </c>
      <c r="C12" s="129" t="s">
        <v>413</v>
      </c>
      <c r="D12" s="113"/>
      <c r="E12" s="113"/>
      <c r="F12" s="113"/>
    </row>
    <row r="13" spans="2:6" ht="7.05" customHeight="1" x14ac:dyDescent="0.3"/>
    <row r="14" spans="2:6" ht="22.95" customHeight="1" x14ac:dyDescent="0.3">
      <c r="B14" s="156" t="s">
        <v>414</v>
      </c>
      <c r="C14" s="157"/>
      <c r="D14" s="157"/>
      <c r="E14" s="157"/>
      <c r="F14" s="157"/>
    </row>
    <row r="15" spans="2:6" ht="4.05" customHeight="1" x14ac:dyDescent="0.3"/>
    <row r="16" spans="2:6" ht="22.05" customHeight="1" x14ac:dyDescent="0.3">
      <c r="B16" s="144" t="s">
        <v>415</v>
      </c>
      <c r="C16" s="145"/>
      <c r="D16" s="144" t="s">
        <v>416</v>
      </c>
      <c r="E16" s="145"/>
      <c r="F16" s="7" t="s">
        <v>417</v>
      </c>
    </row>
    <row r="17" spans="2:6" ht="48.15" customHeight="1" x14ac:dyDescent="0.3">
      <c r="B17" s="130" t="s">
        <v>418</v>
      </c>
      <c r="C17" s="111"/>
      <c r="D17" s="130" t="s">
        <v>419</v>
      </c>
      <c r="E17" s="111"/>
      <c r="F17" s="10" t="s">
        <v>420</v>
      </c>
    </row>
    <row r="18" spans="2:6" ht="33.75" customHeight="1" x14ac:dyDescent="0.3">
      <c r="B18" s="132" t="s">
        <v>421</v>
      </c>
      <c r="C18" s="133"/>
      <c r="D18" s="132" t="s">
        <v>422</v>
      </c>
      <c r="E18" s="133"/>
      <c r="F18" s="13" t="s">
        <v>423</v>
      </c>
    </row>
    <row r="19" spans="2:6" ht="19.95" customHeight="1" x14ac:dyDescent="0.3">
      <c r="B19" s="130" t="s">
        <v>424</v>
      </c>
      <c r="C19" s="111"/>
      <c r="D19" s="130" t="s">
        <v>425</v>
      </c>
      <c r="E19" s="111"/>
      <c r="F19" s="10" t="s">
        <v>426</v>
      </c>
    </row>
    <row r="20" spans="2:6" ht="19.95" customHeight="1" x14ac:dyDescent="0.3">
      <c r="B20" s="132" t="s">
        <v>427</v>
      </c>
      <c r="C20" s="133"/>
      <c r="D20" s="132" t="s">
        <v>428</v>
      </c>
      <c r="E20" s="133"/>
      <c r="F20" s="13" t="s">
        <v>429</v>
      </c>
    </row>
    <row r="21" spans="2:6" ht="6" customHeight="1" x14ac:dyDescent="0.3"/>
    <row r="22" spans="2:6" ht="33.75" customHeight="1" x14ac:dyDescent="0.3">
      <c r="B22" s="22" t="s">
        <v>62</v>
      </c>
      <c r="C22" s="152" t="s">
        <v>430</v>
      </c>
      <c r="D22" s="153"/>
      <c r="E22" s="153"/>
      <c r="F22" s="105"/>
    </row>
    <row r="23" spans="2:6" ht="4.95" customHeight="1" x14ac:dyDescent="0.3"/>
    <row r="24" spans="2:6" ht="12" customHeight="1" x14ac:dyDescent="0.3"/>
    <row r="25" spans="2:6" ht="27" customHeight="1" x14ac:dyDescent="0.3">
      <c r="B25" s="128" t="s">
        <v>431</v>
      </c>
      <c r="C25" s="124"/>
      <c r="D25" s="124"/>
      <c r="E25" s="124"/>
      <c r="F25" s="124"/>
    </row>
    <row r="26" spans="2:6" ht="4.95" customHeight="1" x14ac:dyDescent="0.3"/>
    <row r="27" spans="2:6" ht="7.05" customHeight="1" x14ac:dyDescent="0.3"/>
    <row r="28" spans="2:6" ht="22.95" customHeight="1" x14ac:dyDescent="0.3">
      <c r="B28" s="156" t="s">
        <v>432</v>
      </c>
      <c r="C28" s="157"/>
      <c r="D28" s="157"/>
      <c r="E28" s="157"/>
      <c r="F28" s="157"/>
    </row>
    <row r="29" spans="2:6" ht="4.05" customHeight="1" x14ac:dyDescent="0.3"/>
    <row r="30" spans="2:6" ht="22.05" customHeight="1" x14ac:dyDescent="0.3">
      <c r="B30" s="7" t="s">
        <v>73</v>
      </c>
      <c r="C30" s="7" t="s">
        <v>159</v>
      </c>
      <c r="D30" s="7" t="s">
        <v>160</v>
      </c>
      <c r="E30" s="7" t="s">
        <v>161</v>
      </c>
      <c r="F30" s="7" t="s">
        <v>162</v>
      </c>
    </row>
    <row r="31" spans="2:6" ht="33.75" customHeight="1" x14ac:dyDescent="0.3">
      <c r="B31" s="8" t="s">
        <v>77</v>
      </c>
      <c r="C31" s="14" t="s">
        <v>433</v>
      </c>
      <c r="D31" s="10" t="s">
        <v>434</v>
      </c>
      <c r="E31" s="10"/>
      <c r="F31" s="10" t="s">
        <v>435</v>
      </c>
    </row>
    <row r="32" spans="2:6" ht="33.75" customHeight="1" x14ac:dyDescent="0.3">
      <c r="B32" s="11" t="s">
        <v>81</v>
      </c>
      <c r="C32" s="15" t="s">
        <v>436</v>
      </c>
      <c r="D32" s="13" t="s">
        <v>437</v>
      </c>
      <c r="E32" s="23" t="s">
        <v>438</v>
      </c>
      <c r="F32" s="13" t="s">
        <v>439</v>
      </c>
    </row>
    <row r="33" spans="2:6" ht="33.75" customHeight="1" x14ac:dyDescent="0.3">
      <c r="B33" s="8" t="s">
        <v>85</v>
      </c>
      <c r="C33" s="14" t="s">
        <v>440</v>
      </c>
      <c r="D33" s="10" t="s">
        <v>441</v>
      </c>
      <c r="E33" s="10"/>
      <c r="F33" s="10" t="s">
        <v>442</v>
      </c>
    </row>
    <row r="34" spans="2:6" ht="6" customHeight="1" x14ac:dyDescent="0.3"/>
    <row r="35" spans="2:6" ht="16.95" customHeight="1" x14ac:dyDescent="0.3">
      <c r="C35" s="170" t="s">
        <v>443</v>
      </c>
      <c r="D35" s="113"/>
      <c r="E35" s="113"/>
      <c r="F35" s="113"/>
    </row>
    <row r="36" spans="2:6" ht="17.25" customHeight="1" x14ac:dyDescent="0.3">
      <c r="C36" s="39" t="s">
        <v>444</v>
      </c>
      <c r="D36" s="40"/>
      <c r="E36" s="40"/>
      <c r="F36" s="41"/>
    </row>
    <row r="37" spans="2:6" ht="17.25" customHeight="1" x14ac:dyDescent="0.3">
      <c r="C37" s="42" t="s">
        <v>445</v>
      </c>
      <c r="D37" s="43"/>
      <c r="E37" s="43"/>
      <c r="F37" s="44"/>
    </row>
    <row r="38" spans="2:6" ht="17.25" customHeight="1" x14ac:dyDescent="0.3">
      <c r="C38" s="42" t="s">
        <v>446</v>
      </c>
      <c r="D38" s="43"/>
      <c r="E38" s="43"/>
      <c r="F38" s="44"/>
    </row>
    <row r="39" spans="2:6" ht="17.25" customHeight="1" x14ac:dyDescent="0.3">
      <c r="C39" s="45" t="s">
        <v>447</v>
      </c>
      <c r="D39" s="46"/>
      <c r="E39" s="46"/>
      <c r="F39" s="47"/>
    </row>
    <row r="40" spans="2:6" ht="4.95" customHeight="1" x14ac:dyDescent="0.3"/>
    <row r="41" spans="2:6" ht="15" customHeight="1" x14ac:dyDescent="0.3">
      <c r="B41" s="158" t="s">
        <v>448</v>
      </c>
      <c r="C41" s="159"/>
      <c r="D41" s="159"/>
      <c r="E41" s="159"/>
      <c r="F41" s="160"/>
    </row>
    <row r="42" spans="2:6" ht="15" customHeight="1" x14ac:dyDescent="0.3">
      <c r="B42" s="161"/>
      <c r="C42" s="113"/>
      <c r="D42" s="113"/>
      <c r="E42" s="113"/>
      <c r="F42" s="162"/>
    </row>
    <row r="43" spans="2:6" ht="15" customHeight="1" x14ac:dyDescent="0.3">
      <c r="B43" s="161"/>
      <c r="C43" s="113"/>
      <c r="D43" s="113"/>
      <c r="E43" s="113"/>
      <c r="F43" s="162"/>
    </row>
    <row r="44" spans="2:6" ht="15" customHeight="1" x14ac:dyDescent="0.3">
      <c r="B44" s="161"/>
      <c r="C44" s="113"/>
      <c r="D44" s="113"/>
      <c r="E44" s="113"/>
      <c r="F44" s="162"/>
    </row>
    <row r="45" spans="2:6" ht="15" customHeight="1" x14ac:dyDescent="0.3">
      <c r="B45" s="161"/>
      <c r="C45" s="113"/>
      <c r="D45" s="113"/>
      <c r="E45" s="113"/>
      <c r="F45" s="162"/>
    </row>
    <row r="46" spans="2:6" ht="15" customHeight="1" x14ac:dyDescent="0.3">
      <c r="B46" s="161"/>
      <c r="C46" s="113"/>
      <c r="D46" s="113"/>
      <c r="E46" s="113"/>
      <c r="F46" s="162"/>
    </row>
    <row r="47" spans="2:6" ht="15" customHeight="1" x14ac:dyDescent="0.3">
      <c r="B47" s="161"/>
      <c r="C47" s="113"/>
      <c r="D47" s="113"/>
      <c r="E47" s="113"/>
      <c r="F47" s="162"/>
    </row>
    <row r="48" spans="2:6" ht="15" customHeight="1" x14ac:dyDescent="0.3">
      <c r="B48" s="161"/>
      <c r="C48" s="113"/>
      <c r="D48" s="113"/>
      <c r="E48" s="113"/>
      <c r="F48" s="162"/>
    </row>
    <row r="49" spans="2:6" ht="15" customHeight="1" x14ac:dyDescent="0.3">
      <c r="B49" s="161"/>
      <c r="C49" s="113"/>
      <c r="D49" s="113"/>
      <c r="E49" s="113"/>
      <c r="F49" s="162"/>
    </row>
    <row r="50" spans="2:6" ht="15" customHeight="1" x14ac:dyDescent="0.3">
      <c r="B50" s="161"/>
      <c r="C50" s="113"/>
      <c r="D50" s="113"/>
      <c r="E50" s="113"/>
      <c r="F50" s="162"/>
    </row>
    <row r="51" spans="2:6" ht="15" customHeight="1" x14ac:dyDescent="0.3">
      <c r="B51" s="161"/>
      <c r="C51" s="113"/>
      <c r="D51" s="113"/>
      <c r="E51" s="113"/>
      <c r="F51" s="162"/>
    </row>
    <row r="52" spans="2:6" ht="15" customHeight="1" x14ac:dyDescent="0.3">
      <c r="B52" s="163"/>
      <c r="C52" s="164"/>
      <c r="D52" s="164"/>
      <c r="E52" s="164"/>
      <c r="F52" s="165"/>
    </row>
    <row r="53" spans="2:6" ht="19.95" customHeight="1" x14ac:dyDescent="0.3">
      <c r="B53" s="151" t="s">
        <v>449</v>
      </c>
      <c r="C53" s="113"/>
      <c r="D53" s="113"/>
      <c r="E53" s="113"/>
      <c r="F53" s="113"/>
    </row>
    <row r="54" spans="2:6" ht="6" customHeight="1" x14ac:dyDescent="0.3"/>
    <row r="55" spans="2:6" ht="7.05" customHeight="1" x14ac:dyDescent="0.3"/>
    <row r="56" spans="2:6" ht="22.95" customHeight="1" x14ac:dyDescent="0.3">
      <c r="B56" s="156" t="s">
        <v>450</v>
      </c>
      <c r="C56" s="157"/>
      <c r="D56" s="157"/>
      <c r="E56" s="157"/>
      <c r="F56" s="157"/>
    </row>
    <row r="57" spans="2:6" ht="4.05" customHeight="1" x14ac:dyDescent="0.3"/>
    <row r="58" spans="2:6" ht="22.05" customHeight="1" x14ac:dyDescent="0.3">
      <c r="B58" s="7" t="s">
        <v>73</v>
      </c>
      <c r="C58" s="7" t="s">
        <v>159</v>
      </c>
      <c r="D58" s="7" t="s">
        <v>160</v>
      </c>
      <c r="E58" s="7" t="s">
        <v>161</v>
      </c>
      <c r="F58" s="7" t="s">
        <v>162</v>
      </c>
    </row>
    <row r="59" spans="2:6" ht="48.15" customHeight="1" x14ac:dyDescent="0.3">
      <c r="B59" s="8" t="s">
        <v>77</v>
      </c>
      <c r="C59" s="14" t="s">
        <v>451</v>
      </c>
      <c r="D59" s="10" t="s">
        <v>452</v>
      </c>
      <c r="E59" s="23" t="s">
        <v>453</v>
      </c>
      <c r="F59" s="10" t="s">
        <v>454</v>
      </c>
    </row>
    <row r="60" spans="2:6" ht="48.15" customHeight="1" x14ac:dyDescent="0.3">
      <c r="B60" s="11" t="s">
        <v>81</v>
      </c>
      <c r="C60" s="15" t="s">
        <v>455</v>
      </c>
      <c r="D60" s="13" t="s">
        <v>456</v>
      </c>
      <c r="E60" s="13" t="s">
        <v>457</v>
      </c>
      <c r="F60" s="13" t="s">
        <v>458</v>
      </c>
    </row>
    <row r="61" spans="2:6" ht="33.75" customHeight="1" x14ac:dyDescent="0.3">
      <c r="B61" s="8" t="s">
        <v>85</v>
      </c>
      <c r="C61" s="14" t="s">
        <v>459</v>
      </c>
      <c r="D61" s="10" t="s">
        <v>460</v>
      </c>
      <c r="E61" s="10" t="s">
        <v>461</v>
      </c>
      <c r="F61" s="10" t="s">
        <v>462</v>
      </c>
    </row>
    <row r="62" spans="2:6" ht="6" customHeight="1" x14ac:dyDescent="0.3"/>
    <row r="63" spans="2:6" ht="7.05" customHeight="1" x14ac:dyDescent="0.3"/>
    <row r="64" spans="2:6" ht="22.95" customHeight="1" x14ac:dyDescent="0.3">
      <c r="B64" s="156" t="s">
        <v>463</v>
      </c>
      <c r="C64" s="157"/>
      <c r="D64" s="157"/>
      <c r="E64" s="157"/>
      <c r="F64" s="157"/>
    </row>
    <row r="65" spans="2:6" ht="4.05" customHeight="1" x14ac:dyDescent="0.3"/>
    <row r="66" spans="2:6" ht="22.05" customHeight="1" x14ac:dyDescent="0.3">
      <c r="B66" s="7" t="s">
        <v>73</v>
      </c>
      <c r="C66" s="7" t="s">
        <v>159</v>
      </c>
      <c r="D66" s="7" t="s">
        <v>160</v>
      </c>
      <c r="E66" s="7" t="s">
        <v>161</v>
      </c>
      <c r="F66" s="7" t="s">
        <v>162</v>
      </c>
    </row>
    <row r="67" spans="2:6" ht="19.95" customHeight="1" x14ac:dyDescent="0.3">
      <c r="B67" s="8" t="s">
        <v>77</v>
      </c>
      <c r="C67" s="14" t="s">
        <v>464</v>
      </c>
      <c r="D67" s="10" t="s">
        <v>465</v>
      </c>
      <c r="E67" s="10"/>
      <c r="F67" s="10"/>
    </row>
    <row r="68" spans="2:6" ht="19.95" customHeight="1" x14ac:dyDescent="0.3">
      <c r="B68" s="11" t="s">
        <v>81</v>
      </c>
      <c r="C68" s="15" t="s">
        <v>466</v>
      </c>
      <c r="D68" s="13" t="s">
        <v>467</v>
      </c>
      <c r="E68" s="13" t="s">
        <v>468</v>
      </c>
      <c r="F68" s="13"/>
    </row>
    <row r="69" spans="2:6" ht="33.75" customHeight="1" x14ac:dyDescent="0.3">
      <c r="B69" s="8" t="s">
        <v>85</v>
      </c>
      <c r="C69" s="14" t="s">
        <v>469</v>
      </c>
      <c r="D69" s="10" t="s">
        <v>470</v>
      </c>
      <c r="E69" s="10" t="s">
        <v>471</v>
      </c>
      <c r="F69" s="10" t="s">
        <v>472</v>
      </c>
    </row>
    <row r="70" spans="2:6" ht="33.75" customHeight="1" x14ac:dyDescent="0.3">
      <c r="B70" s="11" t="s">
        <v>88</v>
      </c>
      <c r="C70" s="15" t="s">
        <v>473</v>
      </c>
      <c r="D70" s="13" t="s">
        <v>474</v>
      </c>
      <c r="E70" s="13" t="s">
        <v>475</v>
      </c>
      <c r="F70" s="13" t="s">
        <v>476</v>
      </c>
    </row>
    <row r="71" spans="2:6" ht="19.95" customHeight="1" x14ac:dyDescent="0.3">
      <c r="B71" s="8" t="s">
        <v>91</v>
      </c>
      <c r="C71" s="14" t="s">
        <v>477</v>
      </c>
      <c r="D71" s="10" t="s">
        <v>478</v>
      </c>
      <c r="E71" s="10" t="s">
        <v>479</v>
      </c>
      <c r="F71" s="10"/>
    </row>
    <row r="72" spans="2:6" ht="6" customHeight="1" x14ac:dyDescent="0.3"/>
    <row r="73" spans="2:6" ht="15" customHeight="1" x14ac:dyDescent="0.3">
      <c r="B73" s="158" t="s">
        <v>480</v>
      </c>
      <c r="C73" s="159"/>
      <c r="D73" s="159"/>
      <c r="E73" s="159"/>
      <c r="F73" s="160"/>
    </row>
    <row r="74" spans="2:6" ht="15" customHeight="1" x14ac:dyDescent="0.3">
      <c r="B74" s="161"/>
      <c r="C74" s="113"/>
      <c r="D74" s="113"/>
      <c r="E74" s="113"/>
      <c r="F74" s="162"/>
    </row>
    <row r="75" spans="2:6" ht="15" customHeight="1" x14ac:dyDescent="0.3">
      <c r="B75" s="161"/>
      <c r="C75" s="113"/>
      <c r="D75" s="113"/>
      <c r="E75" s="113"/>
      <c r="F75" s="162"/>
    </row>
    <row r="76" spans="2:6" ht="15" customHeight="1" x14ac:dyDescent="0.3">
      <c r="B76" s="161"/>
      <c r="C76" s="113"/>
      <c r="D76" s="113"/>
      <c r="E76" s="113"/>
      <c r="F76" s="162"/>
    </row>
    <row r="77" spans="2:6" ht="15" customHeight="1" x14ac:dyDescent="0.3">
      <c r="B77" s="161"/>
      <c r="C77" s="113"/>
      <c r="D77" s="113"/>
      <c r="E77" s="113"/>
      <c r="F77" s="162"/>
    </row>
    <row r="78" spans="2:6" ht="15" customHeight="1" x14ac:dyDescent="0.3">
      <c r="B78" s="161"/>
      <c r="C78" s="113"/>
      <c r="D78" s="113"/>
      <c r="E78" s="113"/>
      <c r="F78" s="162"/>
    </row>
    <row r="79" spans="2:6" ht="15" customHeight="1" x14ac:dyDescent="0.3">
      <c r="B79" s="161"/>
      <c r="C79" s="113"/>
      <c r="D79" s="113"/>
      <c r="E79" s="113"/>
      <c r="F79" s="162"/>
    </row>
    <row r="80" spans="2:6" ht="15" customHeight="1" x14ac:dyDescent="0.3">
      <c r="B80" s="161"/>
      <c r="C80" s="113"/>
      <c r="D80" s="113"/>
      <c r="E80" s="113"/>
      <c r="F80" s="162"/>
    </row>
    <row r="81" spans="2:6" ht="15" customHeight="1" x14ac:dyDescent="0.3">
      <c r="B81" s="161"/>
      <c r="C81" s="113"/>
      <c r="D81" s="113"/>
      <c r="E81" s="113"/>
      <c r="F81" s="162"/>
    </row>
    <row r="82" spans="2:6" ht="15" customHeight="1" x14ac:dyDescent="0.3">
      <c r="B82" s="161"/>
      <c r="C82" s="113"/>
      <c r="D82" s="113"/>
      <c r="E82" s="113"/>
      <c r="F82" s="162"/>
    </row>
    <row r="83" spans="2:6" ht="15" customHeight="1" x14ac:dyDescent="0.3">
      <c r="B83" s="161"/>
      <c r="C83" s="113"/>
      <c r="D83" s="113"/>
      <c r="E83" s="113"/>
      <c r="F83" s="162"/>
    </row>
    <row r="84" spans="2:6" ht="15" customHeight="1" x14ac:dyDescent="0.3">
      <c r="B84" s="161"/>
      <c r="C84" s="113"/>
      <c r="D84" s="113"/>
      <c r="E84" s="113"/>
      <c r="F84" s="162"/>
    </row>
    <row r="85" spans="2:6" ht="15" customHeight="1" x14ac:dyDescent="0.3">
      <c r="B85" s="161"/>
      <c r="C85" s="113"/>
      <c r="D85" s="113"/>
      <c r="E85" s="113"/>
      <c r="F85" s="162"/>
    </row>
    <row r="86" spans="2:6" ht="15" customHeight="1" x14ac:dyDescent="0.3">
      <c r="B86" s="161"/>
      <c r="C86" s="113"/>
      <c r="D86" s="113"/>
      <c r="E86" s="113"/>
      <c r="F86" s="162"/>
    </row>
    <row r="87" spans="2:6" ht="15" customHeight="1" x14ac:dyDescent="0.3">
      <c r="B87" s="161"/>
      <c r="C87" s="113"/>
      <c r="D87" s="113"/>
      <c r="E87" s="113"/>
      <c r="F87" s="162"/>
    </row>
    <row r="88" spans="2:6" ht="15" customHeight="1" x14ac:dyDescent="0.3">
      <c r="B88" s="161"/>
      <c r="C88" s="113"/>
      <c r="D88" s="113"/>
      <c r="E88" s="113"/>
      <c r="F88" s="162"/>
    </row>
    <row r="89" spans="2:6" ht="15" customHeight="1" x14ac:dyDescent="0.3">
      <c r="B89" s="161"/>
      <c r="C89" s="113"/>
      <c r="D89" s="113"/>
      <c r="E89" s="113"/>
      <c r="F89" s="162"/>
    </row>
    <row r="90" spans="2:6" ht="15" customHeight="1" x14ac:dyDescent="0.3">
      <c r="B90" s="163"/>
      <c r="C90" s="164"/>
      <c r="D90" s="164"/>
      <c r="E90" s="164"/>
      <c r="F90" s="165"/>
    </row>
    <row r="91" spans="2:6" ht="19.95" customHeight="1" x14ac:dyDescent="0.3">
      <c r="B91" s="151" t="s">
        <v>481</v>
      </c>
      <c r="C91" s="113"/>
      <c r="D91" s="113"/>
      <c r="E91" s="113"/>
      <c r="F91" s="113"/>
    </row>
    <row r="92" spans="2:6" ht="6" customHeight="1" x14ac:dyDescent="0.3"/>
    <row r="93" spans="2:6" ht="7.05" customHeight="1" x14ac:dyDescent="0.3"/>
    <row r="94" spans="2:6" ht="22.95" customHeight="1" x14ac:dyDescent="0.3">
      <c r="B94" s="156" t="s">
        <v>482</v>
      </c>
      <c r="C94" s="157"/>
      <c r="D94" s="157"/>
      <c r="E94" s="157"/>
      <c r="F94" s="157"/>
    </row>
    <row r="95" spans="2:6" ht="4.05" customHeight="1" x14ac:dyDescent="0.3"/>
    <row r="96" spans="2:6" ht="19.350000000000001" customHeight="1" x14ac:dyDescent="0.3">
      <c r="B96" s="129" t="s">
        <v>483</v>
      </c>
      <c r="C96" s="113"/>
      <c r="D96" s="113"/>
      <c r="E96" s="113"/>
      <c r="F96" s="113"/>
    </row>
    <row r="97" spans="2:6" ht="16.95" customHeight="1" x14ac:dyDescent="0.3">
      <c r="C97" s="170" t="s">
        <v>484</v>
      </c>
      <c r="D97" s="113"/>
      <c r="E97" s="113"/>
      <c r="F97" s="113"/>
    </row>
    <row r="98" spans="2:6" ht="17.25" customHeight="1" x14ac:dyDescent="0.3">
      <c r="C98" s="39" t="s">
        <v>438</v>
      </c>
      <c r="D98" s="40"/>
      <c r="E98" s="40"/>
      <c r="F98" s="41"/>
    </row>
    <row r="99" spans="2:6" ht="17.25" customHeight="1" x14ac:dyDescent="0.3">
      <c r="C99" s="42" t="s">
        <v>485</v>
      </c>
      <c r="D99" s="43"/>
      <c r="E99" s="43"/>
      <c r="F99" s="44"/>
    </row>
    <row r="100" spans="2:6" ht="17.25" customHeight="1" x14ac:dyDescent="0.3">
      <c r="C100" s="45" t="s">
        <v>486</v>
      </c>
      <c r="D100" s="46"/>
      <c r="E100" s="46"/>
      <c r="F100" s="47"/>
    </row>
    <row r="101" spans="2:6" ht="4.95" customHeight="1" x14ac:dyDescent="0.3"/>
    <row r="102" spans="2:6" ht="22.05" customHeight="1" x14ac:dyDescent="0.3">
      <c r="B102" s="144" t="s">
        <v>487</v>
      </c>
      <c r="C102" s="145"/>
      <c r="D102" s="144" t="s">
        <v>488</v>
      </c>
      <c r="E102" s="145"/>
      <c r="F102" s="7" t="s">
        <v>489</v>
      </c>
    </row>
    <row r="103" spans="2:6" ht="33.75" customHeight="1" x14ac:dyDescent="0.3">
      <c r="B103" s="149" t="s">
        <v>438</v>
      </c>
      <c r="C103" s="137"/>
      <c r="D103" s="130" t="s">
        <v>490</v>
      </c>
      <c r="E103" s="111"/>
      <c r="F103" s="10" t="s">
        <v>491</v>
      </c>
    </row>
    <row r="104" spans="2:6" ht="33.75" customHeight="1" x14ac:dyDescent="0.3">
      <c r="B104" s="149" t="s">
        <v>485</v>
      </c>
      <c r="C104" s="137"/>
      <c r="D104" s="132" t="s">
        <v>492</v>
      </c>
      <c r="E104" s="133"/>
      <c r="F104" s="13" t="s">
        <v>493</v>
      </c>
    </row>
    <row r="105" spans="2:6" ht="62.55" customHeight="1" x14ac:dyDescent="0.3">
      <c r="B105" s="149" t="s">
        <v>486</v>
      </c>
      <c r="C105" s="137"/>
      <c r="D105" s="130" t="s">
        <v>494</v>
      </c>
      <c r="E105" s="111"/>
      <c r="F105" s="10" t="s">
        <v>495</v>
      </c>
    </row>
    <row r="106" spans="2:6" ht="6" customHeight="1" x14ac:dyDescent="0.3"/>
    <row r="107" spans="2:6" ht="22.05" customHeight="1" x14ac:dyDescent="0.3">
      <c r="B107" s="37" t="s">
        <v>66</v>
      </c>
      <c r="C107" s="152" t="s">
        <v>496</v>
      </c>
      <c r="D107" s="153"/>
      <c r="E107" s="153"/>
      <c r="F107" s="105"/>
    </row>
    <row r="108" spans="2:6" ht="4.95" customHeight="1" x14ac:dyDescent="0.3"/>
    <row r="109" spans="2:6" ht="7.05" customHeight="1" x14ac:dyDescent="0.3"/>
    <row r="110" spans="2:6" ht="22.95" customHeight="1" x14ac:dyDescent="0.3">
      <c r="B110" s="156" t="s">
        <v>497</v>
      </c>
      <c r="C110" s="157"/>
      <c r="D110" s="157"/>
      <c r="E110" s="157"/>
      <c r="F110" s="157"/>
    </row>
    <row r="111" spans="2:6" ht="4.05" customHeight="1" x14ac:dyDescent="0.3"/>
    <row r="112" spans="2:6" ht="22.05" customHeight="1" x14ac:dyDescent="0.3">
      <c r="B112" s="7" t="s">
        <v>73</v>
      </c>
      <c r="C112" s="7" t="s">
        <v>159</v>
      </c>
      <c r="D112" s="7" t="s">
        <v>160</v>
      </c>
      <c r="E112" s="7" t="s">
        <v>161</v>
      </c>
      <c r="F112" s="7" t="s">
        <v>162</v>
      </c>
    </row>
    <row r="113" spans="2:6" ht="33.75" customHeight="1" x14ac:dyDescent="0.3">
      <c r="B113" s="8" t="s">
        <v>77</v>
      </c>
      <c r="C113" s="14" t="s">
        <v>498</v>
      </c>
      <c r="D113" s="10" t="s">
        <v>499</v>
      </c>
      <c r="E113" s="10" t="s">
        <v>500</v>
      </c>
      <c r="F113" s="10" t="s">
        <v>501</v>
      </c>
    </row>
    <row r="114" spans="2:6" ht="33.75" customHeight="1" x14ac:dyDescent="0.3">
      <c r="B114" s="11" t="s">
        <v>81</v>
      </c>
      <c r="C114" s="15" t="s">
        <v>502</v>
      </c>
      <c r="D114" s="13" t="s">
        <v>503</v>
      </c>
      <c r="E114" s="23" t="s">
        <v>504</v>
      </c>
      <c r="F114" s="13" t="s">
        <v>505</v>
      </c>
    </row>
    <row r="115" spans="2:6" ht="33.75" customHeight="1" x14ac:dyDescent="0.3">
      <c r="B115" s="8" t="s">
        <v>85</v>
      </c>
      <c r="C115" s="14" t="s">
        <v>506</v>
      </c>
      <c r="D115" s="10" t="s">
        <v>507</v>
      </c>
      <c r="E115" s="10" t="s">
        <v>508</v>
      </c>
      <c r="F115" s="10"/>
    </row>
    <row r="116" spans="2:6" ht="33.75" customHeight="1" x14ac:dyDescent="0.3">
      <c r="B116" s="11" t="s">
        <v>88</v>
      </c>
      <c r="C116" s="15" t="s">
        <v>509</v>
      </c>
      <c r="D116" s="13" t="s">
        <v>510</v>
      </c>
      <c r="E116" s="23" t="s">
        <v>511</v>
      </c>
      <c r="F116" s="13"/>
    </row>
    <row r="117" spans="2:6" ht="48.15" customHeight="1" x14ac:dyDescent="0.3">
      <c r="B117" s="8" t="s">
        <v>91</v>
      </c>
      <c r="C117" s="14" t="s">
        <v>512</v>
      </c>
      <c r="D117" s="10" t="s">
        <v>513</v>
      </c>
      <c r="E117" s="10"/>
      <c r="F117" s="10" t="s">
        <v>514</v>
      </c>
    </row>
    <row r="118" spans="2:6" ht="6" customHeight="1" x14ac:dyDescent="0.3"/>
    <row r="119" spans="2:6" ht="12" customHeight="1" x14ac:dyDescent="0.3"/>
    <row r="120" spans="2:6" ht="27" customHeight="1" x14ac:dyDescent="0.3">
      <c r="B120" s="128" t="s">
        <v>515</v>
      </c>
      <c r="C120" s="124"/>
      <c r="D120" s="124"/>
      <c r="E120" s="124"/>
      <c r="F120" s="124"/>
    </row>
    <row r="121" spans="2:6" ht="4.95" customHeight="1" x14ac:dyDescent="0.3"/>
    <row r="122" spans="2:6" ht="7.05" customHeight="1" x14ac:dyDescent="0.3"/>
    <row r="123" spans="2:6" ht="22.95" customHeight="1" x14ac:dyDescent="0.3">
      <c r="B123" s="156" t="s">
        <v>516</v>
      </c>
      <c r="C123" s="157"/>
      <c r="D123" s="157"/>
      <c r="E123" s="157"/>
      <c r="F123" s="157"/>
    </row>
    <row r="124" spans="2:6" ht="4.05" customHeight="1" x14ac:dyDescent="0.3"/>
    <row r="125" spans="2:6" ht="22.05" customHeight="1" x14ac:dyDescent="0.3">
      <c r="B125" s="7" t="s">
        <v>73</v>
      </c>
      <c r="C125" s="7" t="s">
        <v>159</v>
      </c>
      <c r="D125" s="7" t="s">
        <v>160</v>
      </c>
      <c r="E125" s="7" t="s">
        <v>161</v>
      </c>
      <c r="F125" s="7" t="s">
        <v>162</v>
      </c>
    </row>
    <row r="126" spans="2:6" ht="19.95" customHeight="1" x14ac:dyDescent="0.3">
      <c r="B126" s="8" t="s">
        <v>77</v>
      </c>
      <c r="C126" s="14" t="s">
        <v>517</v>
      </c>
      <c r="D126" s="10" t="s">
        <v>518</v>
      </c>
      <c r="E126" s="23" t="s">
        <v>423</v>
      </c>
      <c r="F126" s="10" t="s">
        <v>519</v>
      </c>
    </row>
    <row r="127" spans="2:6" ht="33.75" customHeight="1" x14ac:dyDescent="0.3">
      <c r="B127" s="11" t="s">
        <v>81</v>
      </c>
      <c r="C127" s="15" t="s">
        <v>520</v>
      </c>
      <c r="D127" s="13" t="s">
        <v>521</v>
      </c>
      <c r="E127" s="13" t="s">
        <v>522</v>
      </c>
      <c r="F127" s="13" t="s">
        <v>523</v>
      </c>
    </row>
    <row r="128" spans="2:6" ht="48.15" customHeight="1" x14ac:dyDescent="0.3">
      <c r="B128" s="8" t="s">
        <v>85</v>
      </c>
      <c r="C128" s="14" t="s">
        <v>524</v>
      </c>
      <c r="D128" s="10" t="s">
        <v>525</v>
      </c>
      <c r="E128" s="10" t="s">
        <v>526</v>
      </c>
      <c r="F128" s="10" t="s">
        <v>527</v>
      </c>
    </row>
    <row r="129" spans="2:6" ht="19.95" customHeight="1" x14ac:dyDescent="0.3">
      <c r="B129" s="11" t="s">
        <v>88</v>
      </c>
      <c r="C129" s="15" t="s">
        <v>528</v>
      </c>
      <c r="D129" s="13" t="s">
        <v>529</v>
      </c>
      <c r="E129" s="13"/>
      <c r="F129" s="13"/>
    </row>
    <row r="130" spans="2:6" ht="6" customHeight="1" x14ac:dyDescent="0.3"/>
    <row r="131" spans="2:6" ht="15" customHeight="1" x14ac:dyDescent="0.3">
      <c r="B131" s="158" t="s">
        <v>530</v>
      </c>
      <c r="C131" s="159"/>
      <c r="D131" s="159"/>
      <c r="E131" s="159"/>
      <c r="F131" s="160"/>
    </row>
    <row r="132" spans="2:6" ht="15" customHeight="1" x14ac:dyDescent="0.3">
      <c r="B132" s="161"/>
      <c r="C132" s="113"/>
      <c r="D132" s="113"/>
      <c r="E132" s="113"/>
      <c r="F132" s="162"/>
    </row>
    <row r="133" spans="2:6" ht="15" customHeight="1" x14ac:dyDescent="0.3">
      <c r="B133" s="161"/>
      <c r="C133" s="113"/>
      <c r="D133" s="113"/>
      <c r="E133" s="113"/>
      <c r="F133" s="162"/>
    </row>
    <row r="134" spans="2:6" ht="15" customHeight="1" x14ac:dyDescent="0.3">
      <c r="B134" s="161"/>
      <c r="C134" s="113"/>
      <c r="D134" s="113"/>
      <c r="E134" s="113"/>
      <c r="F134" s="162"/>
    </row>
    <row r="135" spans="2:6" ht="15" customHeight="1" x14ac:dyDescent="0.3">
      <c r="B135" s="161"/>
      <c r="C135" s="113"/>
      <c r="D135" s="113"/>
      <c r="E135" s="113"/>
      <c r="F135" s="162"/>
    </row>
    <row r="136" spans="2:6" ht="15" customHeight="1" x14ac:dyDescent="0.3">
      <c r="B136" s="161"/>
      <c r="C136" s="113"/>
      <c r="D136" s="113"/>
      <c r="E136" s="113"/>
      <c r="F136" s="162"/>
    </row>
    <row r="137" spans="2:6" ht="15" customHeight="1" x14ac:dyDescent="0.3">
      <c r="B137" s="161"/>
      <c r="C137" s="113"/>
      <c r="D137" s="113"/>
      <c r="E137" s="113"/>
      <c r="F137" s="162"/>
    </row>
    <row r="138" spans="2:6" ht="15" customHeight="1" x14ac:dyDescent="0.3">
      <c r="B138" s="161"/>
      <c r="C138" s="113"/>
      <c r="D138" s="113"/>
      <c r="E138" s="113"/>
      <c r="F138" s="162"/>
    </row>
    <row r="139" spans="2:6" ht="15" customHeight="1" x14ac:dyDescent="0.3">
      <c r="B139" s="161"/>
      <c r="C139" s="113"/>
      <c r="D139" s="113"/>
      <c r="E139" s="113"/>
      <c r="F139" s="162"/>
    </row>
    <row r="140" spans="2:6" ht="15" customHeight="1" x14ac:dyDescent="0.3">
      <c r="B140" s="161"/>
      <c r="C140" s="113"/>
      <c r="D140" s="113"/>
      <c r="E140" s="113"/>
      <c r="F140" s="162"/>
    </row>
    <row r="141" spans="2:6" ht="15" customHeight="1" x14ac:dyDescent="0.3">
      <c r="B141" s="161"/>
      <c r="C141" s="113"/>
      <c r="D141" s="113"/>
      <c r="E141" s="113"/>
      <c r="F141" s="162"/>
    </row>
    <row r="142" spans="2:6" ht="15" customHeight="1" x14ac:dyDescent="0.3">
      <c r="B142" s="161"/>
      <c r="C142" s="113"/>
      <c r="D142" s="113"/>
      <c r="E142" s="113"/>
      <c r="F142" s="162"/>
    </row>
    <row r="143" spans="2:6" ht="15" customHeight="1" x14ac:dyDescent="0.3">
      <c r="B143" s="161"/>
      <c r="C143" s="113"/>
      <c r="D143" s="113"/>
      <c r="E143" s="113"/>
      <c r="F143" s="162"/>
    </row>
    <row r="144" spans="2:6" ht="15" customHeight="1" x14ac:dyDescent="0.3">
      <c r="B144" s="161"/>
      <c r="C144" s="113"/>
      <c r="D144" s="113"/>
      <c r="E144" s="113"/>
      <c r="F144" s="162"/>
    </row>
    <row r="145" spans="2:6" ht="15" customHeight="1" x14ac:dyDescent="0.3">
      <c r="B145" s="161"/>
      <c r="C145" s="113"/>
      <c r="D145" s="113"/>
      <c r="E145" s="113"/>
      <c r="F145" s="162"/>
    </row>
    <row r="146" spans="2:6" ht="15" customHeight="1" x14ac:dyDescent="0.3">
      <c r="B146" s="161"/>
      <c r="C146" s="113"/>
      <c r="D146" s="113"/>
      <c r="E146" s="113"/>
      <c r="F146" s="162"/>
    </row>
    <row r="147" spans="2:6" ht="15" customHeight="1" x14ac:dyDescent="0.3">
      <c r="B147" s="161"/>
      <c r="C147" s="113"/>
      <c r="D147" s="113"/>
      <c r="E147" s="113"/>
      <c r="F147" s="162"/>
    </row>
    <row r="148" spans="2:6" ht="15" customHeight="1" x14ac:dyDescent="0.3">
      <c r="B148" s="163"/>
      <c r="C148" s="164"/>
      <c r="D148" s="164"/>
      <c r="E148" s="164"/>
      <c r="F148" s="165"/>
    </row>
    <row r="149" spans="2:6" ht="19.95" customHeight="1" x14ac:dyDescent="0.3">
      <c r="B149" s="151" t="s">
        <v>531</v>
      </c>
      <c r="C149" s="113"/>
      <c r="D149" s="113"/>
      <c r="E149" s="113"/>
      <c r="F149" s="113"/>
    </row>
    <row r="150" spans="2:6" ht="6" customHeight="1" x14ac:dyDescent="0.3"/>
    <row r="151" spans="2:6" ht="22.05" customHeight="1" x14ac:dyDescent="0.3">
      <c r="B151" s="37" t="s">
        <v>66</v>
      </c>
      <c r="C151" s="152" t="s">
        <v>532</v>
      </c>
      <c r="D151" s="153"/>
      <c r="E151" s="153"/>
      <c r="F151" s="105"/>
    </row>
    <row r="152" spans="2:6" ht="4.95" customHeight="1" x14ac:dyDescent="0.3"/>
    <row r="153" spans="2:6" ht="7.05" customHeight="1" x14ac:dyDescent="0.3"/>
    <row r="154" spans="2:6" ht="22.95" customHeight="1" x14ac:dyDescent="0.3">
      <c r="B154" s="156" t="s">
        <v>533</v>
      </c>
      <c r="C154" s="157"/>
      <c r="D154" s="157"/>
      <c r="E154" s="157"/>
      <c r="F154" s="157"/>
    </row>
    <row r="155" spans="2:6" ht="4.05" customHeight="1" x14ac:dyDescent="0.3"/>
    <row r="156" spans="2:6" ht="19.350000000000001" customHeight="1" x14ac:dyDescent="0.3">
      <c r="B156" s="129" t="s">
        <v>534</v>
      </c>
      <c r="C156" s="113"/>
      <c r="D156" s="113"/>
      <c r="E156" s="113"/>
      <c r="F156" s="113"/>
    </row>
    <row r="157" spans="2:6" ht="16.95" customHeight="1" x14ac:dyDescent="0.3">
      <c r="C157" s="170" t="s">
        <v>535</v>
      </c>
      <c r="D157" s="113"/>
      <c r="E157" s="113"/>
      <c r="F157" s="113"/>
    </row>
    <row r="158" spans="2:6" ht="17.25" customHeight="1" x14ac:dyDescent="0.3">
      <c r="C158" s="39" t="s">
        <v>536</v>
      </c>
      <c r="D158" s="40"/>
      <c r="E158" s="40"/>
      <c r="F158" s="41"/>
    </row>
    <row r="159" spans="2:6" ht="17.25" customHeight="1" x14ac:dyDescent="0.3">
      <c r="C159" s="42" t="s">
        <v>537</v>
      </c>
      <c r="D159" s="43"/>
      <c r="E159" s="43"/>
      <c r="F159" s="44"/>
    </row>
    <row r="160" spans="2:6" ht="17.25" customHeight="1" x14ac:dyDescent="0.3">
      <c r="C160" s="42" t="s">
        <v>538</v>
      </c>
      <c r="D160" s="43"/>
      <c r="E160" s="43"/>
      <c r="F160" s="44"/>
    </row>
    <row r="161" spans="2:6" ht="17.25" customHeight="1" x14ac:dyDescent="0.3">
      <c r="C161" s="45" t="s">
        <v>539</v>
      </c>
      <c r="D161" s="46"/>
      <c r="E161" s="46"/>
      <c r="F161" s="47"/>
    </row>
    <row r="162" spans="2:6" ht="4.95" customHeight="1" x14ac:dyDescent="0.3"/>
    <row r="163" spans="2:6" ht="22.05" customHeight="1" x14ac:dyDescent="0.3">
      <c r="B163" s="144" t="s">
        <v>540</v>
      </c>
      <c r="C163" s="145"/>
      <c r="D163" s="144" t="s">
        <v>541</v>
      </c>
      <c r="E163" s="171"/>
      <c r="F163" s="145"/>
    </row>
    <row r="164" spans="2:6" ht="19.95" customHeight="1" x14ac:dyDescent="0.3">
      <c r="B164" s="149" t="s">
        <v>542</v>
      </c>
      <c r="C164" s="137"/>
      <c r="D164" s="130" t="s">
        <v>543</v>
      </c>
      <c r="E164" s="110"/>
      <c r="F164" s="111"/>
    </row>
    <row r="165" spans="2:6" ht="19.95" customHeight="1" x14ac:dyDescent="0.3">
      <c r="B165" s="149" t="s">
        <v>544</v>
      </c>
      <c r="C165" s="137"/>
      <c r="D165" s="132" t="s">
        <v>545</v>
      </c>
      <c r="E165" s="169"/>
      <c r="F165" s="133"/>
    </row>
    <row r="166" spans="2:6" ht="6" customHeight="1" x14ac:dyDescent="0.3"/>
    <row r="167" spans="2:6" ht="48.15" customHeight="1" x14ac:dyDescent="0.3">
      <c r="B167" s="37" t="s">
        <v>66</v>
      </c>
      <c r="C167" s="152" t="s">
        <v>546</v>
      </c>
      <c r="D167" s="153"/>
      <c r="E167" s="153"/>
      <c r="F167" s="105"/>
    </row>
    <row r="168" spans="2:6" ht="4.95" customHeight="1" x14ac:dyDescent="0.3"/>
    <row r="169" spans="2:6" ht="15" customHeight="1" x14ac:dyDescent="0.3">
      <c r="B169" s="158" t="s">
        <v>547</v>
      </c>
      <c r="C169" s="159"/>
      <c r="D169" s="159"/>
      <c r="E169" s="159"/>
      <c r="F169" s="160"/>
    </row>
    <row r="170" spans="2:6" ht="15" customHeight="1" x14ac:dyDescent="0.3">
      <c r="B170" s="161"/>
      <c r="C170" s="113"/>
      <c r="D170" s="113"/>
      <c r="E170" s="113"/>
      <c r="F170" s="162"/>
    </row>
    <row r="171" spans="2:6" ht="15" customHeight="1" x14ac:dyDescent="0.3">
      <c r="B171" s="161"/>
      <c r="C171" s="113"/>
      <c r="D171" s="113"/>
      <c r="E171" s="113"/>
      <c r="F171" s="162"/>
    </row>
    <row r="172" spans="2:6" ht="15" customHeight="1" x14ac:dyDescent="0.3">
      <c r="B172" s="161"/>
      <c r="C172" s="113"/>
      <c r="D172" s="113"/>
      <c r="E172" s="113"/>
      <c r="F172" s="162"/>
    </row>
    <row r="173" spans="2:6" ht="15" customHeight="1" x14ac:dyDescent="0.3">
      <c r="B173" s="161"/>
      <c r="C173" s="113"/>
      <c r="D173" s="113"/>
      <c r="E173" s="113"/>
      <c r="F173" s="162"/>
    </row>
    <row r="174" spans="2:6" ht="15" customHeight="1" x14ac:dyDescent="0.3">
      <c r="B174" s="161"/>
      <c r="C174" s="113"/>
      <c r="D174" s="113"/>
      <c r="E174" s="113"/>
      <c r="F174" s="162"/>
    </row>
    <row r="175" spans="2:6" ht="15" customHeight="1" x14ac:dyDescent="0.3">
      <c r="B175" s="161"/>
      <c r="C175" s="113"/>
      <c r="D175" s="113"/>
      <c r="E175" s="113"/>
      <c r="F175" s="162"/>
    </row>
    <row r="176" spans="2:6" ht="15" customHeight="1" x14ac:dyDescent="0.3">
      <c r="B176" s="161"/>
      <c r="C176" s="113"/>
      <c r="D176" s="113"/>
      <c r="E176" s="113"/>
      <c r="F176" s="162"/>
    </row>
    <row r="177" spans="2:6" ht="15" customHeight="1" x14ac:dyDescent="0.3">
      <c r="B177" s="161"/>
      <c r="C177" s="113"/>
      <c r="D177" s="113"/>
      <c r="E177" s="113"/>
      <c r="F177" s="162"/>
    </row>
    <row r="178" spans="2:6" ht="15" customHeight="1" x14ac:dyDescent="0.3">
      <c r="B178" s="163"/>
      <c r="C178" s="164"/>
      <c r="D178" s="164"/>
      <c r="E178" s="164"/>
      <c r="F178" s="165"/>
    </row>
    <row r="179" spans="2:6" ht="19.95" customHeight="1" x14ac:dyDescent="0.3">
      <c r="B179" s="151" t="s">
        <v>548</v>
      </c>
      <c r="C179" s="113"/>
      <c r="D179" s="113"/>
      <c r="E179" s="113"/>
      <c r="F179" s="113"/>
    </row>
    <row r="180" spans="2:6" ht="6" customHeight="1" x14ac:dyDescent="0.3"/>
    <row r="181" spans="2:6" ht="7.05" customHeight="1" x14ac:dyDescent="0.3"/>
    <row r="182" spans="2:6" ht="22.95" customHeight="1" x14ac:dyDescent="0.3">
      <c r="B182" s="156" t="s">
        <v>549</v>
      </c>
      <c r="C182" s="157"/>
      <c r="D182" s="157"/>
      <c r="E182" s="157"/>
      <c r="F182" s="157"/>
    </row>
    <row r="183" spans="2:6" ht="4.05" customHeight="1" x14ac:dyDescent="0.3"/>
    <row r="184" spans="2:6" ht="22.05" customHeight="1" x14ac:dyDescent="0.3">
      <c r="B184" s="7" t="s">
        <v>73</v>
      </c>
      <c r="C184" s="7" t="s">
        <v>159</v>
      </c>
      <c r="D184" s="7" t="s">
        <v>160</v>
      </c>
      <c r="E184" s="7" t="s">
        <v>161</v>
      </c>
      <c r="F184" s="7" t="s">
        <v>162</v>
      </c>
    </row>
    <row r="185" spans="2:6" ht="19.95" customHeight="1" x14ac:dyDescent="0.3">
      <c r="B185" s="8" t="s">
        <v>77</v>
      </c>
      <c r="C185" s="14" t="s">
        <v>550</v>
      </c>
      <c r="D185" s="10" t="s">
        <v>551</v>
      </c>
      <c r="E185" s="10"/>
      <c r="F185" s="10"/>
    </row>
    <row r="186" spans="2:6" ht="33.75" customHeight="1" x14ac:dyDescent="0.3">
      <c r="B186" s="11" t="s">
        <v>81</v>
      </c>
      <c r="C186" s="15" t="s">
        <v>552</v>
      </c>
      <c r="D186" s="13" t="s">
        <v>553</v>
      </c>
      <c r="E186" s="13" t="s">
        <v>554</v>
      </c>
      <c r="F186" s="13" t="s">
        <v>555</v>
      </c>
    </row>
    <row r="187" spans="2:6" ht="6" customHeight="1" x14ac:dyDescent="0.3"/>
    <row r="188" spans="2:6" ht="16.95" customHeight="1" x14ac:dyDescent="0.3">
      <c r="C188" s="170" t="s">
        <v>556</v>
      </c>
      <c r="D188" s="113"/>
      <c r="E188" s="113"/>
      <c r="F188" s="113"/>
    </row>
    <row r="189" spans="2:6" ht="17.25" customHeight="1" x14ac:dyDescent="0.3">
      <c r="C189" s="48" t="s">
        <v>557</v>
      </c>
      <c r="D189" s="49"/>
      <c r="E189" s="49"/>
      <c r="F189" s="50"/>
    </row>
    <row r="190" spans="2:6" ht="4.95" customHeight="1" x14ac:dyDescent="0.3"/>
    <row r="191" spans="2:6" ht="22.05" customHeight="1" x14ac:dyDescent="0.3">
      <c r="B191" s="16" t="s">
        <v>64</v>
      </c>
      <c r="C191" s="152" t="s">
        <v>558</v>
      </c>
      <c r="D191" s="153"/>
      <c r="E191" s="153"/>
      <c r="F191" s="105"/>
    </row>
    <row r="192" spans="2:6" ht="4.95" customHeight="1" x14ac:dyDescent="0.3"/>
    <row r="193" spans="2:6" ht="12" customHeight="1" x14ac:dyDescent="0.3"/>
    <row r="194" spans="2:6" ht="27" customHeight="1" x14ac:dyDescent="0.3">
      <c r="B194" s="128" t="s">
        <v>559</v>
      </c>
      <c r="C194" s="124"/>
      <c r="D194" s="124"/>
      <c r="E194" s="124"/>
      <c r="F194" s="124"/>
    </row>
    <row r="195" spans="2:6" ht="4.95" customHeight="1" x14ac:dyDescent="0.3"/>
    <row r="196" spans="2:6" ht="22.05" customHeight="1" x14ac:dyDescent="0.3">
      <c r="B196" s="7" t="s">
        <v>73</v>
      </c>
      <c r="C196" s="7" t="s">
        <v>159</v>
      </c>
      <c r="D196" s="7" t="s">
        <v>160</v>
      </c>
      <c r="E196" s="7" t="s">
        <v>161</v>
      </c>
      <c r="F196" s="7" t="s">
        <v>162</v>
      </c>
    </row>
    <row r="197" spans="2:6" ht="19.95" customHeight="1" x14ac:dyDescent="0.3">
      <c r="B197" s="8" t="s">
        <v>77</v>
      </c>
      <c r="C197" s="14" t="s">
        <v>560</v>
      </c>
      <c r="D197" s="10" t="s">
        <v>561</v>
      </c>
      <c r="E197" s="10" t="s">
        <v>562</v>
      </c>
      <c r="F197" s="10" t="s">
        <v>563</v>
      </c>
    </row>
    <row r="198" spans="2:6" ht="33.75" customHeight="1" x14ac:dyDescent="0.3">
      <c r="B198" s="11" t="s">
        <v>81</v>
      </c>
      <c r="C198" s="15" t="s">
        <v>498</v>
      </c>
      <c r="D198" s="13" t="s">
        <v>564</v>
      </c>
      <c r="E198" s="13" t="s">
        <v>565</v>
      </c>
      <c r="F198" s="13"/>
    </row>
    <row r="199" spans="2:6" ht="48.15" customHeight="1" x14ac:dyDescent="0.3">
      <c r="B199" s="8" t="s">
        <v>85</v>
      </c>
      <c r="C199" s="14" t="s">
        <v>566</v>
      </c>
      <c r="D199" s="10" t="s">
        <v>567</v>
      </c>
      <c r="E199" s="10" t="s">
        <v>568</v>
      </c>
      <c r="F199" s="10" t="s">
        <v>569</v>
      </c>
    </row>
    <row r="200" spans="2:6" ht="6" customHeight="1" x14ac:dyDescent="0.3"/>
    <row r="201" spans="2:6" ht="16.95" customHeight="1" x14ac:dyDescent="0.3">
      <c r="C201" s="170" t="s">
        <v>570</v>
      </c>
      <c r="D201" s="113"/>
      <c r="E201" s="113"/>
      <c r="F201" s="113"/>
    </row>
    <row r="202" spans="2:6" ht="17.25" customHeight="1" x14ac:dyDescent="0.3">
      <c r="C202" s="39" t="s">
        <v>571</v>
      </c>
      <c r="D202" s="40"/>
      <c r="E202" s="40"/>
      <c r="F202" s="41"/>
    </row>
    <row r="203" spans="2:6" ht="17.25" customHeight="1" x14ac:dyDescent="0.3">
      <c r="C203" s="42" t="s">
        <v>572</v>
      </c>
      <c r="D203" s="43"/>
      <c r="E203" s="43"/>
      <c r="F203" s="44"/>
    </row>
    <row r="204" spans="2:6" ht="17.25" customHeight="1" x14ac:dyDescent="0.3">
      <c r="C204" s="45" t="s">
        <v>573</v>
      </c>
      <c r="D204" s="46"/>
      <c r="E204" s="46"/>
      <c r="F204" s="47"/>
    </row>
    <row r="205" spans="2:6" ht="4.95" customHeight="1" x14ac:dyDescent="0.3"/>
    <row r="206" spans="2:6" ht="33.75" customHeight="1" x14ac:dyDescent="0.3">
      <c r="B206" s="22" t="s">
        <v>62</v>
      </c>
      <c r="C206" s="152" t="s">
        <v>574</v>
      </c>
      <c r="D206" s="153"/>
      <c r="E206" s="153"/>
      <c r="F206" s="105"/>
    </row>
    <row r="207" spans="2:6" ht="4.95" customHeight="1" x14ac:dyDescent="0.3"/>
    <row r="208" spans="2:6" ht="7.05" customHeight="1" x14ac:dyDescent="0.3"/>
    <row r="209" spans="2:6" ht="22.95" customHeight="1" x14ac:dyDescent="0.3">
      <c r="B209" s="156" t="s">
        <v>575</v>
      </c>
      <c r="C209" s="157"/>
      <c r="D209" s="157"/>
      <c r="E209" s="157"/>
      <c r="F209" s="157"/>
    </row>
    <row r="210" spans="2:6" ht="4.05" customHeight="1" x14ac:dyDescent="0.3"/>
    <row r="211" spans="2:6" ht="22.05" customHeight="1" x14ac:dyDescent="0.3">
      <c r="B211" s="144" t="s">
        <v>576</v>
      </c>
      <c r="C211" s="145"/>
      <c r="D211" s="144" t="s">
        <v>75</v>
      </c>
      <c r="E211" s="145"/>
      <c r="F211" s="7" t="s">
        <v>577</v>
      </c>
    </row>
    <row r="212" spans="2:6" ht="19.95" customHeight="1" x14ac:dyDescent="0.3">
      <c r="B212" s="149" t="s">
        <v>578</v>
      </c>
      <c r="C212" s="137"/>
      <c r="D212" s="130" t="s">
        <v>579</v>
      </c>
      <c r="E212" s="111"/>
      <c r="F212" s="10" t="s">
        <v>580</v>
      </c>
    </row>
    <row r="213" spans="2:6" ht="19.95" customHeight="1" x14ac:dyDescent="0.3">
      <c r="B213" s="149" t="s">
        <v>581</v>
      </c>
      <c r="C213" s="137"/>
      <c r="D213" s="132" t="s">
        <v>582</v>
      </c>
      <c r="E213" s="133"/>
      <c r="F213" s="13" t="s">
        <v>583</v>
      </c>
    </row>
    <row r="214" spans="2:6" ht="19.95" customHeight="1" x14ac:dyDescent="0.3">
      <c r="B214" s="149" t="s">
        <v>584</v>
      </c>
      <c r="C214" s="137"/>
      <c r="D214" s="130" t="s">
        <v>585</v>
      </c>
      <c r="E214" s="111"/>
      <c r="F214" s="10" t="s">
        <v>586</v>
      </c>
    </row>
    <row r="215" spans="2:6" ht="19.95" customHeight="1" x14ac:dyDescent="0.3">
      <c r="B215" s="149" t="s">
        <v>587</v>
      </c>
      <c r="C215" s="137"/>
      <c r="D215" s="132" t="s">
        <v>588</v>
      </c>
      <c r="E215" s="133"/>
      <c r="F215" s="13" t="s">
        <v>589</v>
      </c>
    </row>
    <row r="216" spans="2:6" ht="19.95" customHeight="1" x14ac:dyDescent="0.3">
      <c r="B216" s="149" t="s">
        <v>590</v>
      </c>
      <c r="C216" s="137"/>
      <c r="D216" s="130" t="s">
        <v>591</v>
      </c>
      <c r="E216" s="111"/>
      <c r="F216" s="10" t="s">
        <v>592</v>
      </c>
    </row>
    <row r="217" spans="2:6" ht="19.95" customHeight="1" x14ac:dyDescent="0.3">
      <c r="B217" s="149" t="s">
        <v>593</v>
      </c>
      <c r="C217" s="137"/>
      <c r="D217" s="132" t="s">
        <v>594</v>
      </c>
      <c r="E217" s="133"/>
      <c r="F217" s="13" t="s">
        <v>595</v>
      </c>
    </row>
    <row r="218" spans="2:6" ht="19.95" customHeight="1" x14ac:dyDescent="0.3">
      <c r="B218" s="149" t="s">
        <v>596</v>
      </c>
      <c r="C218" s="137"/>
      <c r="D218" s="130" t="s">
        <v>597</v>
      </c>
      <c r="E218" s="111"/>
      <c r="F218" s="10" t="s">
        <v>598</v>
      </c>
    </row>
    <row r="219" spans="2:6" ht="19.95" customHeight="1" x14ac:dyDescent="0.3">
      <c r="B219" s="149" t="s">
        <v>599</v>
      </c>
      <c r="C219" s="137"/>
      <c r="D219" s="132" t="s">
        <v>600</v>
      </c>
      <c r="E219" s="133"/>
      <c r="F219" s="13" t="s">
        <v>601</v>
      </c>
    </row>
    <row r="220" spans="2:6" ht="6" customHeight="1" x14ac:dyDescent="0.3"/>
    <row r="221" spans="2:6" ht="15" customHeight="1" x14ac:dyDescent="0.3">
      <c r="B221" s="158" t="s">
        <v>602</v>
      </c>
      <c r="C221" s="159"/>
      <c r="D221" s="159"/>
      <c r="E221" s="159"/>
      <c r="F221" s="160"/>
    </row>
    <row r="222" spans="2:6" ht="15" customHeight="1" x14ac:dyDescent="0.3">
      <c r="B222" s="161"/>
      <c r="C222" s="113"/>
      <c r="D222" s="113"/>
      <c r="E222" s="113"/>
      <c r="F222" s="162"/>
    </row>
    <row r="223" spans="2:6" ht="15" customHeight="1" x14ac:dyDescent="0.3">
      <c r="B223" s="161"/>
      <c r="C223" s="113"/>
      <c r="D223" s="113"/>
      <c r="E223" s="113"/>
      <c r="F223" s="162"/>
    </row>
    <row r="224" spans="2:6" ht="15" customHeight="1" x14ac:dyDescent="0.3">
      <c r="B224" s="161"/>
      <c r="C224" s="113"/>
      <c r="D224" s="113"/>
      <c r="E224" s="113"/>
      <c r="F224" s="162"/>
    </row>
    <row r="225" spans="2:6" ht="15" customHeight="1" x14ac:dyDescent="0.3">
      <c r="B225" s="161"/>
      <c r="C225" s="113"/>
      <c r="D225" s="113"/>
      <c r="E225" s="113"/>
      <c r="F225" s="162"/>
    </row>
    <row r="226" spans="2:6" ht="15" customHeight="1" x14ac:dyDescent="0.3">
      <c r="B226" s="161"/>
      <c r="C226" s="113"/>
      <c r="D226" s="113"/>
      <c r="E226" s="113"/>
      <c r="F226" s="162"/>
    </row>
    <row r="227" spans="2:6" ht="15" customHeight="1" x14ac:dyDescent="0.3">
      <c r="B227" s="161"/>
      <c r="C227" s="113"/>
      <c r="D227" s="113"/>
      <c r="E227" s="113"/>
      <c r="F227" s="162"/>
    </row>
    <row r="228" spans="2:6" ht="15" customHeight="1" x14ac:dyDescent="0.3">
      <c r="B228" s="161"/>
      <c r="C228" s="113"/>
      <c r="D228" s="113"/>
      <c r="E228" s="113"/>
      <c r="F228" s="162"/>
    </row>
    <row r="229" spans="2:6" ht="15" customHeight="1" x14ac:dyDescent="0.3">
      <c r="B229" s="161"/>
      <c r="C229" s="113"/>
      <c r="D229" s="113"/>
      <c r="E229" s="113"/>
      <c r="F229" s="162"/>
    </row>
    <row r="230" spans="2:6" ht="15" customHeight="1" x14ac:dyDescent="0.3">
      <c r="B230" s="161"/>
      <c r="C230" s="113"/>
      <c r="D230" s="113"/>
      <c r="E230" s="113"/>
      <c r="F230" s="162"/>
    </row>
    <row r="231" spans="2:6" ht="15" customHeight="1" x14ac:dyDescent="0.3">
      <c r="B231" s="161"/>
      <c r="C231" s="113"/>
      <c r="D231" s="113"/>
      <c r="E231" s="113"/>
      <c r="F231" s="162"/>
    </row>
    <row r="232" spans="2:6" ht="15" customHeight="1" x14ac:dyDescent="0.3">
      <c r="B232" s="161"/>
      <c r="C232" s="113"/>
      <c r="D232" s="113"/>
      <c r="E232" s="113"/>
      <c r="F232" s="162"/>
    </row>
    <row r="233" spans="2:6" ht="15" customHeight="1" x14ac:dyDescent="0.3">
      <c r="B233" s="161"/>
      <c r="C233" s="113"/>
      <c r="D233" s="113"/>
      <c r="E233" s="113"/>
      <c r="F233" s="162"/>
    </row>
    <row r="234" spans="2:6" ht="15" customHeight="1" x14ac:dyDescent="0.3">
      <c r="B234" s="163"/>
      <c r="C234" s="164"/>
      <c r="D234" s="164"/>
      <c r="E234" s="164"/>
      <c r="F234" s="165"/>
    </row>
    <row r="235" spans="2:6" ht="19.95" customHeight="1" x14ac:dyDescent="0.3">
      <c r="B235" s="151" t="s">
        <v>603</v>
      </c>
      <c r="C235" s="113"/>
      <c r="D235" s="113"/>
      <c r="E235" s="113"/>
      <c r="F235" s="113"/>
    </row>
    <row r="236" spans="2:6" ht="6" customHeight="1" x14ac:dyDescent="0.3"/>
    <row r="237" spans="2:6" ht="7.05" customHeight="1" x14ac:dyDescent="0.3"/>
    <row r="238" spans="2:6" ht="22.95" customHeight="1" x14ac:dyDescent="0.3">
      <c r="B238" s="156" t="s">
        <v>604</v>
      </c>
      <c r="C238" s="157"/>
      <c r="D238" s="157"/>
      <c r="E238" s="157"/>
      <c r="F238" s="157"/>
    </row>
    <row r="239" spans="2:6" ht="4.05" customHeight="1" x14ac:dyDescent="0.3"/>
    <row r="240" spans="2:6" ht="16.95" customHeight="1" x14ac:dyDescent="0.3">
      <c r="C240" s="170" t="s">
        <v>484</v>
      </c>
      <c r="D240" s="113"/>
      <c r="E240" s="113"/>
      <c r="F240" s="113"/>
    </row>
    <row r="241" spans="2:6" ht="17.25" customHeight="1" x14ac:dyDescent="0.3">
      <c r="C241" s="39" t="s">
        <v>605</v>
      </c>
      <c r="D241" s="40"/>
      <c r="E241" s="40"/>
      <c r="F241" s="41"/>
    </row>
    <row r="242" spans="2:6" ht="17.25" customHeight="1" x14ac:dyDescent="0.3">
      <c r="C242" s="42" t="s">
        <v>606</v>
      </c>
      <c r="D242" s="43"/>
      <c r="E242" s="43"/>
      <c r="F242" s="44"/>
    </row>
    <row r="243" spans="2:6" ht="17.25" customHeight="1" x14ac:dyDescent="0.3">
      <c r="C243" s="42" t="s">
        <v>607</v>
      </c>
      <c r="D243" s="43"/>
      <c r="E243" s="43"/>
      <c r="F243" s="44"/>
    </row>
    <row r="244" spans="2:6" ht="17.25" customHeight="1" x14ac:dyDescent="0.3">
      <c r="C244" s="42" t="s">
        <v>608</v>
      </c>
      <c r="D244" s="43"/>
      <c r="E244" s="43"/>
      <c r="F244" s="44"/>
    </row>
    <row r="245" spans="2:6" ht="17.25" customHeight="1" x14ac:dyDescent="0.3">
      <c r="C245" s="45" t="s">
        <v>609</v>
      </c>
      <c r="D245" s="46"/>
      <c r="E245" s="46"/>
      <c r="F245" s="47"/>
    </row>
    <row r="246" spans="2:6" ht="4.95" customHeight="1" x14ac:dyDescent="0.3"/>
    <row r="247" spans="2:6" ht="22.05" customHeight="1" x14ac:dyDescent="0.3">
      <c r="B247" s="144" t="s">
        <v>610</v>
      </c>
      <c r="C247" s="145"/>
      <c r="D247" s="144" t="s">
        <v>611</v>
      </c>
      <c r="E247" s="145"/>
      <c r="F247" s="7" t="s">
        <v>612</v>
      </c>
    </row>
    <row r="248" spans="2:6" ht="19.95" customHeight="1" x14ac:dyDescent="0.3">
      <c r="B248" s="149" t="s">
        <v>613</v>
      </c>
      <c r="C248" s="137"/>
      <c r="D248" s="130" t="s">
        <v>614</v>
      </c>
      <c r="E248" s="111"/>
      <c r="F248" s="23" t="s">
        <v>615</v>
      </c>
    </row>
    <row r="249" spans="2:6" ht="19.95" customHeight="1" x14ac:dyDescent="0.3">
      <c r="B249" s="149" t="s">
        <v>616</v>
      </c>
      <c r="C249" s="137"/>
      <c r="D249" s="132" t="s">
        <v>617</v>
      </c>
      <c r="E249" s="133"/>
      <c r="F249" s="23" t="s">
        <v>618</v>
      </c>
    </row>
    <row r="250" spans="2:6" ht="19.95" customHeight="1" x14ac:dyDescent="0.3">
      <c r="B250" s="149" t="s">
        <v>619</v>
      </c>
      <c r="C250" s="137"/>
      <c r="D250" s="130" t="s">
        <v>620</v>
      </c>
      <c r="E250" s="111"/>
      <c r="F250" s="23" t="s">
        <v>621</v>
      </c>
    </row>
    <row r="251" spans="2:6" ht="19.95" customHeight="1" x14ac:dyDescent="0.3">
      <c r="B251" s="149" t="s">
        <v>622</v>
      </c>
      <c r="C251" s="137"/>
      <c r="D251" s="132" t="s">
        <v>623</v>
      </c>
      <c r="E251" s="133"/>
      <c r="F251" s="23" t="s">
        <v>624</v>
      </c>
    </row>
    <row r="252" spans="2:6" ht="19.95" customHeight="1" x14ac:dyDescent="0.3">
      <c r="B252" s="149" t="s">
        <v>625</v>
      </c>
      <c r="C252" s="137"/>
      <c r="D252" s="130" t="s">
        <v>626</v>
      </c>
      <c r="E252" s="111"/>
      <c r="F252" s="23" t="s">
        <v>627</v>
      </c>
    </row>
    <row r="253" spans="2:6" ht="19.95" customHeight="1" x14ac:dyDescent="0.3">
      <c r="B253" s="149" t="s">
        <v>628</v>
      </c>
      <c r="C253" s="137"/>
      <c r="D253" s="132" t="s">
        <v>629</v>
      </c>
      <c r="E253" s="133"/>
      <c r="F253" s="23" t="s">
        <v>80</v>
      </c>
    </row>
    <row r="254" spans="2:6" ht="6" customHeight="1" x14ac:dyDescent="0.3"/>
    <row r="255" spans="2:6" ht="12" customHeight="1" x14ac:dyDescent="0.3"/>
    <row r="256" spans="2:6" ht="27" customHeight="1" x14ac:dyDescent="0.3">
      <c r="B256" s="128" t="s">
        <v>630</v>
      </c>
      <c r="C256" s="124"/>
      <c r="D256" s="124"/>
      <c r="E256" s="124"/>
      <c r="F256" s="124"/>
    </row>
    <row r="257" spans="2:6" ht="4.95" customHeight="1" x14ac:dyDescent="0.3"/>
    <row r="258" spans="2:6" ht="22.05" customHeight="1" x14ac:dyDescent="0.3">
      <c r="B258" s="7" t="s">
        <v>73</v>
      </c>
      <c r="C258" s="7" t="s">
        <v>159</v>
      </c>
      <c r="D258" s="7" t="s">
        <v>160</v>
      </c>
      <c r="E258" s="7" t="s">
        <v>161</v>
      </c>
      <c r="F258" s="7" t="s">
        <v>162</v>
      </c>
    </row>
    <row r="259" spans="2:6" ht="33.75" customHeight="1" x14ac:dyDescent="0.3">
      <c r="B259" s="8" t="s">
        <v>77</v>
      </c>
      <c r="C259" s="14" t="s">
        <v>631</v>
      </c>
      <c r="D259" s="10" t="s">
        <v>632</v>
      </c>
      <c r="E259" s="10"/>
      <c r="F259" s="10" t="s">
        <v>633</v>
      </c>
    </row>
    <row r="260" spans="2:6" ht="33.75" customHeight="1" x14ac:dyDescent="0.3">
      <c r="B260" s="11" t="s">
        <v>81</v>
      </c>
      <c r="C260" s="15" t="s">
        <v>634</v>
      </c>
      <c r="D260" s="13" t="s">
        <v>635</v>
      </c>
      <c r="E260" s="13"/>
      <c r="F260" s="13" t="s">
        <v>636</v>
      </c>
    </row>
    <row r="261" spans="2:6" ht="33.75" customHeight="1" x14ac:dyDescent="0.3">
      <c r="B261" s="8" t="s">
        <v>85</v>
      </c>
      <c r="C261" s="14" t="s">
        <v>637</v>
      </c>
      <c r="D261" s="10" t="s">
        <v>638</v>
      </c>
      <c r="E261" s="10"/>
      <c r="F261" s="10"/>
    </row>
    <row r="262" spans="2:6" ht="33.75" customHeight="1" x14ac:dyDescent="0.3">
      <c r="B262" s="11" t="s">
        <v>88</v>
      </c>
      <c r="C262" s="15" t="s">
        <v>639</v>
      </c>
      <c r="D262" s="13" t="s">
        <v>640</v>
      </c>
      <c r="E262" s="13" t="s">
        <v>641</v>
      </c>
      <c r="F262" s="13" t="s">
        <v>642</v>
      </c>
    </row>
    <row r="263" spans="2:6" ht="6" customHeight="1" x14ac:dyDescent="0.3"/>
    <row r="264" spans="2:6" ht="16.95" customHeight="1" x14ac:dyDescent="0.3">
      <c r="C264" s="170" t="s">
        <v>643</v>
      </c>
      <c r="D264" s="113"/>
      <c r="E264" s="113"/>
      <c r="F264" s="113"/>
    </row>
    <row r="265" spans="2:6" ht="17.25" customHeight="1" x14ac:dyDescent="0.3">
      <c r="C265" s="51" t="s">
        <v>644</v>
      </c>
      <c r="D265" s="40"/>
      <c r="E265" s="40"/>
      <c r="F265" s="41"/>
    </row>
    <row r="266" spans="2:6" ht="17.25" customHeight="1" x14ac:dyDescent="0.3">
      <c r="C266" s="42" t="s">
        <v>645</v>
      </c>
      <c r="D266" s="43"/>
      <c r="E266" s="43"/>
      <c r="F266" s="44"/>
    </row>
    <row r="267" spans="2:6" ht="17.25" customHeight="1" x14ac:dyDescent="0.3">
      <c r="C267" s="42" t="s">
        <v>646</v>
      </c>
      <c r="D267" s="43"/>
      <c r="E267" s="43"/>
      <c r="F267" s="44"/>
    </row>
    <row r="268" spans="2:6" ht="17.25" customHeight="1" x14ac:dyDescent="0.3">
      <c r="C268" s="42" t="s">
        <v>647</v>
      </c>
      <c r="D268" s="43"/>
      <c r="E268" s="43"/>
      <c r="F268" s="44"/>
    </row>
    <row r="269" spans="2:6" ht="17.25" customHeight="1" x14ac:dyDescent="0.3">
      <c r="C269" s="42" t="s">
        <v>648</v>
      </c>
      <c r="D269" s="43"/>
      <c r="E269" s="43"/>
      <c r="F269" s="44"/>
    </row>
    <row r="270" spans="2:6" ht="17.25" customHeight="1" x14ac:dyDescent="0.3">
      <c r="C270" s="42" t="s">
        <v>649</v>
      </c>
      <c r="D270" s="43"/>
      <c r="E270" s="43"/>
      <c r="F270" s="44"/>
    </row>
    <row r="271" spans="2:6" ht="17.25" customHeight="1" x14ac:dyDescent="0.3">
      <c r="C271" s="42" t="s">
        <v>650</v>
      </c>
      <c r="D271" s="43"/>
      <c r="E271" s="43"/>
      <c r="F271" s="44"/>
    </row>
    <row r="272" spans="2:6" ht="17.25" customHeight="1" x14ac:dyDescent="0.3">
      <c r="C272" s="52" t="s">
        <v>644</v>
      </c>
      <c r="D272" s="46"/>
      <c r="E272" s="46"/>
      <c r="F272" s="47"/>
    </row>
    <row r="273" spans="2:6" ht="4.95" customHeight="1" x14ac:dyDescent="0.3"/>
    <row r="274" spans="2:6" ht="15" customHeight="1" x14ac:dyDescent="0.3">
      <c r="B274" s="158" t="s">
        <v>651</v>
      </c>
      <c r="C274" s="159"/>
      <c r="D274" s="159"/>
      <c r="E274" s="159"/>
      <c r="F274" s="160"/>
    </row>
    <row r="275" spans="2:6" ht="15" customHeight="1" x14ac:dyDescent="0.3">
      <c r="B275" s="161"/>
      <c r="C275" s="113"/>
      <c r="D275" s="113"/>
      <c r="E275" s="113"/>
      <c r="F275" s="162"/>
    </row>
    <row r="276" spans="2:6" ht="15" customHeight="1" x14ac:dyDescent="0.3">
      <c r="B276" s="161"/>
      <c r="C276" s="113"/>
      <c r="D276" s="113"/>
      <c r="E276" s="113"/>
      <c r="F276" s="162"/>
    </row>
    <row r="277" spans="2:6" ht="15" customHeight="1" x14ac:dyDescent="0.3">
      <c r="B277" s="161"/>
      <c r="C277" s="113"/>
      <c r="D277" s="113"/>
      <c r="E277" s="113"/>
      <c r="F277" s="162"/>
    </row>
    <row r="278" spans="2:6" ht="15" customHeight="1" x14ac:dyDescent="0.3">
      <c r="B278" s="161"/>
      <c r="C278" s="113"/>
      <c r="D278" s="113"/>
      <c r="E278" s="113"/>
      <c r="F278" s="162"/>
    </row>
    <row r="279" spans="2:6" ht="15" customHeight="1" x14ac:dyDescent="0.3">
      <c r="B279" s="161"/>
      <c r="C279" s="113"/>
      <c r="D279" s="113"/>
      <c r="E279" s="113"/>
      <c r="F279" s="162"/>
    </row>
    <row r="280" spans="2:6" ht="15" customHeight="1" x14ac:dyDescent="0.3">
      <c r="B280" s="161"/>
      <c r="C280" s="113"/>
      <c r="D280" s="113"/>
      <c r="E280" s="113"/>
      <c r="F280" s="162"/>
    </row>
    <row r="281" spans="2:6" ht="15" customHeight="1" x14ac:dyDescent="0.3">
      <c r="B281" s="161"/>
      <c r="C281" s="113"/>
      <c r="D281" s="113"/>
      <c r="E281" s="113"/>
      <c r="F281" s="162"/>
    </row>
    <row r="282" spans="2:6" ht="15" customHeight="1" x14ac:dyDescent="0.3">
      <c r="B282" s="161"/>
      <c r="C282" s="113"/>
      <c r="D282" s="113"/>
      <c r="E282" s="113"/>
      <c r="F282" s="162"/>
    </row>
    <row r="283" spans="2:6" ht="15" customHeight="1" x14ac:dyDescent="0.3">
      <c r="B283" s="161"/>
      <c r="C283" s="113"/>
      <c r="D283" s="113"/>
      <c r="E283" s="113"/>
      <c r="F283" s="162"/>
    </row>
    <row r="284" spans="2:6" ht="15" customHeight="1" x14ac:dyDescent="0.3">
      <c r="B284" s="161"/>
      <c r="C284" s="113"/>
      <c r="D284" s="113"/>
      <c r="E284" s="113"/>
      <c r="F284" s="162"/>
    </row>
    <row r="285" spans="2:6" ht="15" customHeight="1" x14ac:dyDescent="0.3">
      <c r="B285" s="161"/>
      <c r="C285" s="113"/>
      <c r="D285" s="113"/>
      <c r="E285" s="113"/>
      <c r="F285" s="162"/>
    </row>
    <row r="286" spans="2:6" ht="15" customHeight="1" x14ac:dyDescent="0.3">
      <c r="B286" s="161"/>
      <c r="C286" s="113"/>
      <c r="D286" s="113"/>
      <c r="E286" s="113"/>
      <c r="F286" s="162"/>
    </row>
    <row r="287" spans="2:6" ht="15" customHeight="1" x14ac:dyDescent="0.3">
      <c r="B287" s="163"/>
      <c r="C287" s="164"/>
      <c r="D287" s="164"/>
      <c r="E287" s="164"/>
      <c r="F287" s="165"/>
    </row>
    <row r="288" spans="2:6" ht="19.95" customHeight="1" x14ac:dyDescent="0.3">
      <c r="B288" s="151" t="s">
        <v>652</v>
      </c>
      <c r="C288" s="113"/>
      <c r="D288" s="113"/>
      <c r="E288" s="113"/>
      <c r="F288" s="113"/>
    </row>
    <row r="289" spans="2:6" ht="6" customHeight="1" x14ac:dyDescent="0.3"/>
    <row r="290" spans="2:6" ht="15" customHeight="1" x14ac:dyDescent="0.3">
      <c r="B290" s="158" t="s">
        <v>653</v>
      </c>
      <c r="C290" s="159"/>
      <c r="D290" s="159"/>
      <c r="E290" s="159"/>
      <c r="F290" s="160"/>
    </row>
    <row r="291" spans="2:6" ht="15" customHeight="1" x14ac:dyDescent="0.3">
      <c r="B291" s="161"/>
      <c r="C291" s="113"/>
      <c r="D291" s="113"/>
      <c r="E291" s="113"/>
      <c r="F291" s="162"/>
    </row>
    <row r="292" spans="2:6" ht="15" customHeight="1" x14ac:dyDescent="0.3">
      <c r="B292" s="161"/>
      <c r="C292" s="113"/>
      <c r="D292" s="113"/>
      <c r="E292" s="113"/>
      <c r="F292" s="162"/>
    </row>
    <row r="293" spans="2:6" ht="15" customHeight="1" x14ac:dyDescent="0.3">
      <c r="B293" s="161"/>
      <c r="C293" s="113"/>
      <c r="D293" s="113"/>
      <c r="E293" s="113"/>
      <c r="F293" s="162"/>
    </row>
    <row r="294" spans="2:6" ht="15" customHeight="1" x14ac:dyDescent="0.3">
      <c r="B294" s="161"/>
      <c r="C294" s="113"/>
      <c r="D294" s="113"/>
      <c r="E294" s="113"/>
      <c r="F294" s="162"/>
    </row>
    <row r="295" spans="2:6" ht="15" customHeight="1" x14ac:dyDescent="0.3">
      <c r="B295" s="161"/>
      <c r="C295" s="113"/>
      <c r="D295" s="113"/>
      <c r="E295" s="113"/>
      <c r="F295" s="162"/>
    </row>
    <row r="296" spans="2:6" ht="15" customHeight="1" x14ac:dyDescent="0.3">
      <c r="B296" s="161"/>
      <c r="C296" s="113"/>
      <c r="D296" s="113"/>
      <c r="E296" s="113"/>
      <c r="F296" s="162"/>
    </row>
    <row r="297" spans="2:6" ht="15" customHeight="1" x14ac:dyDescent="0.3">
      <c r="B297" s="161"/>
      <c r="C297" s="113"/>
      <c r="D297" s="113"/>
      <c r="E297" s="113"/>
      <c r="F297" s="162"/>
    </row>
    <row r="298" spans="2:6" ht="15" customHeight="1" x14ac:dyDescent="0.3">
      <c r="B298" s="161"/>
      <c r="C298" s="113"/>
      <c r="D298" s="113"/>
      <c r="E298" s="113"/>
      <c r="F298" s="162"/>
    </row>
    <row r="299" spans="2:6" ht="15" customHeight="1" x14ac:dyDescent="0.3">
      <c r="B299" s="161"/>
      <c r="C299" s="113"/>
      <c r="D299" s="113"/>
      <c r="E299" s="113"/>
      <c r="F299" s="162"/>
    </row>
    <row r="300" spans="2:6" ht="15" customHeight="1" x14ac:dyDescent="0.3">
      <c r="B300" s="161"/>
      <c r="C300" s="113"/>
      <c r="D300" s="113"/>
      <c r="E300" s="113"/>
      <c r="F300" s="162"/>
    </row>
    <row r="301" spans="2:6" ht="15" customHeight="1" x14ac:dyDescent="0.3">
      <c r="B301" s="161"/>
      <c r="C301" s="113"/>
      <c r="D301" s="113"/>
      <c r="E301" s="113"/>
      <c r="F301" s="162"/>
    </row>
    <row r="302" spans="2:6" ht="15" customHeight="1" x14ac:dyDescent="0.3">
      <c r="B302" s="161"/>
      <c r="C302" s="113"/>
      <c r="D302" s="113"/>
      <c r="E302" s="113"/>
      <c r="F302" s="162"/>
    </row>
    <row r="303" spans="2:6" ht="15" customHeight="1" x14ac:dyDescent="0.3">
      <c r="B303" s="161"/>
      <c r="C303" s="113"/>
      <c r="D303" s="113"/>
      <c r="E303" s="113"/>
      <c r="F303" s="162"/>
    </row>
    <row r="304" spans="2:6" ht="15" customHeight="1" x14ac:dyDescent="0.3">
      <c r="B304" s="161"/>
      <c r="C304" s="113"/>
      <c r="D304" s="113"/>
      <c r="E304" s="113"/>
      <c r="F304" s="162"/>
    </row>
    <row r="305" spans="2:6" ht="15" customHeight="1" x14ac:dyDescent="0.3">
      <c r="B305" s="161"/>
      <c r="C305" s="113"/>
      <c r="D305" s="113"/>
      <c r="E305" s="113"/>
      <c r="F305" s="162"/>
    </row>
    <row r="306" spans="2:6" ht="15" customHeight="1" x14ac:dyDescent="0.3">
      <c r="B306" s="161"/>
      <c r="C306" s="113"/>
      <c r="D306" s="113"/>
      <c r="E306" s="113"/>
      <c r="F306" s="162"/>
    </row>
    <row r="307" spans="2:6" ht="15" customHeight="1" x14ac:dyDescent="0.3">
      <c r="B307" s="161"/>
      <c r="C307" s="113"/>
      <c r="D307" s="113"/>
      <c r="E307" s="113"/>
      <c r="F307" s="162"/>
    </row>
    <row r="308" spans="2:6" ht="15" customHeight="1" x14ac:dyDescent="0.3">
      <c r="B308" s="161"/>
      <c r="C308" s="113"/>
      <c r="D308" s="113"/>
      <c r="E308" s="113"/>
      <c r="F308" s="162"/>
    </row>
    <row r="309" spans="2:6" ht="15" customHeight="1" x14ac:dyDescent="0.3">
      <c r="B309" s="161"/>
      <c r="C309" s="113"/>
      <c r="D309" s="113"/>
      <c r="E309" s="113"/>
      <c r="F309" s="162"/>
    </row>
    <row r="310" spans="2:6" ht="15" customHeight="1" x14ac:dyDescent="0.3">
      <c r="B310" s="161"/>
      <c r="C310" s="113"/>
      <c r="D310" s="113"/>
      <c r="E310" s="113"/>
      <c r="F310" s="162"/>
    </row>
    <row r="311" spans="2:6" ht="15" customHeight="1" x14ac:dyDescent="0.3">
      <c r="B311" s="163"/>
      <c r="C311" s="164"/>
      <c r="D311" s="164"/>
      <c r="E311" s="164"/>
      <c r="F311" s="165"/>
    </row>
    <row r="312" spans="2:6" ht="19.95" customHeight="1" x14ac:dyDescent="0.3">
      <c r="B312" s="151" t="s">
        <v>654</v>
      </c>
      <c r="C312" s="113"/>
      <c r="D312" s="113"/>
      <c r="E312" s="113"/>
      <c r="F312" s="113"/>
    </row>
    <row r="313" spans="2:6" ht="6" customHeight="1" x14ac:dyDescent="0.3"/>
    <row r="314" spans="2:6" ht="22.05" customHeight="1" x14ac:dyDescent="0.3">
      <c r="B314" s="144" t="s">
        <v>655</v>
      </c>
      <c r="C314" s="145"/>
      <c r="D314" s="144" t="s">
        <v>656</v>
      </c>
      <c r="E314" s="145"/>
      <c r="F314" s="7" t="s">
        <v>657</v>
      </c>
    </row>
    <row r="315" spans="2:6" ht="76.95" customHeight="1" x14ac:dyDescent="0.3">
      <c r="B315" s="130" t="s">
        <v>658</v>
      </c>
      <c r="C315" s="111"/>
      <c r="D315" s="130" t="s">
        <v>659</v>
      </c>
      <c r="E315" s="111"/>
      <c r="F315" s="10" t="s">
        <v>660</v>
      </c>
    </row>
    <row r="316" spans="2:6" ht="48.15" customHeight="1" x14ac:dyDescent="0.3">
      <c r="B316" s="132" t="s">
        <v>661</v>
      </c>
      <c r="C316" s="133"/>
      <c r="D316" s="132" t="s">
        <v>662</v>
      </c>
      <c r="E316" s="133"/>
      <c r="F316" s="13" t="s">
        <v>663</v>
      </c>
    </row>
    <row r="317" spans="2:6" ht="33.75" customHeight="1" x14ac:dyDescent="0.3">
      <c r="B317" s="130" t="s">
        <v>664</v>
      </c>
      <c r="C317" s="111"/>
      <c r="D317" s="130" t="s">
        <v>665</v>
      </c>
      <c r="E317" s="111"/>
      <c r="F317" s="10" t="s">
        <v>666</v>
      </c>
    </row>
    <row r="318" spans="2:6" ht="6" customHeight="1" x14ac:dyDescent="0.3"/>
    <row r="319" spans="2:6" ht="7.05" customHeight="1" x14ac:dyDescent="0.3"/>
    <row r="320" spans="2:6" ht="22.95" customHeight="1" x14ac:dyDescent="0.3">
      <c r="B320" s="156" t="s">
        <v>667</v>
      </c>
      <c r="C320" s="157"/>
      <c r="D320" s="157"/>
      <c r="E320" s="157"/>
      <c r="F320" s="157"/>
    </row>
    <row r="321" spans="2:6" ht="4.05" customHeight="1" x14ac:dyDescent="0.3"/>
    <row r="322" spans="2:6" ht="33.75" customHeight="1" x14ac:dyDescent="0.3">
      <c r="B322" s="129" t="s">
        <v>668</v>
      </c>
      <c r="C322" s="113"/>
      <c r="D322" s="113"/>
      <c r="E322" s="113"/>
      <c r="F322" s="113"/>
    </row>
    <row r="323" spans="2:6" ht="16.95" customHeight="1" x14ac:dyDescent="0.3">
      <c r="C323" s="170" t="s">
        <v>669</v>
      </c>
      <c r="D323" s="113"/>
      <c r="E323" s="113"/>
      <c r="F323" s="113"/>
    </row>
    <row r="324" spans="2:6" ht="17.25" customHeight="1" x14ac:dyDescent="0.3">
      <c r="C324" s="39" t="s">
        <v>670</v>
      </c>
      <c r="D324" s="40"/>
      <c r="E324" s="40"/>
      <c r="F324" s="41"/>
    </row>
    <row r="325" spans="2:6" ht="17.25" customHeight="1" x14ac:dyDescent="0.3">
      <c r="C325" s="42" t="s">
        <v>671</v>
      </c>
      <c r="D325" s="43"/>
      <c r="E325" s="43"/>
      <c r="F325" s="44"/>
    </row>
    <row r="326" spans="2:6" ht="17.25" customHeight="1" x14ac:dyDescent="0.3">
      <c r="C326" s="42" t="s">
        <v>672</v>
      </c>
      <c r="D326" s="43"/>
      <c r="E326" s="43"/>
      <c r="F326" s="44"/>
    </row>
    <row r="327" spans="2:6" ht="17.25" customHeight="1" x14ac:dyDescent="0.3">
      <c r="C327" s="42" t="s">
        <v>673</v>
      </c>
      <c r="D327" s="43"/>
      <c r="E327" s="43"/>
      <c r="F327" s="44"/>
    </row>
    <row r="328" spans="2:6" ht="17.25" customHeight="1" x14ac:dyDescent="0.3">
      <c r="C328" s="42" t="s">
        <v>674</v>
      </c>
      <c r="D328" s="43"/>
      <c r="E328" s="43"/>
      <c r="F328" s="44"/>
    </row>
    <row r="329" spans="2:6" ht="17.25" customHeight="1" x14ac:dyDescent="0.3">
      <c r="C329" s="45" t="s">
        <v>675</v>
      </c>
      <c r="D329" s="46"/>
      <c r="E329" s="46"/>
      <c r="F329" s="47"/>
    </row>
    <row r="330" spans="2:6" ht="4.95" customHeight="1" x14ac:dyDescent="0.3"/>
    <row r="331" spans="2:6" ht="22.05" customHeight="1" x14ac:dyDescent="0.3">
      <c r="B331" s="144" t="s">
        <v>676</v>
      </c>
      <c r="C331" s="145"/>
      <c r="D331" s="144" t="s">
        <v>53</v>
      </c>
      <c r="E331" s="171"/>
      <c r="F331" s="145"/>
    </row>
    <row r="332" spans="2:6" ht="19.95" customHeight="1" x14ac:dyDescent="0.3">
      <c r="B332" s="149" t="s">
        <v>677</v>
      </c>
      <c r="C332" s="137"/>
      <c r="D332" s="130" t="s">
        <v>678</v>
      </c>
      <c r="E332" s="110"/>
      <c r="F332" s="111"/>
    </row>
    <row r="333" spans="2:6" ht="19.95" customHeight="1" x14ac:dyDescent="0.3">
      <c r="B333" s="149" t="s">
        <v>679</v>
      </c>
      <c r="C333" s="137"/>
      <c r="D333" s="132" t="s">
        <v>680</v>
      </c>
      <c r="E333" s="169"/>
      <c r="F333" s="133"/>
    </row>
    <row r="334" spans="2:6" ht="19.95" customHeight="1" x14ac:dyDescent="0.3">
      <c r="B334" s="149" t="s">
        <v>674</v>
      </c>
      <c r="C334" s="137"/>
      <c r="D334" s="130" t="s">
        <v>681</v>
      </c>
      <c r="E334" s="110"/>
      <c r="F334" s="111"/>
    </row>
    <row r="335" spans="2:6" ht="19.95" customHeight="1" x14ac:dyDescent="0.3">
      <c r="B335" s="149" t="s">
        <v>682</v>
      </c>
      <c r="C335" s="137"/>
      <c r="D335" s="132" t="s">
        <v>683</v>
      </c>
      <c r="E335" s="169"/>
      <c r="F335" s="133"/>
    </row>
    <row r="336" spans="2:6" ht="6" customHeight="1" x14ac:dyDescent="0.3"/>
    <row r="337" spans="2:6" ht="33.75" customHeight="1" x14ac:dyDescent="0.3">
      <c r="B337" s="22" t="s">
        <v>62</v>
      </c>
      <c r="C337" s="152" t="s">
        <v>684</v>
      </c>
      <c r="D337" s="153"/>
      <c r="E337" s="153"/>
      <c r="F337" s="105"/>
    </row>
    <row r="338" spans="2:6" ht="4.95" customHeight="1" x14ac:dyDescent="0.3"/>
    <row r="339" spans="2:6" ht="12" customHeight="1" x14ac:dyDescent="0.3"/>
    <row r="340" spans="2:6" ht="27" customHeight="1" x14ac:dyDescent="0.3">
      <c r="B340" s="128" t="s">
        <v>685</v>
      </c>
      <c r="C340" s="124"/>
      <c r="D340" s="124"/>
      <c r="E340" s="124"/>
      <c r="F340" s="124"/>
    </row>
    <row r="341" spans="2:6" ht="4.95" customHeight="1" x14ac:dyDescent="0.3"/>
    <row r="342" spans="2:6" ht="7.05" customHeight="1" x14ac:dyDescent="0.3"/>
    <row r="343" spans="2:6" ht="22.95" customHeight="1" x14ac:dyDescent="0.3">
      <c r="B343" s="156" t="s">
        <v>686</v>
      </c>
      <c r="C343" s="157"/>
      <c r="D343" s="157"/>
      <c r="E343" s="157"/>
      <c r="F343" s="157"/>
    </row>
    <row r="344" spans="2:6" ht="4.05" customHeight="1" x14ac:dyDescent="0.3"/>
    <row r="345" spans="2:6" ht="33.75" customHeight="1" x14ac:dyDescent="0.3">
      <c r="B345" s="129" t="s">
        <v>687</v>
      </c>
      <c r="C345" s="113"/>
      <c r="D345" s="113"/>
      <c r="E345" s="113"/>
      <c r="F345" s="113"/>
    </row>
    <row r="346" spans="2:6" ht="7.05" customHeight="1" x14ac:dyDescent="0.3"/>
    <row r="347" spans="2:6" ht="22.95" customHeight="1" x14ac:dyDescent="0.3">
      <c r="B347" s="156" t="s">
        <v>688</v>
      </c>
      <c r="C347" s="157"/>
      <c r="D347" s="157"/>
      <c r="E347" s="157"/>
      <c r="F347" s="157"/>
    </row>
    <row r="348" spans="2:6" ht="4.05" customHeight="1" x14ac:dyDescent="0.3"/>
    <row r="349" spans="2:6" ht="22.05" customHeight="1" x14ac:dyDescent="0.3">
      <c r="B349" s="7" t="s">
        <v>73</v>
      </c>
      <c r="C349" s="7" t="s">
        <v>159</v>
      </c>
      <c r="D349" s="7" t="s">
        <v>160</v>
      </c>
      <c r="E349" s="7" t="s">
        <v>161</v>
      </c>
      <c r="F349" s="7" t="s">
        <v>162</v>
      </c>
    </row>
    <row r="350" spans="2:6" ht="33.75" customHeight="1" x14ac:dyDescent="0.3">
      <c r="B350" s="8" t="s">
        <v>77</v>
      </c>
      <c r="C350" s="14" t="s">
        <v>689</v>
      </c>
      <c r="D350" s="10" t="s">
        <v>690</v>
      </c>
      <c r="E350" s="10" t="s">
        <v>691</v>
      </c>
      <c r="F350" s="10" t="s">
        <v>692</v>
      </c>
    </row>
    <row r="351" spans="2:6" ht="19.95" customHeight="1" x14ac:dyDescent="0.3">
      <c r="B351" s="11" t="s">
        <v>81</v>
      </c>
      <c r="C351" s="15" t="s">
        <v>693</v>
      </c>
      <c r="D351" s="13" t="s">
        <v>694</v>
      </c>
      <c r="E351" s="13"/>
      <c r="F351" s="13"/>
    </row>
    <row r="352" spans="2:6" ht="6" customHeight="1" x14ac:dyDescent="0.3"/>
    <row r="353" spans="2:6" ht="15" customHeight="1" x14ac:dyDescent="0.3">
      <c r="B353" s="158" t="s">
        <v>695</v>
      </c>
      <c r="C353" s="159"/>
      <c r="D353" s="159"/>
      <c r="E353" s="159"/>
      <c r="F353" s="160"/>
    </row>
    <row r="354" spans="2:6" ht="15" customHeight="1" x14ac:dyDescent="0.3">
      <c r="B354" s="161"/>
      <c r="C354" s="113"/>
      <c r="D354" s="113"/>
      <c r="E354" s="113"/>
      <c r="F354" s="162"/>
    </row>
    <row r="355" spans="2:6" ht="15" customHeight="1" x14ac:dyDescent="0.3">
      <c r="B355" s="161"/>
      <c r="C355" s="113"/>
      <c r="D355" s="113"/>
      <c r="E355" s="113"/>
      <c r="F355" s="162"/>
    </row>
    <row r="356" spans="2:6" ht="15" customHeight="1" x14ac:dyDescent="0.3">
      <c r="B356" s="161"/>
      <c r="C356" s="113"/>
      <c r="D356" s="113"/>
      <c r="E356" s="113"/>
      <c r="F356" s="162"/>
    </row>
    <row r="357" spans="2:6" ht="15" customHeight="1" x14ac:dyDescent="0.3">
      <c r="B357" s="161"/>
      <c r="C357" s="113"/>
      <c r="D357" s="113"/>
      <c r="E357" s="113"/>
      <c r="F357" s="162"/>
    </row>
    <row r="358" spans="2:6" ht="15" customHeight="1" x14ac:dyDescent="0.3">
      <c r="B358" s="161"/>
      <c r="C358" s="113"/>
      <c r="D358" s="113"/>
      <c r="E358" s="113"/>
      <c r="F358" s="162"/>
    </row>
    <row r="359" spans="2:6" ht="15" customHeight="1" x14ac:dyDescent="0.3">
      <c r="B359" s="161"/>
      <c r="C359" s="113"/>
      <c r="D359" s="113"/>
      <c r="E359" s="113"/>
      <c r="F359" s="162"/>
    </row>
    <row r="360" spans="2:6" ht="15" customHeight="1" x14ac:dyDescent="0.3">
      <c r="B360" s="161"/>
      <c r="C360" s="113"/>
      <c r="D360" s="113"/>
      <c r="E360" s="113"/>
      <c r="F360" s="162"/>
    </row>
    <row r="361" spans="2:6" ht="15" customHeight="1" x14ac:dyDescent="0.3">
      <c r="B361" s="161"/>
      <c r="C361" s="113"/>
      <c r="D361" s="113"/>
      <c r="E361" s="113"/>
      <c r="F361" s="162"/>
    </row>
    <row r="362" spans="2:6" ht="15" customHeight="1" x14ac:dyDescent="0.3">
      <c r="B362" s="161"/>
      <c r="C362" s="113"/>
      <c r="D362" s="113"/>
      <c r="E362" s="113"/>
      <c r="F362" s="162"/>
    </row>
    <row r="363" spans="2:6" ht="15" customHeight="1" x14ac:dyDescent="0.3">
      <c r="B363" s="161"/>
      <c r="C363" s="113"/>
      <c r="D363" s="113"/>
      <c r="E363" s="113"/>
      <c r="F363" s="162"/>
    </row>
    <row r="364" spans="2:6" ht="15" customHeight="1" x14ac:dyDescent="0.3">
      <c r="B364" s="161"/>
      <c r="C364" s="113"/>
      <c r="D364" s="113"/>
      <c r="E364" s="113"/>
      <c r="F364" s="162"/>
    </row>
    <row r="365" spans="2:6" ht="15" customHeight="1" x14ac:dyDescent="0.3">
      <c r="B365" s="161"/>
      <c r="C365" s="113"/>
      <c r="D365" s="113"/>
      <c r="E365" s="113"/>
      <c r="F365" s="162"/>
    </row>
    <row r="366" spans="2:6" ht="15" customHeight="1" x14ac:dyDescent="0.3">
      <c r="B366" s="163"/>
      <c r="C366" s="164"/>
      <c r="D366" s="164"/>
      <c r="E366" s="164"/>
      <c r="F366" s="165"/>
    </row>
    <row r="367" spans="2:6" ht="19.95" customHeight="1" x14ac:dyDescent="0.3">
      <c r="B367" s="151" t="s">
        <v>696</v>
      </c>
      <c r="C367" s="113"/>
      <c r="D367" s="113"/>
      <c r="E367" s="113"/>
      <c r="F367" s="113"/>
    </row>
    <row r="368" spans="2:6" ht="6" customHeight="1" x14ac:dyDescent="0.3"/>
    <row r="369" spans="2:6" ht="7.05" customHeight="1" x14ac:dyDescent="0.3"/>
    <row r="370" spans="2:6" ht="22.95" customHeight="1" x14ac:dyDescent="0.3">
      <c r="B370" s="156" t="s">
        <v>697</v>
      </c>
      <c r="C370" s="157"/>
      <c r="D370" s="157"/>
      <c r="E370" s="157"/>
      <c r="F370" s="157"/>
    </row>
    <row r="371" spans="2:6" ht="4.05" customHeight="1" x14ac:dyDescent="0.3"/>
    <row r="372" spans="2:6" ht="19.350000000000001" customHeight="1" x14ac:dyDescent="0.3">
      <c r="B372" s="129" t="s">
        <v>698</v>
      </c>
      <c r="C372" s="113"/>
      <c r="D372" s="113"/>
      <c r="E372" s="113"/>
      <c r="F372" s="113"/>
    </row>
    <row r="373" spans="2:6" ht="7.05" customHeight="1" x14ac:dyDescent="0.3"/>
    <row r="374" spans="2:6" ht="22.95" customHeight="1" x14ac:dyDescent="0.3">
      <c r="B374" s="156" t="s">
        <v>699</v>
      </c>
      <c r="C374" s="157"/>
      <c r="D374" s="157"/>
      <c r="E374" s="157"/>
      <c r="F374" s="157"/>
    </row>
    <row r="375" spans="2:6" ht="4.05" customHeight="1" x14ac:dyDescent="0.3"/>
    <row r="376" spans="2:6" ht="19.350000000000001" customHeight="1" x14ac:dyDescent="0.3">
      <c r="B376" s="129" t="s">
        <v>700</v>
      </c>
      <c r="C376" s="113"/>
      <c r="D376" s="113"/>
      <c r="E376" s="113"/>
      <c r="F376" s="113"/>
    </row>
    <row r="377" spans="2:6" ht="22.05" customHeight="1" x14ac:dyDescent="0.3">
      <c r="B377" s="7" t="s">
        <v>73</v>
      </c>
      <c r="C377" s="7" t="s">
        <v>159</v>
      </c>
      <c r="D377" s="7" t="s">
        <v>160</v>
      </c>
      <c r="E377" s="7" t="s">
        <v>161</v>
      </c>
      <c r="F377" s="7" t="s">
        <v>162</v>
      </c>
    </row>
    <row r="378" spans="2:6" ht="33.75" customHeight="1" x14ac:dyDescent="0.3">
      <c r="B378" s="8" t="s">
        <v>77</v>
      </c>
      <c r="C378" s="14" t="s">
        <v>701</v>
      </c>
      <c r="D378" s="10" t="s">
        <v>702</v>
      </c>
      <c r="E378" s="23" t="s">
        <v>703</v>
      </c>
      <c r="F378" s="10"/>
    </row>
    <row r="379" spans="2:6" ht="33.75" customHeight="1" x14ac:dyDescent="0.3">
      <c r="B379" s="11" t="s">
        <v>81</v>
      </c>
      <c r="C379" s="15" t="s">
        <v>704</v>
      </c>
      <c r="D379" s="13" t="s">
        <v>705</v>
      </c>
      <c r="E379" s="13" t="s">
        <v>706</v>
      </c>
      <c r="F379" s="13" t="s">
        <v>707</v>
      </c>
    </row>
    <row r="380" spans="2:6" ht="19.95" customHeight="1" x14ac:dyDescent="0.3">
      <c r="B380" s="8" t="s">
        <v>85</v>
      </c>
      <c r="C380" s="14" t="s">
        <v>708</v>
      </c>
      <c r="D380" s="10" t="s">
        <v>709</v>
      </c>
      <c r="E380" s="10"/>
      <c r="F380" s="10"/>
    </row>
    <row r="381" spans="2:6" ht="6" customHeight="1" x14ac:dyDescent="0.3"/>
    <row r="382" spans="2:6" ht="16.95" customHeight="1" x14ac:dyDescent="0.3">
      <c r="C382" s="170" t="s">
        <v>710</v>
      </c>
      <c r="D382" s="113"/>
      <c r="E382" s="113"/>
      <c r="F382" s="113"/>
    </row>
    <row r="383" spans="2:6" ht="17.25" customHeight="1" x14ac:dyDescent="0.3">
      <c r="C383" s="39" t="s">
        <v>711</v>
      </c>
      <c r="D383" s="40"/>
      <c r="E383" s="40"/>
      <c r="F383" s="41"/>
    </row>
    <row r="384" spans="2:6" ht="17.25" customHeight="1" x14ac:dyDescent="0.3">
      <c r="C384" s="42" t="s">
        <v>712</v>
      </c>
      <c r="D384" s="43"/>
      <c r="E384" s="43"/>
      <c r="F384" s="44"/>
    </row>
    <row r="385" spans="2:6" ht="17.25" customHeight="1" x14ac:dyDescent="0.3">
      <c r="C385" s="42" t="s">
        <v>713</v>
      </c>
      <c r="D385" s="43"/>
      <c r="E385" s="43"/>
      <c r="F385" s="44"/>
    </row>
    <row r="386" spans="2:6" ht="17.25" customHeight="1" x14ac:dyDescent="0.3">
      <c r="C386" s="42" t="s">
        <v>714</v>
      </c>
      <c r="D386" s="43"/>
      <c r="E386" s="43"/>
      <c r="F386" s="44"/>
    </row>
    <row r="387" spans="2:6" ht="17.25" customHeight="1" x14ac:dyDescent="0.3">
      <c r="C387" s="42" t="s">
        <v>715</v>
      </c>
      <c r="D387" s="43"/>
      <c r="E387" s="43"/>
      <c r="F387" s="44"/>
    </row>
    <row r="388" spans="2:6" ht="17.25" customHeight="1" x14ac:dyDescent="0.3">
      <c r="C388" s="42" t="s">
        <v>716</v>
      </c>
      <c r="D388" s="43"/>
      <c r="E388" s="43"/>
      <c r="F388" s="44"/>
    </row>
    <row r="389" spans="2:6" ht="17.25" customHeight="1" x14ac:dyDescent="0.3">
      <c r="C389" s="42" t="s">
        <v>717</v>
      </c>
      <c r="D389" s="43"/>
      <c r="E389" s="43"/>
      <c r="F389" s="44"/>
    </row>
    <row r="390" spans="2:6" ht="17.25" customHeight="1" x14ac:dyDescent="0.3">
      <c r="C390" s="42" t="s">
        <v>718</v>
      </c>
      <c r="D390" s="43"/>
      <c r="E390" s="43"/>
      <c r="F390" s="44"/>
    </row>
    <row r="391" spans="2:6" ht="17.25" customHeight="1" x14ac:dyDescent="0.3">
      <c r="C391" s="42" t="s">
        <v>719</v>
      </c>
      <c r="D391" s="43"/>
      <c r="E391" s="43"/>
      <c r="F391" s="44"/>
    </row>
    <row r="392" spans="2:6" ht="17.25" customHeight="1" x14ac:dyDescent="0.3">
      <c r="C392" s="42" t="s">
        <v>720</v>
      </c>
      <c r="D392" s="43"/>
      <c r="E392" s="43"/>
      <c r="F392" s="44"/>
    </row>
    <row r="393" spans="2:6" ht="17.25" customHeight="1" x14ac:dyDescent="0.3">
      <c r="C393" s="42" t="s">
        <v>721</v>
      </c>
      <c r="D393" s="43"/>
      <c r="E393" s="43"/>
      <c r="F393" s="44"/>
    </row>
    <row r="394" spans="2:6" ht="17.25" customHeight="1" x14ac:dyDescent="0.3">
      <c r="C394" s="45" t="s">
        <v>722</v>
      </c>
      <c r="D394" s="46"/>
      <c r="E394" s="46"/>
      <c r="F394" s="47"/>
    </row>
    <row r="395" spans="2:6" ht="4.95" customHeight="1" x14ac:dyDescent="0.3"/>
    <row r="396" spans="2:6" ht="22.05" customHeight="1" x14ac:dyDescent="0.3">
      <c r="B396" s="144" t="s">
        <v>723</v>
      </c>
      <c r="C396" s="145"/>
      <c r="D396" s="144" t="s">
        <v>53</v>
      </c>
      <c r="E396" s="171"/>
      <c r="F396" s="145"/>
    </row>
    <row r="397" spans="2:6" ht="19.95" customHeight="1" x14ac:dyDescent="0.3">
      <c r="B397" s="149" t="s">
        <v>713</v>
      </c>
      <c r="C397" s="137"/>
      <c r="D397" s="130" t="s">
        <v>724</v>
      </c>
      <c r="E397" s="110"/>
      <c r="F397" s="111"/>
    </row>
    <row r="398" spans="2:6" ht="19.95" customHeight="1" x14ac:dyDescent="0.3">
      <c r="B398" s="149" t="s">
        <v>725</v>
      </c>
      <c r="C398" s="137"/>
      <c r="D398" s="132" t="s">
        <v>726</v>
      </c>
      <c r="E398" s="169"/>
      <c r="F398" s="133"/>
    </row>
    <row r="399" spans="2:6" ht="19.95" customHeight="1" x14ac:dyDescent="0.3">
      <c r="B399" s="149" t="s">
        <v>727</v>
      </c>
      <c r="C399" s="137"/>
      <c r="D399" s="130" t="s">
        <v>728</v>
      </c>
      <c r="E399" s="110"/>
      <c r="F399" s="111"/>
    </row>
    <row r="400" spans="2:6" ht="19.95" customHeight="1" x14ac:dyDescent="0.3">
      <c r="B400" s="149" t="s">
        <v>729</v>
      </c>
      <c r="C400" s="137"/>
      <c r="D400" s="132" t="s">
        <v>730</v>
      </c>
      <c r="E400" s="169"/>
      <c r="F400" s="133"/>
    </row>
    <row r="401" spans="2:6" ht="19.95" customHeight="1" x14ac:dyDescent="0.3">
      <c r="B401" s="149" t="s">
        <v>731</v>
      </c>
      <c r="C401" s="137"/>
      <c r="D401" s="130" t="s">
        <v>732</v>
      </c>
      <c r="E401" s="110"/>
      <c r="F401" s="111"/>
    </row>
    <row r="402" spans="2:6" ht="19.95" customHeight="1" x14ac:dyDescent="0.3">
      <c r="B402" s="149" t="s">
        <v>733</v>
      </c>
      <c r="C402" s="137"/>
      <c r="D402" s="132" t="s">
        <v>734</v>
      </c>
      <c r="E402" s="169"/>
      <c r="F402" s="133"/>
    </row>
    <row r="403" spans="2:6" ht="33.75" customHeight="1" x14ac:dyDescent="0.3">
      <c r="B403" s="149" t="s">
        <v>735</v>
      </c>
      <c r="C403" s="137"/>
      <c r="D403" s="130" t="s">
        <v>736</v>
      </c>
      <c r="E403" s="110"/>
      <c r="F403" s="111"/>
    </row>
    <row r="404" spans="2:6" ht="6" customHeight="1" x14ac:dyDescent="0.3"/>
    <row r="405" spans="2:6" ht="22.05" customHeight="1" x14ac:dyDescent="0.3">
      <c r="B405" s="16" t="s">
        <v>64</v>
      </c>
      <c r="C405" s="152" t="s">
        <v>737</v>
      </c>
      <c r="D405" s="153"/>
      <c r="E405" s="153"/>
      <c r="F405" s="105"/>
    </row>
    <row r="406" spans="2:6" ht="4.95" customHeight="1" x14ac:dyDescent="0.3"/>
    <row r="407" spans="2:6" ht="7.05" customHeight="1" x14ac:dyDescent="0.3"/>
    <row r="408" spans="2:6" ht="22.95" customHeight="1" x14ac:dyDescent="0.3">
      <c r="B408" s="156" t="s">
        <v>738</v>
      </c>
      <c r="C408" s="157"/>
      <c r="D408" s="157"/>
      <c r="E408" s="157"/>
      <c r="F408" s="157"/>
    </row>
    <row r="409" spans="2:6" ht="4.05" customHeight="1" x14ac:dyDescent="0.3"/>
    <row r="410" spans="2:6" ht="19.350000000000001" customHeight="1" x14ac:dyDescent="0.3">
      <c r="B410" s="129" t="s">
        <v>739</v>
      </c>
      <c r="C410" s="113"/>
      <c r="D410" s="113"/>
      <c r="E410" s="113"/>
      <c r="F410" s="113"/>
    </row>
    <row r="411" spans="2:6" ht="16.95" customHeight="1" x14ac:dyDescent="0.3">
      <c r="C411" s="170" t="s">
        <v>740</v>
      </c>
      <c r="D411" s="113"/>
      <c r="E411" s="113"/>
      <c r="F411" s="113"/>
    </row>
    <row r="412" spans="2:6" ht="17.25" customHeight="1" x14ac:dyDescent="0.3">
      <c r="C412" s="48" t="s">
        <v>741</v>
      </c>
      <c r="D412" s="49"/>
      <c r="E412" s="49"/>
      <c r="F412" s="50"/>
    </row>
    <row r="413" spans="2:6" ht="4.95" customHeight="1" x14ac:dyDescent="0.3"/>
    <row r="414" spans="2:6" ht="22.05" customHeight="1" x14ac:dyDescent="0.3">
      <c r="B414" s="22" t="s">
        <v>62</v>
      </c>
      <c r="C414" s="152" t="s">
        <v>742</v>
      </c>
      <c r="D414" s="153"/>
      <c r="E414" s="153"/>
      <c r="F414" s="105"/>
    </row>
    <row r="415" spans="2:6" ht="4.95" customHeight="1" x14ac:dyDescent="0.3"/>
    <row r="416" spans="2:6" ht="12" customHeight="1" x14ac:dyDescent="0.3"/>
    <row r="417" spans="2:6" ht="27" customHeight="1" x14ac:dyDescent="0.3">
      <c r="B417" s="128" t="s">
        <v>743</v>
      </c>
      <c r="C417" s="124"/>
      <c r="D417" s="124"/>
      <c r="E417" s="124"/>
      <c r="F417" s="124"/>
    </row>
    <row r="418" spans="2:6" ht="4.95" customHeight="1" x14ac:dyDescent="0.3"/>
    <row r="419" spans="2:6" ht="19.350000000000001" customHeight="1" x14ac:dyDescent="0.3">
      <c r="B419" s="129" t="s">
        <v>744</v>
      </c>
      <c r="C419" s="113"/>
      <c r="D419" s="113"/>
      <c r="E419" s="113"/>
      <c r="F419" s="113"/>
    </row>
    <row r="420" spans="2:6" ht="22.05" customHeight="1" x14ac:dyDescent="0.3">
      <c r="B420" s="7" t="s">
        <v>73</v>
      </c>
      <c r="C420" s="7" t="s">
        <v>159</v>
      </c>
      <c r="D420" s="7" t="s">
        <v>160</v>
      </c>
      <c r="E420" s="7" t="s">
        <v>161</v>
      </c>
      <c r="F420" s="7" t="s">
        <v>162</v>
      </c>
    </row>
    <row r="421" spans="2:6" ht="33.75" customHeight="1" x14ac:dyDescent="0.3">
      <c r="B421" s="8" t="s">
        <v>77</v>
      </c>
      <c r="C421" s="14" t="s">
        <v>745</v>
      </c>
      <c r="D421" s="10" t="s">
        <v>746</v>
      </c>
      <c r="E421" s="10" t="s">
        <v>747</v>
      </c>
      <c r="F421" s="10"/>
    </row>
    <row r="422" spans="2:6" ht="19.95" customHeight="1" x14ac:dyDescent="0.3">
      <c r="B422" s="11" t="s">
        <v>81</v>
      </c>
      <c r="C422" s="15" t="s">
        <v>748</v>
      </c>
      <c r="D422" s="13" t="s">
        <v>749</v>
      </c>
      <c r="E422" s="23" t="s">
        <v>750</v>
      </c>
      <c r="F422" s="13"/>
    </row>
    <row r="423" spans="2:6" ht="19.95" customHeight="1" x14ac:dyDescent="0.3">
      <c r="B423" s="8" t="s">
        <v>85</v>
      </c>
      <c r="C423" s="14" t="s">
        <v>751</v>
      </c>
      <c r="D423" s="10" t="s">
        <v>752</v>
      </c>
      <c r="E423" s="10"/>
      <c r="F423" s="10"/>
    </row>
    <row r="424" spans="2:6" ht="33.75" customHeight="1" x14ac:dyDescent="0.3">
      <c r="B424" s="11" t="s">
        <v>88</v>
      </c>
      <c r="C424" s="15" t="s">
        <v>753</v>
      </c>
      <c r="D424" s="13" t="s">
        <v>754</v>
      </c>
      <c r="E424" s="13" t="s">
        <v>755</v>
      </c>
      <c r="F424" s="13" t="s">
        <v>756</v>
      </c>
    </row>
    <row r="425" spans="2:6" ht="19.95" customHeight="1" x14ac:dyDescent="0.3">
      <c r="B425" s="8" t="s">
        <v>91</v>
      </c>
      <c r="C425" s="14" t="s">
        <v>757</v>
      </c>
      <c r="D425" s="10" t="s">
        <v>758</v>
      </c>
      <c r="E425" s="10"/>
      <c r="F425" s="10" t="s">
        <v>759</v>
      </c>
    </row>
    <row r="426" spans="2:6" ht="33.75" customHeight="1" x14ac:dyDescent="0.3">
      <c r="B426" s="11" t="s">
        <v>94</v>
      </c>
      <c r="C426" s="15" t="s">
        <v>760</v>
      </c>
      <c r="D426" s="13" t="s">
        <v>761</v>
      </c>
      <c r="E426" s="13"/>
      <c r="F426" s="13" t="s">
        <v>762</v>
      </c>
    </row>
    <row r="427" spans="2:6" ht="6" customHeight="1" x14ac:dyDescent="0.3"/>
    <row r="428" spans="2:6" ht="15" customHeight="1" x14ac:dyDescent="0.3">
      <c r="B428" s="158" t="s">
        <v>763</v>
      </c>
      <c r="C428" s="159"/>
      <c r="D428" s="159"/>
      <c r="E428" s="159"/>
      <c r="F428" s="160"/>
    </row>
    <row r="429" spans="2:6" ht="15" customHeight="1" x14ac:dyDescent="0.3">
      <c r="B429" s="161"/>
      <c r="C429" s="113"/>
      <c r="D429" s="113"/>
      <c r="E429" s="113"/>
      <c r="F429" s="162"/>
    </row>
    <row r="430" spans="2:6" ht="15" customHeight="1" x14ac:dyDescent="0.3">
      <c r="B430" s="161"/>
      <c r="C430" s="113"/>
      <c r="D430" s="113"/>
      <c r="E430" s="113"/>
      <c r="F430" s="162"/>
    </row>
    <row r="431" spans="2:6" ht="15" customHeight="1" x14ac:dyDescent="0.3">
      <c r="B431" s="161"/>
      <c r="C431" s="113"/>
      <c r="D431" s="113"/>
      <c r="E431" s="113"/>
      <c r="F431" s="162"/>
    </row>
    <row r="432" spans="2:6" ht="15" customHeight="1" x14ac:dyDescent="0.3">
      <c r="B432" s="161"/>
      <c r="C432" s="113"/>
      <c r="D432" s="113"/>
      <c r="E432" s="113"/>
      <c r="F432" s="162"/>
    </row>
    <row r="433" spans="2:6" ht="15" customHeight="1" x14ac:dyDescent="0.3">
      <c r="B433" s="161"/>
      <c r="C433" s="113"/>
      <c r="D433" s="113"/>
      <c r="E433" s="113"/>
      <c r="F433" s="162"/>
    </row>
    <row r="434" spans="2:6" ht="15" customHeight="1" x14ac:dyDescent="0.3">
      <c r="B434" s="161"/>
      <c r="C434" s="113"/>
      <c r="D434" s="113"/>
      <c r="E434" s="113"/>
      <c r="F434" s="162"/>
    </row>
    <row r="435" spans="2:6" ht="15" customHeight="1" x14ac:dyDescent="0.3">
      <c r="B435" s="161"/>
      <c r="C435" s="113"/>
      <c r="D435" s="113"/>
      <c r="E435" s="113"/>
      <c r="F435" s="162"/>
    </row>
    <row r="436" spans="2:6" ht="15" customHeight="1" x14ac:dyDescent="0.3">
      <c r="B436" s="161"/>
      <c r="C436" s="113"/>
      <c r="D436" s="113"/>
      <c r="E436" s="113"/>
      <c r="F436" s="162"/>
    </row>
    <row r="437" spans="2:6" ht="15" customHeight="1" x14ac:dyDescent="0.3">
      <c r="B437" s="161"/>
      <c r="C437" s="113"/>
      <c r="D437" s="113"/>
      <c r="E437" s="113"/>
      <c r="F437" s="162"/>
    </row>
    <row r="438" spans="2:6" ht="15" customHeight="1" x14ac:dyDescent="0.3">
      <c r="B438" s="161"/>
      <c r="C438" s="113"/>
      <c r="D438" s="113"/>
      <c r="E438" s="113"/>
      <c r="F438" s="162"/>
    </row>
    <row r="439" spans="2:6" ht="15" customHeight="1" x14ac:dyDescent="0.3">
      <c r="B439" s="161"/>
      <c r="C439" s="113"/>
      <c r="D439" s="113"/>
      <c r="E439" s="113"/>
      <c r="F439" s="162"/>
    </row>
    <row r="440" spans="2:6" ht="15" customHeight="1" x14ac:dyDescent="0.3">
      <c r="B440" s="161"/>
      <c r="C440" s="113"/>
      <c r="D440" s="113"/>
      <c r="E440" s="113"/>
      <c r="F440" s="162"/>
    </row>
    <row r="441" spans="2:6" ht="15" customHeight="1" x14ac:dyDescent="0.3">
      <c r="B441" s="161"/>
      <c r="C441" s="113"/>
      <c r="D441" s="113"/>
      <c r="E441" s="113"/>
      <c r="F441" s="162"/>
    </row>
    <row r="442" spans="2:6" ht="15" customHeight="1" x14ac:dyDescent="0.3">
      <c r="B442" s="161"/>
      <c r="C442" s="113"/>
      <c r="D442" s="113"/>
      <c r="E442" s="113"/>
      <c r="F442" s="162"/>
    </row>
    <row r="443" spans="2:6" ht="15" customHeight="1" x14ac:dyDescent="0.3">
      <c r="B443" s="161"/>
      <c r="C443" s="113"/>
      <c r="D443" s="113"/>
      <c r="E443" s="113"/>
      <c r="F443" s="162"/>
    </row>
    <row r="444" spans="2:6" ht="15" customHeight="1" x14ac:dyDescent="0.3">
      <c r="B444" s="161"/>
      <c r="C444" s="113"/>
      <c r="D444" s="113"/>
      <c r="E444" s="113"/>
      <c r="F444" s="162"/>
    </row>
    <row r="445" spans="2:6" ht="15" customHeight="1" x14ac:dyDescent="0.3">
      <c r="B445" s="163"/>
      <c r="C445" s="164"/>
      <c r="D445" s="164"/>
      <c r="E445" s="164"/>
      <c r="F445" s="165"/>
    </row>
    <row r="446" spans="2:6" ht="19.95" customHeight="1" x14ac:dyDescent="0.3">
      <c r="B446" s="151" t="s">
        <v>764</v>
      </c>
      <c r="C446" s="113"/>
      <c r="D446" s="113"/>
      <c r="E446" s="113"/>
      <c r="F446" s="113"/>
    </row>
    <row r="447" spans="2:6" ht="6" customHeight="1" x14ac:dyDescent="0.3"/>
    <row r="448" spans="2:6" ht="22.05" customHeight="1" x14ac:dyDescent="0.3">
      <c r="B448" s="22" t="s">
        <v>62</v>
      </c>
      <c r="C448" s="152" t="s">
        <v>765</v>
      </c>
      <c r="D448" s="153"/>
      <c r="E448" s="153"/>
      <c r="F448" s="105"/>
    </row>
    <row r="449" ht="4.95" customHeight="1" x14ac:dyDescent="0.3"/>
  </sheetData>
  <mergeCells count="169">
    <mergeCell ref="B419:F419"/>
    <mergeCell ref="D18:E18"/>
    <mergeCell ref="B217:C217"/>
    <mergeCell ref="D211:E211"/>
    <mergeCell ref="C9:F9"/>
    <mergeCell ref="B335:C335"/>
    <mergeCell ref="C167:F167"/>
    <mergeCell ref="B64:F64"/>
    <mergeCell ref="B340:F340"/>
    <mergeCell ref="B163:C163"/>
    <mergeCell ref="C11:F11"/>
    <mergeCell ref="D250:E250"/>
    <mergeCell ref="B334:C334"/>
    <mergeCell ref="B399:C399"/>
    <mergeCell ref="B14:F14"/>
    <mergeCell ref="D403:F403"/>
    <mergeCell ref="B312:F312"/>
    <mergeCell ref="B417:F417"/>
    <mergeCell ref="B274:F287"/>
    <mergeCell ref="D16:E16"/>
    <mergeCell ref="B353:F366"/>
    <mergeCell ref="B182:F182"/>
    <mergeCell ref="B367:F367"/>
    <mergeCell ref="C35:F35"/>
    <mergeCell ref="C206:F206"/>
    <mergeCell ref="B376:F376"/>
    <mergeCell ref="B1:F1"/>
    <mergeCell ref="B17:C17"/>
    <mergeCell ref="D17:E17"/>
    <mergeCell ref="D164:F164"/>
    <mergeCell ref="D335:F335"/>
    <mergeCell ref="B333:C333"/>
    <mergeCell ref="B398:C398"/>
    <mergeCell ref="D214:E214"/>
    <mergeCell ref="C97:F97"/>
    <mergeCell ref="B19:C19"/>
    <mergeCell ref="B317:C317"/>
    <mergeCell ref="D212:E212"/>
    <mergeCell ref="D317:E317"/>
    <mergeCell ref="D333:F333"/>
    <mergeCell ref="B397:C397"/>
    <mergeCell ref="B2:E2"/>
    <mergeCell ref="D102:E102"/>
    <mergeCell ref="C22:F22"/>
    <mergeCell ref="D397:F397"/>
    <mergeCell ref="B251:C251"/>
    <mergeCell ref="B20:C20"/>
    <mergeCell ref="C12:F12"/>
    <mergeCell ref="D251:E251"/>
    <mergeCell ref="B216:C216"/>
    <mergeCell ref="B4:F4"/>
    <mergeCell ref="D315:E315"/>
    <mergeCell ref="D331:F331"/>
    <mergeCell ref="D218:E218"/>
    <mergeCell ref="C8:F8"/>
    <mergeCell ref="D247:E247"/>
    <mergeCell ref="B345:F345"/>
    <mergeCell ref="D217:E217"/>
    <mergeCell ref="B105:C105"/>
    <mergeCell ref="D249:E249"/>
    <mergeCell ref="B214:C214"/>
    <mergeCell ref="D105:E105"/>
    <mergeCell ref="B332:C332"/>
    <mergeCell ref="C157:F157"/>
    <mergeCell ref="C151:F151"/>
    <mergeCell ref="B123:F123"/>
    <mergeCell ref="B154:F154"/>
    <mergeCell ref="B290:F311"/>
    <mergeCell ref="B110:F110"/>
    <mergeCell ref="B218:C218"/>
    <mergeCell ref="B91:F91"/>
    <mergeCell ref="B156:F156"/>
    <mergeCell ref="D314:E314"/>
    <mergeCell ref="B221:F234"/>
    <mergeCell ref="B446:F446"/>
    <mergeCell ref="D334:F334"/>
    <mergeCell ref="B103:C103"/>
    <mergeCell ref="D103:E103"/>
    <mergeCell ref="B372:F372"/>
    <mergeCell ref="C382:F382"/>
    <mergeCell ref="B403:C403"/>
    <mergeCell ref="B213:C213"/>
    <mergeCell ref="C201:F201"/>
    <mergeCell ref="D400:F400"/>
    <mergeCell ref="D216:E216"/>
    <mergeCell ref="B331:C331"/>
    <mergeCell ref="C188:F188"/>
    <mergeCell ref="B374:F374"/>
    <mergeCell ref="B343:F343"/>
    <mergeCell ref="D252:E252"/>
    <mergeCell ref="B315:C315"/>
    <mergeCell ref="B396:C396"/>
    <mergeCell ref="D399:F399"/>
    <mergeCell ref="B428:F445"/>
    <mergeCell ref="B401:C401"/>
    <mergeCell ref="B149:F149"/>
    <mergeCell ref="B320:F320"/>
    <mergeCell ref="D401:F401"/>
    <mergeCell ref="C448:F448"/>
    <mergeCell ref="B104:C104"/>
    <mergeCell ref="B169:F178"/>
    <mergeCell ref="B164:C164"/>
    <mergeCell ref="B256:F256"/>
    <mergeCell ref="B94:F94"/>
    <mergeCell ref="B212:C212"/>
    <mergeCell ref="C405:F405"/>
    <mergeCell ref="B16:C16"/>
    <mergeCell ref="B252:C252"/>
    <mergeCell ref="D19:E19"/>
    <mergeCell ref="D396:F396"/>
    <mergeCell ref="D163:F163"/>
    <mergeCell ref="B41:F52"/>
    <mergeCell ref="B370:F370"/>
    <mergeCell ref="C240:F240"/>
    <mergeCell ref="C411:F411"/>
    <mergeCell ref="B18:C18"/>
    <mergeCell ref="B56:F56"/>
    <mergeCell ref="B96:F96"/>
    <mergeCell ref="C264:F264"/>
    <mergeCell ref="D398:F398"/>
    <mergeCell ref="B347:F347"/>
    <mergeCell ref="B253:C253"/>
    <mergeCell ref="C6:F6"/>
    <mergeCell ref="D165:F165"/>
    <mergeCell ref="B131:F148"/>
    <mergeCell ref="C107:F107"/>
    <mergeCell ref="B179:F179"/>
    <mergeCell ref="D215:E215"/>
    <mergeCell ref="B53:F53"/>
    <mergeCell ref="B408:F408"/>
    <mergeCell ref="B249:C249"/>
    <mergeCell ref="B314:C314"/>
    <mergeCell ref="B28:F28"/>
    <mergeCell ref="B73:F90"/>
    <mergeCell ref="B288:F288"/>
    <mergeCell ref="B211:C211"/>
    <mergeCell ref="C10:F10"/>
    <mergeCell ref="B316:C316"/>
    <mergeCell ref="B120:F120"/>
    <mergeCell ref="B322:F322"/>
    <mergeCell ref="B250:C250"/>
    <mergeCell ref="C191:F191"/>
    <mergeCell ref="D253:E253"/>
    <mergeCell ref="C7:F7"/>
    <mergeCell ref="B219:C219"/>
    <mergeCell ref="D248:E248"/>
    <mergeCell ref="D20:E20"/>
    <mergeCell ref="B165:C165"/>
    <mergeCell ref="B194:F194"/>
    <mergeCell ref="B209:F209"/>
    <mergeCell ref="B25:F25"/>
    <mergeCell ref="C337:F337"/>
    <mergeCell ref="C414:F414"/>
    <mergeCell ref="B102:C102"/>
    <mergeCell ref="B215:C215"/>
    <mergeCell ref="B247:C247"/>
    <mergeCell ref="B400:C400"/>
    <mergeCell ref="D402:F402"/>
    <mergeCell ref="B238:F238"/>
    <mergeCell ref="B248:C248"/>
    <mergeCell ref="D213:E213"/>
    <mergeCell ref="C323:F323"/>
    <mergeCell ref="B402:C402"/>
    <mergeCell ref="B410:F410"/>
    <mergeCell ref="D219:E219"/>
    <mergeCell ref="D104:E104"/>
    <mergeCell ref="B235:F235"/>
    <mergeCell ref="D316:E316"/>
    <mergeCell ref="D332:F332"/>
  </mergeCells>
  <phoneticPr fontId="27"/>
  <hyperlinks>
    <hyperlink ref="F2" location="'目次'!A1" display="▲ 目次へ戻る" xr:uid="{00000000-0004-0000-03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31:B33 B59:B61 B67:B71 B113:B117 B126:B129 B185:B186 B197:B199 B259:B262 B350:B351 B378:B380 B421:B42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04040"/>
    <pageSetUpPr fitToPage="1"/>
  </sheetPr>
  <dimension ref="B1:F131"/>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766</v>
      </c>
      <c r="C1" s="118"/>
      <c r="D1" s="118"/>
      <c r="E1" s="118"/>
      <c r="F1" s="118"/>
    </row>
    <row r="2" spans="2:6" ht="24" customHeight="1" x14ac:dyDescent="0.3">
      <c r="B2" s="141" t="s">
        <v>767</v>
      </c>
      <c r="C2" s="113"/>
      <c r="D2" s="113"/>
      <c r="E2" s="113"/>
      <c r="F2" s="4" t="s">
        <v>38</v>
      </c>
    </row>
    <row r="3" spans="2:6" ht="12" customHeight="1" x14ac:dyDescent="0.3"/>
    <row r="4" spans="2:6" ht="27" customHeight="1" x14ac:dyDescent="0.3">
      <c r="B4" s="128" t="s">
        <v>768</v>
      </c>
      <c r="C4" s="124"/>
      <c r="D4" s="124"/>
      <c r="E4" s="124"/>
      <c r="F4" s="124"/>
    </row>
    <row r="5" spans="2:6" ht="4.95" customHeight="1" x14ac:dyDescent="0.3"/>
    <row r="6" spans="2:6" ht="15" customHeight="1" x14ac:dyDescent="0.3">
      <c r="B6" s="158" t="s">
        <v>769</v>
      </c>
      <c r="C6" s="159"/>
      <c r="D6" s="159"/>
      <c r="E6" s="159"/>
      <c r="F6" s="160"/>
    </row>
    <row r="7" spans="2:6" ht="15" customHeight="1" x14ac:dyDescent="0.3">
      <c r="B7" s="161"/>
      <c r="C7" s="113"/>
      <c r="D7" s="113"/>
      <c r="E7" s="113"/>
      <c r="F7" s="162"/>
    </row>
    <row r="8" spans="2:6" ht="15" customHeight="1" x14ac:dyDescent="0.3">
      <c r="B8" s="161"/>
      <c r="C8" s="113"/>
      <c r="D8" s="113"/>
      <c r="E8" s="113"/>
      <c r="F8" s="162"/>
    </row>
    <row r="9" spans="2:6" ht="15" customHeight="1" x14ac:dyDescent="0.3">
      <c r="B9" s="161"/>
      <c r="C9" s="113"/>
      <c r="D9" s="113"/>
      <c r="E9" s="113"/>
      <c r="F9" s="162"/>
    </row>
    <row r="10" spans="2:6" ht="15" customHeight="1" x14ac:dyDescent="0.3">
      <c r="B10" s="161"/>
      <c r="C10" s="113"/>
      <c r="D10" s="113"/>
      <c r="E10" s="113"/>
      <c r="F10" s="162"/>
    </row>
    <row r="11" spans="2:6" ht="15" customHeight="1" x14ac:dyDescent="0.3">
      <c r="B11" s="161"/>
      <c r="C11" s="113"/>
      <c r="D11" s="113"/>
      <c r="E11" s="113"/>
      <c r="F11" s="162"/>
    </row>
    <row r="12" spans="2:6" ht="15" customHeight="1" x14ac:dyDescent="0.3">
      <c r="B12" s="161"/>
      <c r="C12" s="113"/>
      <c r="D12" s="113"/>
      <c r="E12" s="113"/>
      <c r="F12" s="162"/>
    </row>
    <row r="13" spans="2:6" ht="15" customHeight="1" x14ac:dyDescent="0.3">
      <c r="B13" s="161"/>
      <c r="C13" s="113"/>
      <c r="D13" s="113"/>
      <c r="E13" s="113"/>
      <c r="F13" s="162"/>
    </row>
    <row r="14" spans="2:6" ht="15" customHeight="1" x14ac:dyDescent="0.3">
      <c r="B14" s="161"/>
      <c r="C14" s="113"/>
      <c r="D14" s="113"/>
      <c r="E14" s="113"/>
      <c r="F14" s="162"/>
    </row>
    <row r="15" spans="2:6" ht="15" customHeight="1" x14ac:dyDescent="0.3">
      <c r="B15" s="161"/>
      <c r="C15" s="113"/>
      <c r="D15" s="113"/>
      <c r="E15" s="113"/>
      <c r="F15" s="162"/>
    </row>
    <row r="16" spans="2:6" ht="15" customHeight="1" x14ac:dyDescent="0.3">
      <c r="B16" s="161"/>
      <c r="C16" s="113"/>
      <c r="D16" s="113"/>
      <c r="E16" s="113"/>
      <c r="F16" s="162"/>
    </row>
    <row r="17" spans="2:6" ht="15" customHeight="1" x14ac:dyDescent="0.3">
      <c r="B17" s="161"/>
      <c r="C17" s="113"/>
      <c r="D17" s="113"/>
      <c r="E17" s="113"/>
      <c r="F17" s="162"/>
    </row>
    <row r="18" spans="2:6" ht="15" customHeight="1" x14ac:dyDescent="0.3">
      <c r="B18" s="161"/>
      <c r="C18" s="113"/>
      <c r="D18" s="113"/>
      <c r="E18" s="113"/>
      <c r="F18" s="162"/>
    </row>
    <row r="19" spans="2:6" ht="15" customHeight="1" x14ac:dyDescent="0.3">
      <c r="B19" s="161"/>
      <c r="C19" s="113"/>
      <c r="D19" s="113"/>
      <c r="E19" s="113"/>
      <c r="F19" s="162"/>
    </row>
    <row r="20" spans="2:6" ht="15" customHeight="1" x14ac:dyDescent="0.3">
      <c r="B20" s="161"/>
      <c r="C20" s="113"/>
      <c r="D20" s="113"/>
      <c r="E20" s="113"/>
      <c r="F20" s="162"/>
    </row>
    <row r="21" spans="2:6" ht="15" customHeight="1" x14ac:dyDescent="0.3">
      <c r="B21" s="161"/>
      <c r="C21" s="113"/>
      <c r="D21" s="113"/>
      <c r="E21" s="113"/>
      <c r="F21" s="162"/>
    </row>
    <row r="22" spans="2:6" ht="15" customHeight="1" x14ac:dyDescent="0.3">
      <c r="B22" s="161"/>
      <c r="C22" s="113"/>
      <c r="D22" s="113"/>
      <c r="E22" s="113"/>
      <c r="F22" s="162"/>
    </row>
    <row r="23" spans="2:6" ht="15" customHeight="1" x14ac:dyDescent="0.3">
      <c r="B23" s="161"/>
      <c r="C23" s="113"/>
      <c r="D23" s="113"/>
      <c r="E23" s="113"/>
      <c r="F23" s="162"/>
    </row>
    <row r="24" spans="2:6" ht="15" customHeight="1" x14ac:dyDescent="0.3">
      <c r="B24" s="161"/>
      <c r="C24" s="113"/>
      <c r="D24" s="113"/>
      <c r="E24" s="113"/>
      <c r="F24" s="162"/>
    </row>
    <row r="25" spans="2:6" ht="15" customHeight="1" x14ac:dyDescent="0.3">
      <c r="B25" s="161"/>
      <c r="C25" s="113"/>
      <c r="D25" s="113"/>
      <c r="E25" s="113"/>
      <c r="F25" s="162"/>
    </row>
    <row r="26" spans="2:6" ht="15" customHeight="1" x14ac:dyDescent="0.3">
      <c r="B26" s="161"/>
      <c r="C26" s="113"/>
      <c r="D26" s="113"/>
      <c r="E26" s="113"/>
      <c r="F26" s="162"/>
    </row>
    <row r="27" spans="2:6" ht="15" customHeight="1" x14ac:dyDescent="0.3">
      <c r="B27" s="161"/>
      <c r="C27" s="113"/>
      <c r="D27" s="113"/>
      <c r="E27" s="113"/>
      <c r="F27" s="162"/>
    </row>
    <row r="28" spans="2:6" ht="15" customHeight="1" x14ac:dyDescent="0.3">
      <c r="B28" s="161"/>
      <c r="C28" s="113"/>
      <c r="D28" s="113"/>
      <c r="E28" s="113"/>
      <c r="F28" s="162"/>
    </row>
    <row r="29" spans="2:6" ht="15" customHeight="1" x14ac:dyDescent="0.3">
      <c r="B29" s="163"/>
      <c r="C29" s="164"/>
      <c r="D29" s="164"/>
      <c r="E29" s="164"/>
      <c r="F29" s="165"/>
    </row>
    <row r="30" spans="2:6" ht="19.95" customHeight="1" x14ac:dyDescent="0.3">
      <c r="B30" s="151" t="s">
        <v>770</v>
      </c>
      <c r="C30" s="113"/>
      <c r="D30" s="113"/>
      <c r="E30" s="113"/>
      <c r="F30" s="113"/>
    </row>
    <row r="31" spans="2:6" ht="6" customHeight="1" x14ac:dyDescent="0.3"/>
    <row r="32" spans="2:6" ht="22.05" customHeight="1" x14ac:dyDescent="0.3">
      <c r="B32" s="7" t="s">
        <v>771</v>
      </c>
      <c r="C32" s="7" t="s">
        <v>415</v>
      </c>
      <c r="D32" s="144" t="s">
        <v>772</v>
      </c>
      <c r="E32" s="171"/>
      <c r="F32" s="145"/>
    </row>
    <row r="33" spans="2:6" ht="19.95" customHeight="1" x14ac:dyDescent="0.3">
      <c r="B33" s="8" t="s">
        <v>200</v>
      </c>
      <c r="C33" s="14" t="s">
        <v>773</v>
      </c>
      <c r="D33" s="130" t="s">
        <v>774</v>
      </c>
      <c r="E33" s="110"/>
      <c r="F33" s="111"/>
    </row>
    <row r="34" spans="2:6" ht="19.95" customHeight="1" x14ac:dyDescent="0.3">
      <c r="B34" s="11" t="s">
        <v>202</v>
      </c>
      <c r="C34" s="15" t="s">
        <v>775</v>
      </c>
      <c r="D34" s="132" t="s">
        <v>776</v>
      </c>
      <c r="E34" s="169"/>
      <c r="F34" s="133"/>
    </row>
    <row r="35" spans="2:6" ht="19.95" customHeight="1" x14ac:dyDescent="0.3">
      <c r="B35" s="8" t="s">
        <v>204</v>
      </c>
      <c r="C35" s="14" t="s">
        <v>777</v>
      </c>
      <c r="D35" s="130" t="s">
        <v>778</v>
      </c>
      <c r="E35" s="110"/>
      <c r="F35" s="111"/>
    </row>
    <row r="36" spans="2:6" ht="19.95" customHeight="1" x14ac:dyDescent="0.3">
      <c r="B36" s="11" t="s">
        <v>207</v>
      </c>
      <c r="C36" s="15" t="s">
        <v>779</v>
      </c>
      <c r="D36" s="132" t="s">
        <v>780</v>
      </c>
      <c r="E36" s="169"/>
      <c r="F36" s="133"/>
    </row>
    <row r="37" spans="2:6" ht="19.95" customHeight="1" x14ac:dyDescent="0.3">
      <c r="B37" s="8" t="s">
        <v>210</v>
      </c>
      <c r="C37" s="14" t="s">
        <v>781</v>
      </c>
      <c r="D37" s="130" t="s">
        <v>782</v>
      </c>
      <c r="E37" s="110"/>
      <c r="F37" s="111"/>
    </row>
    <row r="38" spans="2:6" ht="6" customHeight="1" x14ac:dyDescent="0.3"/>
    <row r="39" spans="2:6" ht="12" customHeight="1" x14ac:dyDescent="0.3"/>
    <row r="40" spans="2:6" ht="27" customHeight="1" x14ac:dyDescent="0.3">
      <c r="B40" s="128" t="s">
        <v>783</v>
      </c>
      <c r="C40" s="124"/>
      <c r="D40" s="124"/>
      <c r="E40" s="124"/>
      <c r="F40" s="124"/>
    </row>
    <row r="41" spans="2:6" ht="4.95" customHeight="1" x14ac:dyDescent="0.3"/>
    <row r="42" spans="2:6" ht="22.05" customHeight="1" x14ac:dyDescent="0.3">
      <c r="B42" s="144" t="s">
        <v>784</v>
      </c>
      <c r="C42" s="145"/>
      <c r="D42" s="7" t="s">
        <v>785</v>
      </c>
      <c r="E42" s="7" t="s">
        <v>786</v>
      </c>
      <c r="F42" s="7" t="s">
        <v>772</v>
      </c>
    </row>
    <row r="43" spans="2:6" ht="33.75" customHeight="1" x14ac:dyDescent="0.3">
      <c r="B43" s="130" t="s">
        <v>708</v>
      </c>
      <c r="C43" s="111"/>
      <c r="D43" s="10" t="s">
        <v>787</v>
      </c>
      <c r="E43" s="23" t="s">
        <v>788</v>
      </c>
      <c r="F43" s="10" t="s">
        <v>789</v>
      </c>
    </row>
    <row r="44" spans="2:6" ht="19.95" customHeight="1" x14ac:dyDescent="0.3">
      <c r="B44" s="132" t="s">
        <v>790</v>
      </c>
      <c r="C44" s="133"/>
      <c r="D44" s="13" t="s">
        <v>791</v>
      </c>
      <c r="E44" s="23" t="s">
        <v>792</v>
      </c>
      <c r="F44" s="13" t="s">
        <v>793</v>
      </c>
    </row>
    <row r="45" spans="2:6" ht="19.95" customHeight="1" x14ac:dyDescent="0.3">
      <c r="B45" s="130" t="s">
        <v>794</v>
      </c>
      <c r="C45" s="111"/>
      <c r="D45" s="10" t="s">
        <v>795</v>
      </c>
      <c r="E45" s="23" t="s">
        <v>796</v>
      </c>
      <c r="F45" s="10" t="s">
        <v>797</v>
      </c>
    </row>
    <row r="46" spans="2:6" ht="33.75" customHeight="1" x14ac:dyDescent="0.3">
      <c r="B46" s="132" t="s">
        <v>798</v>
      </c>
      <c r="C46" s="133"/>
      <c r="D46" s="13" t="s">
        <v>799</v>
      </c>
      <c r="E46" s="23" t="s">
        <v>800</v>
      </c>
      <c r="F46" s="13" t="s">
        <v>801</v>
      </c>
    </row>
    <row r="47" spans="2:6" ht="19.95" customHeight="1" x14ac:dyDescent="0.3">
      <c r="B47" s="130" t="s">
        <v>802</v>
      </c>
      <c r="C47" s="111"/>
      <c r="D47" s="10" t="s">
        <v>803</v>
      </c>
      <c r="E47" s="23" t="s">
        <v>804</v>
      </c>
      <c r="F47" s="10" t="s">
        <v>805</v>
      </c>
    </row>
    <row r="48" spans="2:6" ht="33.75" customHeight="1" x14ac:dyDescent="0.3">
      <c r="B48" s="132" t="s">
        <v>806</v>
      </c>
      <c r="C48" s="133"/>
      <c r="D48" s="13" t="s">
        <v>807</v>
      </c>
      <c r="E48" s="23" t="s">
        <v>808</v>
      </c>
      <c r="F48" s="13" t="s">
        <v>809</v>
      </c>
    </row>
    <row r="49" spans="2:6" ht="19.95" customHeight="1" x14ac:dyDescent="0.3">
      <c r="B49" s="130" t="s">
        <v>810</v>
      </c>
      <c r="C49" s="111"/>
      <c r="D49" s="10" t="s">
        <v>811</v>
      </c>
      <c r="E49" s="23" t="s">
        <v>812</v>
      </c>
      <c r="F49" s="10" t="s">
        <v>813</v>
      </c>
    </row>
    <row r="50" spans="2:6" ht="33.75" customHeight="1" x14ac:dyDescent="0.3">
      <c r="B50" s="132" t="s">
        <v>814</v>
      </c>
      <c r="C50" s="133"/>
      <c r="D50" s="13" t="s">
        <v>815</v>
      </c>
      <c r="E50" s="23" t="s">
        <v>816</v>
      </c>
      <c r="F50" s="13" t="s">
        <v>817</v>
      </c>
    </row>
    <row r="51" spans="2:6" ht="33.75" customHeight="1" x14ac:dyDescent="0.3">
      <c r="B51" s="130" t="s">
        <v>818</v>
      </c>
      <c r="C51" s="111"/>
      <c r="D51" s="10" t="s">
        <v>819</v>
      </c>
      <c r="E51" s="23" t="s">
        <v>820</v>
      </c>
      <c r="F51" s="10" t="s">
        <v>821</v>
      </c>
    </row>
    <row r="52" spans="2:6" ht="19.95" customHeight="1" x14ac:dyDescent="0.3">
      <c r="B52" s="132" t="s">
        <v>822</v>
      </c>
      <c r="C52" s="133"/>
      <c r="D52" s="13" t="s">
        <v>823</v>
      </c>
      <c r="E52" s="23" t="s">
        <v>824</v>
      </c>
      <c r="F52" s="13" t="s">
        <v>825</v>
      </c>
    </row>
    <row r="53" spans="2:6" ht="19.95" customHeight="1" x14ac:dyDescent="0.3">
      <c r="B53" s="130" t="s">
        <v>826</v>
      </c>
      <c r="C53" s="111"/>
      <c r="D53" s="10" t="s">
        <v>827</v>
      </c>
      <c r="E53" s="23" t="s">
        <v>828</v>
      </c>
      <c r="F53" s="10" t="s">
        <v>829</v>
      </c>
    </row>
    <row r="54" spans="2:6" ht="33.75" customHeight="1" x14ac:dyDescent="0.3">
      <c r="B54" s="132" t="s">
        <v>830</v>
      </c>
      <c r="C54" s="133"/>
      <c r="D54" s="13" t="s">
        <v>831</v>
      </c>
      <c r="E54" s="23" t="s">
        <v>832</v>
      </c>
      <c r="F54" s="13" t="s">
        <v>833</v>
      </c>
    </row>
    <row r="55" spans="2:6" ht="6" customHeight="1" x14ac:dyDescent="0.3"/>
    <row r="56" spans="2:6" ht="33.75" customHeight="1" x14ac:dyDescent="0.3">
      <c r="B56" s="37" t="s">
        <v>66</v>
      </c>
      <c r="C56" s="152" t="s">
        <v>834</v>
      </c>
      <c r="D56" s="153"/>
      <c r="E56" s="153"/>
      <c r="F56" s="105"/>
    </row>
    <row r="57" spans="2:6" ht="4.95" customHeight="1" x14ac:dyDescent="0.3"/>
    <row r="58" spans="2:6" ht="12" customHeight="1" x14ac:dyDescent="0.3"/>
    <row r="59" spans="2:6" ht="27" customHeight="1" x14ac:dyDescent="0.3">
      <c r="B59" s="128" t="s">
        <v>835</v>
      </c>
      <c r="C59" s="124"/>
      <c r="D59" s="124"/>
      <c r="E59" s="124"/>
      <c r="F59" s="124"/>
    </row>
    <row r="60" spans="2:6" ht="4.95" customHeight="1" x14ac:dyDescent="0.3"/>
    <row r="61" spans="2:6" ht="19.350000000000001" customHeight="1" x14ac:dyDescent="0.3">
      <c r="B61" s="129" t="s">
        <v>836</v>
      </c>
      <c r="C61" s="113"/>
      <c r="D61" s="113"/>
      <c r="E61" s="113"/>
      <c r="F61" s="113"/>
    </row>
    <row r="62" spans="2:6" ht="22.05" customHeight="1" x14ac:dyDescent="0.3">
      <c r="B62" s="144" t="s">
        <v>837</v>
      </c>
      <c r="C62" s="145"/>
      <c r="D62" s="7" t="s">
        <v>838</v>
      </c>
      <c r="E62" s="7" t="s">
        <v>839</v>
      </c>
      <c r="F62" s="7" t="s">
        <v>840</v>
      </c>
    </row>
    <row r="63" spans="2:6" ht="19.95" customHeight="1" x14ac:dyDescent="0.3">
      <c r="B63" s="174" t="s">
        <v>841</v>
      </c>
      <c r="C63" s="111"/>
      <c r="D63" s="10" t="s">
        <v>842</v>
      </c>
      <c r="E63" s="10" t="s">
        <v>841</v>
      </c>
      <c r="F63" s="10" t="s">
        <v>843</v>
      </c>
    </row>
    <row r="64" spans="2:6" ht="33.75" customHeight="1" x14ac:dyDescent="0.3">
      <c r="B64" s="173" t="s">
        <v>844</v>
      </c>
      <c r="C64" s="133"/>
      <c r="D64" s="13" t="s">
        <v>845</v>
      </c>
      <c r="E64" s="13" t="s">
        <v>846</v>
      </c>
      <c r="F64" s="13" t="s">
        <v>847</v>
      </c>
    </row>
    <row r="65" spans="2:6" ht="33.75" customHeight="1" x14ac:dyDescent="0.3">
      <c r="B65" s="174" t="s">
        <v>848</v>
      </c>
      <c r="C65" s="111"/>
      <c r="D65" s="10" t="s">
        <v>849</v>
      </c>
      <c r="E65" s="10" t="s">
        <v>850</v>
      </c>
      <c r="F65" s="10" t="s">
        <v>851</v>
      </c>
    </row>
    <row r="66" spans="2:6" ht="33.75" customHeight="1" x14ac:dyDescent="0.3">
      <c r="B66" s="173" t="s">
        <v>852</v>
      </c>
      <c r="C66" s="133"/>
      <c r="D66" s="13" t="s">
        <v>853</v>
      </c>
      <c r="E66" s="13" t="s">
        <v>854</v>
      </c>
      <c r="F66" s="13" t="s">
        <v>855</v>
      </c>
    </row>
    <row r="67" spans="2:6" ht="33.75" customHeight="1" x14ac:dyDescent="0.3">
      <c r="B67" s="174" t="s">
        <v>856</v>
      </c>
      <c r="C67" s="111"/>
      <c r="D67" s="10" t="s">
        <v>857</v>
      </c>
      <c r="E67" s="10" t="s">
        <v>858</v>
      </c>
      <c r="F67" s="10" t="s">
        <v>859</v>
      </c>
    </row>
    <row r="68" spans="2:6" ht="19.95" customHeight="1" x14ac:dyDescent="0.3">
      <c r="B68" s="173" t="s">
        <v>860</v>
      </c>
      <c r="C68" s="133"/>
      <c r="D68" s="13" t="s">
        <v>861</v>
      </c>
      <c r="E68" s="13" t="s">
        <v>862</v>
      </c>
      <c r="F68" s="13" t="s">
        <v>863</v>
      </c>
    </row>
    <row r="69" spans="2:6" ht="33.75" customHeight="1" x14ac:dyDescent="0.3">
      <c r="B69" s="174" t="s">
        <v>864</v>
      </c>
      <c r="C69" s="111"/>
      <c r="D69" s="10" t="s">
        <v>865</v>
      </c>
      <c r="E69" s="10" t="s">
        <v>866</v>
      </c>
      <c r="F69" s="10" t="s">
        <v>863</v>
      </c>
    </row>
    <row r="70" spans="2:6" ht="33.75" customHeight="1" x14ac:dyDescent="0.3">
      <c r="B70" s="173" t="s">
        <v>867</v>
      </c>
      <c r="C70" s="133"/>
      <c r="D70" s="13" t="s">
        <v>868</v>
      </c>
      <c r="E70" s="13" t="s">
        <v>869</v>
      </c>
      <c r="F70" s="13" t="s">
        <v>863</v>
      </c>
    </row>
    <row r="71" spans="2:6" ht="33.75" customHeight="1" x14ac:dyDescent="0.3">
      <c r="B71" s="174" t="s">
        <v>870</v>
      </c>
      <c r="C71" s="111"/>
      <c r="D71" s="10" t="s">
        <v>871</v>
      </c>
      <c r="E71" s="10" t="s">
        <v>872</v>
      </c>
      <c r="F71" s="10" t="s">
        <v>859</v>
      </c>
    </row>
    <row r="72" spans="2:6" ht="33.75" customHeight="1" x14ac:dyDescent="0.3">
      <c r="B72" s="173" t="s">
        <v>873</v>
      </c>
      <c r="C72" s="133"/>
      <c r="D72" s="13" t="s">
        <v>874</v>
      </c>
      <c r="E72" s="13" t="s">
        <v>875</v>
      </c>
      <c r="F72" s="13" t="s">
        <v>876</v>
      </c>
    </row>
    <row r="73" spans="2:6" ht="6" customHeight="1" x14ac:dyDescent="0.3"/>
    <row r="74" spans="2:6" ht="12" customHeight="1" x14ac:dyDescent="0.3"/>
    <row r="75" spans="2:6" ht="27" customHeight="1" x14ac:dyDescent="0.3">
      <c r="B75" s="128" t="s">
        <v>877</v>
      </c>
      <c r="C75" s="124"/>
      <c r="D75" s="124"/>
      <c r="E75" s="124"/>
      <c r="F75" s="124"/>
    </row>
    <row r="76" spans="2:6" ht="4.95" customHeight="1" x14ac:dyDescent="0.3"/>
    <row r="77" spans="2:6" ht="19.350000000000001" customHeight="1" x14ac:dyDescent="0.3">
      <c r="B77" s="129" t="s">
        <v>878</v>
      </c>
      <c r="C77" s="113"/>
      <c r="D77" s="113"/>
      <c r="E77" s="113"/>
      <c r="F77" s="113"/>
    </row>
    <row r="78" spans="2:6" ht="16.95" customHeight="1" x14ac:dyDescent="0.3">
      <c r="C78" s="170" t="s">
        <v>879</v>
      </c>
      <c r="D78" s="113"/>
      <c r="E78" s="113"/>
      <c r="F78" s="113"/>
    </row>
    <row r="79" spans="2:6" ht="17.25" customHeight="1" x14ac:dyDescent="0.3">
      <c r="C79" s="39" t="s">
        <v>880</v>
      </c>
      <c r="D79" s="40"/>
      <c r="E79" s="40"/>
      <c r="F79" s="41"/>
    </row>
    <row r="80" spans="2:6" ht="17.25" customHeight="1" x14ac:dyDescent="0.3">
      <c r="C80" s="42" t="s">
        <v>881</v>
      </c>
      <c r="D80" s="43"/>
      <c r="E80" s="43"/>
      <c r="F80" s="44"/>
    </row>
    <row r="81" spans="2:6" ht="17.25" customHeight="1" x14ac:dyDescent="0.3">
      <c r="C81" s="42" t="s">
        <v>882</v>
      </c>
      <c r="D81" s="43"/>
      <c r="E81" s="43"/>
      <c r="F81" s="44"/>
    </row>
    <row r="82" spans="2:6" ht="17.25" customHeight="1" x14ac:dyDescent="0.3">
      <c r="C82" s="42" t="s">
        <v>883</v>
      </c>
      <c r="D82" s="43"/>
      <c r="E82" s="43"/>
      <c r="F82" s="44"/>
    </row>
    <row r="83" spans="2:6" ht="17.25" customHeight="1" x14ac:dyDescent="0.3">
      <c r="C83" s="42" t="s">
        <v>884</v>
      </c>
      <c r="D83" s="43"/>
      <c r="E83" s="43"/>
      <c r="F83" s="44"/>
    </row>
    <row r="84" spans="2:6" ht="17.25" customHeight="1" x14ac:dyDescent="0.3">
      <c r="C84" s="42" t="s">
        <v>885</v>
      </c>
      <c r="D84" s="43"/>
      <c r="E84" s="43"/>
      <c r="F84" s="44"/>
    </row>
    <row r="85" spans="2:6" ht="17.25" customHeight="1" x14ac:dyDescent="0.3">
      <c r="C85" s="45" t="s">
        <v>886</v>
      </c>
      <c r="D85" s="46"/>
      <c r="E85" s="46"/>
      <c r="F85" s="47"/>
    </row>
    <row r="86" spans="2:6" ht="4.95" customHeight="1" x14ac:dyDescent="0.3"/>
    <row r="87" spans="2:6" ht="19.350000000000001" customHeight="1" x14ac:dyDescent="0.3">
      <c r="B87" s="5" t="s">
        <v>40</v>
      </c>
      <c r="C87" s="129" t="s">
        <v>887</v>
      </c>
      <c r="D87" s="113"/>
      <c r="E87" s="113"/>
      <c r="F87" s="113"/>
    </row>
    <row r="88" spans="2:6" ht="19.350000000000001" customHeight="1" x14ac:dyDescent="0.3">
      <c r="B88" s="5" t="s">
        <v>40</v>
      </c>
      <c r="C88" s="129" t="s">
        <v>888</v>
      </c>
      <c r="D88" s="113"/>
      <c r="E88" s="113"/>
      <c r="F88" s="113"/>
    </row>
    <row r="89" spans="2:6" ht="19.350000000000001" customHeight="1" x14ac:dyDescent="0.3">
      <c r="B89" s="5" t="s">
        <v>40</v>
      </c>
      <c r="C89" s="129" t="s">
        <v>889</v>
      </c>
      <c r="D89" s="113"/>
      <c r="E89" s="113"/>
      <c r="F89" s="113"/>
    </row>
    <row r="90" spans="2:6" ht="19.350000000000001" customHeight="1" x14ac:dyDescent="0.3">
      <c r="B90" s="5" t="s">
        <v>40</v>
      </c>
      <c r="C90" s="129" t="s">
        <v>890</v>
      </c>
      <c r="D90" s="113"/>
      <c r="E90" s="113"/>
      <c r="F90" s="113"/>
    </row>
    <row r="91" spans="2:6" ht="19.350000000000001" customHeight="1" x14ac:dyDescent="0.3">
      <c r="B91" s="5" t="s">
        <v>40</v>
      </c>
      <c r="C91" s="129" t="s">
        <v>891</v>
      </c>
      <c r="D91" s="113"/>
      <c r="E91" s="113"/>
      <c r="F91" s="113"/>
    </row>
    <row r="92" spans="2:6" ht="12" customHeight="1" x14ac:dyDescent="0.3"/>
    <row r="93" spans="2:6" ht="27" customHeight="1" x14ac:dyDescent="0.3">
      <c r="B93" s="128" t="s">
        <v>892</v>
      </c>
      <c r="C93" s="124"/>
      <c r="D93" s="124"/>
      <c r="E93" s="124"/>
      <c r="F93" s="124"/>
    </row>
    <row r="94" spans="2:6" ht="4.95" customHeight="1" x14ac:dyDescent="0.3"/>
    <row r="95" spans="2:6" ht="22.05" customHeight="1" x14ac:dyDescent="0.3">
      <c r="B95" s="144" t="s">
        <v>893</v>
      </c>
      <c r="C95" s="145"/>
      <c r="D95" s="144" t="s">
        <v>894</v>
      </c>
      <c r="E95" s="145"/>
      <c r="F95" s="7" t="s">
        <v>895</v>
      </c>
    </row>
    <row r="96" spans="2:6" ht="33.75" customHeight="1" x14ac:dyDescent="0.3">
      <c r="B96" s="172" t="s">
        <v>77</v>
      </c>
      <c r="C96" s="111"/>
      <c r="D96" s="130" t="s">
        <v>896</v>
      </c>
      <c r="E96" s="111"/>
      <c r="F96" s="10" t="s">
        <v>897</v>
      </c>
    </row>
    <row r="97" spans="2:6" ht="19.95" customHeight="1" x14ac:dyDescent="0.3">
      <c r="B97" s="175" t="s">
        <v>81</v>
      </c>
      <c r="C97" s="133"/>
      <c r="D97" s="132" t="s">
        <v>898</v>
      </c>
      <c r="E97" s="133"/>
      <c r="F97" s="13" t="s">
        <v>899</v>
      </c>
    </row>
    <row r="98" spans="2:6" ht="19.95" customHeight="1" x14ac:dyDescent="0.3">
      <c r="B98" s="172" t="s">
        <v>85</v>
      </c>
      <c r="C98" s="111"/>
      <c r="D98" s="130" t="s">
        <v>900</v>
      </c>
      <c r="E98" s="111"/>
      <c r="F98" s="10" t="s">
        <v>901</v>
      </c>
    </row>
    <row r="99" spans="2:6" ht="19.95" customHeight="1" x14ac:dyDescent="0.3">
      <c r="B99" s="175" t="s">
        <v>88</v>
      </c>
      <c r="C99" s="133"/>
      <c r="D99" s="132" t="s">
        <v>902</v>
      </c>
      <c r="E99" s="133"/>
      <c r="F99" s="13" t="s">
        <v>903</v>
      </c>
    </row>
    <row r="100" spans="2:6" ht="33.75" customHeight="1" x14ac:dyDescent="0.3">
      <c r="B100" s="172" t="s">
        <v>91</v>
      </c>
      <c r="C100" s="111"/>
      <c r="D100" s="130" t="s">
        <v>904</v>
      </c>
      <c r="E100" s="111"/>
      <c r="F100" s="10" t="s">
        <v>905</v>
      </c>
    </row>
    <row r="101" spans="2:6" ht="33.75" customHeight="1" x14ac:dyDescent="0.3">
      <c r="B101" s="175" t="s">
        <v>94</v>
      </c>
      <c r="C101" s="133"/>
      <c r="D101" s="132" t="s">
        <v>906</v>
      </c>
      <c r="E101" s="133"/>
      <c r="F101" s="13" t="s">
        <v>907</v>
      </c>
    </row>
    <row r="102" spans="2:6" ht="33.75" customHeight="1" x14ac:dyDescent="0.3">
      <c r="B102" s="172" t="s">
        <v>97</v>
      </c>
      <c r="C102" s="111"/>
      <c r="D102" s="130" t="s">
        <v>908</v>
      </c>
      <c r="E102" s="111"/>
      <c r="F102" s="10" t="s">
        <v>909</v>
      </c>
    </row>
    <row r="103" spans="2:6" ht="6" customHeight="1" x14ac:dyDescent="0.3"/>
    <row r="104" spans="2:6" ht="22.05" customHeight="1" x14ac:dyDescent="0.3">
      <c r="B104" s="16" t="s">
        <v>64</v>
      </c>
      <c r="C104" s="152" t="s">
        <v>910</v>
      </c>
      <c r="D104" s="153"/>
      <c r="E104" s="153"/>
      <c r="F104" s="105"/>
    </row>
    <row r="105" spans="2:6" ht="4.95" customHeight="1" x14ac:dyDescent="0.3"/>
    <row r="106" spans="2:6" ht="12" customHeight="1" x14ac:dyDescent="0.3"/>
    <row r="107" spans="2:6" ht="27" customHeight="1" x14ac:dyDescent="0.3">
      <c r="B107" s="128" t="s">
        <v>911</v>
      </c>
      <c r="C107" s="124"/>
      <c r="D107" s="124"/>
      <c r="E107" s="124"/>
      <c r="F107" s="124"/>
    </row>
    <row r="108" spans="2:6" ht="4.95" customHeight="1" x14ac:dyDescent="0.3"/>
    <row r="109" spans="2:6" ht="22.05" customHeight="1" x14ac:dyDescent="0.3">
      <c r="B109" s="144" t="s">
        <v>784</v>
      </c>
      <c r="C109" s="145"/>
      <c r="D109" s="144" t="s">
        <v>159</v>
      </c>
      <c r="E109" s="171"/>
      <c r="F109" s="145"/>
    </row>
    <row r="110" spans="2:6" ht="19.95" customHeight="1" x14ac:dyDescent="0.3">
      <c r="B110" s="174" t="s">
        <v>912</v>
      </c>
      <c r="C110" s="111"/>
      <c r="D110" s="130" t="s">
        <v>913</v>
      </c>
      <c r="E110" s="110"/>
      <c r="F110" s="111"/>
    </row>
    <row r="111" spans="2:6" ht="19.95" customHeight="1" x14ac:dyDescent="0.3">
      <c r="B111" s="173" t="s">
        <v>914</v>
      </c>
      <c r="C111" s="133"/>
      <c r="D111" s="132" t="s">
        <v>915</v>
      </c>
      <c r="E111" s="169"/>
      <c r="F111" s="133"/>
    </row>
    <row r="112" spans="2:6" ht="19.95" customHeight="1" x14ac:dyDescent="0.3">
      <c r="B112" s="174" t="s">
        <v>916</v>
      </c>
      <c r="C112" s="111"/>
      <c r="D112" s="130" t="s">
        <v>917</v>
      </c>
      <c r="E112" s="110"/>
      <c r="F112" s="111"/>
    </row>
    <row r="113" spans="2:6" ht="19.95" customHeight="1" x14ac:dyDescent="0.3">
      <c r="B113" s="173" t="s">
        <v>918</v>
      </c>
      <c r="C113" s="133"/>
      <c r="D113" s="132" t="s">
        <v>919</v>
      </c>
      <c r="E113" s="169"/>
      <c r="F113" s="133"/>
    </row>
    <row r="114" spans="2:6" ht="19.95" customHeight="1" x14ac:dyDescent="0.3">
      <c r="B114" s="174" t="s">
        <v>920</v>
      </c>
      <c r="C114" s="111"/>
      <c r="D114" s="130" t="s">
        <v>921</v>
      </c>
      <c r="E114" s="110"/>
      <c r="F114" s="111"/>
    </row>
    <row r="115" spans="2:6" ht="19.95" customHeight="1" x14ac:dyDescent="0.3">
      <c r="B115" s="173" t="s">
        <v>922</v>
      </c>
      <c r="C115" s="133"/>
      <c r="D115" s="132" t="s">
        <v>923</v>
      </c>
      <c r="E115" s="169"/>
      <c r="F115" s="133"/>
    </row>
    <row r="116" spans="2:6" ht="19.95" customHeight="1" x14ac:dyDescent="0.3">
      <c r="B116" s="174" t="s">
        <v>708</v>
      </c>
      <c r="C116" s="111"/>
      <c r="D116" s="130" t="s">
        <v>924</v>
      </c>
      <c r="E116" s="110"/>
      <c r="F116" s="111"/>
    </row>
    <row r="117" spans="2:6" ht="19.95" customHeight="1" x14ac:dyDescent="0.3">
      <c r="B117" s="173" t="s">
        <v>925</v>
      </c>
      <c r="C117" s="133"/>
      <c r="D117" s="132" t="s">
        <v>926</v>
      </c>
      <c r="E117" s="169"/>
      <c r="F117" s="133"/>
    </row>
    <row r="118" spans="2:6" ht="6" customHeight="1" x14ac:dyDescent="0.3"/>
    <row r="119" spans="2:6" ht="12" customHeight="1" x14ac:dyDescent="0.3"/>
    <row r="120" spans="2:6" ht="27" customHeight="1" x14ac:dyDescent="0.3">
      <c r="B120" s="128" t="s">
        <v>927</v>
      </c>
      <c r="C120" s="124"/>
      <c r="D120" s="124"/>
      <c r="E120" s="124"/>
      <c r="F120" s="124"/>
    </row>
    <row r="121" spans="2:6" ht="4.95" customHeight="1" x14ac:dyDescent="0.3"/>
    <row r="122" spans="2:6" ht="19.350000000000001" customHeight="1" x14ac:dyDescent="0.3">
      <c r="B122" s="129" t="s">
        <v>928</v>
      </c>
      <c r="C122" s="113"/>
      <c r="D122" s="113"/>
      <c r="E122" s="113"/>
      <c r="F122" s="113"/>
    </row>
    <row r="123" spans="2:6" ht="22.05" customHeight="1" x14ac:dyDescent="0.3">
      <c r="B123" s="144" t="s">
        <v>369</v>
      </c>
      <c r="C123" s="145"/>
      <c r="D123" s="144" t="s">
        <v>929</v>
      </c>
      <c r="E123" s="145"/>
      <c r="F123" s="7" t="s">
        <v>930</v>
      </c>
    </row>
    <row r="124" spans="2:6" ht="19.95" customHeight="1" x14ac:dyDescent="0.3">
      <c r="B124" s="174" t="s">
        <v>931</v>
      </c>
      <c r="C124" s="111"/>
      <c r="D124" s="130" t="s">
        <v>932</v>
      </c>
      <c r="E124" s="111"/>
      <c r="F124" s="10" t="s">
        <v>933</v>
      </c>
    </row>
    <row r="125" spans="2:6" ht="19.95" customHeight="1" x14ac:dyDescent="0.3">
      <c r="B125" s="173" t="s">
        <v>934</v>
      </c>
      <c r="C125" s="133"/>
      <c r="D125" s="132" t="s">
        <v>935</v>
      </c>
      <c r="E125" s="133"/>
      <c r="F125" s="13" t="s">
        <v>936</v>
      </c>
    </row>
    <row r="126" spans="2:6" ht="33.75" customHeight="1" x14ac:dyDescent="0.3">
      <c r="B126" s="174" t="s">
        <v>937</v>
      </c>
      <c r="C126" s="111"/>
      <c r="D126" s="130" t="s">
        <v>938</v>
      </c>
      <c r="E126" s="111"/>
      <c r="F126" s="10" t="s">
        <v>939</v>
      </c>
    </row>
    <row r="127" spans="2:6" ht="48.15" customHeight="1" x14ac:dyDescent="0.3">
      <c r="B127" s="173" t="s">
        <v>940</v>
      </c>
      <c r="C127" s="133"/>
      <c r="D127" s="132" t="s">
        <v>941</v>
      </c>
      <c r="E127" s="133"/>
      <c r="F127" s="13" t="s">
        <v>942</v>
      </c>
    </row>
    <row r="128" spans="2:6" ht="33.75" customHeight="1" x14ac:dyDescent="0.3">
      <c r="B128" s="174" t="s">
        <v>895</v>
      </c>
      <c r="C128" s="111"/>
      <c r="D128" s="130" t="s">
        <v>943</v>
      </c>
      <c r="E128" s="111"/>
      <c r="F128" s="10" t="s">
        <v>944</v>
      </c>
    </row>
    <row r="129" spans="2:6" ht="6" customHeight="1" x14ac:dyDescent="0.3"/>
    <row r="130" spans="2:6" ht="22.05" customHeight="1" x14ac:dyDescent="0.3">
      <c r="B130" s="22" t="s">
        <v>62</v>
      </c>
      <c r="C130" s="152" t="s">
        <v>945</v>
      </c>
      <c r="D130" s="153"/>
      <c r="E130" s="153"/>
      <c r="F130" s="105"/>
    </row>
    <row r="131" spans="2:6" ht="4.95" customHeight="1" x14ac:dyDescent="0.3"/>
  </sheetData>
  <mergeCells count="99">
    <mergeCell ref="C130:F130"/>
    <mergeCell ref="D123:E123"/>
    <mergeCell ref="B50:C50"/>
    <mergeCell ref="B110:C110"/>
    <mergeCell ref="B113:C113"/>
    <mergeCell ref="B128:C128"/>
    <mergeCell ref="B40:F40"/>
    <mergeCell ref="B65:C65"/>
    <mergeCell ref="B68:C68"/>
    <mergeCell ref="B114:C114"/>
    <mergeCell ref="B123:C123"/>
    <mergeCell ref="B1:F1"/>
    <mergeCell ref="D33:F33"/>
    <mergeCell ref="D113:F113"/>
    <mergeCell ref="B44:C44"/>
    <mergeCell ref="D35:F35"/>
    <mergeCell ref="B99:C99"/>
    <mergeCell ref="B2:E2"/>
    <mergeCell ref="D102:E102"/>
    <mergeCell ref="D34:F34"/>
    <mergeCell ref="B45:C45"/>
    <mergeCell ref="D36:F36"/>
    <mergeCell ref="B109:C109"/>
    <mergeCell ref="B47:C47"/>
    <mergeCell ref="B62:C62"/>
    <mergeCell ref="B46:C46"/>
    <mergeCell ref="B93:F93"/>
    <mergeCell ref="D128:E128"/>
    <mergeCell ref="B59:F59"/>
    <mergeCell ref="B96:C96"/>
    <mergeCell ref="B71:C71"/>
    <mergeCell ref="D96:E96"/>
    <mergeCell ref="B98:C98"/>
    <mergeCell ref="D115:F115"/>
    <mergeCell ref="B124:C124"/>
    <mergeCell ref="B126:C126"/>
    <mergeCell ref="B70:C70"/>
    <mergeCell ref="B77:F77"/>
    <mergeCell ref="D95:E95"/>
    <mergeCell ref="D112:F112"/>
    <mergeCell ref="B111:C111"/>
    <mergeCell ref="B61:F61"/>
    <mergeCell ref="C104:F104"/>
    <mergeCell ref="B4:F4"/>
    <mergeCell ref="B97:C97"/>
    <mergeCell ref="B75:F75"/>
    <mergeCell ref="B54:C54"/>
    <mergeCell ref="B125:C125"/>
    <mergeCell ref="B72:C72"/>
    <mergeCell ref="C91:F91"/>
    <mergeCell ref="D32:F32"/>
    <mergeCell ref="B43:C43"/>
    <mergeCell ref="B52:C52"/>
    <mergeCell ref="B42:C42"/>
    <mergeCell ref="B48:C48"/>
    <mergeCell ref="D97:E97"/>
    <mergeCell ref="D114:F114"/>
    <mergeCell ref="B53:C53"/>
    <mergeCell ref="D117:F117"/>
    <mergeCell ref="B116:C116"/>
    <mergeCell ref="D110:F110"/>
    <mergeCell ref="D109:F109"/>
    <mergeCell ref="B95:C95"/>
    <mergeCell ref="C90:F90"/>
    <mergeCell ref="D111:F111"/>
    <mergeCell ref="D125:E125"/>
    <mergeCell ref="B112:C112"/>
    <mergeCell ref="C88:F88"/>
    <mergeCell ref="B127:C127"/>
    <mergeCell ref="D127:E127"/>
    <mergeCell ref="D98:E98"/>
    <mergeCell ref="D99:E99"/>
    <mergeCell ref="D101:E101"/>
    <mergeCell ref="D124:E124"/>
    <mergeCell ref="B117:C117"/>
    <mergeCell ref="B120:F120"/>
    <mergeCell ref="B107:F107"/>
    <mergeCell ref="D126:E126"/>
    <mergeCell ref="B6:F29"/>
    <mergeCell ref="B102:C102"/>
    <mergeCell ref="C78:F78"/>
    <mergeCell ref="D37:F37"/>
    <mergeCell ref="C87:F87"/>
    <mergeCell ref="B67:C67"/>
    <mergeCell ref="B101:C101"/>
    <mergeCell ref="C89:F89"/>
    <mergeCell ref="B69:C69"/>
    <mergeCell ref="B49:C49"/>
    <mergeCell ref="B30:F30"/>
    <mergeCell ref="B64:C64"/>
    <mergeCell ref="C56:F56"/>
    <mergeCell ref="B51:C51"/>
    <mergeCell ref="B63:C63"/>
    <mergeCell ref="B66:C66"/>
    <mergeCell ref="B100:C100"/>
    <mergeCell ref="D100:E100"/>
    <mergeCell ref="D116:F116"/>
    <mergeCell ref="B115:C115"/>
    <mergeCell ref="B122:F122"/>
  </mergeCells>
  <phoneticPr fontId="27"/>
  <hyperlinks>
    <hyperlink ref="F2" location="'目次'!A1" display="▲ 目次へ戻る" xr:uid="{00000000-0004-0000-04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96:B102"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04040"/>
    <pageSetUpPr fitToPage="1"/>
  </sheetPr>
  <dimension ref="B1:F111"/>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946</v>
      </c>
      <c r="C1" s="118"/>
      <c r="D1" s="118"/>
      <c r="E1" s="118"/>
      <c r="F1" s="118"/>
    </row>
    <row r="2" spans="2:6" ht="24" customHeight="1" x14ac:dyDescent="0.3">
      <c r="B2" s="141" t="s">
        <v>947</v>
      </c>
      <c r="C2" s="113"/>
      <c r="D2" s="113"/>
      <c r="E2" s="113"/>
      <c r="F2" s="4" t="s">
        <v>38</v>
      </c>
    </row>
    <row r="3" spans="2:6" ht="12" customHeight="1" x14ac:dyDescent="0.3"/>
    <row r="4" spans="2:6" ht="27" customHeight="1" x14ac:dyDescent="0.3">
      <c r="B4" s="128" t="s">
        <v>948</v>
      </c>
      <c r="C4" s="124"/>
      <c r="D4" s="124"/>
      <c r="E4" s="124"/>
      <c r="F4" s="124"/>
    </row>
    <row r="5" spans="2:6" ht="4.95" customHeight="1" x14ac:dyDescent="0.3"/>
    <row r="6" spans="2:6" ht="19.350000000000001" customHeight="1" x14ac:dyDescent="0.3">
      <c r="B6" s="129" t="s">
        <v>949</v>
      </c>
      <c r="C6" s="113"/>
      <c r="D6" s="113"/>
      <c r="E6" s="113"/>
      <c r="F6" s="113"/>
    </row>
    <row r="7" spans="2:6" ht="22.05" customHeight="1" x14ac:dyDescent="0.3">
      <c r="B7" s="144" t="s">
        <v>950</v>
      </c>
      <c r="C7" s="145"/>
      <c r="D7" s="7" t="s">
        <v>951</v>
      </c>
      <c r="E7" s="7" t="s">
        <v>952</v>
      </c>
      <c r="F7" s="7" t="s">
        <v>953</v>
      </c>
    </row>
    <row r="8" spans="2:6" ht="21" customHeight="1" x14ac:dyDescent="0.3">
      <c r="B8" s="176" t="s">
        <v>954</v>
      </c>
      <c r="C8" s="177"/>
      <c r="D8" s="177"/>
      <c r="E8" s="177"/>
      <c r="F8" s="135"/>
    </row>
    <row r="9" spans="2:6" ht="33.75" customHeight="1" x14ac:dyDescent="0.3">
      <c r="B9" s="174" t="s">
        <v>880</v>
      </c>
      <c r="C9" s="111"/>
      <c r="D9" s="10" t="s">
        <v>955</v>
      </c>
      <c r="E9" s="10" t="s">
        <v>956</v>
      </c>
      <c r="F9" s="10" t="s">
        <v>957</v>
      </c>
    </row>
    <row r="10" spans="2:6" ht="33.75" customHeight="1" x14ac:dyDescent="0.3">
      <c r="B10" s="173" t="s">
        <v>958</v>
      </c>
      <c r="C10" s="133"/>
      <c r="D10" s="13" t="s">
        <v>959</v>
      </c>
      <c r="E10" s="13" t="s">
        <v>960</v>
      </c>
      <c r="F10" s="13" t="s">
        <v>961</v>
      </c>
    </row>
    <row r="11" spans="2:6" ht="33.75" customHeight="1" x14ac:dyDescent="0.3">
      <c r="B11" s="174" t="s">
        <v>962</v>
      </c>
      <c r="C11" s="111"/>
      <c r="D11" s="10" t="s">
        <v>963</v>
      </c>
      <c r="E11" s="10" t="s">
        <v>964</v>
      </c>
      <c r="F11" s="10" t="s">
        <v>965</v>
      </c>
    </row>
    <row r="12" spans="2:6" ht="33.75" customHeight="1" x14ac:dyDescent="0.3">
      <c r="B12" s="173" t="s">
        <v>966</v>
      </c>
      <c r="C12" s="133"/>
      <c r="D12" s="13" t="s">
        <v>967</v>
      </c>
      <c r="E12" s="13" t="s">
        <v>968</v>
      </c>
      <c r="F12" s="13" t="s">
        <v>969</v>
      </c>
    </row>
    <row r="13" spans="2:6" ht="21" customHeight="1" x14ac:dyDescent="0.3">
      <c r="B13" s="176" t="s">
        <v>970</v>
      </c>
      <c r="C13" s="177"/>
      <c r="D13" s="177"/>
      <c r="E13" s="177"/>
      <c r="F13" s="135"/>
    </row>
    <row r="14" spans="2:6" ht="19.95" customHeight="1" x14ac:dyDescent="0.3">
      <c r="B14" s="174" t="s">
        <v>971</v>
      </c>
      <c r="C14" s="111"/>
      <c r="D14" s="10" t="s">
        <v>972</v>
      </c>
      <c r="E14" s="10" t="s">
        <v>973</v>
      </c>
      <c r="F14" s="10" t="s">
        <v>974</v>
      </c>
    </row>
    <row r="15" spans="2:6" ht="19.95" customHeight="1" x14ac:dyDescent="0.3">
      <c r="B15" s="173" t="s">
        <v>975</v>
      </c>
      <c r="C15" s="133"/>
      <c r="D15" s="13" t="s">
        <v>976</v>
      </c>
      <c r="E15" s="13" t="s">
        <v>977</v>
      </c>
      <c r="F15" s="13" t="s">
        <v>978</v>
      </c>
    </row>
    <row r="16" spans="2:6" ht="19.95" customHeight="1" x14ac:dyDescent="0.3">
      <c r="B16" s="174" t="s">
        <v>979</v>
      </c>
      <c r="C16" s="111"/>
      <c r="D16" s="10" t="s">
        <v>980</v>
      </c>
      <c r="E16" s="10" t="s">
        <v>981</v>
      </c>
      <c r="F16" s="10" t="s">
        <v>965</v>
      </c>
    </row>
    <row r="17" spans="2:6" ht="19.95" customHeight="1" x14ac:dyDescent="0.3">
      <c r="B17" s="173" t="s">
        <v>982</v>
      </c>
      <c r="C17" s="133"/>
      <c r="D17" s="13" t="s">
        <v>983</v>
      </c>
      <c r="E17" s="13" t="s">
        <v>984</v>
      </c>
      <c r="F17" s="13" t="s">
        <v>965</v>
      </c>
    </row>
    <row r="18" spans="2:6" ht="21" customHeight="1" x14ac:dyDescent="0.3">
      <c r="B18" s="176" t="s">
        <v>985</v>
      </c>
      <c r="C18" s="177"/>
      <c r="D18" s="177"/>
      <c r="E18" s="177"/>
      <c r="F18" s="135"/>
    </row>
    <row r="19" spans="2:6" ht="33.75" customHeight="1" x14ac:dyDescent="0.3">
      <c r="B19" s="174" t="s">
        <v>986</v>
      </c>
      <c r="C19" s="111"/>
      <c r="D19" s="10" t="s">
        <v>987</v>
      </c>
      <c r="E19" s="10" t="s">
        <v>988</v>
      </c>
      <c r="F19" s="10" t="s">
        <v>989</v>
      </c>
    </row>
    <row r="20" spans="2:6" ht="33.75" customHeight="1" x14ac:dyDescent="0.3">
      <c r="B20" s="173" t="s">
        <v>990</v>
      </c>
      <c r="C20" s="133"/>
      <c r="D20" s="13" t="s">
        <v>991</v>
      </c>
      <c r="E20" s="13" t="s">
        <v>992</v>
      </c>
      <c r="F20" s="13" t="s">
        <v>993</v>
      </c>
    </row>
    <row r="21" spans="2:6" ht="19.95" customHeight="1" x14ac:dyDescent="0.3">
      <c r="B21" s="174" t="s">
        <v>994</v>
      </c>
      <c r="C21" s="111"/>
      <c r="D21" s="10" t="s">
        <v>995</v>
      </c>
      <c r="E21" s="10" t="s">
        <v>996</v>
      </c>
      <c r="F21" s="10" t="s">
        <v>965</v>
      </c>
    </row>
    <row r="22" spans="2:6" ht="19.95" customHeight="1" x14ac:dyDescent="0.3">
      <c r="B22" s="173" t="s">
        <v>997</v>
      </c>
      <c r="C22" s="133"/>
      <c r="D22" s="13" t="s">
        <v>998</v>
      </c>
      <c r="E22" s="13" t="s">
        <v>999</v>
      </c>
      <c r="F22" s="13" t="s">
        <v>965</v>
      </c>
    </row>
    <row r="23" spans="2:6" ht="33.75" customHeight="1" x14ac:dyDescent="0.3">
      <c r="B23" s="174" t="s">
        <v>1000</v>
      </c>
      <c r="C23" s="111"/>
      <c r="D23" s="10" t="s">
        <v>1001</v>
      </c>
      <c r="E23" s="10" t="s">
        <v>1002</v>
      </c>
      <c r="F23" s="10" t="s">
        <v>965</v>
      </c>
    </row>
    <row r="24" spans="2:6" ht="33.75" customHeight="1" x14ac:dyDescent="0.3">
      <c r="B24" s="173" t="s">
        <v>1003</v>
      </c>
      <c r="C24" s="133"/>
      <c r="D24" s="13" t="s">
        <v>1004</v>
      </c>
      <c r="E24" s="13" t="s">
        <v>1005</v>
      </c>
      <c r="F24" s="13" t="s">
        <v>965</v>
      </c>
    </row>
    <row r="25" spans="2:6" ht="33.75" customHeight="1" x14ac:dyDescent="0.3">
      <c r="B25" s="174" t="s">
        <v>1006</v>
      </c>
      <c r="C25" s="111"/>
      <c r="D25" s="10" t="s">
        <v>1007</v>
      </c>
      <c r="E25" s="10" t="s">
        <v>1008</v>
      </c>
      <c r="F25" s="10" t="s">
        <v>989</v>
      </c>
    </row>
    <row r="26" spans="2:6" ht="21" customHeight="1" x14ac:dyDescent="0.3">
      <c r="B26" s="176" t="s">
        <v>1009</v>
      </c>
      <c r="C26" s="177"/>
      <c r="D26" s="177"/>
      <c r="E26" s="177"/>
      <c r="F26" s="135"/>
    </row>
    <row r="27" spans="2:6" ht="33.75" customHeight="1" x14ac:dyDescent="0.3">
      <c r="B27" s="174" t="s">
        <v>1010</v>
      </c>
      <c r="C27" s="111"/>
      <c r="D27" s="10" t="s">
        <v>1011</v>
      </c>
      <c r="E27" s="10" t="s">
        <v>1012</v>
      </c>
      <c r="F27" s="10" t="s">
        <v>974</v>
      </c>
    </row>
    <row r="28" spans="2:6" ht="33.75" customHeight="1" x14ac:dyDescent="0.3">
      <c r="B28" s="173" t="s">
        <v>1013</v>
      </c>
      <c r="C28" s="133"/>
      <c r="D28" s="13" t="s">
        <v>1014</v>
      </c>
      <c r="E28" s="13" t="s">
        <v>1015</v>
      </c>
      <c r="F28" s="13" t="s">
        <v>974</v>
      </c>
    </row>
    <row r="29" spans="2:6" ht="33.75" customHeight="1" x14ac:dyDescent="0.3">
      <c r="B29" s="174" t="s">
        <v>1016</v>
      </c>
      <c r="C29" s="111"/>
      <c r="D29" s="10" t="s">
        <v>1017</v>
      </c>
      <c r="E29" s="10" t="s">
        <v>1018</v>
      </c>
      <c r="F29" s="10" t="s">
        <v>1019</v>
      </c>
    </row>
    <row r="30" spans="2:6" ht="33.75" customHeight="1" x14ac:dyDescent="0.3">
      <c r="B30" s="173" t="s">
        <v>1020</v>
      </c>
      <c r="C30" s="133"/>
      <c r="D30" s="13" t="s">
        <v>1021</v>
      </c>
      <c r="E30" s="13" t="s">
        <v>1022</v>
      </c>
      <c r="F30" s="13" t="s">
        <v>1023</v>
      </c>
    </row>
    <row r="31" spans="2:6" ht="33.75" customHeight="1" x14ac:dyDescent="0.3">
      <c r="B31" s="174" t="s">
        <v>1024</v>
      </c>
      <c r="C31" s="111"/>
      <c r="D31" s="10" t="s">
        <v>1025</v>
      </c>
      <c r="E31" s="10" t="s">
        <v>1026</v>
      </c>
      <c r="F31" s="10" t="s">
        <v>965</v>
      </c>
    </row>
    <row r="32" spans="2:6" ht="19.95" customHeight="1" x14ac:dyDescent="0.3">
      <c r="B32" s="173" t="s">
        <v>1027</v>
      </c>
      <c r="C32" s="133"/>
      <c r="D32" s="13" t="s">
        <v>1028</v>
      </c>
      <c r="E32" s="13" t="s">
        <v>1029</v>
      </c>
      <c r="F32" s="13" t="s">
        <v>965</v>
      </c>
    </row>
    <row r="33" spans="2:6" ht="33.75" customHeight="1" x14ac:dyDescent="0.3">
      <c r="B33" s="174" t="s">
        <v>1030</v>
      </c>
      <c r="C33" s="111"/>
      <c r="D33" s="10" t="s">
        <v>1031</v>
      </c>
      <c r="E33" s="10" t="s">
        <v>1032</v>
      </c>
      <c r="F33" s="10" t="s">
        <v>965</v>
      </c>
    </row>
    <row r="34" spans="2:6" ht="33.75" customHeight="1" x14ac:dyDescent="0.3">
      <c r="B34" s="173" t="s">
        <v>1033</v>
      </c>
      <c r="C34" s="133"/>
      <c r="D34" s="13" t="s">
        <v>1034</v>
      </c>
      <c r="E34" s="13" t="s">
        <v>1035</v>
      </c>
      <c r="F34" s="13" t="s">
        <v>965</v>
      </c>
    </row>
    <row r="35" spans="2:6" ht="21" customHeight="1" x14ac:dyDescent="0.3">
      <c r="B35" s="176" t="s">
        <v>1036</v>
      </c>
      <c r="C35" s="177"/>
      <c r="D35" s="177"/>
      <c r="E35" s="177"/>
      <c r="F35" s="135"/>
    </row>
    <row r="36" spans="2:6" ht="33.75" customHeight="1" x14ac:dyDescent="0.3">
      <c r="B36" s="174" t="s">
        <v>1037</v>
      </c>
      <c r="C36" s="111"/>
      <c r="D36" s="10" t="s">
        <v>1038</v>
      </c>
      <c r="E36" s="10" t="s">
        <v>1039</v>
      </c>
      <c r="F36" s="10" t="s">
        <v>1040</v>
      </c>
    </row>
    <row r="37" spans="2:6" ht="19.95" customHeight="1" x14ac:dyDescent="0.3">
      <c r="B37" s="173" t="s">
        <v>1041</v>
      </c>
      <c r="C37" s="133"/>
      <c r="D37" s="13" t="s">
        <v>1042</v>
      </c>
      <c r="E37" s="13" t="s">
        <v>1043</v>
      </c>
      <c r="F37" s="13" t="s">
        <v>965</v>
      </c>
    </row>
    <row r="38" spans="2:6" ht="21" customHeight="1" x14ac:dyDescent="0.3">
      <c r="B38" s="176" t="s">
        <v>1044</v>
      </c>
      <c r="C38" s="177"/>
      <c r="D38" s="177"/>
      <c r="E38" s="177"/>
      <c r="F38" s="135"/>
    </row>
    <row r="39" spans="2:6" ht="33.75" customHeight="1" x14ac:dyDescent="0.3">
      <c r="B39" s="174" t="s">
        <v>1045</v>
      </c>
      <c r="C39" s="111"/>
      <c r="D39" s="10" t="s">
        <v>1046</v>
      </c>
      <c r="E39" s="10" t="s">
        <v>1047</v>
      </c>
      <c r="F39" s="10" t="s">
        <v>1048</v>
      </c>
    </row>
    <row r="40" spans="2:6" ht="19.95" customHeight="1" x14ac:dyDescent="0.3">
      <c r="B40" s="173" t="s">
        <v>1049</v>
      </c>
      <c r="C40" s="133"/>
      <c r="D40" s="13" t="s">
        <v>1050</v>
      </c>
      <c r="E40" s="13" t="s">
        <v>1051</v>
      </c>
      <c r="F40" s="13" t="s">
        <v>989</v>
      </c>
    </row>
    <row r="41" spans="2:6" ht="33.75" customHeight="1" x14ac:dyDescent="0.3">
      <c r="B41" s="174" t="s">
        <v>1052</v>
      </c>
      <c r="C41" s="111"/>
      <c r="D41" s="10" t="s">
        <v>1053</v>
      </c>
      <c r="E41" s="10" t="s">
        <v>1054</v>
      </c>
      <c r="F41" s="10" t="s">
        <v>965</v>
      </c>
    </row>
    <row r="42" spans="2:6" ht="33.75" customHeight="1" x14ac:dyDescent="0.3">
      <c r="B42" s="173" t="s">
        <v>1055</v>
      </c>
      <c r="C42" s="133"/>
      <c r="D42" s="13" t="s">
        <v>1056</v>
      </c>
      <c r="E42" s="13" t="s">
        <v>1057</v>
      </c>
      <c r="F42" s="13" t="s">
        <v>1058</v>
      </c>
    </row>
    <row r="43" spans="2:6" ht="21" customHeight="1" x14ac:dyDescent="0.3">
      <c r="B43" s="176" t="s">
        <v>1059</v>
      </c>
      <c r="C43" s="177"/>
      <c r="D43" s="177"/>
      <c r="E43" s="177"/>
      <c r="F43" s="135"/>
    </row>
    <row r="44" spans="2:6" ht="19.95" customHeight="1" x14ac:dyDescent="0.3">
      <c r="B44" s="174" t="s">
        <v>1060</v>
      </c>
      <c r="C44" s="111"/>
      <c r="D44" s="10" t="s">
        <v>1061</v>
      </c>
      <c r="E44" s="10" t="s">
        <v>1062</v>
      </c>
      <c r="F44" s="10" t="s">
        <v>974</v>
      </c>
    </row>
    <row r="45" spans="2:6" ht="19.95" customHeight="1" x14ac:dyDescent="0.3">
      <c r="B45" s="173" t="s">
        <v>1063</v>
      </c>
      <c r="C45" s="133"/>
      <c r="D45" s="13" t="s">
        <v>1064</v>
      </c>
      <c r="E45" s="13" t="s">
        <v>1065</v>
      </c>
      <c r="F45" s="13" t="s">
        <v>989</v>
      </c>
    </row>
    <row r="46" spans="2:6" ht="19.95" customHeight="1" x14ac:dyDescent="0.3">
      <c r="B46" s="174" t="s">
        <v>1066</v>
      </c>
      <c r="C46" s="111"/>
      <c r="D46" s="10" t="s">
        <v>1067</v>
      </c>
      <c r="E46" s="10" t="s">
        <v>1068</v>
      </c>
      <c r="F46" s="10" t="s">
        <v>1069</v>
      </c>
    </row>
    <row r="47" spans="2:6" ht="19.95" customHeight="1" x14ac:dyDescent="0.3">
      <c r="B47" s="173" t="s">
        <v>1070</v>
      </c>
      <c r="C47" s="133"/>
      <c r="D47" s="13" t="s">
        <v>1071</v>
      </c>
      <c r="E47" s="13" t="s">
        <v>1072</v>
      </c>
      <c r="F47" s="13" t="s">
        <v>965</v>
      </c>
    </row>
    <row r="48" spans="2:6" ht="21" customHeight="1" x14ac:dyDescent="0.3">
      <c r="B48" s="176" t="s">
        <v>1073</v>
      </c>
      <c r="C48" s="177"/>
      <c r="D48" s="177"/>
      <c r="E48" s="177"/>
      <c r="F48" s="135"/>
    </row>
    <row r="49" spans="2:6" ht="19.95" customHeight="1" x14ac:dyDescent="0.3">
      <c r="B49" s="174" t="s">
        <v>1074</v>
      </c>
      <c r="C49" s="111"/>
      <c r="D49" s="10" t="s">
        <v>1075</v>
      </c>
      <c r="E49" s="10" t="s">
        <v>1076</v>
      </c>
      <c r="F49" s="10" t="s">
        <v>989</v>
      </c>
    </row>
    <row r="50" spans="2:6" ht="19.95" customHeight="1" x14ac:dyDescent="0.3">
      <c r="B50" s="173" t="s">
        <v>1077</v>
      </c>
      <c r="C50" s="133"/>
      <c r="D50" s="13" t="s">
        <v>1078</v>
      </c>
      <c r="E50" s="13" t="s">
        <v>1079</v>
      </c>
      <c r="F50" s="13" t="s">
        <v>1080</v>
      </c>
    </row>
    <row r="51" spans="2:6" ht="33.75" customHeight="1" x14ac:dyDescent="0.3">
      <c r="B51" s="174" t="s">
        <v>1081</v>
      </c>
      <c r="C51" s="111"/>
      <c r="D51" s="10" t="s">
        <v>1082</v>
      </c>
      <c r="E51" s="10" t="s">
        <v>1083</v>
      </c>
      <c r="F51" s="10" t="s">
        <v>1084</v>
      </c>
    </row>
    <row r="52" spans="2:6" ht="19.95" customHeight="1" x14ac:dyDescent="0.3">
      <c r="B52" s="173" t="s">
        <v>1085</v>
      </c>
      <c r="C52" s="133"/>
      <c r="D52" s="13" t="s">
        <v>1086</v>
      </c>
      <c r="E52" s="13" t="s">
        <v>1087</v>
      </c>
      <c r="F52" s="13" t="s">
        <v>965</v>
      </c>
    </row>
    <row r="53" spans="2:6" ht="19.95" customHeight="1" x14ac:dyDescent="0.3">
      <c r="B53" s="174" t="s">
        <v>1088</v>
      </c>
      <c r="C53" s="111"/>
      <c r="D53" s="10" t="s">
        <v>1089</v>
      </c>
      <c r="E53" s="10" t="s">
        <v>1090</v>
      </c>
      <c r="F53" s="10" t="s">
        <v>965</v>
      </c>
    </row>
    <row r="54" spans="2:6" ht="21" customHeight="1" x14ac:dyDescent="0.3">
      <c r="B54" s="176" t="s">
        <v>1091</v>
      </c>
      <c r="C54" s="177"/>
      <c r="D54" s="177"/>
      <c r="E54" s="177"/>
      <c r="F54" s="135"/>
    </row>
    <row r="55" spans="2:6" ht="19.95" customHeight="1" x14ac:dyDescent="0.3">
      <c r="B55" s="174" t="s">
        <v>1092</v>
      </c>
      <c r="C55" s="111"/>
      <c r="D55" s="10" t="s">
        <v>1093</v>
      </c>
      <c r="E55" s="10" t="s">
        <v>1094</v>
      </c>
      <c r="F55" s="10" t="s">
        <v>1095</v>
      </c>
    </row>
    <row r="56" spans="2:6" ht="19.95" customHeight="1" x14ac:dyDescent="0.3">
      <c r="B56" s="173" t="s">
        <v>1096</v>
      </c>
      <c r="C56" s="133"/>
      <c r="D56" s="13" t="s">
        <v>1097</v>
      </c>
      <c r="E56" s="13" t="s">
        <v>1098</v>
      </c>
      <c r="F56" s="13" t="s">
        <v>974</v>
      </c>
    </row>
    <row r="57" spans="2:6" ht="19.95" customHeight="1" x14ac:dyDescent="0.3">
      <c r="B57" s="174" t="s">
        <v>1099</v>
      </c>
      <c r="C57" s="111"/>
      <c r="D57" s="10" t="s">
        <v>1100</v>
      </c>
      <c r="E57" s="10" t="s">
        <v>1101</v>
      </c>
      <c r="F57" s="10" t="s">
        <v>974</v>
      </c>
    </row>
    <row r="58" spans="2:6" ht="19.95" customHeight="1" x14ac:dyDescent="0.3">
      <c r="B58" s="173" t="s">
        <v>1102</v>
      </c>
      <c r="C58" s="133"/>
      <c r="D58" s="13" t="s">
        <v>1103</v>
      </c>
      <c r="E58" s="13" t="s">
        <v>1104</v>
      </c>
      <c r="F58" s="13" t="s">
        <v>965</v>
      </c>
    </row>
    <row r="59" spans="2:6" ht="19.95" customHeight="1" x14ac:dyDescent="0.3">
      <c r="B59" s="174" t="s">
        <v>1105</v>
      </c>
      <c r="C59" s="111"/>
      <c r="D59" s="10" t="s">
        <v>1106</v>
      </c>
      <c r="E59" s="10" t="s">
        <v>1107</v>
      </c>
      <c r="F59" s="10" t="s">
        <v>965</v>
      </c>
    </row>
    <row r="60" spans="2:6" ht="33.75" customHeight="1" x14ac:dyDescent="0.3">
      <c r="B60" s="173" t="s">
        <v>1108</v>
      </c>
      <c r="C60" s="133"/>
      <c r="D60" s="13" t="s">
        <v>1109</v>
      </c>
      <c r="E60" s="13" t="s">
        <v>1110</v>
      </c>
      <c r="F60" s="13" t="s">
        <v>1111</v>
      </c>
    </row>
    <row r="61" spans="2:6" ht="19.95" customHeight="1" x14ac:dyDescent="0.3">
      <c r="B61" s="174" t="s">
        <v>1112</v>
      </c>
      <c r="C61" s="111"/>
      <c r="D61" s="10" t="s">
        <v>1113</v>
      </c>
      <c r="E61" s="10" t="s">
        <v>1114</v>
      </c>
      <c r="F61" s="10" t="s">
        <v>969</v>
      </c>
    </row>
    <row r="62" spans="2:6" ht="6" customHeight="1" x14ac:dyDescent="0.3"/>
    <row r="63" spans="2:6" ht="12" customHeight="1" x14ac:dyDescent="0.3"/>
    <row r="64" spans="2:6" ht="27" customHeight="1" x14ac:dyDescent="0.3">
      <c r="B64" s="128" t="s">
        <v>1115</v>
      </c>
      <c r="C64" s="124"/>
      <c r="D64" s="124"/>
      <c r="E64" s="124"/>
      <c r="F64" s="124"/>
    </row>
    <row r="65" spans="2:6" ht="4.95" customHeight="1" x14ac:dyDescent="0.3"/>
    <row r="66" spans="2:6" ht="19.350000000000001" customHeight="1" x14ac:dyDescent="0.3">
      <c r="B66" s="129" t="s">
        <v>1116</v>
      </c>
      <c r="C66" s="113"/>
      <c r="D66" s="113"/>
      <c r="E66" s="113"/>
      <c r="F66" s="113"/>
    </row>
    <row r="67" spans="2:6" ht="22.05" customHeight="1" x14ac:dyDescent="0.3">
      <c r="B67" s="144" t="s">
        <v>1117</v>
      </c>
      <c r="C67" s="145"/>
      <c r="D67" s="7" t="s">
        <v>772</v>
      </c>
      <c r="E67" s="7" t="s">
        <v>1118</v>
      </c>
      <c r="F67" s="7" t="s">
        <v>1119</v>
      </c>
    </row>
    <row r="68" spans="2:6" ht="19.95" customHeight="1" x14ac:dyDescent="0.3">
      <c r="B68" s="174" t="s">
        <v>1120</v>
      </c>
      <c r="C68" s="111"/>
      <c r="D68" s="10" t="s">
        <v>1121</v>
      </c>
      <c r="E68" s="23" t="s">
        <v>1122</v>
      </c>
      <c r="F68" s="10" t="s">
        <v>1123</v>
      </c>
    </row>
    <row r="69" spans="2:6" ht="33.75" customHeight="1" x14ac:dyDescent="0.3">
      <c r="B69" s="173" t="s">
        <v>1124</v>
      </c>
      <c r="C69" s="133"/>
      <c r="D69" s="13" t="s">
        <v>1125</v>
      </c>
      <c r="E69" s="23" t="s">
        <v>1126</v>
      </c>
      <c r="F69" s="13" t="s">
        <v>1127</v>
      </c>
    </row>
    <row r="70" spans="2:6" ht="19.95" customHeight="1" x14ac:dyDescent="0.3">
      <c r="B70" s="174" t="s">
        <v>1128</v>
      </c>
      <c r="C70" s="111"/>
      <c r="D70" s="10" t="s">
        <v>1129</v>
      </c>
      <c r="E70" s="23" t="s">
        <v>1130</v>
      </c>
      <c r="F70" s="10" t="s">
        <v>1131</v>
      </c>
    </row>
    <row r="71" spans="2:6" ht="19.95" customHeight="1" x14ac:dyDescent="0.3">
      <c r="B71" s="173" t="s">
        <v>1132</v>
      </c>
      <c r="C71" s="133"/>
      <c r="D71" s="13" t="s">
        <v>1133</v>
      </c>
      <c r="E71" s="23" t="s">
        <v>1134</v>
      </c>
      <c r="F71" s="13" t="s">
        <v>1135</v>
      </c>
    </row>
    <row r="72" spans="2:6" ht="19.95" customHeight="1" x14ac:dyDescent="0.3">
      <c r="B72" s="174" t="s">
        <v>1136</v>
      </c>
      <c r="C72" s="111"/>
      <c r="D72" s="10" t="s">
        <v>1137</v>
      </c>
      <c r="E72" s="23" t="s">
        <v>1138</v>
      </c>
      <c r="F72" s="10" t="s">
        <v>1139</v>
      </c>
    </row>
    <row r="73" spans="2:6" ht="19.95" customHeight="1" x14ac:dyDescent="0.3">
      <c r="B73" s="173" t="s">
        <v>1140</v>
      </c>
      <c r="C73" s="133"/>
      <c r="D73" s="13" t="s">
        <v>1141</v>
      </c>
      <c r="E73" s="23" t="s">
        <v>1142</v>
      </c>
      <c r="F73" s="13" t="s">
        <v>1143</v>
      </c>
    </row>
    <row r="74" spans="2:6" ht="19.95" customHeight="1" x14ac:dyDescent="0.3">
      <c r="B74" s="174" t="s">
        <v>1144</v>
      </c>
      <c r="C74" s="111"/>
      <c r="D74" s="10" t="s">
        <v>1145</v>
      </c>
      <c r="E74" s="23" t="s">
        <v>1146</v>
      </c>
      <c r="F74" s="10" t="s">
        <v>1147</v>
      </c>
    </row>
    <row r="75" spans="2:6" ht="19.95" customHeight="1" x14ac:dyDescent="0.3">
      <c r="B75" s="173" t="s">
        <v>1148</v>
      </c>
      <c r="C75" s="133"/>
      <c r="D75" s="13" t="s">
        <v>1149</v>
      </c>
      <c r="E75" s="23" t="s">
        <v>1150</v>
      </c>
      <c r="F75" s="13" t="s">
        <v>91</v>
      </c>
    </row>
    <row r="76" spans="2:6" ht="19.95" customHeight="1" x14ac:dyDescent="0.3">
      <c r="B76" s="174" t="s">
        <v>1151</v>
      </c>
      <c r="C76" s="111"/>
      <c r="D76" s="10" t="s">
        <v>1152</v>
      </c>
      <c r="E76" s="23" t="s">
        <v>1153</v>
      </c>
      <c r="F76" s="10" t="s">
        <v>1154</v>
      </c>
    </row>
    <row r="77" spans="2:6" ht="19.95" customHeight="1" x14ac:dyDescent="0.3">
      <c r="B77" s="173" t="s">
        <v>1155</v>
      </c>
      <c r="C77" s="133"/>
      <c r="D77" s="13" t="s">
        <v>1156</v>
      </c>
      <c r="E77" s="23" t="s">
        <v>1157</v>
      </c>
      <c r="F77" s="13" t="s">
        <v>1158</v>
      </c>
    </row>
    <row r="78" spans="2:6" ht="19.95" customHeight="1" x14ac:dyDescent="0.3">
      <c r="B78" s="174" t="s">
        <v>1159</v>
      </c>
      <c r="C78" s="111"/>
      <c r="D78" s="10" t="s">
        <v>1160</v>
      </c>
      <c r="E78" s="23" t="s">
        <v>1161</v>
      </c>
      <c r="F78" s="10" t="s">
        <v>1162</v>
      </c>
    </row>
    <row r="79" spans="2:6" ht="19.95" customHeight="1" x14ac:dyDescent="0.3">
      <c r="B79" s="173" t="s">
        <v>1163</v>
      </c>
      <c r="C79" s="133"/>
      <c r="D79" s="13" t="s">
        <v>1164</v>
      </c>
      <c r="E79" s="23" t="s">
        <v>1165</v>
      </c>
      <c r="F79" s="13" t="s">
        <v>1166</v>
      </c>
    </row>
    <row r="80" spans="2:6" ht="6" customHeight="1" x14ac:dyDescent="0.3"/>
    <row r="81" spans="2:6" ht="12" customHeight="1" x14ac:dyDescent="0.3"/>
    <row r="82" spans="2:6" ht="27" customHeight="1" x14ac:dyDescent="0.3">
      <c r="B82" s="128" t="s">
        <v>1167</v>
      </c>
      <c r="C82" s="124"/>
      <c r="D82" s="124"/>
      <c r="E82" s="124"/>
      <c r="F82" s="124"/>
    </row>
    <row r="83" spans="2:6" ht="4.95" customHeight="1" x14ac:dyDescent="0.3"/>
    <row r="84" spans="2:6" ht="22.05" customHeight="1" x14ac:dyDescent="0.3">
      <c r="B84" s="144" t="s">
        <v>1168</v>
      </c>
      <c r="C84" s="145"/>
      <c r="D84" s="144" t="s">
        <v>1169</v>
      </c>
      <c r="E84" s="145"/>
      <c r="F84" s="7" t="s">
        <v>416</v>
      </c>
    </row>
    <row r="85" spans="2:6" ht="19.95" customHeight="1" x14ac:dyDescent="0.3">
      <c r="B85" s="174" t="s">
        <v>1170</v>
      </c>
      <c r="C85" s="111"/>
      <c r="D85" s="130" t="s">
        <v>1171</v>
      </c>
      <c r="E85" s="111"/>
      <c r="F85" s="10" t="s">
        <v>1172</v>
      </c>
    </row>
    <row r="86" spans="2:6" ht="48.15" customHeight="1" x14ac:dyDescent="0.3">
      <c r="B86" s="173" t="s">
        <v>1173</v>
      </c>
      <c r="C86" s="133"/>
      <c r="D86" s="132" t="s">
        <v>1174</v>
      </c>
      <c r="E86" s="133"/>
      <c r="F86" s="13" t="s">
        <v>1175</v>
      </c>
    </row>
    <row r="87" spans="2:6" ht="19.95" customHeight="1" x14ac:dyDescent="0.3">
      <c r="B87" s="174" t="s">
        <v>830</v>
      </c>
      <c r="C87" s="111"/>
      <c r="D87" s="130" t="s">
        <v>831</v>
      </c>
      <c r="E87" s="111"/>
      <c r="F87" s="10" t="s">
        <v>1176</v>
      </c>
    </row>
    <row r="88" spans="2:6" ht="33.75" customHeight="1" x14ac:dyDescent="0.3">
      <c r="B88" s="173" t="s">
        <v>1177</v>
      </c>
      <c r="C88" s="133"/>
      <c r="D88" s="132" t="s">
        <v>1178</v>
      </c>
      <c r="E88" s="133"/>
      <c r="F88" s="13" t="s">
        <v>1179</v>
      </c>
    </row>
    <row r="89" spans="2:6" ht="19.95" customHeight="1" x14ac:dyDescent="0.3">
      <c r="B89" s="174" t="s">
        <v>1180</v>
      </c>
      <c r="C89" s="111"/>
      <c r="D89" s="130" t="s">
        <v>1181</v>
      </c>
      <c r="E89" s="111"/>
      <c r="F89" s="10" t="s">
        <v>1182</v>
      </c>
    </row>
    <row r="90" spans="2:6" ht="19.95" customHeight="1" x14ac:dyDescent="0.3">
      <c r="B90" s="173" t="s">
        <v>1183</v>
      </c>
      <c r="C90" s="133"/>
      <c r="D90" s="132" t="s">
        <v>1184</v>
      </c>
      <c r="E90" s="133"/>
      <c r="F90" s="13" t="s">
        <v>1185</v>
      </c>
    </row>
    <row r="91" spans="2:6" ht="19.95" customHeight="1" x14ac:dyDescent="0.3">
      <c r="B91" s="174" t="s">
        <v>826</v>
      </c>
      <c r="C91" s="111"/>
      <c r="D91" s="130" t="s">
        <v>827</v>
      </c>
      <c r="E91" s="111"/>
      <c r="F91" s="10" t="s">
        <v>1186</v>
      </c>
    </row>
    <row r="92" spans="2:6" ht="19.95" customHeight="1" x14ac:dyDescent="0.3">
      <c r="B92" s="173" t="s">
        <v>1187</v>
      </c>
      <c r="C92" s="133"/>
      <c r="D92" s="132" t="s">
        <v>755</v>
      </c>
      <c r="E92" s="133"/>
      <c r="F92" s="13" t="s">
        <v>1188</v>
      </c>
    </row>
    <row r="93" spans="2:6" ht="33.75" customHeight="1" x14ac:dyDescent="0.3">
      <c r="B93" s="174" t="s">
        <v>1189</v>
      </c>
      <c r="C93" s="111"/>
      <c r="D93" s="130" t="s">
        <v>1190</v>
      </c>
      <c r="E93" s="111"/>
      <c r="F93" s="10" t="s">
        <v>1191</v>
      </c>
    </row>
    <row r="94" spans="2:6" ht="6" customHeight="1" x14ac:dyDescent="0.3"/>
    <row r="95" spans="2:6" ht="12" customHeight="1" x14ac:dyDescent="0.3"/>
    <row r="96" spans="2:6" ht="27" customHeight="1" x14ac:dyDescent="0.3">
      <c r="B96" s="128" t="s">
        <v>1192</v>
      </c>
      <c r="C96" s="124"/>
      <c r="D96" s="124"/>
      <c r="E96" s="124"/>
      <c r="F96" s="124"/>
    </row>
    <row r="97" spans="2:6" ht="4.95" customHeight="1" x14ac:dyDescent="0.3"/>
    <row r="98" spans="2:6" ht="22.05" customHeight="1" x14ac:dyDescent="0.3">
      <c r="B98" s="144" t="s">
        <v>1193</v>
      </c>
      <c r="C98" s="145"/>
      <c r="D98" s="7" t="s">
        <v>415</v>
      </c>
      <c r="E98" s="7" t="s">
        <v>1194</v>
      </c>
      <c r="F98" s="7" t="s">
        <v>1195</v>
      </c>
    </row>
    <row r="99" spans="2:6" ht="19.95" customHeight="1" x14ac:dyDescent="0.3">
      <c r="B99" s="149" t="s">
        <v>1196</v>
      </c>
      <c r="C99" s="137"/>
      <c r="D99" s="10" t="s">
        <v>1197</v>
      </c>
      <c r="E99" s="10" t="s">
        <v>1198</v>
      </c>
      <c r="F99" s="10" t="s">
        <v>1199</v>
      </c>
    </row>
    <row r="100" spans="2:6" ht="19.95" customHeight="1" x14ac:dyDescent="0.3">
      <c r="B100" s="149" t="s">
        <v>1200</v>
      </c>
      <c r="C100" s="137"/>
      <c r="D100" s="13" t="s">
        <v>1201</v>
      </c>
      <c r="E100" s="13" t="s">
        <v>1202</v>
      </c>
      <c r="F100" s="13" t="s">
        <v>1203</v>
      </c>
    </row>
    <row r="101" spans="2:6" ht="33.75" customHeight="1" x14ac:dyDescent="0.3">
      <c r="B101" s="149" t="s">
        <v>1204</v>
      </c>
      <c r="C101" s="137"/>
      <c r="D101" s="10" t="s">
        <v>1205</v>
      </c>
      <c r="E101" s="10" t="s">
        <v>1206</v>
      </c>
      <c r="F101" s="10" t="s">
        <v>1207</v>
      </c>
    </row>
    <row r="102" spans="2:6" ht="19.95" customHeight="1" x14ac:dyDescent="0.3">
      <c r="B102" s="149" t="s">
        <v>1208</v>
      </c>
      <c r="C102" s="137"/>
      <c r="D102" s="13" t="s">
        <v>1209</v>
      </c>
      <c r="E102" s="13" t="s">
        <v>1210</v>
      </c>
      <c r="F102" s="13" t="s">
        <v>1211</v>
      </c>
    </row>
    <row r="103" spans="2:6" ht="33.75" customHeight="1" x14ac:dyDescent="0.3">
      <c r="B103" s="149" t="s">
        <v>1212</v>
      </c>
      <c r="C103" s="137"/>
      <c r="D103" s="10" t="s">
        <v>1213</v>
      </c>
      <c r="E103" s="10" t="s">
        <v>1214</v>
      </c>
      <c r="F103" s="10" t="s">
        <v>1215</v>
      </c>
    </row>
    <row r="104" spans="2:6" ht="19.95" customHeight="1" x14ac:dyDescent="0.3">
      <c r="B104" s="149" t="s">
        <v>1216</v>
      </c>
      <c r="C104" s="137"/>
      <c r="D104" s="13" t="s">
        <v>1217</v>
      </c>
      <c r="E104" s="13" t="s">
        <v>1218</v>
      </c>
      <c r="F104" s="13" t="s">
        <v>1219</v>
      </c>
    </row>
    <row r="105" spans="2:6" ht="19.95" customHeight="1" x14ac:dyDescent="0.3">
      <c r="B105" s="149" t="s">
        <v>1220</v>
      </c>
      <c r="C105" s="137"/>
      <c r="D105" s="10" t="s">
        <v>1221</v>
      </c>
      <c r="E105" s="10" t="s">
        <v>1222</v>
      </c>
      <c r="F105" s="10" t="s">
        <v>1223</v>
      </c>
    </row>
    <row r="106" spans="2:6" ht="19.95" customHeight="1" x14ac:dyDescent="0.3">
      <c r="B106" s="149" t="s">
        <v>1224</v>
      </c>
      <c r="C106" s="137"/>
      <c r="D106" s="13" t="s">
        <v>1225</v>
      </c>
      <c r="E106" s="13" t="s">
        <v>1226</v>
      </c>
      <c r="F106" s="13" t="s">
        <v>1227</v>
      </c>
    </row>
    <row r="107" spans="2:6" ht="19.95" customHeight="1" x14ac:dyDescent="0.3">
      <c r="B107" s="149" t="s">
        <v>1228</v>
      </c>
      <c r="C107" s="137"/>
      <c r="D107" s="10" t="s">
        <v>1229</v>
      </c>
      <c r="E107" s="10" t="s">
        <v>1230</v>
      </c>
      <c r="F107" s="10" t="s">
        <v>1231</v>
      </c>
    </row>
    <row r="108" spans="2:6" ht="19.95" customHeight="1" x14ac:dyDescent="0.3">
      <c r="B108" s="149" t="s">
        <v>1232</v>
      </c>
      <c r="C108" s="137"/>
      <c r="D108" s="13" t="s">
        <v>1233</v>
      </c>
      <c r="E108" s="13" t="s">
        <v>1234</v>
      </c>
      <c r="F108" s="13" t="s">
        <v>1235</v>
      </c>
    </row>
    <row r="109" spans="2:6" ht="6" customHeight="1" x14ac:dyDescent="0.3"/>
    <row r="110" spans="2:6" ht="22.05" customHeight="1" x14ac:dyDescent="0.3">
      <c r="B110" s="22" t="s">
        <v>62</v>
      </c>
      <c r="C110" s="152" t="s">
        <v>1236</v>
      </c>
      <c r="D110" s="153"/>
      <c r="E110" s="153"/>
      <c r="F110" s="105"/>
    </row>
    <row r="111" spans="2:6" ht="4.95" customHeight="1" x14ac:dyDescent="0.3"/>
  </sheetData>
  <mergeCells count="108">
    <mergeCell ref="B73:C73"/>
    <mergeCell ref="B87:C87"/>
    <mergeCell ref="D87:E87"/>
    <mergeCell ref="B38:F38"/>
    <mergeCell ref="B10:C10"/>
    <mergeCell ref="B74:C74"/>
    <mergeCell ref="B68:C68"/>
    <mergeCell ref="B64:F64"/>
    <mergeCell ref="B36:C36"/>
    <mergeCell ref="B50:C50"/>
    <mergeCell ref="B26:F26"/>
    <mergeCell ref="B35:F35"/>
    <mergeCell ref="B1:F1"/>
    <mergeCell ref="B17:C17"/>
    <mergeCell ref="B57:C57"/>
    <mergeCell ref="B88:C88"/>
    <mergeCell ref="B13:F13"/>
    <mergeCell ref="D91:E91"/>
    <mergeCell ref="B44:C44"/>
    <mergeCell ref="B19:C19"/>
    <mergeCell ref="B34:C34"/>
    <mergeCell ref="B28:C28"/>
    <mergeCell ref="B2:E2"/>
    <mergeCell ref="B9:C9"/>
    <mergeCell ref="B30:C30"/>
    <mergeCell ref="B20:C20"/>
    <mergeCell ref="B76:C76"/>
    <mergeCell ref="B45:C45"/>
    <mergeCell ref="B85:C85"/>
    <mergeCell ref="D85:E85"/>
    <mergeCell ref="B75:C75"/>
    <mergeCell ref="B47:C47"/>
    <mergeCell ref="B59:C59"/>
    <mergeCell ref="B46:C46"/>
    <mergeCell ref="B66:F66"/>
    <mergeCell ref="B39:C39"/>
    <mergeCell ref="B89:C89"/>
    <mergeCell ref="D89:E89"/>
    <mergeCell ref="B79:C79"/>
    <mergeCell ref="B4:F4"/>
    <mergeCell ref="C110:F110"/>
    <mergeCell ref="B7:C7"/>
    <mergeCell ref="B72:C72"/>
    <mergeCell ref="B56:C56"/>
    <mergeCell ref="B71:C71"/>
    <mergeCell ref="B105:C105"/>
    <mergeCell ref="B58:C58"/>
    <mergeCell ref="B52:C52"/>
    <mergeCell ref="B48:F48"/>
    <mergeCell ref="B98:C98"/>
    <mergeCell ref="B42:C42"/>
    <mergeCell ref="B107:C107"/>
    <mergeCell ref="B60:C60"/>
    <mergeCell ref="B99:C99"/>
    <mergeCell ref="D93:E93"/>
    <mergeCell ref="B108:C108"/>
    <mergeCell ref="B92:C92"/>
    <mergeCell ref="D92:E92"/>
    <mergeCell ref="B70:C70"/>
    <mergeCell ref="B23:C23"/>
    <mergeCell ref="B6:F6"/>
    <mergeCell ref="B33:C33"/>
    <mergeCell ref="B104:C104"/>
    <mergeCell ref="B51:C51"/>
    <mergeCell ref="B32:C32"/>
    <mergeCell ref="B41:C41"/>
    <mergeCell ref="D88:E88"/>
    <mergeCell ref="B106:C106"/>
    <mergeCell ref="B16:C16"/>
    <mergeCell ref="B25:C25"/>
    <mergeCell ref="B54:F54"/>
    <mergeCell ref="B90:C90"/>
    <mergeCell ref="D90:E90"/>
    <mergeCell ref="B27:C27"/>
    <mergeCell ref="B96:F96"/>
    <mergeCell ref="B43:F43"/>
    <mergeCell ref="B11:C11"/>
    <mergeCell ref="B8:F8"/>
    <mergeCell ref="B53:C53"/>
    <mergeCell ref="B82:F82"/>
    <mergeCell ref="B29:C29"/>
    <mergeCell ref="B103:C103"/>
    <mergeCell ref="B37:C37"/>
    <mergeCell ref="B84:C84"/>
    <mergeCell ref="B91:C91"/>
    <mergeCell ref="B100:C100"/>
    <mergeCell ref="B22:C22"/>
    <mergeCell ref="D84:E84"/>
    <mergeCell ref="B93:C93"/>
    <mergeCell ref="B31:C31"/>
    <mergeCell ref="B102:C102"/>
    <mergeCell ref="B18:F18"/>
    <mergeCell ref="B12:C12"/>
    <mergeCell ref="B77:C77"/>
    <mergeCell ref="B21:C21"/>
    <mergeCell ref="B86:C86"/>
    <mergeCell ref="D86:E86"/>
    <mergeCell ref="B67:C67"/>
    <mergeCell ref="B61:C61"/>
    <mergeCell ref="B101:C101"/>
    <mergeCell ref="B14:C14"/>
    <mergeCell ref="B69:C69"/>
    <mergeCell ref="B78:C78"/>
    <mergeCell ref="B40:C40"/>
    <mergeCell ref="B49:C49"/>
    <mergeCell ref="B55:C55"/>
    <mergeCell ref="B24:C24"/>
    <mergeCell ref="B15:C15"/>
  </mergeCells>
  <phoneticPr fontId="27"/>
  <hyperlinks>
    <hyperlink ref="F2" location="'目次'!A1" display="▲ 目次へ戻る" xr:uid="{00000000-0004-0000-05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F72:F73 F75"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04040"/>
    <pageSetUpPr fitToPage="1"/>
  </sheetPr>
  <dimension ref="B1:F750"/>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1237</v>
      </c>
      <c r="C1" s="118"/>
      <c r="D1" s="118"/>
      <c r="E1" s="118"/>
      <c r="F1" s="118"/>
    </row>
    <row r="2" spans="2:6" ht="24" customHeight="1" x14ac:dyDescent="0.3">
      <c r="B2" s="141" t="s">
        <v>1238</v>
      </c>
      <c r="C2" s="113"/>
      <c r="D2" s="113"/>
      <c r="E2" s="113"/>
      <c r="F2" s="4" t="s">
        <v>38</v>
      </c>
    </row>
    <row r="3" spans="2:6" ht="12" customHeight="1" x14ac:dyDescent="0.3"/>
    <row r="4" spans="2:6" ht="27" customHeight="1" x14ac:dyDescent="0.3">
      <c r="B4" s="128" t="s">
        <v>1239</v>
      </c>
      <c r="C4" s="124"/>
      <c r="D4" s="124"/>
      <c r="E4" s="124"/>
      <c r="F4" s="124"/>
    </row>
    <row r="5" spans="2:6" ht="4.95" customHeight="1" x14ac:dyDescent="0.3"/>
    <row r="6" spans="2:6" ht="19.350000000000001" customHeight="1" x14ac:dyDescent="0.3">
      <c r="B6" s="129" t="s">
        <v>1240</v>
      </c>
      <c r="C6" s="113"/>
      <c r="D6" s="113"/>
      <c r="E6" s="113"/>
      <c r="F6" s="113"/>
    </row>
    <row r="7" spans="2:6" ht="22.05" customHeight="1" x14ac:dyDescent="0.3">
      <c r="B7" s="144" t="s">
        <v>1241</v>
      </c>
      <c r="C7" s="171"/>
      <c r="D7" s="145"/>
      <c r="E7" s="7" t="s">
        <v>1242</v>
      </c>
      <c r="F7" s="7" t="s">
        <v>1243</v>
      </c>
    </row>
    <row r="8" spans="2:6" ht="19.95" customHeight="1" x14ac:dyDescent="0.3">
      <c r="B8" s="174" t="s">
        <v>1244</v>
      </c>
      <c r="C8" s="110"/>
      <c r="D8" s="111"/>
      <c r="E8" s="10" t="s">
        <v>1245</v>
      </c>
      <c r="F8" s="10" t="s">
        <v>841</v>
      </c>
    </row>
    <row r="9" spans="2:6" ht="19.95" customHeight="1" x14ac:dyDescent="0.3">
      <c r="B9" s="174" t="s">
        <v>1246</v>
      </c>
      <c r="C9" s="110"/>
      <c r="D9" s="111"/>
      <c r="E9" s="10" t="s">
        <v>1247</v>
      </c>
      <c r="F9" s="10" t="s">
        <v>958</v>
      </c>
    </row>
    <row r="10" spans="2:6" ht="19.95" customHeight="1" x14ac:dyDescent="0.3">
      <c r="B10" s="130" t="s">
        <v>1248</v>
      </c>
      <c r="C10" s="110"/>
      <c r="D10" s="111"/>
      <c r="E10" s="10" t="s">
        <v>1249</v>
      </c>
      <c r="F10" s="10" t="s">
        <v>848</v>
      </c>
    </row>
    <row r="11" spans="2:6" ht="19.95" customHeight="1" x14ac:dyDescent="0.3">
      <c r="B11" s="130" t="s">
        <v>1250</v>
      </c>
      <c r="C11" s="110"/>
      <c r="D11" s="111"/>
      <c r="E11" s="10" t="s">
        <v>1251</v>
      </c>
      <c r="F11" s="10" t="s">
        <v>856</v>
      </c>
    </row>
    <row r="12" spans="2:6" ht="19.95" customHeight="1" x14ac:dyDescent="0.3">
      <c r="B12" s="130" t="s">
        <v>1252</v>
      </c>
      <c r="C12" s="110"/>
      <c r="D12" s="111"/>
      <c r="E12" s="10" t="s">
        <v>1253</v>
      </c>
      <c r="F12" s="10" t="s">
        <v>1254</v>
      </c>
    </row>
    <row r="13" spans="2:6" ht="19.95" customHeight="1" x14ac:dyDescent="0.3">
      <c r="B13" s="130" t="s">
        <v>1255</v>
      </c>
      <c r="C13" s="110"/>
      <c r="D13" s="111"/>
      <c r="E13" s="10" t="s">
        <v>1256</v>
      </c>
      <c r="F13" s="10" t="s">
        <v>1257</v>
      </c>
    </row>
    <row r="14" spans="2:6" ht="19.95" customHeight="1" x14ac:dyDescent="0.3">
      <c r="B14" s="130" t="s">
        <v>1258</v>
      </c>
      <c r="C14" s="110"/>
      <c r="D14" s="111"/>
      <c r="E14" s="10" t="s">
        <v>1259</v>
      </c>
      <c r="F14" s="10" t="s">
        <v>1257</v>
      </c>
    </row>
    <row r="15" spans="2:6" ht="19.95" customHeight="1" x14ac:dyDescent="0.3">
      <c r="B15" s="130" t="s">
        <v>1260</v>
      </c>
      <c r="C15" s="110"/>
      <c r="D15" s="111"/>
      <c r="E15" s="10" t="s">
        <v>1261</v>
      </c>
      <c r="F15" s="10" t="s">
        <v>1262</v>
      </c>
    </row>
    <row r="16" spans="2:6" ht="19.95" customHeight="1" x14ac:dyDescent="0.3">
      <c r="B16" s="130" t="s">
        <v>1263</v>
      </c>
      <c r="C16" s="110"/>
      <c r="D16" s="111"/>
      <c r="E16" s="10" t="s">
        <v>1264</v>
      </c>
      <c r="F16" s="10" t="s">
        <v>1262</v>
      </c>
    </row>
    <row r="17" spans="2:6" ht="19.95" customHeight="1" x14ac:dyDescent="0.3">
      <c r="B17" s="174" t="s">
        <v>1265</v>
      </c>
      <c r="C17" s="110"/>
      <c r="D17" s="111"/>
      <c r="E17" s="10" t="s">
        <v>1266</v>
      </c>
      <c r="F17" s="10" t="s">
        <v>880</v>
      </c>
    </row>
    <row r="18" spans="2:6" ht="19.95" customHeight="1" x14ac:dyDescent="0.3">
      <c r="B18" s="130" t="s">
        <v>1267</v>
      </c>
      <c r="C18" s="110"/>
      <c r="D18" s="111"/>
      <c r="E18" s="10" t="s">
        <v>1268</v>
      </c>
      <c r="F18" s="10" t="s">
        <v>856</v>
      </c>
    </row>
    <row r="19" spans="2:6" ht="19.95" customHeight="1" x14ac:dyDescent="0.3">
      <c r="B19" s="130" t="s">
        <v>1269</v>
      </c>
      <c r="C19" s="110"/>
      <c r="D19" s="111"/>
      <c r="E19" s="10" t="s">
        <v>1270</v>
      </c>
      <c r="F19" s="10" t="s">
        <v>856</v>
      </c>
    </row>
    <row r="20" spans="2:6" ht="19.95" customHeight="1" x14ac:dyDescent="0.3">
      <c r="B20" s="130" t="s">
        <v>1271</v>
      </c>
      <c r="C20" s="110"/>
      <c r="D20" s="111"/>
      <c r="E20" s="10" t="s">
        <v>1272</v>
      </c>
      <c r="F20" s="10" t="s">
        <v>870</v>
      </c>
    </row>
    <row r="21" spans="2:6" ht="19.95" customHeight="1" x14ac:dyDescent="0.3">
      <c r="B21" s="130" t="s">
        <v>1273</v>
      </c>
      <c r="C21" s="110"/>
      <c r="D21" s="111"/>
      <c r="E21" s="10" t="s">
        <v>1274</v>
      </c>
      <c r="F21" s="10" t="s">
        <v>848</v>
      </c>
    </row>
    <row r="22" spans="2:6" ht="19.95" customHeight="1" x14ac:dyDescent="0.3">
      <c r="B22" s="130" t="s">
        <v>1275</v>
      </c>
      <c r="C22" s="110"/>
      <c r="D22" s="111"/>
      <c r="E22" s="10" t="s">
        <v>1276</v>
      </c>
      <c r="F22" s="10" t="s">
        <v>1262</v>
      </c>
    </row>
    <row r="23" spans="2:6" ht="19.95" customHeight="1" x14ac:dyDescent="0.3">
      <c r="B23" s="130" t="s">
        <v>1277</v>
      </c>
      <c r="C23" s="110"/>
      <c r="D23" s="111"/>
      <c r="E23" s="10" t="s">
        <v>1278</v>
      </c>
      <c r="F23" s="10" t="s">
        <v>1257</v>
      </c>
    </row>
    <row r="24" spans="2:6" ht="19.95" customHeight="1" x14ac:dyDescent="0.3">
      <c r="B24" s="130" t="s">
        <v>1279</v>
      </c>
      <c r="C24" s="110"/>
      <c r="D24" s="111"/>
      <c r="E24" s="10" t="s">
        <v>1280</v>
      </c>
      <c r="F24" s="10" t="s">
        <v>848</v>
      </c>
    </row>
    <row r="25" spans="2:6" ht="19.95" customHeight="1" x14ac:dyDescent="0.3">
      <c r="B25" s="130" t="s">
        <v>1281</v>
      </c>
      <c r="C25" s="110"/>
      <c r="D25" s="111"/>
      <c r="E25" s="10" t="s">
        <v>1282</v>
      </c>
      <c r="F25" s="10" t="s">
        <v>1262</v>
      </c>
    </row>
    <row r="26" spans="2:6" ht="19.95" customHeight="1" x14ac:dyDescent="0.3">
      <c r="B26" s="130" t="s">
        <v>1283</v>
      </c>
      <c r="C26" s="110"/>
      <c r="D26" s="111"/>
      <c r="E26" s="10" t="s">
        <v>1284</v>
      </c>
      <c r="F26" s="10" t="s">
        <v>873</v>
      </c>
    </row>
    <row r="27" spans="2:6" ht="19.95" customHeight="1" x14ac:dyDescent="0.3">
      <c r="B27" s="130" t="s">
        <v>1285</v>
      </c>
      <c r="C27" s="110"/>
      <c r="D27" s="111"/>
      <c r="E27" s="10" t="s">
        <v>1286</v>
      </c>
      <c r="F27" s="10" t="s">
        <v>873</v>
      </c>
    </row>
    <row r="28" spans="2:6" ht="19.95" customHeight="1" x14ac:dyDescent="0.3">
      <c r="B28" s="130" t="s">
        <v>1287</v>
      </c>
      <c r="C28" s="110"/>
      <c r="D28" s="111"/>
      <c r="E28" s="10" t="s">
        <v>1288</v>
      </c>
      <c r="F28" s="10" t="s">
        <v>873</v>
      </c>
    </row>
    <row r="29" spans="2:6" ht="6" customHeight="1" x14ac:dyDescent="0.3"/>
    <row r="30" spans="2:6" ht="15" customHeight="1" x14ac:dyDescent="0.3">
      <c r="B30" s="158" t="s">
        <v>1289</v>
      </c>
      <c r="C30" s="159"/>
      <c r="D30" s="159"/>
      <c r="E30" s="159"/>
      <c r="F30" s="160"/>
    </row>
    <row r="31" spans="2:6" ht="15" customHeight="1" x14ac:dyDescent="0.3">
      <c r="B31" s="161"/>
      <c r="C31" s="113"/>
      <c r="D31" s="113"/>
      <c r="E31" s="113"/>
      <c r="F31" s="162"/>
    </row>
    <row r="32" spans="2:6" ht="15" customHeight="1" x14ac:dyDescent="0.3">
      <c r="B32" s="161"/>
      <c r="C32" s="113"/>
      <c r="D32" s="113"/>
      <c r="E32" s="113"/>
      <c r="F32" s="162"/>
    </row>
    <row r="33" spans="2:6" ht="15" customHeight="1" x14ac:dyDescent="0.3">
      <c r="B33" s="161"/>
      <c r="C33" s="113"/>
      <c r="D33" s="113"/>
      <c r="E33" s="113"/>
      <c r="F33" s="162"/>
    </row>
    <row r="34" spans="2:6" ht="15" customHeight="1" x14ac:dyDescent="0.3">
      <c r="B34" s="161"/>
      <c r="C34" s="113"/>
      <c r="D34" s="113"/>
      <c r="E34" s="113"/>
      <c r="F34" s="162"/>
    </row>
    <row r="35" spans="2:6" ht="15" customHeight="1" x14ac:dyDescent="0.3">
      <c r="B35" s="161"/>
      <c r="C35" s="113"/>
      <c r="D35" s="113"/>
      <c r="E35" s="113"/>
      <c r="F35" s="162"/>
    </row>
    <row r="36" spans="2:6" ht="15" customHeight="1" x14ac:dyDescent="0.3">
      <c r="B36" s="161"/>
      <c r="C36" s="113"/>
      <c r="D36" s="113"/>
      <c r="E36" s="113"/>
      <c r="F36" s="162"/>
    </row>
    <row r="37" spans="2:6" ht="15" customHeight="1" x14ac:dyDescent="0.3">
      <c r="B37" s="161"/>
      <c r="C37" s="113"/>
      <c r="D37" s="113"/>
      <c r="E37" s="113"/>
      <c r="F37" s="162"/>
    </row>
    <row r="38" spans="2:6" ht="15" customHeight="1" x14ac:dyDescent="0.3">
      <c r="B38" s="161"/>
      <c r="C38" s="113"/>
      <c r="D38" s="113"/>
      <c r="E38" s="113"/>
      <c r="F38" s="162"/>
    </row>
    <row r="39" spans="2:6" ht="15" customHeight="1" x14ac:dyDescent="0.3">
      <c r="B39" s="161"/>
      <c r="C39" s="113"/>
      <c r="D39" s="113"/>
      <c r="E39" s="113"/>
      <c r="F39" s="162"/>
    </row>
    <row r="40" spans="2:6" ht="15" customHeight="1" x14ac:dyDescent="0.3">
      <c r="B40" s="161"/>
      <c r="C40" s="113"/>
      <c r="D40" s="113"/>
      <c r="E40" s="113"/>
      <c r="F40" s="162"/>
    </row>
    <row r="41" spans="2:6" ht="15" customHeight="1" x14ac:dyDescent="0.3">
      <c r="B41" s="161"/>
      <c r="C41" s="113"/>
      <c r="D41" s="113"/>
      <c r="E41" s="113"/>
      <c r="F41" s="162"/>
    </row>
    <row r="42" spans="2:6" ht="15" customHeight="1" x14ac:dyDescent="0.3">
      <c r="B42" s="161"/>
      <c r="C42" s="113"/>
      <c r="D42" s="113"/>
      <c r="E42" s="113"/>
      <c r="F42" s="162"/>
    </row>
    <row r="43" spans="2:6" ht="15" customHeight="1" x14ac:dyDescent="0.3">
      <c r="B43" s="161"/>
      <c r="C43" s="113"/>
      <c r="D43" s="113"/>
      <c r="E43" s="113"/>
      <c r="F43" s="162"/>
    </row>
    <row r="44" spans="2:6" ht="15" customHeight="1" x14ac:dyDescent="0.3">
      <c r="B44" s="161"/>
      <c r="C44" s="113"/>
      <c r="D44" s="113"/>
      <c r="E44" s="113"/>
      <c r="F44" s="162"/>
    </row>
    <row r="45" spans="2:6" ht="15" customHeight="1" x14ac:dyDescent="0.3">
      <c r="B45" s="161"/>
      <c r="C45" s="113"/>
      <c r="D45" s="113"/>
      <c r="E45" s="113"/>
      <c r="F45" s="162"/>
    </row>
    <row r="46" spans="2:6" ht="15" customHeight="1" x14ac:dyDescent="0.3">
      <c r="B46" s="161"/>
      <c r="C46" s="113"/>
      <c r="D46" s="113"/>
      <c r="E46" s="113"/>
      <c r="F46" s="162"/>
    </row>
    <row r="47" spans="2:6" ht="15" customHeight="1" x14ac:dyDescent="0.3">
      <c r="B47" s="161"/>
      <c r="C47" s="113"/>
      <c r="D47" s="113"/>
      <c r="E47" s="113"/>
      <c r="F47" s="162"/>
    </row>
    <row r="48" spans="2:6" ht="15" customHeight="1" x14ac:dyDescent="0.3">
      <c r="B48" s="161"/>
      <c r="C48" s="113"/>
      <c r="D48" s="113"/>
      <c r="E48" s="113"/>
      <c r="F48" s="162"/>
    </row>
    <row r="49" spans="2:6" ht="15" customHeight="1" x14ac:dyDescent="0.3">
      <c r="B49" s="161"/>
      <c r="C49" s="113"/>
      <c r="D49" s="113"/>
      <c r="E49" s="113"/>
      <c r="F49" s="162"/>
    </row>
    <row r="50" spans="2:6" ht="15" customHeight="1" x14ac:dyDescent="0.3">
      <c r="B50" s="161"/>
      <c r="C50" s="113"/>
      <c r="D50" s="113"/>
      <c r="E50" s="113"/>
      <c r="F50" s="162"/>
    </row>
    <row r="51" spans="2:6" ht="15" customHeight="1" x14ac:dyDescent="0.3">
      <c r="B51" s="161"/>
      <c r="C51" s="113"/>
      <c r="D51" s="113"/>
      <c r="E51" s="113"/>
      <c r="F51" s="162"/>
    </row>
    <row r="52" spans="2:6" ht="15" customHeight="1" x14ac:dyDescent="0.3">
      <c r="B52" s="161"/>
      <c r="C52" s="113"/>
      <c r="D52" s="113"/>
      <c r="E52" s="113"/>
      <c r="F52" s="162"/>
    </row>
    <row r="53" spans="2:6" ht="15" customHeight="1" x14ac:dyDescent="0.3">
      <c r="B53" s="163"/>
      <c r="C53" s="164"/>
      <c r="D53" s="164"/>
      <c r="E53" s="164"/>
      <c r="F53" s="165"/>
    </row>
    <row r="54" spans="2:6" ht="19.95" customHeight="1" x14ac:dyDescent="0.3">
      <c r="B54" s="151" t="s">
        <v>1290</v>
      </c>
      <c r="C54" s="113"/>
      <c r="D54" s="113"/>
      <c r="E54" s="113"/>
      <c r="F54" s="113"/>
    </row>
    <row r="55" spans="2:6" ht="6" customHeight="1" x14ac:dyDescent="0.3"/>
    <row r="56" spans="2:6" ht="33.75" customHeight="1" x14ac:dyDescent="0.3">
      <c r="B56" s="16" t="s">
        <v>64</v>
      </c>
      <c r="C56" s="152" t="s">
        <v>1291</v>
      </c>
      <c r="D56" s="153"/>
      <c r="E56" s="153"/>
      <c r="F56" s="105"/>
    </row>
    <row r="57" spans="2:6" ht="4.95" customHeight="1" x14ac:dyDescent="0.3"/>
    <row r="58" spans="2:6" ht="12" customHeight="1" x14ac:dyDescent="0.3"/>
    <row r="59" spans="2:6" ht="27" customHeight="1" x14ac:dyDescent="0.3">
      <c r="B59" s="128" t="s">
        <v>1292</v>
      </c>
      <c r="C59" s="124"/>
      <c r="D59" s="124"/>
      <c r="E59" s="124"/>
      <c r="F59" s="124"/>
    </row>
    <row r="60" spans="2:6" ht="4.95" customHeight="1" x14ac:dyDescent="0.3"/>
    <row r="61" spans="2:6" ht="19.350000000000001" customHeight="1" x14ac:dyDescent="0.3">
      <c r="B61" s="129" t="s">
        <v>1293</v>
      </c>
      <c r="C61" s="113"/>
      <c r="D61" s="113"/>
      <c r="E61" s="113"/>
      <c r="F61" s="113"/>
    </row>
    <row r="62" spans="2:6" ht="19.350000000000001" customHeight="1" x14ac:dyDescent="0.3">
      <c r="B62" s="5" t="s">
        <v>40</v>
      </c>
      <c r="C62" s="129" t="s">
        <v>1294</v>
      </c>
      <c r="D62" s="113"/>
      <c r="E62" s="113"/>
      <c r="F62" s="113"/>
    </row>
    <row r="63" spans="2:6" ht="19.350000000000001" customHeight="1" x14ac:dyDescent="0.3">
      <c r="B63" s="5" t="s">
        <v>40</v>
      </c>
      <c r="C63" s="129" t="s">
        <v>1295</v>
      </c>
      <c r="D63" s="113"/>
      <c r="E63" s="113"/>
      <c r="F63" s="113"/>
    </row>
    <row r="64" spans="2:6" ht="19.350000000000001" customHeight="1" x14ac:dyDescent="0.3">
      <c r="B64" s="5" t="s">
        <v>40</v>
      </c>
      <c r="C64" s="129" t="s">
        <v>1296</v>
      </c>
      <c r="D64" s="113"/>
      <c r="E64" s="113"/>
      <c r="F64" s="113"/>
    </row>
    <row r="65" spans="2:6" ht="22.05" customHeight="1" x14ac:dyDescent="0.3">
      <c r="B65" s="7" t="s">
        <v>73</v>
      </c>
      <c r="C65" s="7" t="s">
        <v>159</v>
      </c>
      <c r="D65" s="7" t="s">
        <v>160</v>
      </c>
      <c r="E65" s="7" t="s">
        <v>161</v>
      </c>
      <c r="F65" s="7" t="s">
        <v>162</v>
      </c>
    </row>
    <row r="66" spans="2:6" ht="19.95" customHeight="1" x14ac:dyDescent="0.3">
      <c r="B66" s="8" t="s">
        <v>77</v>
      </c>
      <c r="C66" s="14" t="s">
        <v>1297</v>
      </c>
      <c r="D66" s="10" t="s">
        <v>1298</v>
      </c>
      <c r="E66" s="10"/>
      <c r="F66" s="10"/>
    </row>
    <row r="67" spans="2:6" ht="33.75" customHeight="1" x14ac:dyDescent="0.3">
      <c r="B67" s="11" t="s">
        <v>81</v>
      </c>
      <c r="C67" s="15" t="s">
        <v>1299</v>
      </c>
      <c r="D67" s="13" t="s">
        <v>1300</v>
      </c>
      <c r="E67" s="13"/>
      <c r="F67" s="13" t="s">
        <v>1301</v>
      </c>
    </row>
    <row r="68" spans="2:6" ht="33.75" customHeight="1" x14ac:dyDescent="0.3">
      <c r="B68" s="8" t="s">
        <v>85</v>
      </c>
      <c r="C68" s="14" t="s">
        <v>708</v>
      </c>
      <c r="D68" s="10" t="s">
        <v>1302</v>
      </c>
      <c r="E68" s="23" t="s">
        <v>1303</v>
      </c>
      <c r="F68" s="10" t="s">
        <v>1304</v>
      </c>
    </row>
    <row r="69" spans="2:6" ht="6" customHeight="1" x14ac:dyDescent="0.3"/>
    <row r="70" spans="2:6" ht="16.95" customHeight="1" x14ac:dyDescent="0.3">
      <c r="C70" s="170" t="s">
        <v>1305</v>
      </c>
      <c r="D70" s="113"/>
      <c r="E70" s="113"/>
      <c r="F70" s="113"/>
    </row>
    <row r="71" spans="2:6" ht="17.25" customHeight="1" x14ac:dyDescent="0.3">
      <c r="C71" s="39" t="s">
        <v>1306</v>
      </c>
      <c r="D71" s="40"/>
      <c r="E71" s="40"/>
      <c r="F71" s="41"/>
    </row>
    <row r="72" spans="2:6" ht="17.25" customHeight="1" x14ac:dyDescent="0.3">
      <c r="C72" s="42" t="s">
        <v>1307</v>
      </c>
      <c r="D72" s="43"/>
      <c r="E72" s="43"/>
      <c r="F72" s="44"/>
    </row>
    <row r="73" spans="2:6" ht="17.25" customHeight="1" x14ac:dyDescent="0.3">
      <c r="C73" s="42" t="s">
        <v>1308</v>
      </c>
      <c r="D73" s="43"/>
      <c r="E73" s="43"/>
      <c r="F73" s="44"/>
    </row>
    <row r="74" spans="2:6" ht="17.25" customHeight="1" x14ac:dyDescent="0.3">
      <c r="C74" s="42" t="s">
        <v>1309</v>
      </c>
      <c r="D74" s="43"/>
      <c r="E74" s="43"/>
      <c r="F74" s="44"/>
    </row>
    <row r="75" spans="2:6" ht="17.25" customHeight="1" x14ac:dyDescent="0.3">
      <c r="C75" s="42" t="s">
        <v>1310</v>
      </c>
      <c r="D75" s="43"/>
      <c r="E75" s="43"/>
      <c r="F75" s="44"/>
    </row>
    <row r="76" spans="2:6" ht="17.25" customHeight="1" x14ac:dyDescent="0.3">
      <c r="C76" s="42" t="s">
        <v>1311</v>
      </c>
      <c r="D76" s="43"/>
      <c r="E76" s="43"/>
      <c r="F76" s="44"/>
    </row>
    <row r="77" spans="2:6" ht="17.25" customHeight="1" x14ac:dyDescent="0.3">
      <c r="C77" s="42" t="s">
        <v>1312</v>
      </c>
      <c r="D77" s="43"/>
      <c r="E77" s="43"/>
      <c r="F77" s="44"/>
    </row>
    <row r="78" spans="2:6" ht="17.25" customHeight="1" x14ac:dyDescent="0.3">
      <c r="C78" s="42" t="s">
        <v>1313</v>
      </c>
      <c r="D78" s="43"/>
      <c r="E78" s="43"/>
      <c r="F78" s="44"/>
    </row>
    <row r="79" spans="2:6" ht="17.25" customHeight="1" x14ac:dyDescent="0.3">
      <c r="C79" s="42" t="s">
        <v>1314</v>
      </c>
      <c r="D79" s="43"/>
      <c r="E79" s="43"/>
      <c r="F79" s="44"/>
    </row>
    <row r="80" spans="2:6" ht="17.25" customHeight="1" x14ac:dyDescent="0.3">
      <c r="C80" s="42" t="s">
        <v>1315</v>
      </c>
      <c r="D80" s="43"/>
      <c r="E80" s="43"/>
      <c r="F80" s="44"/>
    </row>
    <row r="81" spans="2:6" ht="17.25" customHeight="1" x14ac:dyDescent="0.3">
      <c r="C81" s="42" t="s">
        <v>1316</v>
      </c>
      <c r="D81" s="43"/>
      <c r="E81" s="43"/>
      <c r="F81" s="44"/>
    </row>
    <row r="82" spans="2:6" ht="17.25" customHeight="1" x14ac:dyDescent="0.3">
      <c r="C82" s="42" t="s">
        <v>1317</v>
      </c>
      <c r="D82" s="43"/>
      <c r="E82" s="43"/>
      <c r="F82" s="44"/>
    </row>
    <row r="83" spans="2:6" ht="17.25" customHeight="1" x14ac:dyDescent="0.3">
      <c r="C83" s="42" t="s">
        <v>1318</v>
      </c>
      <c r="D83" s="43"/>
      <c r="E83" s="43"/>
      <c r="F83" s="44"/>
    </row>
    <row r="84" spans="2:6" ht="17.25" customHeight="1" x14ac:dyDescent="0.3">
      <c r="C84" s="45" t="s">
        <v>1319</v>
      </c>
      <c r="D84" s="46"/>
      <c r="E84" s="46"/>
      <c r="F84" s="47"/>
    </row>
    <row r="85" spans="2:6" ht="4.95" customHeight="1" x14ac:dyDescent="0.3"/>
    <row r="86" spans="2:6" ht="22.05" customHeight="1" x14ac:dyDescent="0.3">
      <c r="B86" s="22" t="s">
        <v>62</v>
      </c>
      <c r="C86" s="152" t="s">
        <v>1320</v>
      </c>
      <c r="D86" s="153"/>
      <c r="E86" s="153"/>
      <c r="F86" s="105"/>
    </row>
    <row r="87" spans="2:6" ht="4.95" customHeight="1" x14ac:dyDescent="0.3"/>
    <row r="88" spans="2:6" ht="19.350000000000001" customHeight="1" x14ac:dyDescent="0.3">
      <c r="B88" s="129" t="s">
        <v>1321</v>
      </c>
      <c r="C88" s="113"/>
      <c r="D88" s="113"/>
      <c r="E88" s="113"/>
      <c r="F88" s="113"/>
    </row>
    <row r="89" spans="2:6" ht="12" customHeight="1" x14ac:dyDescent="0.3"/>
    <row r="90" spans="2:6" ht="27" customHeight="1" x14ac:dyDescent="0.3">
      <c r="B90" s="128" t="s">
        <v>1322</v>
      </c>
      <c r="C90" s="124"/>
      <c r="D90" s="124"/>
      <c r="E90" s="124"/>
      <c r="F90" s="124"/>
    </row>
    <row r="91" spans="2:6" ht="4.95" customHeight="1" x14ac:dyDescent="0.3"/>
    <row r="92" spans="2:6" ht="19.350000000000001" customHeight="1" x14ac:dyDescent="0.3">
      <c r="B92" s="129" t="s">
        <v>1323</v>
      </c>
      <c r="C92" s="113"/>
      <c r="D92" s="113"/>
      <c r="E92" s="113"/>
      <c r="F92" s="113"/>
    </row>
    <row r="93" spans="2:6" ht="22.05" customHeight="1" x14ac:dyDescent="0.3">
      <c r="B93" s="144" t="s">
        <v>1324</v>
      </c>
      <c r="C93" s="145"/>
      <c r="D93" s="7" t="s">
        <v>1325</v>
      </c>
      <c r="E93" s="144" t="s">
        <v>1326</v>
      </c>
      <c r="F93" s="145"/>
    </row>
    <row r="94" spans="2:6" ht="19.95" customHeight="1" x14ac:dyDescent="0.3">
      <c r="B94" s="174" t="s">
        <v>1327</v>
      </c>
      <c r="C94" s="111"/>
      <c r="D94" s="23" t="s">
        <v>1328</v>
      </c>
      <c r="E94" s="130" t="s">
        <v>1329</v>
      </c>
      <c r="F94" s="111"/>
    </row>
    <row r="95" spans="2:6" ht="19.95" customHeight="1" x14ac:dyDescent="0.3">
      <c r="B95" s="173" t="s">
        <v>1330</v>
      </c>
      <c r="C95" s="133"/>
      <c r="D95" s="23" t="s">
        <v>1331</v>
      </c>
      <c r="E95" s="132" t="s">
        <v>1332</v>
      </c>
      <c r="F95" s="133"/>
    </row>
    <row r="96" spans="2:6" ht="19.95" customHeight="1" x14ac:dyDescent="0.3">
      <c r="B96" s="174" t="s">
        <v>1016</v>
      </c>
      <c r="C96" s="111"/>
      <c r="D96" s="23" t="s">
        <v>1333</v>
      </c>
      <c r="E96" s="130" t="s">
        <v>1334</v>
      </c>
      <c r="F96" s="111"/>
    </row>
    <row r="97" spans="2:6" ht="33.75" customHeight="1" x14ac:dyDescent="0.3">
      <c r="B97" s="173" t="s">
        <v>1335</v>
      </c>
      <c r="C97" s="133"/>
      <c r="D97" s="23" t="s">
        <v>1336</v>
      </c>
      <c r="E97" s="132" t="s">
        <v>1337</v>
      </c>
      <c r="F97" s="133"/>
    </row>
    <row r="98" spans="2:6" ht="33.75" customHeight="1" x14ac:dyDescent="0.3">
      <c r="B98" s="174" t="s">
        <v>1338</v>
      </c>
      <c r="C98" s="111"/>
      <c r="D98" s="23" t="s">
        <v>1339</v>
      </c>
      <c r="E98" s="130"/>
      <c r="F98" s="111"/>
    </row>
    <row r="99" spans="2:6" ht="33.75" customHeight="1" x14ac:dyDescent="0.3">
      <c r="B99" s="173" t="s">
        <v>1340</v>
      </c>
      <c r="C99" s="133"/>
      <c r="D99" s="23" t="s">
        <v>1336</v>
      </c>
      <c r="E99" s="132" t="s">
        <v>1341</v>
      </c>
      <c r="F99" s="133"/>
    </row>
    <row r="100" spans="2:6" ht="6" customHeight="1" x14ac:dyDescent="0.3"/>
    <row r="101" spans="2:6" ht="3" customHeight="1" x14ac:dyDescent="0.3"/>
    <row r="102" spans="2:6" ht="21" customHeight="1" x14ac:dyDescent="0.3">
      <c r="B102" s="178" t="s">
        <v>1342</v>
      </c>
      <c r="C102" s="179"/>
      <c r="D102" s="179"/>
      <c r="E102" s="179"/>
      <c r="F102" s="179"/>
    </row>
    <row r="103" spans="2:6" ht="3" customHeight="1" x14ac:dyDescent="0.3"/>
    <row r="104" spans="2:6" ht="22.05" customHeight="1" x14ac:dyDescent="0.3">
      <c r="B104" s="144" t="s">
        <v>1343</v>
      </c>
      <c r="C104" s="145"/>
      <c r="D104" s="7" t="s">
        <v>1344</v>
      </c>
      <c r="E104" s="144" t="s">
        <v>53</v>
      </c>
      <c r="F104" s="145"/>
    </row>
    <row r="105" spans="2:6" ht="19.95" customHeight="1" x14ac:dyDescent="0.3">
      <c r="B105" s="149" t="s">
        <v>1345</v>
      </c>
      <c r="C105" s="137"/>
      <c r="D105" s="23" t="s">
        <v>1346</v>
      </c>
      <c r="E105" s="130" t="s">
        <v>1347</v>
      </c>
      <c r="F105" s="111"/>
    </row>
    <row r="106" spans="2:6" ht="19.95" customHeight="1" x14ac:dyDescent="0.3">
      <c r="B106" s="149" t="s">
        <v>1348</v>
      </c>
      <c r="C106" s="137"/>
      <c r="D106" s="23" t="s">
        <v>1349</v>
      </c>
      <c r="E106" s="132" t="s">
        <v>1350</v>
      </c>
      <c r="F106" s="133"/>
    </row>
    <row r="107" spans="2:6" ht="19.95" customHeight="1" x14ac:dyDescent="0.3">
      <c r="B107" s="149" t="s">
        <v>1351</v>
      </c>
      <c r="C107" s="137"/>
      <c r="D107" s="23" t="s">
        <v>1352</v>
      </c>
      <c r="E107" s="130" t="s">
        <v>341</v>
      </c>
      <c r="F107" s="111"/>
    </row>
    <row r="108" spans="2:6" ht="19.95" customHeight="1" x14ac:dyDescent="0.3">
      <c r="B108" s="149" t="s">
        <v>1353</v>
      </c>
      <c r="C108" s="137"/>
      <c r="D108" s="23" t="s">
        <v>1354</v>
      </c>
      <c r="E108" s="132" t="s">
        <v>344</v>
      </c>
      <c r="F108" s="133"/>
    </row>
    <row r="109" spans="2:6" ht="19.95" customHeight="1" x14ac:dyDescent="0.3">
      <c r="B109" s="149" t="s">
        <v>1355</v>
      </c>
      <c r="C109" s="137"/>
      <c r="D109" s="23" t="s">
        <v>1356</v>
      </c>
      <c r="E109" s="130" t="s">
        <v>1357</v>
      </c>
      <c r="F109" s="111"/>
    </row>
    <row r="110" spans="2:6" ht="19.95" customHeight="1" x14ac:dyDescent="0.3">
      <c r="B110" s="149" t="s">
        <v>1358</v>
      </c>
      <c r="C110" s="137"/>
      <c r="D110" s="23" t="s">
        <v>1359</v>
      </c>
      <c r="E110" s="132" t="s">
        <v>1360</v>
      </c>
      <c r="F110" s="133"/>
    </row>
    <row r="111" spans="2:6" ht="19.95" customHeight="1" x14ac:dyDescent="0.3">
      <c r="B111" s="149" t="s">
        <v>1361</v>
      </c>
      <c r="C111" s="137"/>
      <c r="D111" s="23" t="s">
        <v>1362</v>
      </c>
      <c r="E111" s="130" t="s">
        <v>353</v>
      </c>
      <c r="F111" s="111"/>
    </row>
    <row r="112" spans="2:6" ht="6" customHeight="1" x14ac:dyDescent="0.3"/>
    <row r="113" spans="2:6" ht="22.05" customHeight="1" x14ac:dyDescent="0.3">
      <c r="B113" s="16" t="s">
        <v>64</v>
      </c>
      <c r="C113" s="152" t="s">
        <v>1363</v>
      </c>
      <c r="D113" s="153"/>
      <c r="E113" s="153"/>
      <c r="F113" s="105"/>
    </row>
    <row r="114" spans="2:6" ht="4.95" customHeight="1" x14ac:dyDescent="0.3"/>
    <row r="115" spans="2:6" ht="15" customHeight="1" x14ac:dyDescent="0.3">
      <c r="B115" s="158" t="s">
        <v>1364</v>
      </c>
      <c r="C115" s="159"/>
      <c r="D115" s="159"/>
      <c r="E115" s="159"/>
      <c r="F115" s="160"/>
    </row>
    <row r="116" spans="2:6" ht="15" customHeight="1" x14ac:dyDescent="0.3">
      <c r="B116" s="161"/>
      <c r="C116" s="113"/>
      <c r="D116" s="113"/>
      <c r="E116" s="113"/>
      <c r="F116" s="162"/>
    </row>
    <row r="117" spans="2:6" ht="15" customHeight="1" x14ac:dyDescent="0.3">
      <c r="B117" s="161"/>
      <c r="C117" s="113"/>
      <c r="D117" s="113"/>
      <c r="E117" s="113"/>
      <c r="F117" s="162"/>
    </row>
    <row r="118" spans="2:6" ht="15" customHeight="1" x14ac:dyDescent="0.3">
      <c r="B118" s="161"/>
      <c r="C118" s="113"/>
      <c r="D118" s="113"/>
      <c r="E118" s="113"/>
      <c r="F118" s="162"/>
    </row>
    <row r="119" spans="2:6" ht="15" customHeight="1" x14ac:dyDescent="0.3">
      <c r="B119" s="161"/>
      <c r="C119" s="113"/>
      <c r="D119" s="113"/>
      <c r="E119" s="113"/>
      <c r="F119" s="162"/>
    </row>
    <row r="120" spans="2:6" ht="15" customHeight="1" x14ac:dyDescent="0.3">
      <c r="B120" s="161"/>
      <c r="C120" s="113"/>
      <c r="D120" s="113"/>
      <c r="E120" s="113"/>
      <c r="F120" s="162"/>
    </row>
    <row r="121" spans="2:6" ht="15" customHeight="1" x14ac:dyDescent="0.3">
      <c r="B121" s="161"/>
      <c r="C121" s="113"/>
      <c r="D121" s="113"/>
      <c r="E121" s="113"/>
      <c r="F121" s="162"/>
    </row>
    <row r="122" spans="2:6" ht="15" customHeight="1" x14ac:dyDescent="0.3">
      <c r="B122" s="161"/>
      <c r="C122" s="113"/>
      <c r="D122" s="113"/>
      <c r="E122" s="113"/>
      <c r="F122" s="162"/>
    </row>
    <row r="123" spans="2:6" ht="15" customHeight="1" x14ac:dyDescent="0.3">
      <c r="B123" s="161"/>
      <c r="C123" s="113"/>
      <c r="D123" s="113"/>
      <c r="E123" s="113"/>
      <c r="F123" s="162"/>
    </row>
    <row r="124" spans="2:6" ht="15" customHeight="1" x14ac:dyDescent="0.3">
      <c r="B124" s="161"/>
      <c r="C124" s="113"/>
      <c r="D124" s="113"/>
      <c r="E124" s="113"/>
      <c r="F124" s="162"/>
    </row>
    <row r="125" spans="2:6" ht="15" customHeight="1" x14ac:dyDescent="0.3">
      <c r="B125" s="161"/>
      <c r="C125" s="113"/>
      <c r="D125" s="113"/>
      <c r="E125" s="113"/>
      <c r="F125" s="162"/>
    </row>
    <row r="126" spans="2:6" ht="15" customHeight="1" x14ac:dyDescent="0.3">
      <c r="B126" s="161"/>
      <c r="C126" s="113"/>
      <c r="D126" s="113"/>
      <c r="E126" s="113"/>
      <c r="F126" s="162"/>
    </row>
    <row r="127" spans="2:6" ht="15" customHeight="1" x14ac:dyDescent="0.3">
      <c r="B127" s="161"/>
      <c r="C127" s="113"/>
      <c r="D127" s="113"/>
      <c r="E127" s="113"/>
      <c r="F127" s="162"/>
    </row>
    <row r="128" spans="2:6" ht="15" customHeight="1" x14ac:dyDescent="0.3">
      <c r="B128" s="161"/>
      <c r="C128" s="113"/>
      <c r="D128" s="113"/>
      <c r="E128" s="113"/>
      <c r="F128" s="162"/>
    </row>
    <row r="129" spans="2:6" ht="15" customHeight="1" x14ac:dyDescent="0.3">
      <c r="B129" s="161"/>
      <c r="C129" s="113"/>
      <c r="D129" s="113"/>
      <c r="E129" s="113"/>
      <c r="F129" s="162"/>
    </row>
    <row r="130" spans="2:6" ht="15" customHeight="1" x14ac:dyDescent="0.3">
      <c r="B130" s="161"/>
      <c r="C130" s="113"/>
      <c r="D130" s="113"/>
      <c r="E130" s="113"/>
      <c r="F130" s="162"/>
    </row>
    <row r="131" spans="2:6" ht="15" customHeight="1" x14ac:dyDescent="0.3">
      <c r="B131" s="161"/>
      <c r="C131" s="113"/>
      <c r="D131" s="113"/>
      <c r="E131" s="113"/>
      <c r="F131" s="162"/>
    </row>
    <row r="132" spans="2:6" ht="15" customHeight="1" x14ac:dyDescent="0.3">
      <c r="B132" s="161"/>
      <c r="C132" s="113"/>
      <c r="D132" s="113"/>
      <c r="E132" s="113"/>
      <c r="F132" s="162"/>
    </row>
    <row r="133" spans="2:6" ht="15" customHeight="1" x14ac:dyDescent="0.3">
      <c r="B133" s="161"/>
      <c r="C133" s="113"/>
      <c r="D133" s="113"/>
      <c r="E133" s="113"/>
      <c r="F133" s="162"/>
    </row>
    <row r="134" spans="2:6" ht="15" customHeight="1" x14ac:dyDescent="0.3">
      <c r="B134" s="163"/>
      <c r="C134" s="164"/>
      <c r="D134" s="164"/>
      <c r="E134" s="164"/>
      <c r="F134" s="165"/>
    </row>
    <row r="135" spans="2:6" ht="19.95" customHeight="1" x14ac:dyDescent="0.3">
      <c r="B135" s="151" t="s">
        <v>1365</v>
      </c>
      <c r="C135" s="113"/>
      <c r="D135" s="113"/>
      <c r="E135" s="113"/>
      <c r="F135" s="113"/>
    </row>
    <row r="136" spans="2:6" ht="6" customHeight="1" x14ac:dyDescent="0.3"/>
    <row r="137" spans="2:6" ht="12" customHeight="1" x14ac:dyDescent="0.3"/>
    <row r="138" spans="2:6" ht="27" customHeight="1" x14ac:dyDescent="0.3">
      <c r="B138" s="128" t="s">
        <v>1366</v>
      </c>
      <c r="C138" s="124"/>
      <c r="D138" s="124"/>
      <c r="E138" s="124"/>
      <c r="F138" s="124"/>
    </row>
    <row r="139" spans="2:6" ht="4.95" customHeight="1" x14ac:dyDescent="0.3"/>
    <row r="140" spans="2:6" ht="7.05" customHeight="1" x14ac:dyDescent="0.3"/>
    <row r="141" spans="2:6" ht="22.95" customHeight="1" x14ac:dyDescent="0.3">
      <c r="B141" s="156" t="s">
        <v>1367</v>
      </c>
      <c r="C141" s="157"/>
      <c r="D141" s="157"/>
      <c r="E141" s="157"/>
      <c r="F141" s="157"/>
    </row>
    <row r="142" spans="2:6" ht="4.05" customHeight="1" x14ac:dyDescent="0.3"/>
    <row r="143" spans="2:6" ht="19.350000000000001" customHeight="1" x14ac:dyDescent="0.3">
      <c r="B143" s="129" t="s">
        <v>1368</v>
      </c>
      <c r="C143" s="113"/>
      <c r="D143" s="113"/>
      <c r="E143" s="113"/>
      <c r="F143" s="113"/>
    </row>
    <row r="144" spans="2:6" ht="22.05" customHeight="1" x14ac:dyDescent="0.3">
      <c r="B144" s="144" t="s">
        <v>1324</v>
      </c>
      <c r="C144" s="145"/>
      <c r="D144" s="7" t="s">
        <v>1325</v>
      </c>
      <c r="E144" s="144" t="s">
        <v>1326</v>
      </c>
      <c r="F144" s="145"/>
    </row>
    <row r="145" spans="2:6" ht="19.95" customHeight="1" x14ac:dyDescent="0.3">
      <c r="B145" s="174" t="s">
        <v>1327</v>
      </c>
      <c r="C145" s="111"/>
      <c r="D145" s="23" t="s">
        <v>1369</v>
      </c>
      <c r="E145" s="130"/>
      <c r="F145" s="111"/>
    </row>
    <row r="146" spans="2:6" ht="33.75" customHeight="1" x14ac:dyDescent="0.3">
      <c r="B146" s="173" t="s">
        <v>1370</v>
      </c>
      <c r="C146" s="133"/>
      <c r="D146" s="23" t="s">
        <v>1371</v>
      </c>
      <c r="E146" s="132" t="s">
        <v>1372</v>
      </c>
      <c r="F146" s="133"/>
    </row>
    <row r="147" spans="2:6" ht="19.95" customHeight="1" x14ac:dyDescent="0.3">
      <c r="B147" s="174" t="s">
        <v>1373</v>
      </c>
      <c r="C147" s="111"/>
      <c r="D147" s="23" t="s">
        <v>77</v>
      </c>
      <c r="E147" s="130" t="s">
        <v>1374</v>
      </c>
      <c r="F147" s="111"/>
    </row>
    <row r="148" spans="2:6" ht="19.95" customHeight="1" x14ac:dyDescent="0.3">
      <c r="B148" s="173" t="s">
        <v>1375</v>
      </c>
      <c r="C148" s="133"/>
      <c r="D148" s="23" t="s">
        <v>77</v>
      </c>
      <c r="E148" s="132"/>
      <c r="F148" s="133"/>
    </row>
    <row r="149" spans="2:6" ht="19.95" customHeight="1" x14ac:dyDescent="0.3">
      <c r="B149" s="174" t="s">
        <v>1376</v>
      </c>
      <c r="C149" s="111"/>
      <c r="D149" s="23" t="s">
        <v>1377</v>
      </c>
      <c r="E149" s="130" t="s">
        <v>1378</v>
      </c>
      <c r="F149" s="111"/>
    </row>
    <row r="150" spans="2:6" ht="6" customHeight="1" x14ac:dyDescent="0.3"/>
    <row r="151" spans="2:6" ht="15" customHeight="1" x14ac:dyDescent="0.3">
      <c r="B151" s="158" t="s">
        <v>1379</v>
      </c>
      <c r="C151" s="159"/>
      <c r="D151" s="159"/>
      <c r="E151" s="159"/>
      <c r="F151" s="160"/>
    </row>
    <row r="152" spans="2:6" ht="15" customHeight="1" x14ac:dyDescent="0.3">
      <c r="B152" s="161"/>
      <c r="C152" s="113"/>
      <c r="D152" s="113"/>
      <c r="E152" s="113"/>
      <c r="F152" s="162"/>
    </row>
    <row r="153" spans="2:6" ht="15" customHeight="1" x14ac:dyDescent="0.3">
      <c r="B153" s="161"/>
      <c r="C153" s="113"/>
      <c r="D153" s="113"/>
      <c r="E153" s="113"/>
      <c r="F153" s="162"/>
    </row>
    <row r="154" spans="2:6" ht="15" customHeight="1" x14ac:dyDescent="0.3">
      <c r="B154" s="161"/>
      <c r="C154" s="113"/>
      <c r="D154" s="113"/>
      <c r="E154" s="113"/>
      <c r="F154" s="162"/>
    </row>
    <row r="155" spans="2:6" ht="15" customHeight="1" x14ac:dyDescent="0.3">
      <c r="B155" s="161"/>
      <c r="C155" s="113"/>
      <c r="D155" s="113"/>
      <c r="E155" s="113"/>
      <c r="F155" s="162"/>
    </row>
    <row r="156" spans="2:6" ht="15" customHeight="1" x14ac:dyDescent="0.3">
      <c r="B156" s="161"/>
      <c r="C156" s="113"/>
      <c r="D156" s="113"/>
      <c r="E156" s="113"/>
      <c r="F156" s="162"/>
    </row>
    <row r="157" spans="2:6" ht="15" customHeight="1" x14ac:dyDescent="0.3">
      <c r="B157" s="161"/>
      <c r="C157" s="113"/>
      <c r="D157" s="113"/>
      <c r="E157" s="113"/>
      <c r="F157" s="162"/>
    </row>
    <row r="158" spans="2:6" ht="15" customHeight="1" x14ac:dyDescent="0.3">
      <c r="B158" s="161"/>
      <c r="C158" s="113"/>
      <c r="D158" s="113"/>
      <c r="E158" s="113"/>
      <c r="F158" s="162"/>
    </row>
    <row r="159" spans="2:6" ht="15" customHeight="1" x14ac:dyDescent="0.3">
      <c r="B159" s="161"/>
      <c r="C159" s="113"/>
      <c r="D159" s="113"/>
      <c r="E159" s="113"/>
      <c r="F159" s="162"/>
    </row>
    <row r="160" spans="2:6" ht="15" customHeight="1" x14ac:dyDescent="0.3">
      <c r="B160" s="161"/>
      <c r="C160" s="113"/>
      <c r="D160" s="113"/>
      <c r="E160" s="113"/>
      <c r="F160" s="162"/>
    </row>
    <row r="161" spans="2:6" ht="15" customHeight="1" x14ac:dyDescent="0.3">
      <c r="B161" s="161"/>
      <c r="C161" s="113"/>
      <c r="D161" s="113"/>
      <c r="E161" s="113"/>
      <c r="F161" s="162"/>
    </row>
    <row r="162" spans="2:6" ht="15" customHeight="1" x14ac:dyDescent="0.3">
      <c r="B162" s="161"/>
      <c r="C162" s="113"/>
      <c r="D162" s="113"/>
      <c r="E162" s="113"/>
      <c r="F162" s="162"/>
    </row>
    <row r="163" spans="2:6" ht="15" customHeight="1" x14ac:dyDescent="0.3">
      <c r="B163" s="161"/>
      <c r="C163" s="113"/>
      <c r="D163" s="113"/>
      <c r="E163" s="113"/>
      <c r="F163" s="162"/>
    </row>
    <row r="164" spans="2:6" ht="15" customHeight="1" x14ac:dyDescent="0.3">
      <c r="B164" s="161"/>
      <c r="C164" s="113"/>
      <c r="D164" s="113"/>
      <c r="E164" s="113"/>
      <c r="F164" s="162"/>
    </row>
    <row r="165" spans="2:6" ht="15" customHeight="1" x14ac:dyDescent="0.3">
      <c r="B165" s="161"/>
      <c r="C165" s="113"/>
      <c r="D165" s="113"/>
      <c r="E165" s="113"/>
      <c r="F165" s="162"/>
    </row>
    <row r="166" spans="2:6" ht="15" customHeight="1" x14ac:dyDescent="0.3">
      <c r="B166" s="163"/>
      <c r="C166" s="164"/>
      <c r="D166" s="164"/>
      <c r="E166" s="164"/>
      <c r="F166" s="165"/>
    </row>
    <row r="167" spans="2:6" ht="19.95" customHeight="1" x14ac:dyDescent="0.3">
      <c r="B167" s="151" t="s">
        <v>1380</v>
      </c>
      <c r="C167" s="113"/>
      <c r="D167" s="113"/>
      <c r="E167" s="113"/>
      <c r="F167" s="113"/>
    </row>
    <row r="168" spans="2:6" ht="6" customHeight="1" x14ac:dyDescent="0.3"/>
    <row r="169" spans="2:6" ht="7.05" customHeight="1" x14ac:dyDescent="0.3"/>
    <row r="170" spans="2:6" ht="22.95" customHeight="1" x14ac:dyDescent="0.3">
      <c r="B170" s="156" t="s">
        <v>1381</v>
      </c>
      <c r="C170" s="157"/>
      <c r="D170" s="157"/>
      <c r="E170" s="157"/>
      <c r="F170" s="157"/>
    </row>
    <row r="171" spans="2:6" ht="4.05" customHeight="1" x14ac:dyDescent="0.3"/>
    <row r="172" spans="2:6" ht="19.350000000000001" customHeight="1" x14ac:dyDescent="0.3">
      <c r="B172" s="129" t="s">
        <v>1382</v>
      </c>
      <c r="C172" s="113"/>
      <c r="D172" s="113"/>
      <c r="E172" s="113"/>
      <c r="F172" s="113"/>
    </row>
    <row r="173" spans="2:6" ht="22.05" customHeight="1" x14ac:dyDescent="0.3">
      <c r="B173" s="144" t="s">
        <v>1324</v>
      </c>
      <c r="C173" s="145"/>
      <c r="D173" s="7" t="s">
        <v>1325</v>
      </c>
      <c r="E173" s="144" t="s">
        <v>1326</v>
      </c>
      <c r="F173" s="145"/>
    </row>
    <row r="174" spans="2:6" ht="19.95" customHeight="1" x14ac:dyDescent="0.3">
      <c r="B174" s="174" t="s">
        <v>1327</v>
      </c>
      <c r="C174" s="111"/>
      <c r="D174" s="23" t="s">
        <v>1383</v>
      </c>
      <c r="E174" s="130"/>
      <c r="F174" s="111"/>
    </row>
    <row r="175" spans="2:6" ht="19.95" customHeight="1" x14ac:dyDescent="0.3">
      <c r="B175" s="173" t="s">
        <v>1384</v>
      </c>
      <c r="C175" s="133"/>
      <c r="D175" s="23" t="s">
        <v>1385</v>
      </c>
      <c r="E175" s="132"/>
      <c r="F175" s="133"/>
    </row>
    <row r="176" spans="2:6" ht="19.95" customHeight="1" x14ac:dyDescent="0.3">
      <c r="B176" s="174" t="s">
        <v>1386</v>
      </c>
      <c r="C176" s="111"/>
      <c r="D176" s="23" t="s">
        <v>1387</v>
      </c>
      <c r="E176" s="130" t="s">
        <v>1388</v>
      </c>
      <c r="F176" s="111"/>
    </row>
    <row r="177" spans="2:6" ht="19.95" customHeight="1" x14ac:dyDescent="0.3">
      <c r="B177" s="173" t="s">
        <v>1389</v>
      </c>
      <c r="C177" s="133"/>
      <c r="D177" s="23" t="s">
        <v>1390</v>
      </c>
      <c r="E177" s="132" t="s">
        <v>1391</v>
      </c>
      <c r="F177" s="133"/>
    </row>
    <row r="178" spans="2:6" ht="19.95" customHeight="1" x14ac:dyDescent="0.3">
      <c r="B178" s="174" t="s">
        <v>1392</v>
      </c>
      <c r="C178" s="111"/>
      <c r="D178" s="23" t="s">
        <v>1393</v>
      </c>
      <c r="E178" s="130" t="s">
        <v>1394</v>
      </c>
      <c r="F178" s="111"/>
    </row>
    <row r="179" spans="2:6" ht="19.95" customHeight="1" x14ac:dyDescent="0.3">
      <c r="B179" s="173" t="s">
        <v>1395</v>
      </c>
      <c r="C179" s="133"/>
      <c r="D179" s="23" t="s">
        <v>1396</v>
      </c>
      <c r="E179" s="132"/>
      <c r="F179" s="133"/>
    </row>
    <row r="180" spans="2:6" ht="19.95" customHeight="1" x14ac:dyDescent="0.3">
      <c r="B180" s="174" t="s">
        <v>1397</v>
      </c>
      <c r="C180" s="111"/>
      <c r="D180" s="23" t="s">
        <v>1398</v>
      </c>
      <c r="E180" s="130"/>
      <c r="F180" s="111"/>
    </row>
    <row r="181" spans="2:6" ht="19.95" customHeight="1" x14ac:dyDescent="0.3">
      <c r="B181" s="173" t="s">
        <v>1399</v>
      </c>
      <c r="C181" s="133"/>
      <c r="D181" s="23" t="s">
        <v>1339</v>
      </c>
      <c r="E181" s="132" t="s">
        <v>1400</v>
      </c>
      <c r="F181" s="133"/>
    </row>
    <row r="182" spans="2:6" ht="19.95" customHeight="1" x14ac:dyDescent="0.3">
      <c r="B182" s="174" t="s">
        <v>1401</v>
      </c>
      <c r="C182" s="111"/>
      <c r="D182" s="23" t="s">
        <v>1336</v>
      </c>
      <c r="E182" s="130" t="s">
        <v>1402</v>
      </c>
      <c r="F182" s="111"/>
    </row>
    <row r="183" spans="2:6" ht="19.95" customHeight="1" x14ac:dyDescent="0.3">
      <c r="B183" s="173" t="s">
        <v>1403</v>
      </c>
      <c r="C183" s="133"/>
      <c r="D183" s="23" t="s">
        <v>1404</v>
      </c>
      <c r="E183" s="132" t="s">
        <v>1405</v>
      </c>
      <c r="F183" s="133"/>
    </row>
    <row r="184" spans="2:6" ht="33.75" customHeight="1" x14ac:dyDescent="0.3">
      <c r="B184" s="174" t="s">
        <v>1406</v>
      </c>
      <c r="C184" s="111"/>
      <c r="D184" s="23" t="s">
        <v>1407</v>
      </c>
      <c r="E184" s="130" t="s">
        <v>1408</v>
      </c>
      <c r="F184" s="111"/>
    </row>
    <row r="185" spans="2:6" ht="33.75" customHeight="1" x14ac:dyDescent="0.3">
      <c r="B185" s="173" t="s">
        <v>1409</v>
      </c>
      <c r="C185" s="133"/>
      <c r="D185" s="23" t="s">
        <v>1410</v>
      </c>
      <c r="E185" s="132" t="s">
        <v>1411</v>
      </c>
      <c r="F185" s="133"/>
    </row>
    <row r="186" spans="2:6" ht="6" customHeight="1" x14ac:dyDescent="0.3"/>
    <row r="187" spans="2:6" ht="3" customHeight="1" x14ac:dyDescent="0.3"/>
    <row r="188" spans="2:6" ht="21" customHeight="1" x14ac:dyDescent="0.3">
      <c r="B188" s="178" t="s">
        <v>1412</v>
      </c>
      <c r="C188" s="179"/>
      <c r="D188" s="179"/>
      <c r="E188" s="179"/>
      <c r="F188" s="179"/>
    </row>
    <row r="189" spans="2:6" ht="3" customHeight="1" x14ac:dyDescent="0.3"/>
    <row r="190" spans="2:6" ht="22.05" customHeight="1" x14ac:dyDescent="0.3">
      <c r="B190" s="144" t="s">
        <v>1327</v>
      </c>
      <c r="C190" s="145"/>
      <c r="D190" s="7" t="s">
        <v>1413</v>
      </c>
      <c r="E190" s="144" t="s">
        <v>1414</v>
      </c>
      <c r="F190" s="145"/>
    </row>
    <row r="191" spans="2:6" ht="33.75" customHeight="1" x14ac:dyDescent="0.3">
      <c r="B191" s="149" t="s">
        <v>1415</v>
      </c>
      <c r="C191" s="137"/>
      <c r="D191" s="23" t="s">
        <v>1416</v>
      </c>
      <c r="E191" s="130" t="s">
        <v>1417</v>
      </c>
      <c r="F191" s="111"/>
    </row>
    <row r="192" spans="2:6" ht="19.95" customHeight="1" x14ac:dyDescent="0.3">
      <c r="B192" s="149" t="s">
        <v>337</v>
      </c>
      <c r="C192" s="137"/>
      <c r="D192" s="23" t="s">
        <v>1418</v>
      </c>
      <c r="E192" s="132" t="s">
        <v>1419</v>
      </c>
      <c r="F192" s="133"/>
    </row>
    <row r="193" spans="2:6" ht="6" customHeight="1" x14ac:dyDescent="0.3"/>
    <row r="194" spans="2:6" ht="33.75" customHeight="1" x14ac:dyDescent="0.3">
      <c r="B194" s="16" t="s">
        <v>64</v>
      </c>
      <c r="C194" s="152" t="s">
        <v>1420</v>
      </c>
      <c r="D194" s="153"/>
      <c r="E194" s="153"/>
      <c r="F194" s="105"/>
    </row>
    <row r="195" spans="2:6" ht="4.95" customHeight="1" x14ac:dyDescent="0.3"/>
    <row r="196" spans="2:6" ht="15" customHeight="1" x14ac:dyDescent="0.3">
      <c r="B196" s="158" t="s">
        <v>1421</v>
      </c>
      <c r="C196" s="159"/>
      <c r="D196" s="159"/>
      <c r="E196" s="159"/>
      <c r="F196" s="160"/>
    </row>
    <row r="197" spans="2:6" ht="15" customHeight="1" x14ac:dyDescent="0.3">
      <c r="B197" s="161"/>
      <c r="C197" s="113"/>
      <c r="D197" s="113"/>
      <c r="E197" s="113"/>
      <c r="F197" s="162"/>
    </row>
    <row r="198" spans="2:6" ht="15" customHeight="1" x14ac:dyDescent="0.3">
      <c r="B198" s="161"/>
      <c r="C198" s="113"/>
      <c r="D198" s="113"/>
      <c r="E198" s="113"/>
      <c r="F198" s="162"/>
    </row>
    <row r="199" spans="2:6" ht="15" customHeight="1" x14ac:dyDescent="0.3">
      <c r="B199" s="161"/>
      <c r="C199" s="113"/>
      <c r="D199" s="113"/>
      <c r="E199" s="113"/>
      <c r="F199" s="162"/>
    </row>
    <row r="200" spans="2:6" ht="15" customHeight="1" x14ac:dyDescent="0.3">
      <c r="B200" s="161"/>
      <c r="C200" s="113"/>
      <c r="D200" s="113"/>
      <c r="E200" s="113"/>
      <c r="F200" s="162"/>
    </row>
    <row r="201" spans="2:6" ht="15" customHeight="1" x14ac:dyDescent="0.3">
      <c r="B201" s="161"/>
      <c r="C201" s="113"/>
      <c r="D201" s="113"/>
      <c r="E201" s="113"/>
      <c r="F201" s="162"/>
    </row>
    <row r="202" spans="2:6" ht="15" customHeight="1" x14ac:dyDescent="0.3">
      <c r="B202" s="161"/>
      <c r="C202" s="113"/>
      <c r="D202" s="113"/>
      <c r="E202" s="113"/>
      <c r="F202" s="162"/>
    </row>
    <row r="203" spans="2:6" ht="15" customHeight="1" x14ac:dyDescent="0.3">
      <c r="B203" s="161"/>
      <c r="C203" s="113"/>
      <c r="D203" s="113"/>
      <c r="E203" s="113"/>
      <c r="F203" s="162"/>
    </row>
    <row r="204" spans="2:6" ht="15" customHeight="1" x14ac:dyDescent="0.3">
      <c r="B204" s="161"/>
      <c r="C204" s="113"/>
      <c r="D204" s="113"/>
      <c r="E204" s="113"/>
      <c r="F204" s="162"/>
    </row>
    <row r="205" spans="2:6" ht="15" customHeight="1" x14ac:dyDescent="0.3">
      <c r="B205" s="161"/>
      <c r="C205" s="113"/>
      <c r="D205" s="113"/>
      <c r="E205" s="113"/>
      <c r="F205" s="162"/>
    </row>
    <row r="206" spans="2:6" ht="15" customHeight="1" x14ac:dyDescent="0.3">
      <c r="B206" s="161"/>
      <c r="C206" s="113"/>
      <c r="D206" s="113"/>
      <c r="E206" s="113"/>
      <c r="F206" s="162"/>
    </row>
    <row r="207" spans="2:6" ht="15" customHeight="1" x14ac:dyDescent="0.3">
      <c r="B207" s="161"/>
      <c r="C207" s="113"/>
      <c r="D207" s="113"/>
      <c r="E207" s="113"/>
      <c r="F207" s="162"/>
    </row>
    <row r="208" spans="2:6" ht="15" customHeight="1" x14ac:dyDescent="0.3">
      <c r="B208" s="161"/>
      <c r="C208" s="113"/>
      <c r="D208" s="113"/>
      <c r="E208" s="113"/>
      <c r="F208" s="162"/>
    </row>
    <row r="209" spans="2:6" ht="15" customHeight="1" x14ac:dyDescent="0.3">
      <c r="B209" s="161"/>
      <c r="C209" s="113"/>
      <c r="D209" s="113"/>
      <c r="E209" s="113"/>
      <c r="F209" s="162"/>
    </row>
    <row r="210" spans="2:6" ht="15" customHeight="1" x14ac:dyDescent="0.3">
      <c r="B210" s="161"/>
      <c r="C210" s="113"/>
      <c r="D210" s="113"/>
      <c r="E210" s="113"/>
      <c r="F210" s="162"/>
    </row>
    <row r="211" spans="2:6" ht="15" customHeight="1" x14ac:dyDescent="0.3">
      <c r="B211" s="161"/>
      <c r="C211" s="113"/>
      <c r="D211" s="113"/>
      <c r="E211" s="113"/>
      <c r="F211" s="162"/>
    </row>
    <row r="212" spans="2:6" ht="15" customHeight="1" x14ac:dyDescent="0.3">
      <c r="B212" s="161"/>
      <c r="C212" s="113"/>
      <c r="D212" s="113"/>
      <c r="E212" s="113"/>
      <c r="F212" s="162"/>
    </row>
    <row r="213" spans="2:6" ht="15" customHeight="1" x14ac:dyDescent="0.3">
      <c r="B213" s="161"/>
      <c r="C213" s="113"/>
      <c r="D213" s="113"/>
      <c r="E213" s="113"/>
      <c r="F213" s="162"/>
    </row>
    <row r="214" spans="2:6" ht="15" customHeight="1" x14ac:dyDescent="0.3">
      <c r="B214" s="161"/>
      <c r="C214" s="113"/>
      <c r="D214" s="113"/>
      <c r="E214" s="113"/>
      <c r="F214" s="162"/>
    </row>
    <row r="215" spans="2:6" ht="15" customHeight="1" x14ac:dyDescent="0.3">
      <c r="B215" s="161"/>
      <c r="C215" s="113"/>
      <c r="D215" s="113"/>
      <c r="E215" s="113"/>
      <c r="F215" s="162"/>
    </row>
    <row r="216" spans="2:6" ht="15" customHeight="1" x14ac:dyDescent="0.3">
      <c r="B216" s="161"/>
      <c r="C216" s="113"/>
      <c r="D216" s="113"/>
      <c r="E216" s="113"/>
      <c r="F216" s="162"/>
    </row>
    <row r="217" spans="2:6" ht="15" customHeight="1" x14ac:dyDescent="0.3">
      <c r="B217" s="163"/>
      <c r="C217" s="164"/>
      <c r="D217" s="164"/>
      <c r="E217" s="164"/>
      <c r="F217" s="165"/>
    </row>
    <row r="218" spans="2:6" ht="19.95" customHeight="1" x14ac:dyDescent="0.3">
      <c r="B218" s="151" t="s">
        <v>1422</v>
      </c>
      <c r="C218" s="113"/>
      <c r="D218" s="113"/>
      <c r="E218" s="113"/>
      <c r="F218" s="113"/>
    </row>
    <row r="219" spans="2:6" ht="6" customHeight="1" x14ac:dyDescent="0.3"/>
    <row r="220" spans="2:6" ht="15" customHeight="1" x14ac:dyDescent="0.3">
      <c r="B220" s="158" t="s">
        <v>1423</v>
      </c>
      <c r="C220" s="159"/>
      <c r="D220" s="159"/>
      <c r="E220" s="159"/>
      <c r="F220" s="160"/>
    </row>
    <row r="221" spans="2:6" ht="15" customHeight="1" x14ac:dyDescent="0.3">
      <c r="B221" s="161"/>
      <c r="C221" s="113"/>
      <c r="D221" s="113"/>
      <c r="E221" s="113"/>
      <c r="F221" s="162"/>
    </row>
    <row r="222" spans="2:6" ht="15" customHeight="1" x14ac:dyDescent="0.3">
      <c r="B222" s="161"/>
      <c r="C222" s="113"/>
      <c r="D222" s="113"/>
      <c r="E222" s="113"/>
      <c r="F222" s="162"/>
    </row>
    <row r="223" spans="2:6" ht="15" customHeight="1" x14ac:dyDescent="0.3">
      <c r="B223" s="161"/>
      <c r="C223" s="113"/>
      <c r="D223" s="113"/>
      <c r="E223" s="113"/>
      <c r="F223" s="162"/>
    </row>
    <row r="224" spans="2:6" ht="15" customHeight="1" x14ac:dyDescent="0.3">
      <c r="B224" s="161"/>
      <c r="C224" s="113"/>
      <c r="D224" s="113"/>
      <c r="E224" s="113"/>
      <c r="F224" s="162"/>
    </row>
    <row r="225" spans="2:6" ht="15" customHeight="1" x14ac:dyDescent="0.3">
      <c r="B225" s="161"/>
      <c r="C225" s="113"/>
      <c r="D225" s="113"/>
      <c r="E225" s="113"/>
      <c r="F225" s="162"/>
    </row>
    <row r="226" spans="2:6" ht="15" customHeight="1" x14ac:dyDescent="0.3">
      <c r="B226" s="161"/>
      <c r="C226" s="113"/>
      <c r="D226" s="113"/>
      <c r="E226" s="113"/>
      <c r="F226" s="162"/>
    </row>
    <row r="227" spans="2:6" ht="15" customHeight="1" x14ac:dyDescent="0.3">
      <c r="B227" s="161"/>
      <c r="C227" s="113"/>
      <c r="D227" s="113"/>
      <c r="E227" s="113"/>
      <c r="F227" s="162"/>
    </row>
    <row r="228" spans="2:6" ht="15" customHeight="1" x14ac:dyDescent="0.3">
      <c r="B228" s="161"/>
      <c r="C228" s="113"/>
      <c r="D228" s="113"/>
      <c r="E228" s="113"/>
      <c r="F228" s="162"/>
    </row>
    <row r="229" spans="2:6" ht="15" customHeight="1" x14ac:dyDescent="0.3">
      <c r="B229" s="161"/>
      <c r="C229" s="113"/>
      <c r="D229" s="113"/>
      <c r="E229" s="113"/>
      <c r="F229" s="162"/>
    </row>
    <row r="230" spans="2:6" ht="15" customHeight="1" x14ac:dyDescent="0.3">
      <c r="B230" s="161"/>
      <c r="C230" s="113"/>
      <c r="D230" s="113"/>
      <c r="E230" s="113"/>
      <c r="F230" s="162"/>
    </row>
    <row r="231" spans="2:6" ht="15" customHeight="1" x14ac:dyDescent="0.3">
      <c r="B231" s="161"/>
      <c r="C231" s="113"/>
      <c r="D231" s="113"/>
      <c r="E231" s="113"/>
      <c r="F231" s="162"/>
    </row>
    <row r="232" spans="2:6" ht="15" customHeight="1" x14ac:dyDescent="0.3">
      <c r="B232" s="161"/>
      <c r="C232" s="113"/>
      <c r="D232" s="113"/>
      <c r="E232" s="113"/>
      <c r="F232" s="162"/>
    </row>
    <row r="233" spans="2:6" ht="15" customHeight="1" x14ac:dyDescent="0.3">
      <c r="B233" s="163"/>
      <c r="C233" s="164"/>
      <c r="D233" s="164"/>
      <c r="E233" s="164"/>
      <c r="F233" s="165"/>
    </row>
    <row r="234" spans="2:6" ht="19.95" customHeight="1" x14ac:dyDescent="0.3">
      <c r="B234" s="151" t="s">
        <v>1424</v>
      </c>
      <c r="C234" s="113"/>
      <c r="D234" s="113"/>
      <c r="E234" s="113"/>
      <c r="F234" s="113"/>
    </row>
    <row r="235" spans="2:6" ht="6" customHeight="1" x14ac:dyDescent="0.3"/>
    <row r="236" spans="2:6" ht="7.05" customHeight="1" x14ac:dyDescent="0.3"/>
    <row r="237" spans="2:6" ht="22.95" customHeight="1" x14ac:dyDescent="0.3">
      <c r="B237" s="156" t="s">
        <v>1425</v>
      </c>
      <c r="C237" s="157"/>
      <c r="D237" s="157"/>
      <c r="E237" s="157"/>
      <c r="F237" s="157"/>
    </row>
    <row r="238" spans="2:6" ht="4.05" customHeight="1" x14ac:dyDescent="0.3"/>
    <row r="239" spans="2:6" ht="19.350000000000001" customHeight="1" x14ac:dyDescent="0.3">
      <c r="B239" s="129" t="s">
        <v>1426</v>
      </c>
      <c r="C239" s="113"/>
      <c r="D239" s="113"/>
      <c r="E239" s="113"/>
      <c r="F239" s="113"/>
    </row>
    <row r="240" spans="2:6" ht="22.05" customHeight="1" x14ac:dyDescent="0.3">
      <c r="B240" s="144" t="s">
        <v>1324</v>
      </c>
      <c r="C240" s="145"/>
      <c r="D240" s="7" t="s">
        <v>1325</v>
      </c>
      <c r="E240" s="144" t="s">
        <v>1326</v>
      </c>
      <c r="F240" s="145"/>
    </row>
    <row r="241" spans="2:6" ht="19.95" customHeight="1" x14ac:dyDescent="0.3">
      <c r="B241" s="174" t="s">
        <v>1327</v>
      </c>
      <c r="C241" s="111"/>
      <c r="D241" s="23" t="s">
        <v>1427</v>
      </c>
      <c r="E241" s="130"/>
      <c r="F241" s="111"/>
    </row>
    <row r="242" spans="2:6" ht="33.75" customHeight="1" x14ac:dyDescent="0.3">
      <c r="B242" s="173" t="s">
        <v>1428</v>
      </c>
      <c r="C242" s="133"/>
      <c r="D242" s="23" t="s">
        <v>1429</v>
      </c>
      <c r="E242" s="132" t="s">
        <v>1430</v>
      </c>
      <c r="F242" s="133"/>
    </row>
    <row r="243" spans="2:6" ht="6" customHeight="1" x14ac:dyDescent="0.3"/>
    <row r="244" spans="2:6" ht="22.05" customHeight="1" x14ac:dyDescent="0.3">
      <c r="B244" s="144" t="s">
        <v>1431</v>
      </c>
      <c r="C244" s="145"/>
      <c r="D244" s="7" t="s">
        <v>1344</v>
      </c>
      <c r="E244" s="144" t="s">
        <v>772</v>
      </c>
      <c r="F244" s="145"/>
    </row>
    <row r="245" spans="2:6" ht="19.95" customHeight="1" x14ac:dyDescent="0.3">
      <c r="B245" s="149" t="s">
        <v>1432</v>
      </c>
      <c r="C245" s="137"/>
      <c r="D245" s="23" t="s">
        <v>1433</v>
      </c>
      <c r="E245" s="130" t="s">
        <v>1434</v>
      </c>
      <c r="F245" s="111"/>
    </row>
    <row r="246" spans="2:6" ht="19.95" customHeight="1" x14ac:dyDescent="0.3">
      <c r="B246" s="149" t="s">
        <v>1435</v>
      </c>
      <c r="C246" s="137"/>
      <c r="D246" s="23" t="s">
        <v>1436</v>
      </c>
      <c r="E246" s="132" t="s">
        <v>1437</v>
      </c>
      <c r="F246" s="133"/>
    </row>
    <row r="247" spans="2:6" ht="6" customHeight="1" x14ac:dyDescent="0.3"/>
    <row r="248" spans="2:6" ht="15" customHeight="1" x14ac:dyDescent="0.3">
      <c r="B248" s="158" t="s">
        <v>1438</v>
      </c>
      <c r="C248" s="159"/>
      <c r="D248" s="159"/>
      <c r="E248" s="159"/>
      <c r="F248" s="160"/>
    </row>
    <row r="249" spans="2:6" ht="15" customHeight="1" x14ac:dyDescent="0.3">
      <c r="B249" s="161"/>
      <c r="C249" s="113"/>
      <c r="D249" s="113"/>
      <c r="E249" s="113"/>
      <c r="F249" s="162"/>
    </row>
    <row r="250" spans="2:6" ht="15" customHeight="1" x14ac:dyDescent="0.3">
      <c r="B250" s="161"/>
      <c r="C250" s="113"/>
      <c r="D250" s="113"/>
      <c r="E250" s="113"/>
      <c r="F250" s="162"/>
    </row>
    <row r="251" spans="2:6" ht="15" customHeight="1" x14ac:dyDescent="0.3">
      <c r="B251" s="161"/>
      <c r="C251" s="113"/>
      <c r="D251" s="113"/>
      <c r="E251" s="113"/>
      <c r="F251" s="162"/>
    </row>
    <row r="252" spans="2:6" ht="15" customHeight="1" x14ac:dyDescent="0.3">
      <c r="B252" s="161"/>
      <c r="C252" s="113"/>
      <c r="D252" s="113"/>
      <c r="E252" s="113"/>
      <c r="F252" s="162"/>
    </row>
    <row r="253" spans="2:6" ht="15" customHeight="1" x14ac:dyDescent="0.3">
      <c r="B253" s="161"/>
      <c r="C253" s="113"/>
      <c r="D253" s="113"/>
      <c r="E253" s="113"/>
      <c r="F253" s="162"/>
    </row>
    <row r="254" spans="2:6" ht="15" customHeight="1" x14ac:dyDescent="0.3">
      <c r="B254" s="161"/>
      <c r="C254" s="113"/>
      <c r="D254" s="113"/>
      <c r="E254" s="113"/>
      <c r="F254" s="162"/>
    </row>
    <row r="255" spans="2:6" ht="15" customHeight="1" x14ac:dyDescent="0.3">
      <c r="B255" s="161"/>
      <c r="C255" s="113"/>
      <c r="D255" s="113"/>
      <c r="E255" s="113"/>
      <c r="F255" s="162"/>
    </row>
    <row r="256" spans="2:6" ht="15" customHeight="1" x14ac:dyDescent="0.3">
      <c r="B256" s="161"/>
      <c r="C256" s="113"/>
      <c r="D256" s="113"/>
      <c r="E256" s="113"/>
      <c r="F256" s="162"/>
    </row>
    <row r="257" spans="2:6" ht="15" customHeight="1" x14ac:dyDescent="0.3">
      <c r="B257" s="161"/>
      <c r="C257" s="113"/>
      <c r="D257" s="113"/>
      <c r="E257" s="113"/>
      <c r="F257" s="162"/>
    </row>
    <row r="258" spans="2:6" ht="15" customHeight="1" x14ac:dyDescent="0.3">
      <c r="B258" s="161"/>
      <c r="C258" s="113"/>
      <c r="D258" s="113"/>
      <c r="E258" s="113"/>
      <c r="F258" s="162"/>
    </row>
    <row r="259" spans="2:6" ht="15" customHeight="1" x14ac:dyDescent="0.3">
      <c r="B259" s="161"/>
      <c r="C259" s="113"/>
      <c r="D259" s="113"/>
      <c r="E259" s="113"/>
      <c r="F259" s="162"/>
    </row>
    <row r="260" spans="2:6" ht="15" customHeight="1" x14ac:dyDescent="0.3">
      <c r="B260" s="161"/>
      <c r="C260" s="113"/>
      <c r="D260" s="113"/>
      <c r="E260" s="113"/>
      <c r="F260" s="162"/>
    </row>
    <row r="261" spans="2:6" ht="15" customHeight="1" x14ac:dyDescent="0.3">
      <c r="B261" s="163"/>
      <c r="C261" s="164"/>
      <c r="D261" s="164"/>
      <c r="E261" s="164"/>
      <c r="F261" s="165"/>
    </row>
    <row r="262" spans="2:6" ht="19.95" customHeight="1" x14ac:dyDescent="0.3">
      <c r="B262" s="151" t="s">
        <v>1439</v>
      </c>
      <c r="C262" s="113"/>
      <c r="D262" s="113"/>
      <c r="E262" s="113"/>
      <c r="F262" s="113"/>
    </row>
    <row r="263" spans="2:6" ht="6" customHeight="1" x14ac:dyDescent="0.3"/>
    <row r="264" spans="2:6" ht="7.05" customHeight="1" x14ac:dyDescent="0.3"/>
    <row r="265" spans="2:6" ht="22.95" customHeight="1" x14ac:dyDescent="0.3">
      <c r="B265" s="156" t="s">
        <v>1440</v>
      </c>
      <c r="C265" s="157"/>
      <c r="D265" s="157"/>
      <c r="E265" s="157"/>
      <c r="F265" s="157"/>
    </row>
    <row r="266" spans="2:6" ht="4.05" customHeight="1" x14ac:dyDescent="0.3"/>
    <row r="267" spans="2:6" ht="19.350000000000001" customHeight="1" x14ac:dyDescent="0.3">
      <c r="B267" s="129" t="s">
        <v>1441</v>
      </c>
      <c r="C267" s="113"/>
      <c r="D267" s="113"/>
      <c r="E267" s="113"/>
      <c r="F267" s="113"/>
    </row>
    <row r="268" spans="2:6" ht="19.350000000000001" customHeight="1" x14ac:dyDescent="0.3">
      <c r="B268" s="129" t="s">
        <v>1442</v>
      </c>
      <c r="C268" s="113"/>
      <c r="D268" s="113"/>
      <c r="E268" s="113"/>
      <c r="F268" s="113"/>
    </row>
    <row r="269" spans="2:6" ht="22.05" customHeight="1" x14ac:dyDescent="0.3">
      <c r="B269" s="144" t="s">
        <v>1324</v>
      </c>
      <c r="C269" s="145"/>
      <c r="D269" s="7" t="s">
        <v>1325</v>
      </c>
      <c r="E269" s="144" t="s">
        <v>1326</v>
      </c>
      <c r="F269" s="145"/>
    </row>
    <row r="270" spans="2:6" ht="19.95" customHeight="1" x14ac:dyDescent="0.3">
      <c r="B270" s="174" t="s">
        <v>1327</v>
      </c>
      <c r="C270" s="111"/>
      <c r="D270" s="23" t="s">
        <v>1443</v>
      </c>
      <c r="E270" s="130"/>
      <c r="F270" s="111"/>
    </row>
    <row r="271" spans="2:6" ht="19.95" customHeight="1" x14ac:dyDescent="0.3">
      <c r="B271" s="173" t="s">
        <v>1444</v>
      </c>
      <c r="C271" s="133"/>
      <c r="D271" s="23" t="s">
        <v>1445</v>
      </c>
      <c r="E271" s="132" t="s">
        <v>1446</v>
      </c>
      <c r="F271" s="133"/>
    </row>
    <row r="272" spans="2:6" ht="19.95" customHeight="1" x14ac:dyDescent="0.3">
      <c r="B272" s="174" t="s">
        <v>1447</v>
      </c>
      <c r="C272" s="111"/>
      <c r="D272" s="23" t="s">
        <v>1339</v>
      </c>
      <c r="E272" s="130" t="s">
        <v>1448</v>
      </c>
      <c r="F272" s="111"/>
    </row>
    <row r="273" spans="2:6" ht="19.95" customHeight="1" x14ac:dyDescent="0.3">
      <c r="B273" s="173" t="s">
        <v>1449</v>
      </c>
      <c r="C273" s="133"/>
      <c r="D273" s="23" t="s">
        <v>1450</v>
      </c>
      <c r="E273" s="132"/>
      <c r="F273" s="133"/>
    </row>
    <row r="274" spans="2:6" ht="6" customHeight="1" x14ac:dyDescent="0.3"/>
    <row r="275" spans="2:6" ht="16.95" customHeight="1" x14ac:dyDescent="0.3">
      <c r="C275" s="170" t="s">
        <v>1451</v>
      </c>
      <c r="D275" s="113"/>
      <c r="E275" s="113"/>
      <c r="F275" s="113"/>
    </row>
    <row r="276" spans="2:6" ht="17.25" customHeight="1" x14ac:dyDescent="0.3">
      <c r="C276" s="39" t="s">
        <v>1452</v>
      </c>
      <c r="D276" s="40"/>
      <c r="E276" s="40"/>
      <c r="F276" s="41"/>
    </row>
    <row r="277" spans="2:6" ht="17.25" customHeight="1" x14ac:dyDescent="0.3">
      <c r="C277" s="42" t="s">
        <v>1453</v>
      </c>
      <c r="D277" s="43"/>
      <c r="E277" s="43"/>
      <c r="F277" s="44"/>
    </row>
    <row r="278" spans="2:6" ht="17.25" customHeight="1" x14ac:dyDescent="0.3">
      <c r="C278" s="42" t="s">
        <v>1454</v>
      </c>
      <c r="D278" s="43"/>
      <c r="E278" s="43"/>
      <c r="F278" s="44"/>
    </row>
    <row r="279" spans="2:6" ht="17.25" customHeight="1" x14ac:dyDescent="0.3">
      <c r="C279" s="42"/>
      <c r="D279" s="43"/>
      <c r="E279" s="43"/>
      <c r="F279" s="44"/>
    </row>
    <row r="280" spans="2:6" ht="17.25" customHeight="1" x14ac:dyDescent="0.3">
      <c r="C280" s="42" t="s">
        <v>1455</v>
      </c>
      <c r="D280" s="43"/>
      <c r="E280" s="43"/>
      <c r="F280" s="44"/>
    </row>
    <row r="281" spans="2:6" ht="17.25" customHeight="1" x14ac:dyDescent="0.3">
      <c r="C281" s="42" t="s">
        <v>1456</v>
      </c>
      <c r="D281" s="43"/>
      <c r="E281" s="43"/>
      <c r="F281" s="44"/>
    </row>
    <row r="282" spans="2:6" ht="17.25" customHeight="1" x14ac:dyDescent="0.3">
      <c r="C282" s="42"/>
      <c r="D282" s="43"/>
      <c r="E282" s="43"/>
      <c r="F282" s="44"/>
    </row>
    <row r="283" spans="2:6" ht="17.25" customHeight="1" x14ac:dyDescent="0.3">
      <c r="C283" s="42" t="s">
        <v>1457</v>
      </c>
      <c r="D283" s="43"/>
      <c r="E283" s="43"/>
      <c r="F283" s="44"/>
    </row>
    <row r="284" spans="2:6" ht="17.25" customHeight="1" x14ac:dyDescent="0.3">
      <c r="C284" s="42" t="s">
        <v>1458</v>
      </c>
      <c r="D284" s="43"/>
      <c r="E284" s="43"/>
      <c r="F284" s="44"/>
    </row>
    <row r="285" spans="2:6" ht="17.25" customHeight="1" x14ac:dyDescent="0.3">
      <c r="C285" s="42" t="s">
        <v>608</v>
      </c>
      <c r="D285" s="43"/>
      <c r="E285" s="43"/>
      <c r="F285" s="44"/>
    </row>
    <row r="286" spans="2:6" ht="17.25" customHeight="1" x14ac:dyDescent="0.3">
      <c r="C286" s="42"/>
      <c r="D286" s="43"/>
      <c r="E286" s="43"/>
      <c r="F286" s="44"/>
    </row>
    <row r="287" spans="2:6" ht="17.25" customHeight="1" x14ac:dyDescent="0.3">
      <c r="C287" s="42" t="s">
        <v>1459</v>
      </c>
      <c r="D287" s="43"/>
      <c r="E287" s="43"/>
      <c r="F287" s="44"/>
    </row>
    <row r="288" spans="2:6" ht="17.25" customHeight="1" x14ac:dyDescent="0.3">
      <c r="C288" s="42" t="s">
        <v>1460</v>
      </c>
      <c r="D288" s="43"/>
      <c r="E288" s="43"/>
      <c r="F288" s="44"/>
    </row>
    <row r="289" spans="2:6" ht="17.25" customHeight="1" x14ac:dyDescent="0.3">
      <c r="C289" s="42" t="s">
        <v>1461</v>
      </c>
      <c r="D289" s="43"/>
      <c r="E289" s="43"/>
      <c r="F289" s="44"/>
    </row>
    <row r="290" spans="2:6" ht="17.25" customHeight="1" x14ac:dyDescent="0.3">
      <c r="C290" s="45" t="s">
        <v>1462</v>
      </c>
      <c r="D290" s="46"/>
      <c r="E290" s="46"/>
      <c r="F290" s="47"/>
    </row>
    <row r="291" spans="2:6" ht="4.95" customHeight="1" x14ac:dyDescent="0.3"/>
    <row r="292" spans="2:6" ht="22.05" customHeight="1" x14ac:dyDescent="0.3">
      <c r="B292" s="144" t="s">
        <v>1463</v>
      </c>
      <c r="C292" s="145"/>
      <c r="D292" s="144" t="s">
        <v>53</v>
      </c>
      <c r="E292" s="171"/>
      <c r="F292" s="145"/>
    </row>
    <row r="293" spans="2:6" ht="19.95" customHeight="1" x14ac:dyDescent="0.3">
      <c r="B293" s="149" t="s">
        <v>1464</v>
      </c>
      <c r="C293" s="137"/>
      <c r="D293" s="130" t="s">
        <v>1465</v>
      </c>
      <c r="E293" s="110"/>
      <c r="F293" s="111"/>
    </row>
    <row r="294" spans="2:6" ht="19.95" customHeight="1" x14ac:dyDescent="0.3">
      <c r="B294" s="149" t="s">
        <v>1466</v>
      </c>
      <c r="C294" s="137"/>
      <c r="D294" s="132" t="s">
        <v>1467</v>
      </c>
      <c r="E294" s="169"/>
      <c r="F294" s="133"/>
    </row>
    <row r="295" spans="2:6" ht="19.95" customHeight="1" x14ac:dyDescent="0.3">
      <c r="B295" s="149" t="s">
        <v>1468</v>
      </c>
      <c r="C295" s="137"/>
      <c r="D295" s="130" t="s">
        <v>1469</v>
      </c>
      <c r="E295" s="110"/>
      <c r="F295" s="111"/>
    </row>
    <row r="296" spans="2:6" ht="33.75" customHeight="1" x14ac:dyDescent="0.3">
      <c r="B296" s="149" t="s">
        <v>1470</v>
      </c>
      <c r="C296" s="137"/>
      <c r="D296" s="132" t="s">
        <v>1471</v>
      </c>
      <c r="E296" s="169"/>
      <c r="F296" s="133"/>
    </row>
    <row r="297" spans="2:6" ht="19.95" customHeight="1" x14ac:dyDescent="0.3">
      <c r="B297" s="149" t="s">
        <v>1461</v>
      </c>
      <c r="C297" s="137"/>
      <c r="D297" s="130" t="s">
        <v>1472</v>
      </c>
      <c r="E297" s="110"/>
      <c r="F297" s="111"/>
    </row>
    <row r="298" spans="2:6" ht="19.95" customHeight="1" x14ac:dyDescent="0.3">
      <c r="B298" s="149" t="s">
        <v>1473</v>
      </c>
      <c r="C298" s="137"/>
      <c r="D298" s="132" t="s">
        <v>1474</v>
      </c>
      <c r="E298" s="169"/>
      <c r="F298" s="133"/>
    </row>
    <row r="299" spans="2:6" ht="6" customHeight="1" x14ac:dyDescent="0.3"/>
    <row r="300" spans="2:6" ht="33.75" customHeight="1" x14ac:dyDescent="0.3">
      <c r="B300" s="22" t="s">
        <v>62</v>
      </c>
      <c r="C300" s="152" t="s">
        <v>1475</v>
      </c>
      <c r="D300" s="153"/>
      <c r="E300" s="153"/>
      <c r="F300" s="105"/>
    </row>
    <row r="301" spans="2:6" ht="4.95" customHeight="1" x14ac:dyDescent="0.3"/>
    <row r="302" spans="2:6" ht="22.05" customHeight="1" x14ac:dyDescent="0.3">
      <c r="B302" s="22" t="s">
        <v>62</v>
      </c>
      <c r="C302" s="152" t="s">
        <v>1476</v>
      </c>
      <c r="D302" s="153"/>
      <c r="E302" s="153"/>
      <c r="F302" s="105"/>
    </row>
    <row r="303" spans="2:6" ht="4.95" customHeight="1" x14ac:dyDescent="0.3"/>
    <row r="304" spans="2:6" ht="15" customHeight="1" x14ac:dyDescent="0.3">
      <c r="B304" s="158" t="s">
        <v>1477</v>
      </c>
      <c r="C304" s="159"/>
      <c r="D304" s="159"/>
      <c r="E304" s="159"/>
      <c r="F304" s="160"/>
    </row>
    <row r="305" spans="2:6" ht="15" customHeight="1" x14ac:dyDescent="0.3">
      <c r="B305" s="161"/>
      <c r="C305" s="113"/>
      <c r="D305" s="113"/>
      <c r="E305" s="113"/>
      <c r="F305" s="162"/>
    </row>
    <row r="306" spans="2:6" ht="15" customHeight="1" x14ac:dyDescent="0.3">
      <c r="B306" s="161"/>
      <c r="C306" s="113"/>
      <c r="D306" s="113"/>
      <c r="E306" s="113"/>
      <c r="F306" s="162"/>
    </row>
    <row r="307" spans="2:6" ht="15" customHeight="1" x14ac:dyDescent="0.3">
      <c r="B307" s="161"/>
      <c r="C307" s="113"/>
      <c r="D307" s="113"/>
      <c r="E307" s="113"/>
      <c r="F307" s="162"/>
    </row>
    <row r="308" spans="2:6" ht="15" customHeight="1" x14ac:dyDescent="0.3">
      <c r="B308" s="161"/>
      <c r="C308" s="113"/>
      <c r="D308" s="113"/>
      <c r="E308" s="113"/>
      <c r="F308" s="162"/>
    </row>
    <row r="309" spans="2:6" ht="15" customHeight="1" x14ac:dyDescent="0.3">
      <c r="B309" s="161"/>
      <c r="C309" s="113"/>
      <c r="D309" s="113"/>
      <c r="E309" s="113"/>
      <c r="F309" s="162"/>
    </row>
    <row r="310" spans="2:6" ht="15" customHeight="1" x14ac:dyDescent="0.3">
      <c r="B310" s="161"/>
      <c r="C310" s="113"/>
      <c r="D310" s="113"/>
      <c r="E310" s="113"/>
      <c r="F310" s="162"/>
    </row>
    <row r="311" spans="2:6" ht="15" customHeight="1" x14ac:dyDescent="0.3">
      <c r="B311" s="161"/>
      <c r="C311" s="113"/>
      <c r="D311" s="113"/>
      <c r="E311" s="113"/>
      <c r="F311" s="162"/>
    </row>
    <row r="312" spans="2:6" ht="15" customHeight="1" x14ac:dyDescent="0.3">
      <c r="B312" s="161"/>
      <c r="C312" s="113"/>
      <c r="D312" s="113"/>
      <c r="E312" s="113"/>
      <c r="F312" s="162"/>
    </row>
    <row r="313" spans="2:6" ht="15" customHeight="1" x14ac:dyDescent="0.3">
      <c r="B313" s="161"/>
      <c r="C313" s="113"/>
      <c r="D313" s="113"/>
      <c r="E313" s="113"/>
      <c r="F313" s="162"/>
    </row>
    <row r="314" spans="2:6" ht="15" customHeight="1" x14ac:dyDescent="0.3">
      <c r="B314" s="161"/>
      <c r="C314" s="113"/>
      <c r="D314" s="113"/>
      <c r="E314" s="113"/>
      <c r="F314" s="162"/>
    </row>
    <row r="315" spans="2:6" ht="15" customHeight="1" x14ac:dyDescent="0.3">
      <c r="B315" s="161"/>
      <c r="C315" s="113"/>
      <c r="D315" s="113"/>
      <c r="E315" s="113"/>
      <c r="F315" s="162"/>
    </row>
    <row r="316" spans="2:6" ht="15" customHeight="1" x14ac:dyDescent="0.3">
      <c r="B316" s="161"/>
      <c r="C316" s="113"/>
      <c r="D316" s="113"/>
      <c r="E316" s="113"/>
      <c r="F316" s="162"/>
    </row>
    <row r="317" spans="2:6" ht="15" customHeight="1" x14ac:dyDescent="0.3">
      <c r="B317" s="161"/>
      <c r="C317" s="113"/>
      <c r="D317" s="113"/>
      <c r="E317" s="113"/>
      <c r="F317" s="162"/>
    </row>
    <row r="318" spans="2:6" ht="15" customHeight="1" x14ac:dyDescent="0.3">
      <c r="B318" s="161"/>
      <c r="C318" s="113"/>
      <c r="D318" s="113"/>
      <c r="E318" s="113"/>
      <c r="F318" s="162"/>
    </row>
    <row r="319" spans="2:6" ht="15" customHeight="1" x14ac:dyDescent="0.3">
      <c r="B319" s="161"/>
      <c r="C319" s="113"/>
      <c r="D319" s="113"/>
      <c r="E319" s="113"/>
      <c r="F319" s="162"/>
    </row>
    <row r="320" spans="2:6" ht="15" customHeight="1" x14ac:dyDescent="0.3">
      <c r="B320" s="161"/>
      <c r="C320" s="113"/>
      <c r="D320" s="113"/>
      <c r="E320" s="113"/>
      <c r="F320" s="162"/>
    </row>
    <row r="321" spans="2:6" ht="15" customHeight="1" x14ac:dyDescent="0.3">
      <c r="B321" s="161"/>
      <c r="C321" s="113"/>
      <c r="D321" s="113"/>
      <c r="E321" s="113"/>
      <c r="F321" s="162"/>
    </row>
    <row r="322" spans="2:6" ht="15" customHeight="1" x14ac:dyDescent="0.3">
      <c r="B322" s="161"/>
      <c r="C322" s="113"/>
      <c r="D322" s="113"/>
      <c r="E322" s="113"/>
      <c r="F322" s="162"/>
    </row>
    <row r="323" spans="2:6" ht="15" customHeight="1" x14ac:dyDescent="0.3">
      <c r="B323" s="163"/>
      <c r="C323" s="164"/>
      <c r="D323" s="164"/>
      <c r="E323" s="164"/>
      <c r="F323" s="165"/>
    </row>
    <row r="324" spans="2:6" ht="19.95" customHeight="1" x14ac:dyDescent="0.3">
      <c r="B324" s="151" t="s">
        <v>1478</v>
      </c>
      <c r="C324" s="113"/>
      <c r="D324" s="113"/>
      <c r="E324" s="113"/>
      <c r="F324" s="113"/>
    </row>
    <row r="325" spans="2:6" ht="6" customHeight="1" x14ac:dyDescent="0.3"/>
    <row r="326" spans="2:6" ht="3" customHeight="1" x14ac:dyDescent="0.3"/>
    <row r="327" spans="2:6" ht="21" customHeight="1" x14ac:dyDescent="0.3">
      <c r="B327" s="178" t="s">
        <v>1479</v>
      </c>
      <c r="C327" s="179"/>
      <c r="D327" s="179"/>
      <c r="E327" s="179"/>
      <c r="F327" s="179"/>
    </row>
    <row r="328" spans="2:6" ht="3" customHeight="1" x14ac:dyDescent="0.3"/>
    <row r="329" spans="2:6" ht="22.05" customHeight="1" x14ac:dyDescent="0.3">
      <c r="B329" s="144" t="s">
        <v>1480</v>
      </c>
      <c r="C329" s="145"/>
      <c r="D329" s="7" t="s">
        <v>1481</v>
      </c>
      <c r="E329" s="7" t="s">
        <v>1482</v>
      </c>
      <c r="F329" s="7" t="s">
        <v>1483</v>
      </c>
    </row>
    <row r="330" spans="2:6" ht="33.75" customHeight="1" x14ac:dyDescent="0.3">
      <c r="B330" s="174" t="s">
        <v>1484</v>
      </c>
      <c r="C330" s="111"/>
      <c r="D330" s="10" t="s">
        <v>1485</v>
      </c>
      <c r="E330" s="10" t="s">
        <v>1486</v>
      </c>
      <c r="F330" s="10" t="s">
        <v>1487</v>
      </c>
    </row>
    <row r="331" spans="2:6" ht="48.15" customHeight="1" x14ac:dyDescent="0.3">
      <c r="B331" s="173" t="s">
        <v>1488</v>
      </c>
      <c r="C331" s="133"/>
      <c r="D331" s="23" t="s">
        <v>1489</v>
      </c>
      <c r="E331" s="13" t="s">
        <v>1490</v>
      </c>
      <c r="F331" s="13" t="s">
        <v>1491</v>
      </c>
    </row>
    <row r="332" spans="2:6" ht="91.35" customHeight="1" x14ac:dyDescent="0.3">
      <c r="B332" s="174" t="s">
        <v>1492</v>
      </c>
      <c r="C332" s="111"/>
      <c r="D332" s="23" t="s">
        <v>1493</v>
      </c>
      <c r="E332" s="10" t="s">
        <v>1494</v>
      </c>
      <c r="F332" s="10" t="s">
        <v>1495</v>
      </c>
    </row>
    <row r="333" spans="2:6" ht="33.75" customHeight="1" x14ac:dyDescent="0.3">
      <c r="B333" s="173" t="s">
        <v>1496</v>
      </c>
      <c r="C333" s="133"/>
      <c r="D333" s="23" t="s">
        <v>1497</v>
      </c>
      <c r="E333" s="13" t="s">
        <v>1498</v>
      </c>
      <c r="F333" s="13" t="s">
        <v>1499</v>
      </c>
    </row>
    <row r="334" spans="2:6" ht="33.75" customHeight="1" x14ac:dyDescent="0.3">
      <c r="B334" s="174" t="s">
        <v>1500</v>
      </c>
      <c r="C334" s="111"/>
      <c r="D334" s="10" t="s">
        <v>1501</v>
      </c>
      <c r="E334" s="10" t="s">
        <v>1502</v>
      </c>
      <c r="F334" s="10" t="s">
        <v>1503</v>
      </c>
    </row>
    <row r="335" spans="2:6" ht="6" customHeight="1" x14ac:dyDescent="0.3"/>
    <row r="336" spans="2:6" ht="33.75" customHeight="1" x14ac:dyDescent="0.3">
      <c r="B336" s="37" t="s">
        <v>66</v>
      </c>
      <c r="C336" s="152" t="s">
        <v>1504</v>
      </c>
      <c r="D336" s="153"/>
      <c r="E336" s="153"/>
      <c r="F336" s="105"/>
    </row>
    <row r="337" spans="2:6" ht="4.95" customHeight="1" x14ac:dyDescent="0.3"/>
    <row r="338" spans="2:6" ht="16.95" customHeight="1" x14ac:dyDescent="0.3">
      <c r="C338" s="170" t="s">
        <v>1505</v>
      </c>
      <c r="D338" s="113"/>
      <c r="E338" s="113"/>
      <c r="F338" s="113"/>
    </row>
    <row r="339" spans="2:6" ht="17.25" customHeight="1" x14ac:dyDescent="0.3">
      <c r="C339" s="39" t="s">
        <v>1506</v>
      </c>
      <c r="D339" s="40"/>
      <c r="E339" s="40"/>
      <c r="F339" s="41"/>
    </row>
    <row r="340" spans="2:6" ht="17.25" customHeight="1" x14ac:dyDescent="0.3">
      <c r="C340" s="45" t="s">
        <v>1507</v>
      </c>
      <c r="D340" s="46"/>
      <c r="E340" s="46"/>
      <c r="F340" s="47"/>
    </row>
    <row r="341" spans="2:6" ht="4.95" customHeight="1" x14ac:dyDescent="0.3"/>
    <row r="342" spans="2:6" ht="16.95" customHeight="1" x14ac:dyDescent="0.3">
      <c r="C342" s="170" t="s">
        <v>1508</v>
      </c>
      <c r="D342" s="113"/>
      <c r="E342" s="113"/>
      <c r="F342" s="113"/>
    </row>
    <row r="343" spans="2:6" ht="17.25" customHeight="1" x14ac:dyDescent="0.3">
      <c r="C343" s="48" t="s">
        <v>1509</v>
      </c>
      <c r="D343" s="49"/>
      <c r="E343" s="49"/>
      <c r="F343" s="50"/>
    </row>
    <row r="344" spans="2:6" ht="4.95" customHeight="1" x14ac:dyDescent="0.3"/>
    <row r="345" spans="2:6" ht="33.75" customHeight="1" x14ac:dyDescent="0.3">
      <c r="B345" s="37" t="s">
        <v>512</v>
      </c>
      <c r="C345" s="152" t="s">
        <v>1510</v>
      </c>
      <c r="D345" s="153"/>
      <c r="E345" s="153"/>
      <c r="F345" s="105"/>
    </row>
    <row r="346" spans="2:6" ht="4.95" customHeight="1" x14ac:dyDescent="0.3"/>
    <row r="347" spans="2:6" ht="33.75" customHeight="1" x14ac:dyDescent="0.3">
      <c r="B347" s="22" t="s">
        <v>62</v>
      </c>
      <c r="C347" s="152" t="s">
        <v>1511</v>
      </c>
      <c r="D347" s="153"/>
      <c r="E347" s="153"/>
      <c r="F347" s="105"/>
    </row>
    <row r="348" spans="2:6" ht="4.95" customHeight="1" x14ac:dyDescent="0.3"/>
    <row r="349" spans="2:6" ht="7.05" customHeight="1" x14ac:dyDescent="0.3"/>
    <row r="350" spans="2:6" ht="22.95" customHeight="1" x14ac:dyDescent="0.3">
      <c r="B350" s="156" t="s">
        <v>1512</v>
      </c>
      <c r="C350" s="157"/>
      <c r="D350" s="157"/>
      <c r="E350" s="157"/>
      <c r="F350" s="157"/>
    </row>
    <row r="351" spans="2:6" ht="4.05" customHeight="1" x14ac:dyDescent="0.3"/>
    <row r="352" spans="2:6" ht="19.350000000000001" customHeight="1" x14ac:dyDescent="0.3">
      <c r="B352" s="129" t="s">
        <v>1513</v>
      </c>
      <c r="C352" s="113"/>
      <c r="D352" s="113"/>
      <c r="E352" s="113"/>
      <c r="F352" s="113"/>
    </row>
    <row r="353" spans="2:6" ht="16.95" customHeight="1" x14ac:dyDescent="0.3">
      <c r="C353" s="170" t="s">
        <v>1514</v>
      </c>
      <c r="D353" s="113"/>
      <c r="E353" s="113"/>
      <c r="F353" s="113"/>
    </row>
    <row r="354" spans="2:6" ht="17.25" customHeight="1" x14ac:dyDescent="0.3">
      <c r="C354" s="48" t="s">
        <v>1515</v>
      </c>
      <c r="D354" s="49"/>
      <c r="E354" s="49"/>
      <c r="F354" s="50"/>
    </row>
    <row r="355" spans="2:6" ht="4.95" customHeight="1" x14ac:dyDescent="0.3"/>
    <row r="356" spans="2:6" ht="19.350000000000001" customHeight="1" x14ac:dyDescent="0.3">
      <c r="B356" s="129" t="s">
        <v>1516</v>
      </c>
      <c r="C356" s="113"/>
      <c r="D356" s="113"/>
      <c r="E356" s="113"/>
      <c r="F356" s="113"/>
    </row>
    <row r="357" spans="2:6" ht="22.05" customHeight="1" x14ac:dyDescent="0.3">
      <c r="B357" s="144" t="s">
        <v>1324</v>
      </c>
      <c r="C357" s="145"/>
      <c r="D357" s="7" t="s">
        <v>1325</v>
      </c>
      <c r="E357" s="144" t="s">
        <v>1326</v>
      </c>
      <c r="F357" s="145"/>
    </row>
    <row r="358" spans="2:6" ht="19.95" customHeight="1" x14ac:dyDescent="0.3">
      <c r="B358" s="174" t="s">
        <v>1327</v>
      </c>
      <c r="C358" s="111"/>
      <c r="D358" s="23" t="s">
        <v>1517</v>
      </c>
      <c r="E358" s="130"/>
      <c r="F358" s="111"/>
    </row>
    <row r="359" spans="2:6" ht="19.95" customHeight="1" x14ac:dyDescent="0.3">
      <c r="B359" s="173" t="s">
        <v>1518</v>
      </c>
      <c r="C359" s="133"/>
      <c r="D359" s="23" t="s">
        <v>1519</v>
      </c>
      <c r="E359" s="132" t="s">
        <v>1520</v>
      </c>
      <c r="F359" s="133"/>
    </row>
    <row r="360" spans="2:6" ht="19.95" customHeight="1" x14ac:dyDescent="0.3">
      <c r="B360" s="174" t="s">
        <v>1521</v>
      </c>
      <c r="C360" s="111"/>
      <c r="D360" s="23" t="s">
        <v>1522</v>
      </c>
      <c r="E360" s="130" t="s">
        <v>1523</v>
      </c>
      <c r="F360" s="111"/>
    </row>
    <row r="361" spans="2:6" ht="19.95" customHeight="1" x14ac:dyDescent="0.3">
      <c r="B361" s="173" t="s">
        <v>1524</v>
      </c>
      <c r="C361" s="133"/>
      <c r="D361" s="23" t="s">
        <v>1525</v>
      </c>
      <c r="E361" s="132" t="s">
        <v>1526</v>
      </c>
      <c r="F361" s="133"/>
    </row>
    <row r="362" spans="2:6" ht="19.95" customHeight="1" x14ac:dyDescent="0.3">
      <c r="B362" s="174" t="s">
        <v>1527</v>
      </c>
      <c r="C362" s="111"/>
      <c r="D362" s="23" t="s">
        <v>1528</v>
      </c>
      <c r="E362" s="130" t="s">
        <v>1529</v>
      </c>
      <c r="F362" s="111"/>
    </row>
    <row r="363" spans="2:6" ht="33.75" customHeight="1" x14ac:dyDescent="0.3">
      <c r="B363" s="173" t="s">
        <v>1530</v>
      </c>
      <c r="C363" s="133"/>
      <c r="D363" s="23" t="s">
        <v>1531</v>
      </c>
      <c r="E363" s="132" t="s">
        <v>1532</v>
      </c>
      <c r="F363" s="133"/>
    </row>
    <row r="364" spans="2:6" ht="19.95" customHeight="1" x14ac:dyDescent="0.3">
      <c r="B364" s="174" t="s">
        <v>1533</v>
      </c>
      <c r="C364" s="111"/>
      <c r="D364" s="23" t="s">
        <v>77</v>
      </c>
      <c r="E364" s="130" t="s">
        <v>1534</v>
      </c>
      <c r="F364" s="111"/>
    </row>
    <row r="365" spans="2:6" ht="19.95" customHeight="1" x14ac:dyDescent="0.3">
      <c r="B365" s="173" t="s">
        <v>1535</v>
      </c>
      <c r="C365" s="133"/>
      <c r="D365" s="23" t="s">
        <v>1536</v>
      </c>
      <c r="E365" s="132" t="s">
        <v>1537</v>
      </c>
      <c r="F365" s="133"/>
    </row>
    <row r="366" spans="2:6" ht="19.95" customHeight="1" x14ac:dyDescent="0.3">
      <c r="B366" s="174" t="s">
        <v>1538</v>
      </c>
      <c r="C366" s="111"/>
      <c r="D366" s="23" t="s">
        <v>1539</v>
      </c>
      <c r="E366" s="130"/>
      <c r="F366" s="111"/>
    </row>
    <row r="367" spans="2:6" ht="6" customHeight="1" x14ac:dyDescent="0.3"/>
    <row r="368" spans="2:6" ht="15" customHeight="1" x14ac:dyDescent="0.3">
      <c r="B368" s="158" t="s">
        <v>1540</v>
      </c>
      <c r="C368" s="159"/>
      <c r="D368" s="159"/>
      <c r="E368" s="159"/>
      <c r="F368" s="160"/>
    </row>
    <row r="369" spans="2:6" ht="15" customHeight="1" x14ac:dyDescent="0.3">
      <c r="B369" s="161"/>
      <c r="C369" s="113"/>
      <c r="D369" s="113"/>
      <c r="E369" s="113"/>
      <c r="F369" s="162"/>
    </row>
    <row r="370" spans="2:6" ht="15" customHeight="1" x14ac:dyDescent="0.3">
      <c r="B370" s="161"/>
      <c r="C370" s="113"/>
      <c r="D370" s="113"/>
      <c r="E370" s="113"/>
      <c r="F370" s="162"/>
    </row>
    <row r="371" spans="2:6" ht="15" customHeight="1" x14ac:dyDescent="0.3">
      <c r="B371" s="161"/>
      <c r="C371" s="113"/>
      <c r="D371" s="113"/>
      <c r="E371" s="113"/>
      <c r="F371" s="162"/>
    </row>
    <row r="372" spans="2:6" ht="15" customHeight="1" x14ac:dyDescent="0.3">
      <c r="B372" s="161"/>
      <c r="C372" s="113"/>
      <c r="D372" s="113"/>
      <c r="E372" s="113"/>
      <c r="F372" s="162"/>
    </row>
    <row r="373" spans="2:6" ht="15" customHeight="1" x14ac:dyDescent="0.3">
      <c r="B373" s="161"/>
      <c r="C373" s="113"/>
      <c r="D373" s="113"/>
      <c r="E373" s="113"/>
      <c r="F373" s="162"/>
    </row>
    <row r="374" spans="2:6" ht="15" customHeight="1" x14ac:dyDescent="0.3">
      <c r="B374" s="161"/>
      <c r="C374" s="113"/>
      <c r="D374" s="113"/>
      <c r="E374" s="113"/>
      <c r="F374" s="162"/>
    </row>
    <row r="375" spans="2:6" ht="15" customHeight="1" x14ac:dyDescent="0.3">
      <c r="B375" s="161"/>
      <c r="C375" s="113"/>
      <c r="D375" s="113"/>
      <c r="E375" s="113"/>
      <c r="F375" s="162"/>
    </row>
    <row r="376" spans="2:6" ht="15" customHeight="1" x14ac:dyDescent="0.3">
      <c r="B376" s="161"/>
      <c r="C376" s="113"/>
      <c r="D376" s="113"/>
      <c r="E376" s="113"/>
      <c r="F376" s="162"/>
    </row>
    <row r="377" spans="2:6" ht="15" customHeight="1" x14ac:dyDescent="0.3">
      <c r="B377" s="161"/>
      <c r="C377" s="113"/>
      <c r="D377" s="113"/>
      <c r="E377" s="113"/>
      <c r="F377" s="162"/>
    </row>
    <row r="378" spans="2:6" ht="15" customHeight="1" x14ac:dyDescent="0.3">
      <c r="B378" s="161"/>
      <c r="C378" s="113"/>
      <c r="D378" s="113"/>
      <c r="E378" s="113"/>
      <c r="F378" s="162"/>
    </row>
    <row r="379" spans="2:6" ht="15" customHeight="1" x14ac:dyDescent="0.3">
      <c r="B379" s="161"/>
      <c r="C379" s="113"/>
      <c r="D379" s="113"/>
      <c r="E379" s="113"/>
      <c r="F379" s="162"/>
    </row>
    <row r="380" spans="2:6" ht="15" customHeight="1" x14ac:dyDescent="0.3">
      <c r="B380" s="161"/>
      <c r="C380" s="113"/>
      <c r="D380" s="113"/>
      <c r="E380" s="113"/>
      <c r="F380" s="162"/>
    </row>
    <row r="381" spans="2:6" ht="15" customHeight="1" x14ac:dyDescent="0.3">
      <c r="B381" s="161"/>
      <c r="C381" s="113"/>
      <c r="D381" s="113"/>
      <c r="E381" s="113"/>
      <c r="F381" s="162"/>
    </row>
    <row r="382" spans="2:6" ht="15" customHeight="1" x14ac:dyDescent="0.3">
      <c r="B382" s="161"/>
      <c r="C382" s="113"/>
      <c r="D382" s="113"/>
      <c r="E382" s="113"/>
      <c r="F382" s="162"/>
    </row>
    <row r="383" spans="2:6" ht="15" customHeight="1" x14ac:dyDescent="0.3">
      <c r="B383" s="161"/>
      <c r="C383" s="113"/>
      <c r="D383" s="113"/>
      <c r="E383" s="113"/>
      <c r="F383" s="162"/>
    </row>
    <row r="384" spans="2:6" ht="15" customHeight="1" x14ac:dyDescent="0.3">
      <c r="B384" s="161"/>
      <c r="C384" s="113"/>
      <c r="D384" s="113"/>
      <c r="E384" s="113"/>
      <c r="F384" s="162"/>
    </row>
    <row r="385" spans="2:6" ht="15" customHeight="1" x14ac:dyDescent="0.3">
      <c r="B385" s="163"/>
      <c r="C385" s="164"/>
      <c r="D385" s="164"/>
      <c r="E385" s="164"/>
      <c r="F385" s="165"/>
    </row>
    <row r="386" spans="2:6" ht="19.95" customHeight="1" x14ac:dyDescent="0.3">
      <c r="B386" s="151" t="s">
        <v>1541</v>
      </c>
      <c r="C386" s="113"/>
      <c r="D386" s="113"/>
      <c r="E386" s="113"/>
      <c r="F386" s="113"/>
    </row>
    <row r="387" spans="2:6" ht="6" customHeight="1" x14ac:dyDescent="0.3"/>
    <row r="388" spans="2:6" ht="7.05" customHeight="1" x14ac:dyDescent="0.3"/>
    <row r="389" spans="2:6" ht="22.95" customHeight="1" x14ac:dyDescent="0.3">
      <c r="B389" s="156" t="s">
        <v>1542</v>
      </c>
      <c r="C389" s="157"/>
      <c r="D389" s="157"/>
      <c r="E389" s="157"/>
      <c r="F389" s="157"/>
    </row>
    <row r="390" spans="2:6" ht="4.05" customHeight="1" x14ac:dyDescent="0.3"/>
    <row r="391" spans="2:6" ht="19.350000000000001" customHeight="1" x14ac:dyDescent="0.3">
      <c r="B391" s="129" t="s">
        <v>1543</v>
      </c>
      <c r="C391" s="113"/>
      <c r="D391" s="113"/>
      <c r="E391" s="113"/>
      <c r="F391" s="113"/>
    </row>
    <row r="392" spans="2:6" ht="19.350000000000001" customHeight="1" x14ac:dyDescent="0.3">
      <c r="B392" s="129" t="s">
        <v>1544</v>
      </c>
      <c r="C392" s="113"/>
      <c r="D392" s="113"/>
      <c r="E392" s="113"/>
      <c r="F392" s="113"/>
    </row>
    <row r="393" spans="2:6" ht="22.05" customHeight="1" x14ac:dyDescent="0.3">
      <c r="B393" s="144" t="s">
        <v>1324</v>
      </c>
      <c r="C393" s="145"/>
      <c r="D393" s="7" t="s">
        <v>1325</v>
      </c>
      <c r="E393" s="144" t="s">
        <v>1326</v>
      </c>
      <c r="F393" s="145"/>
    </row>
    <row r="394" spans="2:6" ht="19.95" customHeight="1" x14ac:dyDescent="0.3">
      <c r="B394" s="174" t="s">
        <v>1327</v>
      </c>
      <c r="C394" s="111"/>
      <c r="D394" s="23" t="s">
        <v>1545</v>
      </c>
      <c r="E394" s="130"/>
      <c r="F394" s="111"/>
    </row>
    <row r="395" spans="2:6" ht="19.95" customHeight="1" x14ac:dyDescent="0.3">
      <c r="B395" s="173" t="s">
        <v>1444</v>
      </c>
      <c r="C395" s="133"/>
      <c r="D395" s="23" t="s">
        <v>1445</v>
      </c>
      <c r="E395" s="132"/>
      <c r="F395" s="133"/>
    </row>
    <row r="396" spans="2:6" ht="19.95" customHeight="1" x14ac:dyDescent="0.3">
      <c r="B396" s="174" t="s">
        <v>1447</v>
      </c>
      <c r="C396" s="111"/>
      <c r="D396" s="23" t="s">
        <v>1339</v>
      </c>
      <c r="E396" s="130"/>
      <c r="F396" s="111"/>
    </row>
    <row r="397" spans="2:6" ht="19.95" customHeight="1" x14ac:dyDescent="0.3">
      <c r="B397" s="173" t="s">
        <v>1449</v>
      </c>
      <c r="C397" s="133"/>
      <c r="D397" s="23" t="s">
        <v>1450</v>
      </c>
      <c r="E397" s="132"/>
      <c r="F397" s="133"/>
    </row>
    <row r="398" spans="2:6" ht="6" customHeight="1" x14ac:dyDescent="0.3"/>
    <row r="399" spans="2:6" ht="16.95" customHeight="1" x14ac:dyDescent="0.3">
      <c r="C399" s="170" t="s">
        <v>1451</v>
      </c>
      <c r="D399" s="113"/>
      <c r="E399" s="113"/>
      <c r="F399" s="113"/>
    </row>
    <row r="400" spans="2:6" ht="17.25" customHeight="1" x14ac:dyDescent="0.3">
      <c r="C400" s="39" t="s">
        <v>1546</v>
      </c>
      <c r="D400" s="40"/>
      <c r="E400" s="40"/>
      <c r="F400" s="41"/>
    </row>
    <row r="401" spans="2:6" ht="17.25" customHeight="1" x14ac:dyDescent="0.3">
      <c r="C401" s="42" t="s">
        <v>1547</v>
      </c>
      <c r="D401" s="43"/>
      <c r="E401" s="43"/>
      <c r="F401" s="44"/>
    </row>
    <row r="402" spans="2:6" ht="17.25" customHeight="1" x14ac:dyDescent="0.3">
      <c r="C402" s="42"/>
      <c r="D402" s="43"/>
      <c r="E402" s="43"/>
      <c r="F402" s="44"/>
    </row>
    <row r="403" spans="2:6" ht="17.25" customHeight="1" x14ac:dyDescent="0.3">
      <c r="C403" s="42" t="s">
        <v>1548</v>
      </c>
      <c r="D403" s="43"/>
      <c r="E403" s="43"/>
      <c r="F403" s="44"/>
    </row>
    <row r="404" spans="2:6" ht="17.25" customHeight="1" x14ac:dyDescent="0.3">
      <c r="C404" s="42" t="s">
        <v>1549</v>
      </c>
      <c r="D404" s="43"/>
      <c r="E404" s="43"/>
      <c r="F404" s="44"/>
    </row>
    <row r="405" spans="2:6" ht="17.25" customHeight="1" x14ac:dyDescent="0.3">
      <c r="C405" s="42" t="s">
        <v>1550</v>
      </c>
      <c r="D405" s="43"/>
      <c r="E405" s="43"/>
      <c r="F405" s="44"/>
    </row>
    <row r="406" spans="2:6" ht="17.25" customHeight="1" x14ac:dyDescent="0.3">
      <c r="C406" s="42" t="s">
        <v>1551</v>
      </c>
      <c r="D406" s="43"/>
      <c r="E406" s="43"/>
      <c r="F406" s="44"/>
    </row>
    <row r="407" spans="2:6" ht="17.25" customHeight="1" x14ac:dyDescent="0.3">
      <c r="C407" s="42" t="s">
        <v>1552</v>
      </c>
      <c r="D407" s="43"/>
      <c r="E407" s="43"/>
      <c r="F407" s="44"/>
    </row>
    <row r="408" spans="2:6" ht="17.25" customHeight="1" x14ac:dyDescent="0.3">
      <c r="C408" s="45" t="s">
        <v>608</v>
      </c>
      <c r="D408" s="46"/>
      <c r="E408" s="46"/>
      <c r="F408" s="47"/>
    </row>
    <row r="409" spans="2:6" ht="4.95" customHeight="1" x14ac:dyDescent="0.3"/>
    <row r="410" spans="2:6" ht="22.05" customHeight="1" x14ac:dyDescent="0.3">
      <c r="B410" s="144" t="s">
        <v>1463</v>
      </c>
      <c r="C410" s="145"/>
      <c r="D410" s="144" t="s">
        <v>53</v>
      </c>
      <c r="E410" s="171"/>
      <c r="F410" s="145"/>
    </row>
    <row r="411" spans="2:6" ht="19.95" customHeight="1" x14ac:dyDescent="0.3">
      <c r="B411" s="149" t="s">
        <v>1553</v>
      </c>
      <c r="C411" s="137"/>
      <c r="D411" s="130" t="s">
        <v>1554</v>
      </c>
      <c r="E411" s="110"/>
      <c r="F411" s="111"/>
    </row>
    <row r="412" spans="2:6" ht="33.75" customHeight="1" x14ac:dyDescent="0.3">
      <c r="B412" s="149" t="s">
        <v>1555</v>
      </c>
      <c r="C412" s="137"/>
      <c r="D412" s="132" t="s">
        <v>1556</v>
      </c>
      <c r="E412" s="169"/>
      <c r="F412" s="133"/>
    </row>
    <row r="413" spans="2:6" ht="19.95" customHeight="1" x14ac:dyDescent="0.3">
      <c r="B413" s="149" t="s">
        <v>1557</v>
      </c>
      <c r="C413" s="137"/>
      <c r="D413" s="130" t="s">
        <v>1558</v>
      </c>
      <c r="E413" s="110"/>
      <c r="F413" s="111"/>
    </row>
    <row r="414" spans="2:6" ht="19.95" customHeight="1" x14ac:dyDescent="0.3">
      <c r="B414" s="149" t="s">
        <v>1559</v>
      </c>
      <c r="C414" s="137"/>
      <c r="D414" s="132" t="s">
        <v>1560</v>
      </c>
      <c r="E414" s="169"/>
      <c r="F414" s="133"/>
    </row>
    <row r="415" spans="2:6" ht="6" customHeight="1" x14ac:dyDescent="0.3"/>
    <row r="416" spans="2:6" ht="15" customHeight="1" x14ac:dyDescent="0.3">
      <c r="B416" s="158" t="s">
        <v>1561</v>
      </c>
      <c r="C416" s="159"/>
      <c r="D416" s="159"/>
      <c r="E416" s="159"/>
      <c r="F416" s="160"/>
    </row>
    <row r="417" spans="2:6" ht="15" customHeight="1" x14ac:dyDescent="0.3">
      <c r="B417" s="161"/>
      <c r="C417" s="113"/>
      <c r="D417" s="113"/>
      <c r="E417" s="113"/>
      <c r="F417" s="162"/>
    </row>
    <row r="418" spans="2:6" ht="15" customHeight="1" x14ac:dyDescent="0.3">
      <c r="B418" s="161"/>
      <c r="C418" s="113"/>
      <c r="D418" s="113"/>
      <c r="E418" s="113"/>
      <c r="F418" s="162"/>
    </row>
    <row r="419" spans="2:6" ht="15" customHeight="1" x14ac:dyDescent="0.3">
      <c r="B419" s="161"/>
      <c r="C419" s="113"/>
      <c r="D419" s="113"/>
      <c r="E419" s="113"/>
      <c r="F419" s="162"/>
    </row>
    <row r="420" spans="2:6" ht="15" customHeight="1" x14ac:dyDescent="0.3">
      <c r="B420" s="161"/>
      <c r="C420" s="113"/>
      <c r="D420" s="113"/>
      <c r="E420" s="113"/>
      <c r="F420" s="162"/>
    </row>
    <row r="421" spans="2:6" ht="15" customHeight="1" x14ac:dyDescent="0.3">
      <c r="B421" s="161"/>
      <c r="C421" s="113"/>
      <c r="D421" s="113"/>
      <c r="E421" s="113"/>
      <c r="F421" s="162"/>
    </row>
    <row r="422" spans="2:6" ht="15" customHeight="1" x14ac:dyDescent="0.3">
      <c r="B422" s="161"/>
      <c r="C422" s="113"/>
      <c r="D422" s="113"/>
      <c r="E422" s="113"/>
      <c r="F422" s="162"/>
    </row>
    <row r="423" spans="2:6" ht="15" customHeight="1" x14ac:dyDescent="0.3">
      <c r="B423" s="161"/>
      <c r="C423" s="113"/>
      <c r="D423" s="113"/>
      <c r="E423" s="113"/>
      <c r="F423" s="162"/>
    </row>
    <row r="424" spans="2:6" ht="15" customHeight="1" x14ac:dyDescent="0.3">
      <c r="B424" s="161"/>
      <c r="C424" s="113"/>
      <c r="D424" s="113"/>
      <c r="E424" s="113"/>
      <c r="F424" s="162"/>
    </row>
    <row r="425" spans="2:6" ht="15" customHeight="1" x14ac:dyDescent="0.3">
      <c r="B425" s="161"/>
      <c r="C425" s="113"/>
      <c r="D425" s="113"/>
      <c r="E425" s="113"/>
      <c r="F425" s="162"/>
    </row>
    <row r="426" spans="2:6" ht="15" customHeight="1" x14ac:dyDescent="0.3">
      <c r="B426" s="161"/>
      <c r="C426" s="113"/>
      <c r="D426" s="113"/>
      <c r="E426" s="113"/>
      <c r="F426" s="162"/>
    </row>
    <row r="427" spans="2:6" ht="15" customHeight="1" x14ac:dyDescent="0.3">
      <c r="B427" s="161"/>
      <c r="C427" s="113"/>
      <c r="D427" s="113"/>
      <c r="E427" s="113"/>
      <c r="F427" s="162"/>
    </row>
    <row r="428" spans="2:6" ht="15" customHeight="1" x14ac:dyDescent="0.3">
      <c r="B428" s="161"/>
      <c r="C428" s="113"/>
      <c r="D428" s="113"/>
      <c r="E428" s="113"/>
      <c r="F428" s="162"/>
    </row>
    <row r="429" spans="2:6" ht="15" customHeight="1" x14ac:dyDescent="0.3">
      <c r="B429" s="161"/>
      <c r="C429" s="113"/>
      <c r="D429" s="113"/>
      <c r="E429" s="113"/>
      <c r="F429" s="162"/>
    </row>
    <row r="430" spans="2:6" ht="15" customHeight="1" x14ac:dyDescent="0.3">
      <c r="B430" s="161"/>
      <c r="C430" s="113"/>
      <c r="D430" s="113"/>
      <c r="E430" s="113"/>
      <c r="F430" s="162"/>
    </row>
    <row r="431" spans="2:6" ht="15" customHeight="1" x14ac:dyDescent="0.3">
      <c r="B431" s="161"/>
      <c r="C431" s="113"/>
      <c r="D431" s="113"/>
      <c r="E431" s="113"/>
      <c r="F431" s="162"/>
    </row>
    <row r="432" spans="2:6" ht="15" customHeight="1" x14ac:dyDescent="0.3">
      <c r="B432" s="161"/>
      <c r="C432" s="113"/>
      <c r="D432" s="113"/>
      <c r="E432" s="113"/>
      <c r="F432" s="162"/>
    </row>
    <row r="433" spans="2:6" ht="15" customHeight="1" x14ac:dyDescent="0.3">
      <c r="B433" s="163"/>
      <c r="C433" s="164"/>
      <c r="D433" s="164"/>
      <c r="E433" s="164"/>
      <c r="F433" s="165"/>
    </row>
    <row r="434" spans="2:6" ht="19.95" customHeight="1" x14ac:dyDescent="0.3">
      <c r="B434" s="151" t="s">
        <v>1562</v>
      </c>
      <c r="C434" s="113"/>
      <c r="D434" s="113"/>
      <c r="E434" s="113"/>
      <c r="F434" s="113"/>
    </row>
    <row r="435" spans="2:6" ht="6" customHeight="1" x14ac:dyDescent="0.3"/>
    <row r="436" spans="2:6" ht="7.05" customHeight="1" x14ac:dyDescent="0.3"/>
    <row r="437" spans="2:6" ht="22.95" customHeight="1" x14ac:dyDescent="0.3">
      <c r="B437" s="156" t="s">
        <v>1563</v>
      </c>
      <c r="C437" s="157"/>
      <c r="D437" s="157"/>
      <c r="E437" s="157"/>
      <c r="F437" s="157"/>
    </row>
    <row r="438" spans="2:6" ht="4.05" customHeight="1" x14ac:dyDescent="0.3"/>
    <row r="439" spans="2:6" ht="19.350000000000001" customHeight="1" x14ac:dyDescent="0.3">
      <c r="B439" s="129" t="s">
        <v>1564</v>
      </c>
      <c r="C439" s="113"/>
      <c r="D439" s="113"/>
      <c r="E439" s="113"/>
      <c r="F439" s="113"/>
    </row>
    <row r="440" spans="2:6" ht="22.05" customHeight="1" x14ac:dyDescent="0.3">
      <c r="B440" s="144" t="s">
        <v>1565</v>
      </c>
      <c r="C440" s="145"/>
      <c r="D440" s="7" t="s">
        <v>1566</v>
      </c>
      <c r="E440" s="144" t="s">
        <v>1567</v>
      </c>
      <c r="F440" s="145"/>
    </row>
    <row r="441" spans="2:6" ht="19.95" customHeight="1" x14ac:dyDescent="0.3">
      <c r="B441" s="174" t="s">
        <v>1327</v>
      </c>
      <c r="C441" s="111"/>
      <c r="D441" s="23" t="s">
        <v>1568</v>
      </c>
      <c r="E441" s="149" t="s">
        <v>1569</v>
      </c>
      <c r="F441" s="137"/>
    </row>
    <row r="442" spans="2:6" ht="19.95" customHeight="1" x14ac:dyDescent="0.3">
      <c r="B442" s="173" t="s">
        <v>1518</v>
      </c>
      <c r="C442" s="133"/>
      <c r="D442" s="23" t="s">
        <v>1519</v>
      </c>
      <c r="E442" s="149" t="s">
        <v>1519</v>
      </c>
      <c r="F442" s="137"/>
    </row>
    <row r="443" spans="2:6" ht="19.95" customHeight="1" x14ac:dyDescent="0.3">
      <c r="B443" s="174" t="s">
        <v>1570</v>
      </c>
      <c r="C443" s="111"/>
      <c r="D443" s="23" t="s">
        <v>1571</v>
      </c>
      <c r="E443" s="149" t="s">
        <v>1572</v>
      </c>
      <c r="F443" s="137"/>
    </row>
    <row r="444" spans="2:6" ht="19.95" customHeight="1" x14ac:dyDescent="0.3">
      <c r="B444" s="173" t="s">
        <v>1573</v>
      </c>
      <c r="C444" s="133"/>
      <c r="D444" s="23" t="s">
        <v>1574</v>
      </c>
      <c r="E444" s="149" t="s">
        <v>1575</v>
      </c>
      <c r="F444" s="137"/>
    </row>
    <row r="445" spans="2:6" ht="19.95" customHeight="1" x14ac:dyDescent="0.3">
      <c r="B445" s="174" t="s">
        <v>1576</v>
      </c>
      <c r="C445" s="111"/>
      <c r="D445" s="23" t="s">
        <v>1577</v>
      </c>
      <c r="E445" s="149" t="s">
        <v>1578</v>
      </c>
      <c r="F445" s="137"/>
    </row>
    <row r="446" spans="2:6" ht="6" customHeight="1" x14ac:dyDescent="0.3"/>
    <row r="447" spans="2:6" ht="33.75" customHeight="1" x14ac:dyDescent="0.3">
      <c r="B447" s="16" t="s">
        <v>64</v>
      </c>
      <c r="C447" s="152" t="s">
        <v>1579</v>
      </c>
      <c r="D447" s="153"/>
      <c r="E447" s="153"/>
      <c r="F447" s="105"/>
    </row>
    <row r="448" spans="2:6" ht="4.95" customHeight="1" x14ac:dyDescent="0.3"/>
    <row r="449" spans="2:6" ht="15" customHeight="1" x14ac:dyDescent="0.3">
      <c r="B449" s="158" t="s">
        <v>1580</v>
      </c>
      <c r="C449" s="159"/>
      <c r="D449" s="159"/>
      <c r="E449" s="159"/>
      <c r="F449" s="160"/>
    </row>
    <row r="450" spans="2:6" ht="15" customHeight="1" x14ac:dyDescent="0.3">
      <c r="B450" s="161"/>
      <c r="C450" s="113"/>
      <c r="D450" s="113"/>
      <c r="E450" s="113"/>
      <c r="F450" s="162"/>
    </row>
    <row r="451" spans="2:6" ht="15" customHeight="1" x14ac:dyDescent="0.3">
      <c r="B451" s="161"/>
      <c r="C451" s="113"/>
      <c r="D451" s="113"/>
      <c r="E451" s="113"/>
      <c r="F451" s="162"/>
    </row>
    <row r="452" spans="2:6" ht="15" customHeight="1" x14ac:dyDescent="0.3">
      <c r="B452" s="161"/>
      <c r="C452" s="113"/>
      <c r="D452" s="113"/>
      <c r="E452" s="113"/>
      <c r="F452" s="162"/>
    </row>
    <row r="453" spans="2:6" ht="15" customHeight="1" x14ac:dyDescent="0.3">
      <c r="B453" s="161"/>
      <c r="C453" s="113"/>
      <c r="D453" s="113"/>
      <c r="E453" s="113"/>
      <c r="F453" s="162"/>
    </row>
    <row r="454" spans="2:6" ht="15" customHeight="1" x14ac:dyDescent="0.3">
      <c r="B454" s="161"/>
      <c r="C454" s="113"/>
      <c r="D454" s="113"/>
      <c r="E454" s="113"/>
      <c r="F454" s="162"/>
    </row>
    <row r="455" spans="2:6" ht="15" customHeight="1" x14ac:dyDescent="0.3">
      <c r="B455" s="161"/>
      <c r="C455" s="113"/>
      <c r="D455" s="113"/>
      <c r="E455" s="113"/>
      <c r="F455" s="162"/>
    </row>
    <row r="456" spans="2:6" ht="15" customHeight="1" x14ac:dyDescent="0.3">
      <c r="B456" s="161"/>
      <c r="C456" s="113"/>
      <c r="D456" s="113"/>
      <c r="E456" s="113"/>
      <c r="F456" s="162"/>
    </row>
    <row r="457" spans="2:6" ht="15" customHeight="1" x14ac:dyDescent="0.3">
      <c r="B457" s="161"/>
      <c r="C457" s="113"/>
      <c r="D457" s="113"/>
      <c r="E457" s="113"/>
      <c r="F457" s="162"/>
    </row>
    <row r="458" spans="2:6" ht="15" customHeight="1" x14ac:dyDescent="0.3">
      <c r="B458" s="161"/>
      <c r="C458" s="113"/>
      <c r="D458" s="113"/>
      <c r="E458" s="113"/>
      <c r="F458" s="162"/>
    </row>
    <row r="459" spans="2:6" ht="15" customHeight="1" x14ac:dyDescent="0.3">
      <c r="B459" s="161"/>
      <c r="C459" s="113"/>
      <c r="D459" s="113"/>
      <c r="E459" s="113"/>
      <c r="F459" s="162"/>
    </row>
    <row r="460" spans="2:6" ht="15" customHeight="1" x14ac:dyDescent="0.3">
      <c r="B460" s="161"/>
      <c r="C460" s="113"/>
      <c r="D460" s="113"/>
      <c r="E460" s="113"/>
      <c r="F460" s="162"/>
    </row>
    <row r="461" spans="2:6" ht="15" customHeight="1" x14ac:dyDescent="0.3">
      <c r="B461" s="161"/>
      <c r="C461" s="113"/>
      <c r="D461" s="113"/>
      <c r="E461" s="113"/>
      <c r="F461" s="162"/>
    </row>
    <row r="462" spans="2:6" ht="15" customHeight="1" x14ac:dyDescent="0.3">
      <c r="B462" s="161"/>
      <c r="C462" s="113"/>
      <c r="D462" s="113"/>
      <c r="E462" s="113"/>
      <c r="F462" s="162"/>
    </row>
    <row r="463" spans="2:6" ht="15" customHeight="1" x14ac:dyDescent="0.3">
      <c r="B463" s="161"/>
      <c r="C463" s="113"/>
      <c r="D463" s="113"/>
      <c r="E463" s="113"/>
      <c r="F463" s="162"/>
    </row>
    <row r="464" spans="2:6" ht="15" customHeight="1" x14ac:dyDescent="0.3">
      <c r="B464" s="163"/>
      <c r="C464" s="164"/>
      <c r="D464" s="164"/>
      <c r="E464" s="164"/>
      <c r="F464" s="165"/>
    </row>
    <row r="465" spans="2:6" ht="19.95" customHeight="1" x14ac:dyDescent="0.3">
      <c r="B465" s="151" t="s">
        <v>1581</v>
      </c>
      <c r="C465" s="113"/>
      <c r="D465" s="113"/>
      <c r="E465" s="113"/>
      <c r="F465" s="113"/>
    </row>
    <row r="466" spans="2:6" ht="6" customHeight="1" x14ac:dyDescent="0.3"/>
    <row r="467" spans="2:6" ht="12" customHeight="1" x14ac:dyDescent="0.3"/>
    <row r="468" spans="2:6" ht="27" customHeight="1" x14ac:dyDescent="0.3">
      <c r="B468" s="128" t="s">
        <v>1582</v>
      </c>
      <c r="C468" s="124"/>
      <c r="D468" s="124"/>
      <c r="E468" s="124"/>
      <c r="F468" s="124"/>
    </row>
    <row r="469" spans="2:6" ht="4.95" customHeight="1" x14ac:dyDescent="0.3"/>
    <row r="470" spans="2:6" ht="7.05" customHeight="1" x14ac:dyDescent="0.3"/>
    <row r="471" spans="2:6" ht="22.95" customHeight="1" x14ac:dyDescent="0.3">
      <c r="B471" s="156" t="s">
        <v>1583</v>
      </c>
      <c r="C471" s="157"/>
      <c r="D471" s="157"/>
      <c r="E471" s="157"/>
      <c r="F471" s="157"/>
    </row>
    <row r="472" spans="2:6" ht="4.05" customHeight="1" x14ac:dyDescent="0.3"/>
    <row r="473" spans="2:6" ht="19.350000000000001" customHeight="1" x14ac:dyDescent="0.3">
      <c r="B473" s="129" t="s">
        <v>1584</v>
      </c>
      <c r="C473" s="113"/>
      <c r="D473" s="113"/>
      <c r="E473" s="113"/>
      <c r="F473" s="113"/>
    </row>
    <row r="474" spans="2:6" ht="22.05" customHeight="1" x14ac:dyDescent="0.3">
      <c r="B474" s="144" t="s">
        <v>1324</v>
      </c>
      <c r="C474" s="145"/>
      <c r="D474" s="7" t="s">
        <v>1325</v>
      </c>
      <c r="E474" s="144" t="s">
        <v>1326</v>
      </c>
      <c r="F474" s="145"/>
    </row>
    <row r="475" spans="2:6" ht="19.95" customHeight="1" x14ac:dyDescent="0.3">
      <c r="B475" s="174" t="s">
        <v>1327</v>
      </c>
      <c r="C475" s="111"/>
      <c r="D475" s="23" t="s">
        <v>1585</v>
      </c>
      <c r="E475" s="130"/>
      <c r="F475" s="111"/>
    </row>
    <row r="476" spans="2:6" ht="33.75" customHeight="1" x14ac:dyDescent="0.3">
      <c r="B476" s="173" t="s">
        <v>1370</v>
      </c>
      <c r="C476" s="133"/>
      <c r="D476" s="23" t="s">
        <v>1586</v>
      </c>
      <c r="E476" s="132" t="s">
        <v>1587</v>
      </c>
      <c r="F476" s="133"/>
    </row>
    <row r="477" spans="2:6" ht="19.95" customHeight="1" x14ac:dyDescent="0.3">
      <c r="B477" s="174" t="s">
        <v>1373</v>
      </c>
      <c r="C477" s="111"/>
      <c r="D477" s="23" t="s">
        <v>1122</v>
      </c>
      <c r="E477" s="130" t="s">
        <v>1588</v>
      </c>
      <c r="F477" s="111"/>
    </row>
    <row r="478" spans="2:6" ht="19.95" customHeight="1" x14ac:dyDescent="0.3">
      <c r="B478" s="173" t="s">
        <v>1375</v>
      </c>
      <c r="C478" s="133"/>
      <c r="D478" s="23" t="s">
        <v>1589</v>
      </c>
      <c r="E478" s="132" t="s">
        <v>1590</v>
      </c>
      <c r="F478" s="133"/>
    </row>
    <row r="479" spans="2:6" ht="19.95" customHeight="1" x14ac:dyDescent="0.3">
      <c r="B479" s="174" t="s">
        <v>1376</v>
      </c>
      <c r="C479" s="111"/>
      <c r="D479" s="23" t="s">
        <v>1591</v>
      </c>
      <c r="E479" s="130" t="s">
        <v>1592</v>
      </c>
      <c r="F479" s="111"/>
    </row>
    <row r="480" spans="2:6" ht="19.95" customHeight="1" x14ac:dyDescent="0.3">
      <c r="B480" s="173" t="s">
        <v>1593</v>
      </c>
      <c r="C480" s="133"/>
      <c r="D480" s="23" t="s">
        <v>1339</v>
      </c>
      <c r="E480" s="132"/>
      <c r="F480" s="133"/>
    </row>
    <row r="481" spans="2:6" ht="19.95" customHeight="1" x14ac:dyDescent="0.3">
      <c r="B481" s="174" t="s">
        <v>1594</v>
      </c>
      <c r="C481" s="111"/>
      <c r="D481" s="23" t="s">
        <v>1336</v>
      </c>
      <c r="E481" s="130"/>
      <c r="F481" s="111"/>
    </row>
    <row r="482" spans="2:6" ht="19.95" customHeight="1" x14ac:dyDescent="0.3">
      <c r="B482" s="173" t="s">
        <v>1595</v>
      </c>
      <c r="C482" s="133"/>
      <c r="D482" s="23" t="s">
        <v>1596</v>
      </c>
      <c r="E482" s="132" t="s">
        <v>1597</v>
      </c>
      <c r="F482" s="133"/>
    </row>
    <row r="483" spans="2:6" ht="19.95" customHeight="1" x14ac:dyDescent="0.3">
      <c r="B483" s="174" t="s">
        <v>1598</v>
      </c>
      <c r="C483" s="111"/>
      <c r="D483" s="23" t="s">
        <v>1599</v>
      </c>
      <c r="E483" s="130" t="s">
        <v>1600</v>
      </c>
      <c r="F483" s="111"/>
    </row>
    <row r="484" spans="2:6" ht="19.95" customHeight="1" x14ac:dyDescent="0.3">
      <c r="B484" s="173" t="s">
        <v>1601</v>
      </c>
      <c r="C484" s="133"/>
      <c r="D484" s="23" t="s">
        <v>1602</v>
      </c>
      <c r="E484" s="132"/>
      <c r="F484" s="133"/>
    </row>
    <row r="485" spans="2:6" ht="6" customHeight="1" x14ac:dyDescent="0.3"/>
    <row r="486" spans="2:6" ht="22.05" customHeight="1" x14ac:dyDescent="0.3">
      <c r="B486" s="144" t="s">
        <v>1195</v>
      </c>
      <c r="C486" s="145"/>
      <c r="D486" s="7" t="s">
        <v>1603</v>
      </c>
      <c r="E486" s="144" t="s">
        <v>1604</v>
      </c>
      <c r="F486" s="145"/>
    </row>
    <row r="487" spans="2:6" ht="19.95" customHeight="1" x14ac:dyDescent="0.3">
      <c r="B487" s="130" t="s">
        <v>1605</v>
      </c>
      <c r="C487" s="111"/>
      <c r="D487" s="23" t="s">
        <v>1606</v>
      </c>
      <c r="E487" s="130" t="s">
        <v>1607</v>
      </c>
      <c r="F487" s="111"/>
    </row>
    <row r="488" spans="2:6" ht="19.95" customHeight="1" x14ac:dyDescent="0.3">
      <c r="B488" s="132" t="s">
        <v>1608</v>
      </c>
      <c r="C488" s="133"/>
      <c r="D488" s="23" t="s">
        <v>1609</v>
      </c>
      <c r="E488" s="132" t="s">
        <v>1610</v>
      </c>
      <c r="F488" s="133"/>
    </row>
    <row r="489" spans="2:6" ht="6" customHeight="1" x14ac:dyDescent="0.3"/>
    <row r="490" spans="2:6" ht="15" customHeight="1" x14ac:dyDescent="0.3">
      <c r="B490" s="158" t="s">
        <v>1611</v>
      </c>
      <c r="C490" s="159"/>
      <c r="D490" s="159"/>
      <c r="E490" s="159"/>
      <c r="F490" s="160"/>
    </row>
    <row r="491" spans="2:6" ht="15" customHeight="1" x14ac:dyDescent="0.3">
      <c r="B491" s="161"/>
      <c r="C491" s="113"/>
      <c r="D491" s="113"/>
      <c r="E491" s="113"/>
      <c r="F491" s="162"/>
    </row>
    <row r="492" spans="2:6" ht="15" customHeight="1" x14ac:dyDescent="0.3">
      <c r="B492" s="161"/>
      <c r="C492" s="113"/>
      <c r="D492" s="113"/>
      <c r="E492" s="113"/>
      <c r="F492" s="162"/>
    </row>
    <row r="493" spans="2:6" ht="15" customHeight="1" x14ac:dyDescent="0.3">
      <c r="B493" s="161"/>
      <c r="C493" s="113"/>
      <c r="D493" s="113"/>
      <c r="E493" s="113"/>
      <c r="F493" s="162"/>
    </row>
    <row r="494" spans="2:6" ht="15" customHeight="1" x14ac:dyDescent="0.3">
      <c r="B494" s="161"/>
      <c r="C494" s="113"/>
      <c r="D494" s="113"/>
      <c r="E494" s="113"/>
      <c r="F494" s="162"/>
    </row>
    <row r="495" spans="2:6" ht="15" customHeight="1" x14ac:dyDescent="0.3">
      <c r="B495" s="161"/>
      <c r="C495" s="113"/>
      <c r="D495" s="113"/>
      <c r="E495" s="113"/>
      <c r="F495" s="162"/>
    </row>
    <row r="496" spans="2:6" ht="15" customHeight="1" x14ac:dyDescent="0.3">
      <c r="B496" s="161"/>
      <c r="C496" s="113"/>
      <c r="D496" s="113"/>
      <c r="E496" s="113"/>
      <c r="F496" s="162"/>
    </row>
    <row r="497" spans="2:6" ht="15" customHeight="1" x14ac:dyDescent="0.3">
      <c r="B497" s="161"/>
      <c r="C497" s="113"/>
      <c r="D497" s="113"/>
      <c r="E497" s="113"/>
      <c r="F497" s="162"/>
    </row>
    <row r="498" spans="2:6" ht="15" customHeight="1" x14ac:dyDescent="0.3">
      <c r="B498" s="161"/>
      <c r="C498" s="113"/>
      <c r="D498" s="113"/>
      <c r="E498" s="113"/>
      <c r="F498" s="162"/>
    </row>
    <row r="499" spans="2:6" ht="15" customHeight="1" x14ac:dyDescent="0.3">
      <c r="B499" s="161"/>
      <c r="C499" s="113"/>
      <c r="D499" s="113"/>
      <c r="E499" s="113"/>
      <c r="F499" s="162"/>
    </row>
    <row r="500" spans="2:6" ht="15" customHeight="1" x14ac:dyDescent="0.3">
      <c r="B500" s="161"/>
      <c r="C500" s="113"/>
      <c r="D500" s="113"/>
      <c r="E500" s="113"/>
      <c r="F500" s="162"/>
    </row>
    <row r="501" spans="2:6" ht="15" customHeight="1" x14ac:dyDescent="0.3">
      <c r="B501" s="161"/>
      <c r="C501" s="113"/>
      <c r="D501" s="113"/>
      <c r="E501" s="113"/>
      <c r="F501" s="162"/>
    </row>
    <row r="502" spans="2:6" ht="15" customHeight="1" x14ac:dyDescent="0.3">
      <c r="B502" s="161"/>
      <c r="C502" s="113"/>
      <c r="D502" s="113"/>
      <c r="E502" s="113"/>
      <c r="F502" s="162"/>
    </row>
    <row r="503" spans="2:6" ht="15" customHeight="1" x14ac:dyDescent="0.3">
      <c r="B503" s="161"/>
      <c r="C503" s="113"/>
      <c r="D503" s="113"/>
      <c r="E503" s="113"/>
      <c r="F503" s="162"/>
    </row>
    <row r="504" spans="2:6" ht="15" customHeight="1" x14ac:dyDescent="0.3">
      <c r="B504" s="161"/>
      <c r="C504" s="113"/>
      <c r="D504" s="113"/>
      <c r="E504" s="113"/>
      <c r="F504" s="162"/>
    </row>
    <row r="505" spans="2:6" ht="15" customHeight="1" x14ac:dyDescent="0.3">
      <c r="B505" s="161"/>
      <c r="C505" s="113"/>
      <c r="D505" s="113"/>
      <c r="E505" s="113"/>
      <c r="F505" s="162"/>
    </row>
    <row r="506" spans="2:6" ht="15" customHeight="1" x14ac:dyDescent="0.3">
      <c r="B506" s="161"/>
      <c r="C506" s="113"/>
      <c r="D506" s="113"/>
      <c r="E506" s="113"/>
      <c r="F506" s="162"/>
    </row>
    <row r="507" spans="2:6" ht="15" customHeight="1" x14ac:dyDescent="0.3">
      <c r="B507" s="161"/>
      <c r="C507" s="113"/>
      <c r="D507" s="113"/>
      <c r="E507" s="113"/>
      <c r="F507" s="162"/>
    </row>
    <row r="508" spans="2:6" ht="15" customHeight="1" x14ac:dyDescent="0.3">
      <c r="B508" s="161"/>
      <c r="C508" s="113"/>
      <c r="D508" s="113"/>
      <c r="E508" s="113"/>
      <c r="F508" s="162"/>
    </row>
    <row r="509" spans="2:6" ht="15" customHeight="1" x14ac:dyDescent="0.3">
      <c r="B509" s="163"/>
      <c r="C509" s="164"/>
      <c r="D509" s="164"/>
      <c r="E509" s="164"/>
      <c r="F509" s="165"/>
    </row>
    <row r="510" spans="2:6" ht="19.95" customHeight="1" x14ac:dyDescent="0.3">
      <c r="B510" s="151" t="s">
        <v>1612</v>
      </c>
      <c r="C510" s="113"/>
      <c r="D510" s="113"/>
      <c r="E510" s="113"/>
      <c r="F510" s="113"/>
    </row>
    <row r="511" spans="2:6" ht="6" customHeight="1" x14ac:dyDescent="0.3"/>
    <row r="512" spans="2:6" ht="7.05" customHeight="1" x14ac:dyDescent="0.3"/>
    <row r="513" spans="2:6" ht="22.95" customHeight="1" x14ac:dyDescent="0.3">
      <c r="B513" s="156" t="s">
        <v>1613</v>
      </c>
      <c r="C513" s="157"/>
      <c r="D513" s="157"/>
      <c r="E513" s="157"/>
      <c r="F513" s="157"/>
    </row>
    <row r="514" spans="2:6" ht="4.05" customHeight="1" x14ac:dyDescent="0.3"/>
    <row r="515" spans="2:6" ht="19.350000000000001" customHeight="1" x14ac:dyDescent="0.3">
      <c r="B515" s="129" t="s">
        <v>1614</v>
      </c>
      <c r="C515" s="113"/>
      <c r="D515" s="113"/>
      <c r="E515" s="113"/>
      <c r="F515" s="113"/>
    </row>
    <row r="516" spans="2:6" ht="22.05" customHeight="1" x14ac:dyDescent="0.3">
      <c r="B516" s="144" t="s">
        <v>1324</v>
      </c>
      <c r="C516" s="145"/>
      <c r="D516" s="7" t="s">
        <v>1325</v>
      </c>
      <c r="E516" s="144" t="s">
        <v>1326</v>
      </c>
      <c r="F516" s="145"/>
    </row>
    <row r="517" spans="2:6" ht="19.95" customHeight="1" x14ac:dyDescent="0.3">
      <c r="B517" s="174" t="s">
        <v>1327</v>
      </c>
      <c r="C517" s="111"/>
      <c r="D517" s="23" t="s">
        <v>1615</v>
      </c>
      <c r="E517" s="130"/>
      <c r="F517" s="111"/>
    </row>
    <row r="518" spans="2:6" ht="19.95" customHeight="1" x14ac:dyDescent="0.3">
      <c r="B518" s="173" t="s">
        <v>1384</v>
      </c>
      <c r="C518" s="133"/>
      <c r="D518" s="23" t="s">
        <v>1385</v>
      </c>
      <c r="E518" s="132"/>
      <c r="F518" s="133"/>
    </row>
    <row r="519" spans="2:6" ht="19.95" customHeight="1" x14ac:dyDescent="0.3">
      <c r="B519" s="174" t="s">
        <v>1386</v>
      </c>
      <c r="C519" s="111"/>
      <c r="D519" s="23" t="s">
        <v>1616</v>
      </c>
      <c r="E519" s="130" t="s">
        <v>1617</v>
      </c>
      <c r="F519" s="111"/>
    </row>
    <row r="520" spans="2:6" ht="19.95" customHeight="1" x14ac:dyDescent="0.3">
      <c r="B520" s="173" t="s">
        <v>1389</v>
      </c>
      <c r="C520" s="133"/>
      <c r="D520" s="23" t="s">
        <v>1390</v>
      </c>
      <c r="E520" s="132"/>
      <c r="F520" s="133"/>
    </row>
    <row r="521" spans="2:6" ht="19.95" customHeight="1" x14ac:dyDescent="0.3">
      <c r="B521" s="174" t="s">
        <v>1397</v>
      </c>
      <c r="C521" s="111"/>
      <c r="D521" s="23" t="s">
        <v>1398</v>
      </c>
      <c r="E521" s="130"/>
      <c r="F521" s="111"/>
    </row>
    <row r="522" spans="2:6" ht="19.95" customHeight="1" x14ac:dyDescent="0.3">
      <c r="B522" s="173" t="s">
        <v>1618</v>
      </c>
      <c r="C522" s="133"/>
      <c r="D522" s="23" t="s">
        <v>1619</v>
      </c>
      <c r="E522" s="132"/>
      <c r="F522" s="133"/>
    </row>
    <row r="523" spans="2:6" ht="33.75" customHeight="1" x14ac:dyDescent="0.3">
      <c r="B523" s="174" t="s">
        <v>1620</v>
      </c>
      <c r="C523" s="111"/>
      <c r="D523" s="23" t="s">
        <v>1407</v>
      </c>
      <c r="E523" s="130"/>
      <c r="F523" s="111"/>
    </row>
    <row r="524" spans="2:6" ht="33.75" customHeight="1" x14ac:dyDescent="0.3">
      <c r="B524" s="173" t="s">
        <v>1621</v>
      </c>
      <c r="C524" s="133"/>
      <c r="D524" s="23" t="s">
        <v>1410</v>
      </c>
      <c r="E524" s="132" t="s">
        <v>1622</v>
      </c>
      <c r="F524" s="133"/>
    </row>
    <row r="525" spans="2:6" ht="6" customHeight="1" x14ac:dyDescent="0.3"/>
    <row r="526" spans="2:6" ht="7.05" customHeight="1" x14ac:dyDescent="0.3"/>
    <row r="527" spans="2:6" ht="22.95" customHeight="1" x14ac:dyDescent="0.3">
      <c r="B527" s="156" t="s">
        <v>1623</v>
      </c>
      <c r="C527" s="157"/>
      <c r="D527" s="157"/>
      <c r="E527" s="157"/>
      <c r="F527" s="157"/>
    </row>
    <row r="528" spans="2:6" ht="4.05" customHeight="1" x14ac:dyDescent="0.3"/>
    <row r="529" spans="2:6" ht="19.350000000000001" customHeight="1" x14ac:dyDescent="0.3">
      <c r="B529" s="129" t="s">
        <v>1624</v>
      </c>
      <c r="C529" s="113"/>
      <c r="D529" s="113"/>
      <c r="E529" s="113"/>
      <c r="F529" s="113"/>
    </row>
    <row r="530" spans="2:6" ht="22.05" customHeight="1" x14ac:dyDescent="0.3">
      <c r="B530" s="144" t="s">
        <v>1324</v>
      </c>
      <c r="C530" s="145"/>
      <c r="D530" s="7" t="s">
        <v>1325</v>
      </c>
      <c r="E530" s="144" t="s">
        <v>1326</v>
      </c>
      <c r="F530" s="145"/>
    </row>
    <row r="531" spans="2:6" ht="19.95" customHeight="1" x14ac:dyDescent="0.3">
      <c r="B531" s="174" t="s">
        <v>1327</v>
      </c>
      <c r="C531" s="111"/>
      <c r="D531" s="23" t="s">
        <v>1625</v>
      </c>
      <c r="E531" s="130" t="s">
        <v>1626</v>
      </c>
      <c r="F531" s="111"/>
    </row>
    <row r="532" spans="2:6" ht="6" customHeight="1" x14ac:dyDescent="0.3"/>
    <row r="533" spans="2:6" ht="22.05" customHeight="1" x14ac:dyDescent="0.3">
      <c r="B533" s="144" t="s">
        <v>1431</v>
      </c>
      <c r="C533" s="145"/>
      <c r="D533" s="7" t="s">
        <v>1344</v>
      </c>
      <c r="E533" s="144" t="s">
        <v>772</v>
      </c>
      <c r="F533" s="145"/>
    </row>
    <row r="534" spans="2:6" ht="19.95" customHeight="1" x14ac:dyDescent="0.3">
      <c r="B534" s="149" t="s">
        <v>1432</v>
      </c>
      <c r="C534" s="137"/>
      <c r="D534" s="23" t="s">
        <v>1627</v>
      </c>
      <c r="E534" s="130" t="s">
        <v>1628</v>
      </c>
      <c r="F534" s="111"/>
    </row>
    <row r="535" spans="2:6" ht="19.95" customHeight="1" x14ac:dyDescent="0.3">
      <c r="B535" s="149" t="s">
        <v>1629</v>
      </c>
      <c r="C535" s="137"/>
      <c r="D535" s="23" t="s">
        <v>1627</v>
      </c>
      <c r="E535" s="132" t="s">
        <v>1630</v>
      </c>
      <c r="F535" s="133"/>
    </row>
    <row r="536" spans="2:6" ht="19.95" customHeight="1" x14ac:dyDescent="0.3">
      <c r="B536" s="149" t="s">
        <v>1631</v>
      </c>
      <c r="C536" s="137"/>
      <c r="D536" s="23" t="s">
        <v>1632</v>
      </c>
      <c r="E536" s="130" t="s">
        <v>1633</v>
      </c>
      <c r="F536" s="111"/>
    </row>
    <row r="537" spans="2:6" ht="19.95" customHeight="1" x14ac:dyDescent="0.3">
      <c r="B537" s="149" t="s">
        <v>1435</v>
      </c>
      <c r="C537" s="137"/>
      <c r="D537" s="23" t="s">
        <v>1634</v>
      </c>
      <c r="E537" s="132" t="s">
        <v>1635</v>
      </c>
      <c r="F537" s="133"/>
    </row>
    <row r="538" spans="2:6" ht="6" customHeight="1" x14ac:dyDescent="0.3"/>
    <row r="539" spans="2:6" ht="48.15" customHeight="1" x14ac:dyDescent="0.3">
      <c r="B539" s="22" t="s">
        <v>62</v>
      </c>
      <c r="C539" s="152" t="s">
        <v>1636</v>
      </c>
      <c r="D539" s="153"/>
      <c r="E539" s="153"/>
      <c r="F539" s="105"/>
    </row>
    <row r="540" spans="2:6" ht="4.95" customHeight="1" x14ac:dyDescent="0.3"/>
    <row r="541" spans="2:6" ht="22.05" customHeight="1" x14ac:dyDescent="0.3">
      <c r="B541" s="144" t="s">
        <v>1637</v>
      </c>
      <c r="C541" s="145"/>
      <c r="D541" s="144" t="s">
        <v>1638</v>
      </c>
      <c r="E541" s="171"/>
      <c r="F541" s="145"/>
    </row>
    <row r="542" spans="2:6" ht="33.75" customHeight="1" x14ac:dyDescent="0.3">
      <c r="B542" s="174" t="s">
        <v>1639</v>
      </c>
      <c r="C542" s="111"/>
      <c r="D542" s="130" t="s">
        <v>1640</v>
      </c>
      <c r="E542" s="110"/>
      <c r="F542" s="111"/>
    </row>
    <row r="543" spans="2:6" ht="33.75" customHeight="1" x14ac:dyDescent="0.3">
      <c r="B543" s="173" t="s">
        <v>1641</v>
      </c>
      <c r="C543" s="133"/>
      <c r="D543" s="132" t="s">
        <v>1642</v>
      </c>
      <c r="E543" s="169"/>
      <c r="F543" s="133"/>
    </row>
    <row r="544" spans="2:6" ht="6" customHeight="1" x14ac:dyDescent="0.3"/>
    <row r="545" spans="2:6" ht="22.05" customHeight="1" x14ac:dyDescent="0.3">
      <c r="B545" s="16" t="s">
        <v>64</v>
      </c>
      <c r="C545" s="152" t="s">
        <v>1643</v>
      </c>
      <c r="D545" s="153"/>
      <c r="E545" s="153"/>
      <c r="F545" s="105"/>
    </row>
    <row r="546" spans="2:6" ht="4.95" customHeight="1" x14ac:dyDescent="0.3"/>
    <row r="547" spans="2:6" ht="15" customHeight="1" x14ac:dyDescent="0.3">
      <c r="B547" s="158" t="s">
        <v>1644</v>
      </c>
      <c r="C547" s="159"/>
      <c r="D547" s="159"/>
      <c r="E547" s="159"/>
      <c r="F547" s="160"/>
    </row>
    <row r="548" spans="2:6" ht="15" customHeight="1" x14ac:dyDescent="0.3">
      <c r="B548" s="161"/>
      <c r="C548" s="113"/>
      <c r="D548" s="113"/>
      <c r="E548" s="113"/>
      <c r="F548" s="162"/>
    </row>
    <row r="549" spans="2:6" ht="15" customHeight="1" x14ac:dyDescent="0.3">
      <c r="B549" s="161"/>
      <c r="C549" s="113"/>
      <c r="D549" s="113"/>
      <c r="E549" s="113"/>
      <c r="F549" s="162"/>
    </row>
    <row r="550" spans="2:6" ht="15" customHeight="1" x14ac:dyDescent="0.3">
      <c r="B550" s="161"/>
      <c r="C550" s="113"/>
      <c r="D550" s="113"/>
      <c r="E550" s="113"/>
      <c r="F550" s="162"/>
    </row>
    <row r="551" spans="2:6" ht="15" customHeight="1" x14ac:dyDescent="0.3">
      <c r="B551" s="161"/>
      <c r="C551" s="113"/>
      <c r="D551" s="113"/>
      <c r="E551" s="113"/>
      <c r="F551" s="162"/>
    </row>
    <row r="552" spans="2:6" ht="15" customHeight="1" x14ac:dyDescent="0.3">
      <c r="B552" s="161"/>
      <c r="C552" s="113"/>
      <c r="D552" s="113"/>
      <c r="E552" s="113"/>
      <c r="F552" s="162"/>
    </row>
    <row r="553" spans="2:6" ht="15" customHeight="1" x14ac:dyDescent="0.3">
      <c r="B553" s="161"/>
      <c r="C553" s="113"/>
      <c r="D553" s="113"/>
      <c r="E553" s="113"/>
      <c r="F553" s="162"/>
    </row>
    <row r="554" spans="2:6" ht="15" customHeight="1" x14ac:dyDescent="0.3">
      <c r="B554" s="161"/>
      <c r="C554" s="113"/>
      <c r="D554" s="113"/>
      <c r="E554" s="113"/>
      <c r="F554" s="162"/>
    </row>
    <row r="555" spans="2:6" ht="15" customHeight="1" x14ac:dyDescent="0.3">
      <c r="B555" s="161"/>
      <c r="C555" s="113"/>
      <c r="D555" s="113"/>
      <c r="E555" s="113"/>
      <c r="F555" s="162"/>
    </row>
    <row r="556" spans="2:6" ht="15" customHeight="1" x14ac:dyDescent="0.3">
      <c r="B556" s="161"/>
      <c r="C556" s="113"/>
      <c r="D556" s="113"/>
      <c r="E556" s="113"/>
      <c r="F556" s="162"/>
    </row>
    <row r="557" spans="2:6" ht="15" customHeight="1" x14ac:dyDescent="0.3">
      <c r="B557" s="161"/>
      <c r="C557" s="113"/>
      <c r="D557" s="113"/>
      <c r="E557" s="113"/>
      <c r="F557" s="162"/>
    </row>
    <row r="558" spans="2:6" ht="15" customHeight="1" x14ac:dyDescent="0.3">
      <c r="B558" s="161"/>
      <c r="C558" s="113"/>
      <c r="D558" s="113"/>
      <c r="E558" s="113"/>
      <c r="F558" s="162"/>
    </row>
    <row r="559" spans="2:6" ht="15" customHeight="1" x14ac:dyDescent="0.3">
      <c r="B559" s="161"/>
      <c r="C559" s="113"/>
      <c r="D559" s="113"/>
      <c r="E559" s="113"/>
      <c r="F559" s="162"/>
    </row>
    <row r="560" spans="2:6" ht="15" customHeight="1" x14ac:dyDescent="0.3">
      <c r="B560" s="163"/>
      <c r="C560" s="164"/>
      <c r="D560" s="164"/>
      <c r="E560" s="164"/>
      <c r="F560" s="165"/>
    </row>
    <row r="561" spans="2:6" ht="19.95" customHeight="1" x14ac:dyDescent="0.3">
      <c r="B561" s="151" t="s">
        <v>1645</v>
      </c>
      <c r="C561" s="113"/>
      <c r="D561" s="113"/>
      <c r="E561" s="113"/>
      <c r="F561" s="113"/>
    </row>
    <row r="562" spans="2:6" ht="6" customHeight="1" x14ac:dyDescent="0.3"/>
    <row r="563" spans="2:6" ht="7.05" customHeight="1" x14ac:dyDescent="0.3"/>
    <row r="564" spans="2:6" ht="22.95" customHeight="1" x14ac:dyDescent="0.3">
      <c r="B564" s="156" t="s">
        <v>1646</v>
      </c>
      <c r="C564" s="157"/>
      <c r="D564" s="157"/>
      <c r="E564" s="157"/>
      <c r="F564" s="157"/>
    </row>
    <row r="565" spans="2:6" ht="4.05" customHeight="1" x14ac:dyDescent="0.3"/>
    <row r="566" spans="2:6" ht="19.350000000000001" customHeight="1" x14ac:dyDescent="0.3">
      <c r="B566" s="129" t="s">
        <v>1647</v>
      </c>
      <c r="C566" s="113"/>
      <c r="D566" s="113"/>
      <c r="E566" s="113"/>
      <c r="F566" s="113"/>
    </row>
    <row r="567" spans="2:6" ht="22.05" customHeight="1" x14ac:dyDescent="0.3">
      <c r="B567" s="144" t="s">
        <v>1324</v>
      </c>
      <c r="C567" s="145"/>
      <c r="D567" s="7" t="s">
        <v>1325</v>
      </c>
      <c r="E567" s="144" t="s">
        <v>1326</v>
      </c>
      <c r="F567" s="145"/>
    </row>
    <row r="568" spans="2:6" ht="19.95" customHeight="1" x14ac:dyDescent="0.3">
      <c r="B568" s="174" t="s">
        <v>1327</v>
      </c>
      <c r="C568" s="111"/>
      <c r="D568" s="23" t="s">
        <v>1648</v>
      </c>
      <c r="E568" s="130"/>
      <c r="F568" s="111"/>
    </row>
    <row r="569" spans="2:6" ht="33.75" customHeight="1" x14ac:dyDescent="0.3">
      <c r="B569" s="173" t="s">
        <v>1649</v>
      </c>
      <c r="C569" s="133"/>
      <c r="D569" s="23" t="s">
        <v>1650</v>
      </c>
      <c r="E569" s="132" t="s">
        <v>1651</v>
      </c>
      <c r="F569" s="133"/>
    </row>
    <row r="570" spans="2:6" ht="33.75" customHeight="1" x14ac:dyDescent="0.3">
      <c r="B570" s="174" t="s">
        <v>1652</v>
      </c>
      <c r="C570" s="111"/>
      <c r="D570" s="23" t="s">
        <v>1653</v>
      </c>
      <c r="E570" s="130" t="s">
        <v>1654</v>
      </c>
      <c r="F570" s="111"/>
    </row>
    <row r="571" spans="2:6" ht="6" customHeight="1" x14ac:dyDescent="0.3"/>
    <row r="572" spans="2:6" ht="33.75" customHeight="1" x14ac:dyDescent="0.3">
      <c r="B572" s="16" t="s">
        <v>64</v>
      </c>
      <c r="C572" s="152" t="s">
        <v>1655</v>
      </c>
      <c r="D572" s="153"/>
      <c r="E572" s="153"/>
      <c r="F572" s="105"/>
    </row>
    <row r="573" spans="2:6" ht="4.95" customHeight="1" x14ac:dyDescent="0.3"/>
    <row r="574" spans="2:6" ht="7.05" customHeight="1" x14ac:dyDescent="0.3"/>
    <row r="575" spans="2:6" ht="22.95" customHeight="1" x14ac:dyDescent="0.3">
      <c r="B575" s="156" t="s">
        <v>1656</v>
      </c>
      <c r="C575" s="157"/>
      <c r="D575" s="157"/>
      <c r="E575" s="157"/>
      <c r="F575" s="157"/>
    </row>
    <row r="576" spans="2:6" ht="4.05" customHeight="1" x14ac:dyDescent="0.3"/>
    <row r="577" spans="2:6" ht="19.350000000000001" customHeight="1" x14ac:dyDescent="0.3">
      <c r="B577" s="129" t="s">
        <v>1657</v>
      </c>
      <c r="C577" s="113"/>
      <c r="D577" s="113"/>
      <c r="E577" s="113"/>
      <c r="F577" s="113"/>
    </row>
    <row r="578" spans="2:6" ht="22.05" customHeight="1" x14ac:dyDescent="0.3">
      <c r="B578" s="144" t="s">
        <v>1324</v>
      </c>
      <c r="C578" s="145"/>
      <c r="D578" s="7" t="s">
        <v>1325</v>
      </c>
      <c r="E578" s="144" t="s">
        <v>1326</v>
      </c>
      <c r="F578" s="145"/>
    </row>
    <row r="579" spans="2:6" ht="19.95" customHeight="1" x14ac:dyDescent="0.3">
      <c r="B579" s="174" t="s">
        <v>1327</v>
      </c>
      <c r="C579" s="111"/>
      <c r="D579" s="23" t="s">
        <v>1658</v>
      </c>
      <c r="E579" s="130"/>
      <c r="F579" s="111"/>
    </row>
    <row r="580" spans="2:6" ht="33.75" customHeight="1" x14ac:dyDescent="0.3">
      <c r="B580" s="173" t="s">
        <v>1659</v>
      </c>
      <c r="C580" s="133"/>
      <c r="D580" s="23" t="s">
        <v>1660</v>
      </c>
      <c r="E580" s="132" t="s">
        <v>1661</v>
      </c>
      <c r="F580" s="133"/>
    </row>
    <row r="581" spans="2:6" ht="19.95" customHeight="1" x14ac:dyDescent="0.3">
      <c r="B581" s="174" t="s">
        <v>1392</v>
      </c>
      <c r="C581" s="111"/>
      <c r="D581" s="23" t="s">
        <v>1662</v>
      </c>
      <c r="E581" s="130"/>
      <c r="F581" s="111"/>
    </row>
    <row r="582" spans="2:6" ht="19.95" customHeight="1" x14ac:dyDescent="0.3">
      <c r="B582" s="173" t="s">
        <v>1395</v>
      </c>
      <c r="C582" s="133"/>
      <c r="D582" s="23" t="s">
        <v>1663</v>
      </c>
      <c r="E582" s="132" t="s">
        <v>1664</v>
      </c>
      <c r="F582" s="133"/>
    </row>
    <row r="583" spans="2:6" ht="19.95" customHeight="1" x14ac:dyDescent="0.3">
      <c r="B583" s="174" t="s">
        <v>1403</v>
      </c>
      <c r="C583" s="111"/>
      <c r="D583" s="23" t="s">
        <v>1665</v>
      </c>
      <c r="E583" s="130" t="s">
        <v>1666</v>
      </c>
      <c r="F583" s="111"/>
    </row>
    <row r="584" spans="2:6" ht="6" customHeight="1" x14ac:dyDescent="0.3"/>
    <row r="585" spans="2:6" ht="19.350000000000001" customHeight="1" x14ac:dyDescent="0.3">
      <c r="B585" s="129" t="s">
        <v>1667</v>
      </c>
      <c r="C585" s="113"/>
      <c r="D585" s="113"/>
      <c r="E585" s="113"/>
      <c r="F585" s="113"/>
    </row>
    <row r="586" spans="2:6" ht="22.05" customHeight="1" x14ac:dyDescent="0.3">
      <c r="B586" s="144" t="s">
        <v>1668</v>
      </c>
      <c r="C586" s="145"/>
      <c r="D586" s="144" t="s">
        <v>723</v>
      </c>
      <c r="E586" s="171"/>
      <c r="F586" s="145"/>
    </row>
    <row r="587" spans="2:6" ht="48.15" customHeight="1" x14ac:dyDescent="0.3">
      <c r="B587" s="174" t="s">
        <v>1669</v>
      </c>
      <c r="C587" s="111"/>
      <c r="D587" s="130" t="s">
        <v>1670</v>
      </c>
      <c r="E587" s="110"/>
      <c r="F587" s="111"/>
    </row>
    <row r="588" spans="2:6" ht="48.15" customHeight="1" x14ac:dyDescent="0.3">
      <c r="B588" s="173" t="s">
        <v>1671</v>
      </c>
      <c r="C588" s="133"/>
      <c r="D588" s="132" t="s">
        <v>1672</v>
      </c>
      <c r="E588" s="169"/>
      <c r="F588" s="133"/>
    </row>
    <row r="589" spans="2:6" ht="6" customHeight="1" x14ac:dyDescent="0.3"/>
    <row r="590" spans="2:6" ht="22.05" customHeight="1" x14ac:dyDescent="0.3">
      <c r="B590" s="37" t="s">
        <v>66</v>
      </c>
      <c r="C590" s="152" t="s">
        <v>1673</v>
      </c>
      <c r="D590" s="153"/>
      <c r="E590" s="153"/>
      <c r="F590" s="105"/>
    </row>
    <row r="591" spans="2:6" ht="4.95" customHeight="1" x14ac:dyDescent="0.3"/>
    <row r="592" spans="2:6" ht="15" customHeight="1" x14ac:dyDescent="0.3">
      <c r="B592" s="158" t="s">
        <v>1674</v>
      </c>
      <c r="C592" s="159"/>
      <c r="D592" s="159"/>
      <c r="E592" s="159"/>
      <c r="F592" s="160"/>
    </row>
    <row r="593" spans="2:6" ht="15" customHeight="1" x14ac:dyDescent="0.3">
      <c r="B593" s="161"/>
      <c r="C593" s="113"/>
      <c r="D593" s="113"/>
      <c r="E593" s="113"/>
      <c r="F593" s="162"/>
    </row>
    <row r="594" spans="2:6" ht="15" customHeight="1" x14ac:dyDescent="0.3">
      <c r="B594" s="161"/>
      <c r="C594" s="113"/>
      <c r="D594" s="113"/>
      <c r="E594" s="113"/>
      <c r="F594" s="162"/>
    </row>
    <row r="595" spans="2:6" ht="15" customHeight="1" x14ac:dyDescent="0.3">
      <c r="B595" s="161"/>
      <c r="C595" s="113"/>
      <c r="D595" s="113"/>
      <c r="E595" s="113"/>
      <c r="F595" s="162"/>
    </row>
    <row r="596" spans="2:6" ht="15" customHeight="1" x14ac:dyDescent="0.3">
      <c r="B596" s="161"/>
      <c r="C596" s="113"/>
      <c r="D596" s="113"/>
      <c r="E596" s="113"/>
      <c r="F596" s="162"/>
    </row>
    <row r="597" spans="2:6" ht="15" customHeight="1" x14ac:dyDescent="0.3">
      <c r="B597" s="161"/>
      <c r="C597" s="113"/>
      <c r="D597" s="113"/>
      <c r="E597" s="113"/>
      <c r="F597" s="162"/>
    </row>
    <row r="598" spans="2:6" ht="15" customHeight="1" x14ac:dyDescent="0.3">
      <c r="B598" s="161"/>
      <c r="C598" s="113"/>
      <c r="D598" s="113"/>
      <c r="E598" s="113"/>
      <c r="F598" s="162"/>
    </row>
    <row r="599" spans="2:6" ht="15" customHeight="1" x14ac:dyDescent="0.3">
      <c r="B599" s="161"/>
      <c r="C599" s="113"/>
      <c r="D599" s="113"/>
      <c r="E599" s="113"/>
      <c r="F599" s="162"/>
    </row>
    <row r="600" spans="2:6" ht="15" customHeight="1" x14ac:dyDescent="0.3">
      <c r="B600" s="161"/>
      <c r="C600" s="113"/>
      <c r="D600" s="113"/>
      <c r="E600" s="113"/>
      <c r="F600" s="162"/>
    </row>
    <row r="601" spans="2:6" ht="15" customHeight="1" x14ac:dyDescent="0.3">
      <c r="B601" s="161"/>
      <c r="C601" s="113"/>
      <c r="D601" s="113"/>
      <c r="E601" s="113"/>
      <c r="F601" s="162"/>
    </row>
    <row r="602" spans="2:6" ht="15" customHeight="1" x14ac:dyDescent="0.3">
      <c r="B602" s="161"/>
      <c r="C602" s="113"/>
      <c r="D602" s="113"/>
      <c r="E602" s="113"/>
      <c r="F602" s="162"/>
    </row>
    <row r="603" spans="2:6" ht="15" customHeight="1" x14ac:dyDescent="0.3">
      <c r="B603" s="161"/>
      <c r="C603" s="113"/>
      <c r="D603" s="113"/>
      <c r="E603" s="113"/>
      <c r="F603" s="162"/>
    </row>
    <row r="604" spans="2:6" ht="15" customHeight="1" x14ac:dyDescent="0.3">
      <c r="B604" s="161"/>
      <c r="C604" s="113"/>
      <c r="D604" s="113"/>
      <c r="E604" s="113"/>
      <c r="F604" s="162"/>
    </row>
    <row r="605" spans="2:6" ht="15" customHeight="1" x14ac:dyDescent="0.3">
      <c r="B605" s="161"/>
      <c r="C605" s="113"/>
      <c r="D605" s="113"/>
      <c r="E605" s="113"/>
      <c r="F605" s="162"/>
    </row>
    <row r="606" spans="2:6" ht="15" customHeight="1" x14ac:dyDescent="0.3">
      <c r="B606" s="161"/>
      <c r="C606" s="113"/>
      <c r="D606" s="113"/>
      <c r="E606" s="113"/>
      <c r="F606" s="162"/>
    </row>
    <row r="607" spans="2:6" ht="15" customHeight="1" x14ac:dyDescent="0.3">
      <c r="B607" s="161"/>
      <c r="C607" s="113"/>
      <c r="D607" s="113"/>
      <c r="E607" s="113"/>
      <c r="F607" s="162"/>
    </row>
    <row r="608" spans="2:6" ht="15" customHeight="1" x14ac:dyDescent="0.3">
      <c r="B608" s="161"/>
      <c r="C608" s="113"/>
      <c r="D608" s="113"/>
      <c r="E608" s="113"/>
      <c r="F608" s="162"/>
    </row>
    <row r="609" spans="2:6" ht="15" customHeight="1" x14ac:dyDescent="0.3">
      <c r="B609" s="163"/>
      <c r="C609" s="164"/>
      <c r="D609" s="164"/>
      <c r="E609" s="164"/>
      <c r="F609" s="165"/>
    </row>
    <row r="610" spans="2:6" ht="19.95" customHeight="1" x14ac:dyDescent="0.3">
      <c r="B610" s="151" t="s">
        <v>1675</v>
      </c>
      <c r="C610" s="113"/>
      <c r="D610" s="113"/>
      <c r="E610" s="113"/>
      <c r="F610" s="113"/>
    </row>
    <row r="611" spans="2:6" ht="6" customHeight="1" x14ac:dyDescent="0.3"/>
    <row r="612" spans="2:6" ht="7.05" customHeight="1" x14ac:dyDescent="0.3"/>
    <row r="613" spans="2:6" ht="22.95" customHeight="1" x14ac:dyDescent="0.3">
      <c r="B613" s="156" t="s">
        <v>1676</v>
      </c>
      <c r="C613" s="157"/>
      <c r="D613" s="157"/>
      <c r="E613" s="157"/>
      <c r="F613" s="157"/>
    </row>
    <row r="614" spans="2:6" ht="4.05" customHeight="1" x14ac:dyDescent="0.3"/>
    <row r="615" spans="2:6" ht="19.350000000000001" customHeight="1" x14ac:dyDescent="0.3">
      <c r="B615" s="129" t="s">
        <v>1657</v>
      </c>
      <c r="C615" s="113"/>
      <c r="D615" s="113"/>
      <c r="E615" s="113"/>
      <c r="F615" s="113"/>
    </row>
    <row r="616" spans="2:6" ht="22.05" customHeight="1" x14ac:dyDescent="0.3">
      <c r="B616" s="144" t="s">
        <v>1324</v>
      </c>
      <c r="C616" s="145"/>
      <c r="D616" s="7" t="s">
        <v>1325</v>
      </c>
      <c r="E616" s="144" t="s">
        <v>1326</v>
      </c>
      <c r="F616" s="145"/>
    </row>
    <row r="617" spans="2:6" ht="19.95" customHeight="1" x14ac:dyDescent="0.3">
      <c r="B617" s="174" t="s">
        <v>1327</v>
      </c>
      <c r="C617" s="111"/>
      <c r="D617" s="23" t="s">
        <v>1677</v>
      </c>
      <c r="E617" s="130"/>
      <c r="F617" s="111"/>
    </row>
    <row r="618" spans="2:6" ht="19.95" customHeight="1" x14ac:dyDescent="0.3">
      <c r="B618" s="173" t="s">
        <v>1392</v>
      </c>
      <c r="C618" s="133"/>
      <c r="D618" s="23" t="s">
        <v>1393</v>
      </c>
      <c r="E618" s="132"/>
      <c r="F618" s="133"/>
    </row>
    <row r="619" spans="2:6" ht="19.95" customHeight="1" x14ac:dyDescent="0.3">
      <c r="B619" s="174" t="s">
        <v>1395</v>
      </c>
      <c r="C619" s="111"/>
      <c r="D619" s="23" t="s">
        <v>1678</v>
      </c>
      <c r="E619" s="130"/>
      <c r="F619" s="111"/>
    </row>
    <row r="620" spans="2:6" ht="19.95" customHeight="1" x14ac:dyDescent="0.3">
      <c r="B620" s="173" t="s">
        <v>1679</v>
      </c>
      <c r="C620" s="133"/>
      <c r="D620" s="23" t="s">
        <v>1680</v>
      </c>
      <c r="E620" s="132" t="s">
        <v>1681</v>
      </c>
      <c r="F620" s="133"/>
    </row>
    <row r="621" spans="2:6" ht="6" customHeight="1" x14ac:dyDescent="0.3"/>
    <row r="622" spans="2:6" ht="16.95" customHeight="1" x14ac:dyDescent="0.3">
      <c r="C622" s="170" t="s">
        <v>1682</v>
      </c>
      <c r="D622" s="113"/>
      <c r="E622" s="113"/>
      <c r="F622" s="113"/>
    </row>
    <row r="623" spans="2:6" ht="17.25" customHeight="1" x14ac:dyDescent="0.3">
      <c r="C623" s="39" t="s">
        <v>1683</v>
      </c>
      <c r="D623" s="40"/>
      <c r="E623" s="40"/>
      <c r="F623" s="41"/>
    </row>
    <row r="624" spans="2:6" ht="17.25" customHeight="1" x14ac:dyDescent="0.3">
      <c r="C624" s="42" t="s">
        <v>1684</v>
      </c>
      <c r="D624" s="43"/>
      <c r="E624" s="43"/>
      <c r="F624" s="44"/>
    </row>
    <row r="625" spans="2:6" ht="17.25" customHeight="1" x14ac:dyDescent="0.3">
      <c r="C625" s="42" t="s">
        <v>1685</v>
      </c>
      <c r="D625" s="43"/>
      <c r="E625" s="43"/>
      <c r="F625" s="44"/>
    </row>
    <row r="626" spans="2:6" ht="17.25" customHeight="1" x14ac:dyDescent="0.3">
      <c r="C626" s="42" t="s">
        <v>1686</v>
      </c>
      <c r="D626" s="43"/>
      <c r="E626" s="43"/>
      <c r="F626" s="44"/>
    </row>
    <row r="627" spans="2:6" ht="17.25" customHeight="1" x14ac:dyDescent="0.3">
      <c r="C627" s="45" t="s">
        <v>608</v>
      </c>
      <c r="D627" s="46"/>
      <c r="E627" s="46"/>
      <c r="F627" s="47"/>
    </row>
    <row r="628" spans="2:6" ht="4.95" customHeight="1" x14ac:dyDescent="0.3"/>
    <row r="629" spans="2:6" ht="33.75" customHeight="1" x14ac:dyDescent="0.3">
      <c r="B629" s="129" t="s">
        <v>1687</v>
      </c>
      <c r="C629" s="113"/>
      <c r="D629" s="113"/>
      <c r="E629" s="113"/>
      <c r="F629" s="113"/>
    </row>
    <row r="630" spans="2:6" ht="22.05" customHeight="1" x14ac:dyDescent="0.3">
      <c r="B630" s="22" t="s">
        <v>62</v>
      </c>
      <c r="C630" s="152" t="s">
        <v>1688</v>
      </c>
      <c r="D630" s="153"/>
      <c r="E630" s="153"/>
      <c r="F630" s="105"/>
    </row>
    <row r="631" spans="2:6" ht="4.95" customHeight="1" x14ac:dyDescent="0.3"/>
    <row r="632" spans="2:6" ht="15" customHeight="1" x14ac:dyDescent="0.3">
      <c r="B632" s="158" t="s">
        <v>1689</v>
      </c>
      <c r="C632" s="159"/>
      <c r="D632" s="159"/>
      <c r="E632" s="159"/>
      <c r="F632" s="160"/>
    </row>
    <row r="633" spans="2:6" ht="15" customHeight="1" x14ac:dyDescent="0.3">
      <c r="B633" s="161"/>
      <c r="C633" s="113"/>
      <c r="D633" s="113"/>
      <c r="E633" s="113"/>
      <c r="F633" s="162"/>
    </row>
    <row r="634" spans="2:6" ht="15" customHeight="1" x14ac:dyDescent="0.3">
      <c r="B634" s="161"/>
      <c r="C634" s="113"/>
      <c r="D634" s="113"/>
      <c r="E634" s="113"/>
      <c r="F634" s="162"/>
    </row>
    <row r="635" spans="2:6" ht="15" customHeight="1" x14ac:dyDescent="0.3">
      <c r="B635" s="161"/>
      <c r="C635" s="113"/>
      <c r="D635" s="113"/>
      <c r="E635" s="113"/>
      <c r="F635" s="162"/>
    </row>
    <row r="636" spans="2:6" ht="15" customHeight="1" x14ac:dyDescent="0.3">
      <c r="B636" s="161"/>
      <c r="C636" s="113"/>
      <c r="D636" s="113"/>
      <c r="E636" s="113"/>
      <c r="F636" s="162"/>
    </row>
    <row r="637" spans="2:6" ht="15" customHeight="1" x14ac:dyDescent="0.3">
      <c r="B637" s="161"/>
      <c r="C637" s="113"/>
      <c r="D637" s="113"/>
      <c r="E637" s="113"/>
      <c r="F637" s="162"/>
    </row>
    <row r="638" spans="2:6" ht="15" customHeight="1" x14ac:dyDescent="0.3">
      <c r="B638" s="161"/>
      <c r="C638" s="113"/>
      <c r="D638" s="113"/>
      <c r="E638" s="113"/>
      <c r="F638" s="162"/>
    </row>
    <row r="639" spans="2:6" ht="15" customHeight="1" x14ac:dyDescent="0.3">
      <c r="B639" s="161"/>
      <c r="C639" s="113"/>
      <c r="D639" s="113"/>
      <c r="E639" s="113"/>
      <c r="F639" s="162"/>
    </row>
    <row r="640" spans="2:6" ht="15" customHeight="1" x14ac:dyDescent="0.3">
      <c r="B640" s="161"/>
      <c r="C640" s="113"/>
      <c r="D640" s="113"/>
      <c r="E640" s="113"/>
      <c r="F640" s="162"/>
    </row>
    <row r="641" spans="2:6" ht="15" customHeight="1" x14ac:dyDescent="0.3">
      <c r="B641" s="161"/>
      <c r="C641" s="113"/>
      <c r="D641" s="113"/>
      <c r="E641" s="113"/>
      <c r="F641" s="162"/>
    </row>
    <row r="642" spans="2:6" ht="15" customHeight="1" x14ac:dyDescent="0.3">
      <c r="B642" s="161"/>
      <c r="C642" s="113"/>
      <c r="D642" s="113"/>
      <c r="E642" s="113"/>
      <c r="F642" s="162"/>
    </row>
    <row r="643" spans="2:6" ht="15" customHeight="1" x14ac:dyDescent="0.3">
      <c r="B643" s="161"/>
      <c r="C643" s="113"/>
      <c r="D643" s="113"/>
      <c r="E643" s="113"/>
      <c r="F643" s="162"/>
    </row>
    <row r="644" spans="2:6" ht="15" customHeight="1" x14ac:dyDescent="0.3">
      <c r="B644" s="161"/>
      <c r="C644" s="113"/>
      <c r="D644" s="113"/>
      <c r="E644" s="113"/>
      <c r="F644" s="162"/>
    </row>
    <row r="645" spans="2:6" ht="15" customHeight="1" x14ac:dyDescent="0.3">
      <c r="B645" s="161"/>
      <c r="C645" s="113"/>
      <c r="D645" s="113"/>
      <c r="E645" s="113"/>
      <c r="F645" s="162"/>
    </row>
    <row r="646" spans="2:6" ht="15" customHeight="1" x14ac:dyDescent="0.3">
      <c r="B646" s="161"/>
      <c r="C646" s="113"/>
      <c r="D646" s="113"/>
      <c r="E646" s="113"/>
      <c r="F646" s="162"/>
    </row>
    <row r="647" spans="2:6" ht="15" customHeight="1" x14ac:dyDescent="0.3">
      <c r="B647" s="161"/>
      <c r="C647" s="113"/>
      <c r="D647" s="113"/>
      <c r="E647" s="113"/>
      <c r="F647" s="162"/>
    </row>
    <row r="648" spans="2:6" ht="15" customHeight="1" x14ac:dyDescent="0.3">
      <c r="B648" s="161"/>
      <c r="C648" s="113"/>
      <c r="D648" s="113"/>
      <c r="E648" s="113"/>
      <c r="F648" s="162"/>
    </row>
    <row r="649" spans="2:6" ht="15" customHeight="1" x14ac:dyDescent="0.3">
      <c r="B649" s="163"/>
      <c r="C649" s="164"/>
      <c r="D649" s="164"/>
      <c r="E649" s="164"/>
      <c r="F649" s="165"/>
    </row>
    <row r="650" spans="2:6" ht="19.95" customHeight="1" x14ac:dyDescent="0.3">
      <c r="B650" s="151" t="s">
        <v>1690</v>
      </c>
      <c r="C650" s="113"/>
      <c r="D650" s="113"/>
      <c r="E650" s="113"/>
      <c r="F650" s="113"/>
    </row>
    <row r="651" spans="2:6" ht="6" customHeight="1" x14ac:dyDescent="0.3"/>
    <row r="652" spans="2:6" ht="7.05" customHeight="1" x14ac:dyDescent="0.3"/>
    <row r="653" spans="2:6" ht="22.95" customHeight="1" x14ac:dyDescent="0.3">
      <c r="B653" s="156" t="s">
        <v>1691</v>
      </c>
      <c r="C653" s="157"/>
      <c r="D653" s="157"/>
      <c r="E653" s="157"/>
      <c r="F653" s="157"/>
    </row>
    <row r="654" spans="2:6" ht="4.05" customHeight="1" x14ac:dyDescent="0.3"/>
    <row r="655" spans="2:6" ht="19.350000000000001" customHeight="1" x14ac:dyDescent="0.3">
      <c r="B655" s="129" t="s">
        <v>1692</v>
      </c>
      <c r="C655" s="113"/>
      <c r="D655" s="113"/>
      <c r="E655" s="113"/>
      <c r="F655" s="113"/>
    </row>
    <row r="656" spans="2:6" ht="22.05" customHeight="1" x14ac:dyDescent="0.3">
      <c r="B656" s="144" t="s">
        <v>1693</v>
      </c>
      <c r="C656" s="145"/>
      <c r="D656" s="144" t="s">
        <v>416</v>
      </c>
      <c r="E656" s="145"/>
      <c r="F656" s="7" t="s">
        <v>1694</v>
      </c>
    </row>
    <row r="657" spans="2:6" ht="19.95" customHeight="1" x14ac:dyDescent="0.3">
      <c r="B657" s="174" t="s">
        <v>1092</v>
      </c>
      <c r="C657" s="111"/>
      <c r="D657" s="130" t="s">
        <v>1695</v>
      </c>
      <c r="E657" s="111"/>
      <c r="F657" s="10" t="s">
        <v>1696</v>
      </c>
    </row>
    <row r="658" spans="2:6" ht="33.75" customHeight="1" x14ac:dyDescent="0.3">
      <c r="B658" s="173" t="s">
        <v>1096</v>
      </c>
      <c r="C658" s="133"/>
      <c r="D658" s="132" t="s">
        <v>1697</v>
      </c>
      <c r="E658" s="133"/>
      <c r="F658" s="13" t="s">
        <v>1698</v>
      </c>
    </row>
    <row r="659" spans="2:6" ht="19.95" customHeight="1" x14ac:dyDescent="0.3">
      <c r="B659" s="174" t="s">
        <v>1099</v>
      </c>
      <c r="C659" s="111"/>
      <c r="D659" s="130" t="s">
        <v>1699</v>
      </c>
      <c r="E659" s="111"/>
      <c r="F659" s="10" t="s">
        <v>1700</v>
      </c>
    </row>
    <row r="660" spans="2:6" ht="6" customHeight="1" x14ac:dyDescent="0.3"/>
    <row r="661" spans="2:6" ht="33.75" customHeight="1" x14ac:dyDescent="0.3">
      <c r="B661" s="22" t="s">
        <v>62</v>
      </c>
      <c r="C661" s="152" t="s">
        <v>1701</v>
      </c>
      <c r="D661" s="153"/>
      <c r="E661" s="153"/>
      <c r="F661" s="105"/>
    </row>
    <row r="662" spans="2:6" ht="4.95" customHeight="1" x14ac:dyDescent="0.3"/>
    <row r="663" spans="2:6" ht="7.05" customHeight="1" x14ac:dyDescent="0.3"/>
    <row r="664" spans="2:6" ht="22.95" customHeight="1" x14ac:dyDescent="0.3">
      <c r="B664" s="156" t="s">
        <v>1702</v>
      </c>
      <c r="C664" s="157"/>
      <c r="D664" s="157"/>
      <c r="E664" s="157"/>
      <c r="F664" s="157"/>
    </row>
    <row r="665" spans="2:6" ht="4.05" customHeight="1" x14ac:dyDescent="0.3"/>
    <row r="666" spans="2:6" ht="22.05" customHeight="1" x14ac:dyDescent="0.3">
      <c r="B666" s="7" t="s">
        <v>73</v>
      </c>
      <c r="C666" s="7" t="s">
        <v>159</v>
      </c>
      <c r="D666" s="7" t="s">
        <v>160</v>
      </c>
      <c r="E666" s="7" t="s">
        <v>161</v>
      </c>
      <c r="F666" s="7" t="s">
        <v>162</v>
      </c>
    </row>
    <row r="667" spans="2:6" ht="19.95" customHeight="1" x14ac:dyDescent="0.3">
      <c r="B667" s="8" t="s">
        <v>77</v>
      </c>
      <c r="C667" s="14" t="s">
        <v>1703</v>
      </c>
      <c r="D667" s="10" t="s">
        <v>1704</v>
      </c>
      <c r="E667" s="10"/>
      <c r="F667" s="10"/>
    </row>
    <row r="668" spans="2:6" ht="33.75" customHeight="1" x14ac:dyDescent="0.3">
      <c r="B668" s="11" t="s">
        <v>81</v>
      </c>
      <c r="C668" s="15" t="s">
        <v>1705</v>
      </c>
      <c r="D668" s="13" t="s">
        <v>1706</v>
      </c>
      <c r="E668" s="23" t="s">
        <v>1707</v>
      </c>
      <c r="F668" s="13" t="s">
        <v>1708</v>
      </c>
    </row>
    <row r="669" spans="2:6" ht="48.15" customHeight="1" x14ac:dyDescent="0.3">
      <c r="B669" s="8" t="s">
        <v>85</v>
      </c>
      <c r="C669" s="14" t="s">
        <v>1709</v>
      </c>
      <c r="D669" s="10" t="s">
        <v>1710</v>
      </c>
      <c r="E669" s="10" t="s">
        <v>788</v>
      </c>
      <c r="F669" s="10" t="s">
        <v>1711</v>
      </c>
    </row>
    <row r="670" spans="2:6" ht="6" customHeight="1" x14ac:dyDescent="0.3"/>
    <row r="671" spans="2:6" ht="12" customHeight="1" x14ac:dyDescent="0.3"/>
    <row r="672" spans="2:6" ht="27" customHeight="1" x14ac:dyDescent="0.3">
      <c r="B672" s="128" t="s">
        <v>1712</v>
      </c>
      <c r="C672" s="124"/>
      <c r="D672" s="124"/>
      <c r="E672" s="124"/>
      <c r="F672" s="124"/>
    </row>
    <row r="673" spans="2:6" ht="4.95" customHeight="1" x14ac:dyDescent="0.3"/>
    <row r="674" spans="2:6" ht="19.350000000000001" customHeight="1" x14ac:dyDescent="0.3">
      <c r="B674" s="129" t="s">
        <v>1713</v>
      </c>
      <c r="C674" s="113"/>
      <c r="D674" s="113"/>
      <c r="E674" s="113"/>
      <c r="F674" s="113"/>
    </row>
    <row r="675" spans="2:6" ht="22.05" customHeight="1" x14ac:dyDescent="0.3">
      <c r="B675" s="144" t="s">
        <v>1714</v>
      </c>
      <c r="C675" s="145"/>
      <c r="D675" s="7" t="s">
        <v>1715</v>
      </c>
      <c r="E675" s="7" t="s">
        <v>1716</v>
      </c>
      <c r="F675" s="7" t="s">
        <v>1717</v>
      </c>
    </row>
    <row r="676" spans="2:6" ht="33.75" customHeight="1" x14ac:dyDescent="0.3">
      <c r="B676" s="174" t="s">
        <v>1718</v>
      </c>
      <c r="C676" s="111"/>
      <c r="D676" s="10" t="s">
        <v>1719</v>
      </c>
      <c r="E676" s="10" t="s">
        <v>1720</v>
      </c>
      <c r="F676" s="10" t="s">
        <v>1721</v>
      </c>
    </row>
    <row r="677" spans="2:6" ht="33.75" customHeight="1" x14ac:dyDescent="0.3">
      <c r="B677" s="173" t="s">
        <v>1722</v>
      </c>
      <c r="C677" s="133"/>
      <c r="D677" s="13" t="s">
        <v>1723</v>
      </c>
      <c r="E677" s="13" t="s">
        <v>1724</v>
      </c>
      <c r="F677" s="13" t="s">
        <v>1725</v>
      </c>
    </row>
    <row r="678" spans="2:6" ht="33.75" customHeight="1" x14ac:dyDescent="0.3">
      <c r="B678" s="174" t="s">
        <v>1726</v>
      </c>
      <c r="C678" s="111"/>
      <c r="D678" s="10" t="s">
        <v>1727</v>
      </c>
      <c r="E678" s="10" t="s">
        <v>1728</v>
      </c>
      <c r="F678" s="10" t="s">
        <v>1729</v>
      </c>
    </row>
    <row r="679" spans="2:6" ht="6" customHeight="1" x14ac:dyDescent="0.3"/>
    <row r="680" spans="2:6" ht="3" customHeight="1" x14ac:dyDescent="0.3"/>
    <row r="681" spans="2:6" ht="21" customHeight="1" x14ac:dyDescent="0.3">
      <c r="B681" s="178" t="s">
        <v>1730</v>
      </c>
      <c r="C681" s="179"/>
      <c r="D681" s="179"/>
      <c r="E681" s="179"/>
      <c r="F681" s="179"/>
    </row>
    <row r="682" spans="2:6" ht="3" customHeight="1" x14ac:dyDescent="0.3"/>
    <row r="683" spans="2:6" ht="33.75" customHeight="1" x14ac:dyDescent="0.3">
      <c r="B683" s="38" t="s">
        <v>1731</v>
      </c>
      <c r="C683" s="129" t="s">
        <v>1732</v>
      </c>
      <c r="D683" s="113"/>
      <c r="E683" s="113"/>
      <c r="F683" s="113"/>
    </row>
    <row r="684" spans="2:6" ht="19.350000000000001" customHeight="1" x14ac:dyDescent="0.3">
      <c r="B684" s="38" t="s">
        <v>1733</v>
      </c>
      <c r="C684" s="129" t="s">
        <v>1734</v>
      </c>
      <c r="D684" s="113"/>
      <c r="E684" s="113"/>
      <c r="F684" s="113"/>
    </row>
    <row r="685" spans="2:6" ht="33.75" customHeight="1" x14ac:dyDescent="0.3">
      <c r="B685" s="38" t="s">
        <v>1735</v>
      </c>
      <c r="C685" s="129" t="s">
        <v>1736</v>
      </c>
      <c r="D685" s="113"/>
      <c r="E685" s="113"/>
      <c r="F685" s="113"/>
    </row>
    <row r="686" spans="2:6" ht="19.350000000000001" customHeight="1" x14ac:dyDescent="0.3">
      <c r="B686" s="38" t="s">
        <v>1737</v>
      </c>
      <c r="C686" s="129" t="s">
        <v>1738</v>
      </c>
      <c r="D686" s="113"/>
      <c r="E686" s="113"/>
      <c r="F686" s="113"/>
    </row>
    <row r="687" spans="2:6" ht="22.05" customHeight="1" x14ac:dyDescent="0.3">
      <c r="B687" s="37" t="s">
        <v>66</v>
      </c>
      <c r="C687" s="152" t="s">
        <v>1739</v>
      </c>
      <c r="D687" s="153"/>
      <c r="E687" s="153"/>
      <c r="F687" s="105"/>
    </row>
    <row r="688" spans="2:6" ht="4.95" customHeight="1" x14ac:dyDescent="0.3"/>
    <row r="689" spans="2:6" ht="12" customHeight="1" x14ac:dyDescent="0.3"/>
    <row r="690" spans="2:6" ht="27" customHeight="1" x14ac:dyDescent="0.3">
      <c r="B690" s="128" t="s">
        <v>1740</v>
      </c>
      <c r="C690" s="124"/>
      <c r="D690" s="124"/>
      <c r="E690" s="124"/>
      <c r="F690" s="124"/>
    </row>
    <row r="691" spans="2:6" ht="4.95" customHeight="1" x14ac:dyDescent="0.3"/>
    <row r="692" spans="2:6" ht="19.350000000000001" customHeight="1" x14ac:dyDescent="0.3">
      <c r="B692" s="129" t="s">
        <v>1741</v>
      </c>
      <c r="C692" s="113"/>
      <c r="D692" s="113"/>
      <c r="E692" s="113"/>
      <c r="F692" s="113"/>
    </row>
    <row r="693" spans="2:6" ht="16.95" customHeight="1" x14ac:dyDescent="0.3">
      <c r="C693" s="170" t="s">
        <v>1742</v>
      </c>
      <c r="D693" s="113"/>
      <c r="E693" s="113"/>
      <c r="F693" s="113"/>
    </row>
    <row r="694" spans="2:6" ht="17.25" customHeight="1" x14ac:dyDescent="0.3">
      <c r="C694" s="39" t="s">
        <v>1743</v>
      </c>
      <c r="D694" s="40"/>
      <c r="E694" s="40"/>
      <c r="F694" s="41"/>
    </row>
    <row r="695" spans="2:6" ht="17.25" customHeight="1" x14ac:dyDescent="0.3">
      <c r="C695" s="42" t="s">
        <v>1744</v>
      </c>
      <c r="D695" s="43"/>
      <c r="E695" s="43"/>
      <c r="F695" s="44"/>
    </row>
    <row r="696" spans="2:6" ht="17.25" customHeight="1" x14ac:dyDescent="0.3">
      <c r="C696" s="42" t="s">
        <v>1745</v>
      </c>
      <c r="D696" s="43"/>
      <c r="E696" s="43"/>
      <c r="F696" s="44"/>
    </row>
    <row r="697" spans="2:6" ht="17.25" customHeight="1" x14ac:dyDescent="0.3">
      <c r="C697" s="45" t="s">
        <v>1746</v>
      </c>
      <c r="D697" s="46"/>
      <c r="E697" s="46"/>
      <c r="F697" s="47"/>
    </row>
    <row r="698" spans="2:6" ht="4.95" customHeight="1" x14ac:dyDescent="0.3"/>
    <row r="699" spans="2:6" ht="16.95" customHeight="1" x14ac:dyDescent="0.3">
      <c r="C699" s="170" t="s">
        <v>1747</v>
      </c>
      <c r="D699" s="113"/>
      <c r="E699" s="113"/>
      <c r="F699" s="113"/>
    </row>
    <row r="700" spans="2:6" ht="17.25" customHeight="1" x14ac:dyDescent="0.3">
      <c r="C700" s="39" t="s">
        <v>1748</v>
      </c>
      <c r="D700" s="40"/>
      <c r="E700" s="40"/>
      <c r="F700" s="41"/>
    </row>
    <row r="701" spans="2:6" ht="17.25" customHeight="1" x14ac:dyDescent="0.3">
      <c r="C701" s="42" t="s">
        <v>1749</v>
      </c>
      <c r="D701" s="43"/>
      <c r="E701" s="43"/>
      <c r="F701" s="44"/>
    </row>
    <row r="702" spans="2:6" ht="17.25" customHeight="1" x14ac:dyDescent="0.3">
      <c r="C702" s="45" t="s">
        <v>1750</v>
      </c>
      <c r="D702" s="46"/>
      <c r="E702" s="46"/>
      <c r="F702" s="47"/>
    </row>
    <row r="703" spans="2:6" ht="4.95" customHeight="1" x14ac:dyDescent="0.3"/>
    <row r="704" spans="2:6" ht="22.05" customHeight="1" x14ac:dyDescent="0.3">
      <c r="B704" s="22" t="s">
        <v>62</v>
      </c>
      <c r="C704" s="152" t="s">
        <v>1751</v>
      </c>
      <c r="D704" s="153"/>
      <c r="E704" s="153"/>
      <c r="F704" s="105"/>
    </row>
    <row r="705" spans="2:6" ht="4.95" customHeight="1" x14ac:dyDescent="0.3"/>
    <row r="706" spans="2:6" ht="33.75" customHeight="1" x14ac:dyDescent="0.3">
      <c r="B706" s="37" t="s">
        <v>66</v>
      </c>
      <c r="C706" s="152" t="s">
        <v>1752</v>
      </c>
      <c r="D706" s="153"/>
      <c r="E706" s="153"/>
      <c r="F706" s="105"/>
    </row>
    <row r="707" spans="2:6" ht="4.95" customHeight="1" x14ac:dyDescent="0.3"/>
    <row r="708" spans="2:6" ht="22.05" customHeight="1" x14ac:dyDescent="0.3">
      <c r="B708" s="22" t="s">
        <v>62</v>
      </c>
      <c r="C708" s="152" t="s">
        <v>1753</v>
      </c>
      <c r="D708" s="153"/>
      <c r="E708" s="153"/>
      <c r="F708" s="105"/>
    </row>
    <row r="709" spans="2:6" ht="4.95" customHeight="1" x14ac:dyDescent="0.3"/>
    <row r="710" spans="2:6" ht="33.75" customHeight="1" x14ac:dyDescent="0.3">
      <c r="B710" s="129" t="s">
        <v>1754</v>
      </c>
      <c r="C710" s="113"/>
      <c r="D710" s="113"/>
      <c r="E710" s="113"/>
      <c r="F710" s="113"/>
    </row>
    <row r="711" spans="2:6" ht="12" customHeight="1" x14ac:dyDescent="0.3"/>
    <row r="712" spans="2:6" ht="27" customHeight="1" x14ac:dyDescent="0.3">
      <c r="B712" s="128" t="s">
        <v>1755</v>
      </c>
      <c r="C712" s="124"/>
      <c r="D712" s="124"/>
      <c r="E712" s="124"/>
      <c r="F712" s="124"/>
    </row>
    <row r="713" spans="2:6" ht="4.95" customHeight="1" x14ac:dyDescent="0.3"/>
    <row r="714" spans="2:6" ht="19.350000000000001" customHeight="1" x14ac:dyDescent="0.3">
      <c r="B714" s="129" t="s">
        <v>1756</v>
      </c>
      <c r="C714" s="113"/>
      <c r="D714" s="113"/>
      <c r="E714" s="113"/>
      <c r="F714" s="113"/>
    </row>
    <row r="715" spans="2:6" ht="16.95" customHeight="1" x14ac:dyDescent="0.3">
      <c r="C715" s="170" t="s">
        <v>1757</v>
      </c>
      <c r="D715" s="113"/>
      <c r="E715" s="113"/>
      <c r="F715" s="113"/>
    </row>
    <row r="716" spans="2:6" ht="17.25" customHeight="1" x14ac:dyDescent="0.3">
      <c r="C716" s="39" t="s">
        <v>1758</v>
      </c>
      <c r="D716" s="40"/>
      <c r="E716" s="40"/>
      <c r="F716" s="41"/>
    </row>
    <row r="717" spans="2:6" ht="17.25" customHeight="1" x14ac:dyDescent="0.3">
      <c r="C717" s="42" t="s">
        <v>1759</v>
      </c>
      <c r="D717" s="43"/>
      <c r="E717" s="43"/>
      <c r="F717" s="44"/>
    </row>
    <row r="718" spans="2:6" ht="17.25" customHeight="1" x14ac:dyDescent="0.3">
      <c r="C718" s="42" t="s">
        <v>1760</v>
      </c>
      <c r="D718" s="43"/>
      <c r="E718" s="43"/>
      <c r="F718" s="44"/>
    </row>
    <row r="719" spans="2:6" ht="17.25" customHeight="1" x14ac:dyDescent="0.3">
      <c r="C719" s="45" t="s">
        <v>1761</v>
      </c>
      <c r="D719" s="46"/>
      <c r="E719" s="46"/>
      <c r="F719" s="47"/>
    </row>
    <row r="720" spans="2:6" ht="4.95" customHeight="1" x14ac:dyDescent="0.3"/>
    <row r="721" spans="2:6" ht="19.350000000000001" customHeight="1" x14ac:dyDescent="0.3">
      <c r="B721" s="129" t="s">
        <v>1762</v>
      </c>
      <c r="C721" s="113"/>
      <c r="D721" s="113"/>
      <c r="E721" s="113"/>
      <c r="F721" s="113"/>
    </row>
    <row r="722" spans="2:6" ht="22.05" customHeight="1" x14ac:dyDescent="0.3">
      <c r="B722" s="144" t="s">
        <v>1324</v>
      </c>
      <c r="C722" s="145"/>
      <c r="D722" s="7" t="s">
        <v>1325</v>
      </c>
      <c r="E722" s="144" t="s">
        <v>1326</v>
      </c>
      <c r="F722" s="145"/>
    </row>
    <row r="723" spans="2:6" ht="19.95" customHeight="1" x14ac:dyDescent="0.3">
      <c r="B723" s="174" t="s">
        <v>1327</v>
      </c>
      <c r="C723" s="111"/>
      <c r="D723" s="23" t="s">
        <v>1763</v>
      </c>
      <c r="E723" s="130"/>
      <c r="F723" s="111"/>
    </row>
    <row r="724" spans="2:6" ht="33.75" customHeight="1" x14ac:dyDescent="0.3">
      <c r="B724" s="173" t="s">
        <v>1764</v>
      </c>
      <c r="C724" s="133"/>
      <c r="D724" s="23" t="s">
        <v>1765</v>
      </c>
      <c r="E724" s="132" t="s">
        <v>1766</v>
      </c>
      <c r="F724" s="133"/>
    </row>
    <row r="725" spans="2:6" ht="19.95" customHeight="1" x14ac:dyDescent="0.3">
      <c r="B725" s="174" t="s">
        <v>1767</v>
      </c>
      <c r="C725" s="111"/>
      <c r="D725" s="23" t="s">
        <v>1398</v>
      </c>
      <c r="E725" s="130"/>
      <c r="F725" s="111"/>
    </row>
    <row r="726" spans="2:6" ht="19.95" customHeight="1" x14ac:dyDescent="0.3">
      <c r="B726" s="173" t="s">
        <v>1768</v>
      </c>
      <c r="C726" s="133"/>
      <c r="D726" s="23" t="s">
        <v>1769</v>
      </c>
      <c r="E726" s="132" t="s">
        <v>1770</v>
      </c>
      <c r="F726" s="133"/>
    </row>
    <row r="727" spans="2:6" ht="33.75" customHeight="1" x14ac:dyDescent="0.3">
      <c r="B727" s="174" t="s">
        <v>1771</v>
      </c>
      <c r="C727" s="111"/>
      <c r="D727" s="23" t="s">
        <v>1772</v>
      </c>
      <c r="E727" s="130" t="s">
        <v>1773</v>
      </c>
      <c r="F727" s="111"/>
    </row>
    <row r="728" spans="2:6" ht="19.95" customHeight="1" x14ac:dyDescent="0.3">
      <c r="B728" s="173" t="s">
        <v>1774</v>
      </c>
      <c r="C728" s="133"/>
      <c r="D728" s="23" t="s">
        <v>1775</v>
      </c>
      <c r="E728" s="132"/>
      <c r="F728" s="133"/>
    </row>
    <row r="729" spans="2:6" ht="19.95" customHeight="1" x14ac:dyDescent="0.3">
      <c r="B729" s="174" t="s">
        <v>1776</v>
      </c>
      <c r="C729" s="111"/>
      <c r="D729" s="23" t="s">
        <v>1777</v>
      </c>
      <c r="E729" s="130"/>
      <c r="F729" s="111"/>
    </row>
    <row r="730" spans="2:6" ht="19.95" customHeight="1" x14ac:dyDescent="0.3">
      <c r="B730" s="173" t="s">
        <v>1778</v>
      </c>
      <c r="C730" s="133"/>
      <c r="D730" s="23" t="s">
        <v>1772</v>
      </c>
      <c r="E730" s="132" t="s">
        <v>1779</v>
      </c>
      <c r="F730" s="133"/>
    </row>
    <row r="731" spans="2:6" ht="19.95" customHeight="1" x14ac:dyDescent="0.3">
      <c r="B731" s="174" t="s">
        <v>1780</v>
      </c>
      <c r="C731" s="111"/>
      <c r="D731" s="23" t="s">
        <v>1777</v>
      </c>
      <c r="E731" s="130"/>
      <c r="F731" s="111"/>
    </row>
    <row r="732" spans="2:6" ht="19.95" customHeight="1" x14ac:dyDescent="0.3">
      <c r="B732" s="173" t="s">
        <v>1781</v>
      </c>
      <c r="C732" s="133"/>
      <c r="D732" s="23" t="s">
        <v>1782</v>
      </c>
      <c r="E732" s="132" t="s">
        <v>1783</v>
      </c>
      <c r="F732" s="133"/>
    </row>
    <row r="733" spans="2:6" ht="6" customHeight="1" x14ac:dyDescent="0.3"/>
    <row r="734" spans="2:6" ht="33.75" customHeight="1" x14ac:dyDescent="0.3">
      <c r="B734" s="22" t="s">
        <v>62</v>
      </c>
      <c r="C734" s="152" t="s">
        <v>1784</v>
      </c>
      <c r="D734" s="153"/>
      <c r="E734" s="153"/>
      <c r="F734" s="105"/>
    </row>
    <row r="735" spans="2:6" ht="4.95" customHeight="1" x14ac:dyDescent="0.3"/>
    <row r="736" spans="2:6" ht="12" customHeight="1" x14ac:dyDescent="0.3"/>
    <row r="737" spans="2:6" ht="27" customHeight="1" x14ac:dyDescent="0.3">
      <c r="B737" s="128" t="s">
        <v>1785</v>
      </c>
      <c r="C737" s="124"/>
      <c r="D737" s="124"/>
      <c r="E737" s="124"/>
      <c r="F737" s="124"/>
    </row>
    <row r="738" spans="2:6" ht="4.95" customHeight="1" x14ac:dyDescent="0.3"/>
    <row r="739" spans="2:6" ht="22.05" customHeight="1" x14ac:dyDescent="0.3">
      <c r="B739" s="7" t="s">
        <v>73</v>
      </c>
      <c r="C739" s="144" t="s">
        <v>285</v>
      </c>
      <c r="D739" s="145"/>
      <c r="E739" s="7" t="s">
        <v>1786</v>
      </c>
      <c r="F739" s="7" t="s">
        <v>1787</v>
      </c>
    </row>
    <row r="740" spans="2:6" ht="19.95" customHeight="1" x14ac:dyDescent="0.3">
      <c r="B740" s="8" t="s">
        <v>77</v>
      </c>
      <c r="C740" s="130" t="s">
        <v>1788</v>
      </c>
      <c r="D740" s="111"/>
      <c r="E740" s="10" t="s">
        <v>1789</v>
      </c>
      <c r="F740" s="53" t="s">
        <v>291</v>
      </c>
    </row>
    <row r="741" spans="2:6" ht="33.75" customHeight="1" x14ac:dyDescent="0.3">
      <c r="B741" s="11" t="s">
        <v>81</v>
      </c>
      <c r="C741" s="132" t="s">
        <v>1790</v>
      </c>
      <c r="D741" s="133"/>
      <c r="E741" s="13" t="s">
        <v>1791</v>
      </c>
      <c r="F741" s="53" t="s">
        <v>291</v>
      </c>
    </row>
    <row r="742" spans="2:6" ht="19.95" customHeight="1" x14ac:dyDescent="0.3">
      <c r="B742" s="8" t="s">
        <v>85</v>
      </c>
      <c r="C742" s="130" t="s">
        <v>1792</v>
      </c>
      <c r="D742" s="111"/>
      <c r="E742" s="10" t="s">
        <v>1793</v>
      </c>
      <c r="F742" s="53" t="s">
        <v>291</v>
      </c>
    </row>
    <row r="743" spans="2:6" ht="19.95" customHeight="1" x14ac:dyDescent="0.3">
      <c r="B743" s="11" t="s">
        <v>88</v>
      </c>
      <c r="C743" s="132" t="s">
        <v>1794</v>
      </c>
      <c r="D743" s="133"/>
      <c r="E743" s="13" t="s">
        <v>1795</v>
      </c>
      <c r="F743" s="53" t="s">
        <v>291</v>
      </c>
    </row>
    <row r="744" spans="2:6" ht="19.95" customHeight="1" x14ac:dyDescent="0.3">
      <c r="B744" s="8" t="s">
        <v>91</v>
      </c>
      <c r="C744" s="130" t="s">
        <v>1796</v>
      </c>
      <c r="D744" s="111"/>
      <c r="E744" s="10" t="s">
        <v>1795</v>
      </c>
      <c r="F744" s="53" t="s">
        <v>291</v>
      </c>
    </row>
    <row r="745" spans="2:6" ht="19.95" customHeight="1" x14ac:dyDescent="0.3">
      <c r="B745" s="11" t="s">
        <v>94</v>
      </c>
      <c r="C745" s="132" t="s">
        <v>1797</v>
      </c>
      <c r="D745" s="133"/>
      <c r="E745" s="13" t="s">
        <v>1798</v>
      </c>
      <c r="F745" s="53" t="s">
        <v>291</v>
      </c>
    </row>
    <row r="746" spans="2:6" ht="19.95" customHeight="1" x14ac:dyDescent="0.3">
      <c r="B746" s="8" t="s">
        <v>97</v>
      </c>
      <c r="C746" s="130" t="s">
        <v>1799</v>
      </c>
      <c r="D746" s="111"/>
      <c r="E746" s="10" t="s">
        <v>1800</v>
      </c>
      <c r="F746" s="53" t="s">
        <v>291</v>
      </c>
    </row>
    <row r="747" spans="2:6" ht="19.95" customHeight="1" x14ac:dyDescent="0.3">
      <c r="B747" s="11" t="s">
        <v>100</v>
      </c>
      <c r="C747" s="132" t="s">
        <v>1801</v>
      </c>
      <c r="D747" s="133"/>
      <c r="E747" s="13" t="s">
        <v>1802</v>
      </c>
      <c r="F747" s="53" t="s">
        <v>291</v>
      </c>
    </row>
    <row r="748" spans="2:6" ht="19.95" customHeight="1" x14ac:dyDescent="0.3">
      <c r="B748" s="8" t="s">
        <v>103</v>
      </c>
      <c r="C748" s="130" t="s">
        <v>1803</v>
      </c>
      <c r="D748" s="111"/>
      <c r="E748" s="10" t="s">
        <v>1804</v>
      </c>
      <c r="F748" s="53" t="s">
        <v>291</v>
      </c>
    </row>
    <row r="749" spans="2:6" ht="19.95" customHeight="1" x14ac:dyDescent="0.3">
      <c r="B749" s="11" t="s">
        <v>106</v>
      </c>
      <c r="C749" s="132" t="s">
        <v>1805</v>
      </c>
      <c r="D749" s="133"/>
      <c r="E749" s="13" t="s">
        <v>1806</v>
      </c>
      <c r="F749" s="53" t="s">
        <v>291</v>
      </c>
    </row>
    <row r="750" spans="2:6" ht="6" customHeight="1" x14ac:dyDescent="0.3"/>
  </sheetData>
  <mergeCells count="461">
    <mergeCell ref="B7:D7"/>
    <mergeCell ref="B192:C192"/>
    <mergeCell ref="C708:F708"/>
    <mergeCell ref="E516:F516"/>
    <mergeCell ref="B586:C586"/>
    <mergeCell ref="B110:C110"/>
    <mergeCell ref="B479:C479"/>
    <mergeCell ref="B237:F237"/>
    <mergeCell ref="B2:E2"/>
    <mergeCell ref="C744:D744"/>
    <mergeCell ref="B359:C359"/>
    <mergeCell ref="B723:C723"/>
    <mergeCell ref="B296:C296"/>
    <mergeCell ref="B12:D12"/>
    <mergeCell ref="B173:C173"/>
    <mergeCell ref="E96:F96"/>
    <mergeCell ref="B725:C725"/>
    <mergeCell ref="B531:C531"/>
    <mergeCell ref="E98:F98"/>
    <mergeCell ref="B273:C273"/>
    <mergeCell ref="E569:F569"/>
    <mergeCell ref="B293:C293"/>
    <mergeCell ref="B220:F233"/>
    <mergeCell ref="B61:F61"/>
    <mergeCell ref="C742:D742"/>
    <mergeCell ref="E521:F521"/>
    <mergeCell ref="B653:F653"/>
    <mergeCell ref="B547:F560"/>
    <mergeCell ref="C706:F706"/>
    <mergeCell ref="E360:F360"/>
    <mergeCell ref="B364:C364"/>
    <mergeCell ref="B413:C413"/>
    <mergeCell ref="C749:D749"/>
    <mergeCell ref="B188:F188"/>
    <mergeCell ref="E578:F578"/>
    <mergeCell ref="B218:F218"/>
    <mergeCell ref="B185:C185"/>
    <mergeCell ref="E357:F357"/>
    <mergeCell ref="B483:C483"/>
    <mergeCell ref="B59:F59"/>
    <mergeCell ref="B581:C581"/>
    <mergeCell ref="E617:F617"/>
    <mergeCell ref="B105:C105"/>
    <mergeCell ref="B176:C176"/>
    <mergeCell ref="E579:F579"/>
    <mergeCell ref="B412:C412"/>
    <mergeCell ref="B583:C583"/>
    <mergeCell ref="B484:C484"/>
    <mergeCell ref="E619:F619"/>
    <mergeCell ref="B107:C107"/>
    <mergeCell ref="B578:C578"/>
    <mergeCell ref="D542:F542"/>
    <mergeCell ref="C745:D745"/>
    <mergeCell ref="E523:F523"/>
    <mergeCell ref="B9:D9"/>
    <mergeCell ref="B480:C480"/>
    <mergeCell ref="C539:F539"/>
    <mergeCell ref="C685:F685"/>
    <mergeCell ref="B267:F267"/>
    <mergeCell ref="C353:F353"/>
    <mergeCell ref="C687:F687"/>
    <mergeCell ref="B394:C394"/>
    <mergeCell ref="B486:C486"/>
    <mergeCell ref="E184:F184"/>
    <mergeCell ref="B585:F585"/>
    <mergeCell ref="C746:D746"/>
    <mergeCell ref="B182:C182"/>
    <mergeCell ref="E105:F105"/>
    <mergeCell ref="E99:F99"/>
    <mergeCell ref="E270:F270"/>
    <mergeCell ref="B592:F609"/>
    <mergeCell ref="E397:F397"/>
    <mergeCell ref="E568:F568"/>
    <mergeCell ref="B681:F681"/>
    <mergeCell ref="B352:F352"/>
    <mergeCell ref="B246:C246"/>
    <mergeCell ref="B143:F143"/>
    <mergeCell ref="E570:F570"/>
    <mergeCell ref="B183:C183"/>
    <mergeCell ref="B177:C177"/>
    <mergeCell ref="B104:C104"/>
    <mergeCell ref="C300:F300"/>
    <mergeCell ref="B106:C106"/>
    <mergeCell ref="C661:F661"/>
    <mergeCell ref="B180:C180"/>
    <mergeCell ref="B167:F167"/>
    <mergeCell ref="E731:F731"/>
    <mergeCell ref="C739:D739"/>
    <mergeCell ref="B15:D15"/>
    <mergeCell ref="E245:F245"/>
    <mergeCell ref="B728:C728"/>
    <mergeCell ref="D657:E657"/>
    <mergeCell ref="B175:C175"/>
    <mergeCell ref="C545:F545"/>
    <mergeCell ref="B678:C678"/>
    <mergeCell ref="B534:C534"/>
    <mergeCell ref="B115:F134"/>
    <mergeCell ref="B269:C269"/>
    <mergeCell ref="B536:C536"/>
    <mergeCell ref="B564:F564"/>
    <mergeCell ref="B629:F629"/>
    <mergeCell ref="E242:F242"/>
    <mergeCell ref="E484:F484"/>
    <mergeCell ref="B414:C414"/>
    <mergeCell ref="B268:F268"/>
    <mergeCell ref="B324:F324"/>
    <mergeCell ref="E192:F192"/>
    <mergeCell ref="B566:F566"/>
    <mergeCell ref="B490:F509"/>
    <mergeCell ref="E486:F486"/>
    <mergeCell ref="B90:F90"/>
    <mergeCell ref="B93:C93"/>
    <mergeCell ref="B25:D25"/>
    <mergeCell ref="E144:F144"/>
    <mergeCell ref="B477:C477"/>
    <mergeCell ref="E478:F478"/>
    <mergeCell ref="B22:D22"/>
    <mergeCell ref="E396:F396"/>
    <mergeCell ref="C743:D743"/>
    <mergeCell ref="B541:C541"/>
    <mergeCell ref="B138:F138"/>
    <mergeCell ref="B196:F217"/>
    <mergeCell ref="E106:F106"/>
    <mergeCell ref="E269:F269"/>
    <mergeCell ref="E440:F440"/>
    <mergeCell ref="D411:F411"/>
    <mergeCell ref="B102:F102"/>
    <mergeCell ref="B674:F674"/>
    <mergeCell ref="B272:C272"/>
    <mergeCell ref="B30:F53"/>
    <mergeCell ref="B530:C530"/>
    <mergeCell ref="B111:C111"/>
    <mergeCell ref="C734:F734"/>
    <mergeCell ref="B149:C149"/>
    <mergeCell ref="E181:F181"/>
    <mergeCell ref="E479:F479"/>
    <mergeCell ref="B14:D14"/>
    <mergeCell ref="C715:F715"/>
    <mergeCell ref="B13:D13"/>
    <mergeCell ref="B513:F513"/>
    <mergeCell ref="B184:C184"/>
    <mergeCell ref="D292:F292"/>
    <mergeCell ref="B657:C657"/>
    <mergeCell ref="E177:F177"/>
    <mergeCell ref="B613:F613"/>
    <mergeCell ref="E475:F475"/>
    <mergeCell ref="D294:F294"/>
    <mergeCell ref="B148:C148"/>
    <mergeCell ref="E149:F149"/>
    <mergeCell ref="E176:F176"/>
    <mergeCell ref="E618:F618"/>
    <mergeCell ref="E241:F241"/>
    <mergeCell ref="B151:F166"/>
    <mergeCell ref="E191:F191"/>
    <mergeCell ref="C113:F113"/>
    <mergeCell ref="B146:C146"/>
    <mergeCell ref="E178:F178"/>
    <mergeCell ref="B619:C619"/>
    <mergeCell ref="E620:F620"/>
    <mergeCell ref="E476:F476"/>
    <mergeCell ref="B737:F737"/>
    <mergeCell ref="B664:F664"/>
    <mergeCell ref="B329:C329"/>
    <mergeCell ref="B239:F239"/>
    <mergeCell ref="C684:F684"/>
    <mergeCell ref="D410:F410"/>
    <mergeCell ref="E488:F488"/>
    <mergeCell ref="E365:F365"/>
    <mergeCell ref="B95:C95"/>
    <mergeCell ref="B393:C393"/>
    <mergeCell ref="B331:C331"/>
    <mergeCell ref="D297:F297"/>
    <mergeCell ref="C194:F194"/>
    <mergeCell ref="E394:F394"/>
    <mergeCell ref="B97:C97"/>
    <mergeCell ref="B395:C395"/>
    <mergeCell ref="B108:C108"/>
    <mergeCell ref="E536:F536"/>
    <mergeCell ref="C336:F336"/>
    <mergeCell ref="C572:F572"/>
    <mergeCell ref="B676:C676"/>
    <mergeCell ref="C686:F686"/>
    <mergeCell ref="E481:F481"/>
    <mergeCell ref="B471:F471"/>
    <mergeCell ref="B11:D11"/>
    <mergeCell ref="B721:F721"/>
    <mergeCell ref="E362:F362"/>
    <mergeCell ref="B465:F465"/>
    <mergeCell ref="B350:F350"/>
    <mergeCell ref="B714:F714"/>
    <mergeCell ref="B524:C524"/>
    <mergeCell ref="B529:F529"/>
    <mergeCell ref="E364:F364"/>
    <mergeCell ref="E518:F518"/>
    <mergeCell ref="B588:C588"/>
    <mergeCell ref="E363:F363"/>
    <mergeCell ref="B519:C519"/>
    <mergeCell ref="E520:F520"/>
    <mergeCell ref="C302:F302"/>
    <mergeCell ref="B298:C298"/>
    <mergeCell ref="B434:F434"/>
    <mergeCell ref="D413:F413"/>
    <mergeCell ref="E246:F246"/>
    <mergeCell ref="E146:F146"/>
    <mergeCell ref="B443:C443"/>
    <mergeCell ref="E531:F531"/>
    <mergeCell ref="D293:F293"/>
    <mergeCell ref="B386:F386"/>
    <mergeCell ref="B727:C727"/>
    <mergeCell ref="D656:E656"/>
    <mergeCell ref="C747:D747"/>
    <mergeCell ref="B677:C677"/>
    <mergeCell ref="E728:F728"/>
    <mergeCell ref="B360:C360"/>
    <mergeCell ref="B16:D16"/>
    <mergeCell ref="E271:F271"/>
    <mergeCell ref="B658:C658"/>
    <mergeCell ref="D658:E658"/>
    <mergeCell ref="B18:D18"/>
    <mergeCell ref="B722:C722"/>
    <mergeCell ref="E273:F273"/>
    <mergeCell ref="E444:F444"/>
    <mergeCell ref="E175:F175"/>
    <mergeCell ref="B445:C445"/>
    <mergeCell ref="E533:F533"/>
    <mergeCell ref="B17:D17"/>
    <mergeCell ref="B537:C537"/>
    <mergeCell ref="B730:C730"/>
    <mergeCell ref="E185:F185"/>
    <mergeCell ref="B19:D19"/>
    <mergeCell ref="B732:C732"/>
    <mergeCell ref="B440:C440"/>
    <mergeCell ref="B724:C724"/>
    <mergeCell ref="B580:C580"/>
    <mergeCell ref="B517:C517"/>
    <mergeCell ref="E722:F722"/>
    <mergeCell ref="B582:C582"/>
    <mergeCell ref="D412:F412"/>
    <mergeCell ref="B610:F610"/>
    <mergeCell ref="E530:F530"/>
    <mergeCell ref="E723:F723"/>
    <mergeCell ref="B656:C656"/>
    <mergeCell ref="B437:F437"/>
    <mergeCell ref="B4:F4"/>
    <mergeCell ref="B292:C292"/>
    <mergeCell ref="B473:F473"/>
    <mergeCell ref="B357:C357"/>
    <mergeCell ref="C622:F622"/>
    <mergeCell ref="E725:F725"/>
    <mergeCell ref="B96:C96"/>
    <mergeCell ref="B332:C332"/>
    <mergeCell ref="C342:F342"/>
    <mergeCell ref="E107:F107"/>
    <mergeCell ref="B294:C294"/>
    <mergeCell ref="B617:C617"/>
    <mergeCell ref="B98:C98"/>
    <mergeCell ref="E441:F441"/>
    <mergeCell ref="C86:F86"/>
    <mergeCell ref="B396:C396"/>
    <mergeCell ref="B567:C567"/>
    <mergeCell ref="B358:C358"/>
    <mergeCell ref="B569:C569"/>
    <mergeCell ref="B416:F433"/>
    <mergeCell ref="E580:F580"/>
    <mergeCell ref="B712:F712"/>
    <mergeCell ref="E359:F359"/>
    <mergeCell ref="D295:F295"/>
    <mergeCell ref="C748:D748"/>
    <mergeCell ref="B54:F54"/>
    <mergeCell ref="B368:F385"/>
    <mergeCell ref="E147:F147"/>
    <mergeCell ref="B468:F468"/>
    <mergeCell ref="E445:F445"/>
    <mergeCell ref="B577:F577"/>
    <mergeCell ref="B710:F710"/>
    <mergeCell ref="E730:F730"/>
    <mergeCell ref="B179:C179"/>
    <mergeCell ref="C590:F590"/>
    <mergeCell ref="B579:C579"/>
    <mergeCell ref="B535:C535"/>
    <mergeCell ref="E732:F732"/>
    <mergeCell ref="E104:F104"/>
    <mergeCell ref="B174:C174"/>
    <mergeCell ref="B410:C410"/>
    <mergeCell ref="C347:F347"/>
    <mergeCell ref="E726:F726"/>
    <mergeCell ref="E517:F517"/>
    <mergeCell ref="E582:F582"/>
    <mergeCell ref="B241:C241"/>
    <mergeCell ref="C740:D740"/>
    <mergeCell ref="B487:C487"/>
    <mergeCell ref="B20:D20"/>
    <mergeCell ref="B191:C191"/>
    <mergeCell ref="B234:F234"/>
    <mergeCell ref="B172:F172"/>
    <mergeCell ref="B178:C178"/>
    <mergeCell ref="B392:F392"/>
    <mergeCell ref="B476:C476"/>
    <mergeCell ref="D541:F541"/>
    <mergeCell ref="E567:F567"/>
    <mergeCell ref="B92:F92"/>
    <mergeCell ref="B478:C478"/>
    <mergeCell ref="C56:F56"/>
    <mergeCell ref="E183:F183"/>
    <mergeCell ref="D543:F543"/>
    <mergeCell ref="B265:F265"/>
    <mergeCell ref="E93:F93"/>
    <mergeCell ref="B330:C330"/>
    <mergeCell ref="B482:C482"/>
    <mergeCell ref="E483:F483"/>
    <mergeCell ref="E519:F519"/>
    <mergeCell ref="B474:C474"/>
    <mergeCell ref="B109:C109"/>
    <mergeCell ref="C70:F70"/>
    <mergeCell ref="B522:C522"/>
    <mergeCell ref="E729:F729"/>
    <mergeCell ref="E145:F145"/>
    <mergeCell ref="B271:C271"/>
    <mergeCell ref="E272:F272"/>
    <mergeCell ref="B575:F575"/>
    <mergeCell ref="E111:F111"/>
    <mergeCell ref="B615:F615"/>
    <mergeCell ref="E724:F724"/>
    <mergeCell ref="E534:F534"/>
    <mergeCell ref="B248:F261"/>
    <mergeCell ref="B170:F170"/>
    <mergeCell ref="B692:F692"/>
    <mergeCell ref="B616:C616"/>
    <mergeCell ref="E581:F581"/>
    <mergeCell ref="C704:F704"/>
    <mergeCell ref="B650:F650"/>
    <mergeCell ref="B411:C411"/>
    <mergeCell ref="B516:C516"/>
    <mergeCell ref="E583:F583"/>
    <mergeCell ref="B587:C587"/>
    <mergeCell ref="B690:F690"/>
    <mergeCell ref="B190:C190"/>
    <mergeCell ref="B295:C295"/>
    <mergeCell ref="B488:C488"/>
    <mergeCell ref="B26:D26"/>
    <mergeCell ref="E179:F179"/>
    <mergeCell ref="B27:D27"/>
    <mergeCell ref="E97:F97"/>
    <mergeCell ref="B334:C334"/>
    <mergeCell ref="E395:F395"/>
    <mergeCell ref="B570:C570"/>
    <mergeCell ref="E109:F109"/>
    <mergeCell ref="D586:F586"/>
    <mergeCell ref="B240:C240"/>
    <mergeCell ref="B28:D28"/>
    <mergeCell ref="C63:F63"/>
    <mergeCell ref="C741:D741"/>
    <mergeCell ref="E94:F94"/>
    <mergeCell ref="B1:F1"/>
    <mergeCell ref="B333:C333"/>
    <mergeCell ref="B520:C520"/>
    <mergeCell ref="E108:F108"/>
    <mergeCell ref="E95:F95"/>
    <mergeCell ref="B99:C99"/>
    <mergeCell ref="B270:C270"/>
    <mergeCell ref="E393:F393"/>
    <mergeCell ref="B397:C397"/>
    <mergeCell ref="B568:C568"/>
    <mergeCell ref="C345:F345"/>
    <mergeCell ref="B94:C94"/>
    <mergeCell ref="B361:C361"/>
    <mergeCell ref="B659:C659"/>
    <mergeCell ref="B561:F561"/>
    <mergeCell ref="D659:E659"/>
    <mergeCell ref="D296:F296"/>
    <mergeCell ref="B389:F389"/>
    <mergeCell ref="B327:F327"/>
    <mergeCell ref="D298:F298"/>
    <mergeCell ref="B391:F391"/>
    <mergeCell ref="B475:C475"/>
    <mergeCell ref="B242:C242"/>
    <mergeCell ref="C399:F399"/>
    <mergeCell ref="E474:F474"/>
    <mergeCell ref="B23:D23"/>
    <mergeCell ref="B141:F141"/>
    <mergeCell ref="B439:F439"/>
    <mergeCell ref="B449:F464"/>
    <mergeCell ref="B366:C366"/>
    <mergeCell ref="C699:F699"/>
    <mergeCell ref="E180:F180"/>
    <mergeCell ref="E240:F240"/>
    <mergeCell ref="E482:F482"/>
    <mergeCell ref="B244:C244"/>
    <mergeCell ref="C338:F338"/>
    <mergeCell ref="B542:C542"/>
    <mergeCell ref="B262:F262"/>
    <mergeCell ref="E190:F190"/>
    <mergeCell ref="B145:C145"/>
    <mergeCell ref="B181:C181"/>
    <mergeCell ref="E182:F182"/>
    <mergeCell ref="C275:F275"/>
    <mergeCell ref="E480:F480"/>
    <mergeCell ref="B24:D24"/>
    <mergeCell ref="B147:C147"/>
    <mergeCell ref="B6:F6"/>
    <mergeCell ref="C447:F447"/>
    <mergeCell ref="B356:F356"/>
    <mergeCell ref="B527:F527"/>
    <mergeCell ref="E522:F522"/>
    <mergeCell ref="B135:F135"/>
    <mergeCell ref="B304:F323"/>
    <mergeCell ref="E361:F361"/>
    <mergeCell ref="B365:C365"/>
    <mergeCell ref="E524:F524"/>
    <mergeCell ref="B8:D8"/>
    <mergeCell ref="B521:C521"/>
    <mergeCell ref="B10:D10"/>
    <mergeCell ref="B518:C518"/>
    <mergeCell ref="B523:C523"/>
    <mergeCell ref="B88:F88"/>
    <mergeCell ref="E366:F366"/>
    <mergeCell ref="B510:F510"/>
    <mergeCell ref="E443:F443"/>
    <mergeCell ref="E110:F110"/>
    <mergeCell ref="E174:F174"/>
    <mergeCell ref="B444:C444"/>
    <mergeCell ref="B21:D21"/>
    <mergeCell ref="B144:C144"/>
    <mergeCell ref="B726:C726"/>
    <mergeCell ref="E727:F727"/>
    <mergeCell ref="C62:F62"/>
    <mergeCell ref="B731:C731"/>
    <mergeCell ref="E173:F173"/>
    <mergeCell ref="E148:F148"/>
    <mergeCell ref="C64:F64"/>
    <mergeCell ref="B363:C363"/>
    <mergeCell ref="B515:F515"/>
    <mergeCell ref="C683:F683"/>
    <mergeCell ref="B655:F655"/>
    <mergeCell ref="B729:C729"/>
    <mergeCell ref="B672:F672"/>
    <mergeCell ref="D588:F588"/>
    <mergeCell ref="B632:F649"/>
    <mergeCell ref="B618:C618"/>
    <mergeCell ref="E535:F535"/>
    <mergeCell ref="C693:F693"/>
    <mergeCell ref="E616:F616"/>
    <mergeCell ref="B620:C620"/>
    <mergeCell ref="E537:F537"/>
    <mergeCell ref="C630:F630"/>
    <mergeCell ref="E487:F487"/>
    <mergeCell ref="B442:C442"/>
    <mergeCell ref="D414:F414"/>
    <mergeCell ref="B675:C675"/>
    <mergeCell ref="D587:F587"/>
    <mergeCell ref="E244:F244"/>
    <mergeCell ref="B441:C441"/>
    <mergeCell ref="E442:F442"/>
    <mergeCell ref="B297:C297"/>
    <mergeCell ref="E358:F358"/>
    <mergeCell ref="B362:C362"/>
    <mergeCell ref="B533:C533"/>
    <mergeCell ref="B245:C245"/>
    <mergeCell ref="E477:F477"/>
    <mergeCell ref="B543:C543"/>
    <mergeCell ref="B481:C481"/>
  </mergeCells>
  <phoneticPr fontId="27"/>
  <dataValidations count="1">
    <dataValidation type="list" allowBlank="1" error="リストから選択してください" prompt="リストから選択" sqref="F740 F741 F742 F743 F744 F745 F746 F747 F748 F749" xr:uid="{00000000-0002-0000-0600-000000000000}">
      <formula1>"未,済"</formula1>
    </dataValidation>
  </dataValidations>
  <hyperlinks>
    <hyperlink ref="F2" location="'目次'!A1" display="▲ 目次へ戻る" xr:uid="{00000000-0004-0000-06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66:B68 D147:D148 D177 D184:D185 D364 D445 D520 D523:D524 D569:D570 B667:B669 B740:B74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04040"/>
    <pageSetUpPr fitToPage="1"/>
  </sheetPr>
  <dimension ref="B1:F168"/>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1807</v>
      </c>
      <c r="C1" s="118"/>
      <c r="D1" s="118"/>
      <c r="E1" s="118"/>
      <c r="F1" s="118"/>
    </row>
    <row r="2" spans="2:6" ht="24" customHeight="1" x14ac:dyDescent="0.3">
      <c r="B2" s="141" t="s">
        <v>1808</v>
      </c>
      <c r="C2" s="113"/>
      <c r="D2" s="113"/>
      <c r="E2" s="113"/>
      <c r="F2" s="4" t="s">
        <v>38</v>
      </c>
    </row>
    <row r="3" spans="2:6" ht="12" customHeight="1" x14ac:dyDescent="0.3"/>
    <row r="4" spans="2:6" ht="27" customHeight="1" x14ac:dyDescent="0.3">
      <c r="B4" s="128" t="s">
        <v>1809</v>
      </c>
      <c r="C4" s="124"/>
      <c r="D4" s="124"/>
      <c r="E4" s="124"/>
      <c r="F4" s="124"/>
    </row>
    <row r="5" spans="2:6" ht="4.95" customHeight="1" x14ac:dyDescent="0.3"/>
    <row r="6" spans="2:6" ht="33.75" customHeight="1" x14ac:dyDescent="0.3">
      <c r="B6" s="129" t="s">
        <v>1810</v>
      </c>
      <c r="C6" s="113"/>
      <c r="D6" s="113"/>
      <c r="E6" s="113"/>
      <c r="F6" s="113"/>
    </row>
    <row r="7" spans="2:6" ht="16.95" customHeight="1" x14ac:dyDescent="0.3">
      <c r="C7" s="170" t="s">
        <v>1811</v>
      </c>
      <c r="D7" s="113"/>
      <c r="E7" s="113"/>
      <c r="F7" s="113"/>
    </row>
    <row r="8" spans="2:6" ht="17.25" customHeight="1" x14ac:dyDescent="0.3">
      <c r="C8" s="39" t="s">
        <v>1812</v>
      </c>
      <c r="D8" s="40"/>
      <c r="E8" s="40"/>
      <c r="F8" s="41"/>
    </row>
    <row r="9" spans="2:6" ht="17.25" customHeight="1" x14ac:dyDescent="0.3">
      <c r="C9" s="42" t="s">
        <v>1813</v>
      </c>
      <c r="D9" s="43"/>
      <c r="E9" s="43"/>
      <c r="F9" s="44"/>
    </row>
    <row r="10" spans="2:6" ht="17.25" customHeight="1" x14ac:dyDescent="0.3">
      <c r="C10" s="42" t="s">
        <v>1814</v>
      </c>
      <c r="D10" s="43"/>
      <c r="E10" s="43"/>
      <c r="F10" s="44"/>
    </row>
    <row r="11" spans="2:6" ht="17.25" customHeight="1" x14ac:dyDescent="0.3">
      <c r="C11" s="45" t="s">
        <v>1815</v>
      </c>
      <c r="D11" s="46"/>
      <c r="E11" s="46"/>
      <c r="F11" s="47"/>
    </row>
    <row r="12" spans="2:6" ht="4.95" customHeight="1" x14ac:dyDescent="0.3"/>
    <row r="13" spans="2:6" ht="12" customHeight="1" x14ac:dyDescent="0.3"/>
    <row r="14" spans="2:6" ht="27" customHeight="1" x14ac:dyDescent="0.3">
      <c r="B14" s="128" t="s">
        <v>1816</v>
      </c>
      <c r="C14" s="124"/>
      <c r="D14" s="124"/>
      <c r="E14" s="124"/>
      <c r="F14" s="124"/>
    </row>
    <row r="15" spans="2:6" ht="4.95" customHeight="1" x14ac:dyDescent="0.3"/>
    <row r="16" spans="2:6" ht="22.05" customHeight="1" x14ac:dyDescent="0.3">
      <c r="B16" s="144" t="s">
        <v>1324</v>
      </c>
      <c r="C16" s="145"/>
      <c r="D16" s="7" t="s">
        <v>1817</v>
      </c>
      <c r="E16" s="144" t="s">
        <v>1818</v>
      </c>
      <c r="F16" s="145"/>
    </row>
    <row r="17" spans="2:6" ht="19.95" customHeight="1" x14ac:dyDescent="0.3">
      <c r="B17" s="174" t="s">
        <v>1327</v>
      </c>
      <c r="C17" s="111"/>
      <c r="D17" s="23" t="s">
        <v>1517</v>
      </c>
      <c r="E17" s="130" t="s">
        <v>1819</v>
      </c>
      <c r="F17" s="111"/>
    </row>
    <row r="18" spans="2:6" ht="48.15" customHeight="1" x14ac:dyDescent="0.3">
      <c r="B18" s="173" t="s">
        <v>1518</v>
      </c>
      <c r="C18" s="133"/>
      <c r="D18" s="23" t="s">
        <v>1519</v>
      </c>
      <c r="E18" s="132" t="s">
        <v>1820</v>
      </c>
      <c r="F18" s="133"/>
    </row>
    <row r="19" spans="2:6" ht="48.15" customHeight="1" x14ac:dyDescent="0.3">
      <c r="B19" s="174" t="s">
        <v>1521</v>
      </c>
      <c r="C19" s="111"/>
      <c r="D19" s="23" t="s">
        <v>1522</v>
      </c>
      <c r="E19" s="130" t="s">
        <v>1821</v>
      </c>
      <c r="F19" s="111"/>
    </row>
    <row r="20" spans="2:6" ht="19.95" customHeight="1" x14ac:dyDescent="0.3">
      <c r="B20" s="173" t="s">
        <v>1524</v>
      </c>
      <c r="C20" s="133"/>
      <c r="D20" s="23" t="s">
        <v>1525</v>
      </c>
      <c r="E20" s="132" t="s">
        <v>1822</v>
      </c>
      <c r="F20" s="133"/>
    </row>
    <row r="21" spans="2:6" ht="19.95" customHeight="1" x14ac:dyDescent="0.3">
      <c r="B21" s="174" t="s">
        <v>1527</v>
      </c>
      <c r="C21" s="111"/>
      <c r="D21" s="23" t="s">
        <v>1528</v>
      </c>
      <c r="E21" s="130" t="s">
        <v>1823</v>
      </c>
      <c r="F21" s="111"/>
    </row>
    <row r="22" spans="2:6" ht="33.75" customHeight="1" x14ac:dyDescent="0.3">
      <c r="B22" s="173" t="s">
        <v>1530</v>
      </c>
      <c r="C22" s="133"/>
      <c r="D22" s="23" t="s">
        <v>1531</v>
      </c>
      <c r="E22" s="132" t="s">
        <v>1824</v>
      </c>
      <c r="F22" s="133"/>
    </row>
    <row r="23" spans="2:6" ht="33.75" customHeight="1" x14ac:dyDescent="0.3">
      <c r="B23" s="174" t="s">
        <v>1533</v>
      </c>
      <c r="C23" s="111"/>
      <c r="D23" s="23" t="s">
        <v>77</v>
      </c>
      <c r="E23" s="130" t="s">
        <v>1825</v>
      </c>
      <c r="F23" s="111"/>
    </row>
    <row r="24" spans="2:6" ht="19.95" customHeight="1" x14ac:dyDescent="0.3">
      <c r="B24" s="173" t="s">
        <v>1535</v>
      </c>
      <c r="C24" s="133"/>
      <c r="D24" s="23" t="s">
        <v>1536</v>
      </c>
      <c r="E24" s="132" t="s">
        <v>1826</v>
      </c>
      <c r="F24" s="133"/>
    </row>
    <row r="25" spans="2:6" ht="19.95" customHeight="1" x14ac:dyDescent="0.3">
      <c r="B25" s="174" t="s">
        <v>1538</v>
      </c>
      <c r="C25" s="111"/>
      <c r="D25" s="23" t="s">
        <v>1539</v>
      </c>
      <c r="E25" s="130" t="s">
        <v>1827</v>
      </c>
      <c r="F25" s="111"/>
    </row>
    <row r="26" spans="2:6" ht="6" customHeight="1" x14ac:dyDescent="0.3"/>
    <row r="27" spans="2:6" ht="12" customHeight="1" x14ac:dyDescent="0.3"/>
    <row r="28" spans="2:6" ht="27" customHeight="1" x14ac:dyDescent="0.3">
      <c r="B28" s="128" t="s">
        <v>1828</v>
      </c>
      <c r="C28" s="124"/>
      <c r="D28" s="124"/>
      <c r="E28" s="124"/>
      <c r="F28" s="124"/>
    </row>
    <row r="29" spans="2:6" ht="4.95" customHeight="1" x14ac:dyDescent="0.3"/>
    <row r="30" spans="2:6" ht="19.350000000000001" customHeight="1" x14ac:dyDescent="0.3">
      <c r="B30" s="129" t="s">
        <v>1829</v>
      </c>
      <c r="C30" s="113"/>
      <c r="D30" s="113"/>
      <c r="E30" s="113"/>
      <c r="F30" s="113"/>
    </row>
    <row r="31" spans="2:6" ht="16.95" customHeight="1" x14ac:dyDescent="0.3">
      <c r="C31" s="170" t="s">
        <v>1830</v>
      </c>
      <c r="D31" s="113"/>
      <c r="E31" s="113"/>
      <c r="F31" s="113"/>
    </row>
    <row r="32" spans="2:6" ht="17.25" customHeight="1" x14ac:dyDescent="0.3">
      <c r="C32" s="48" t="s">
        <v>1528</v>
      </c>
      <c r="D32" s="49"/>
      <c r="E32" s="49"/>
      <c r="F32" s="50"/>
    </row>
    <row r="33" spans="2:6" ht="4.95" customHeight="1" x14ac:dyDescent="0.3"/>
    <row r="34" spans="2:6" ht="22.05" customHeight="1" x14ac:dyDescent="0.3">
      <c r="B34" s="37" t="s">
        <v>66</v>
      </c>
      <c r="C34" s="152" t="s">
        <v>1831</v>
      </c>
      <c r="D34" s="153"/>
      <c r="E34" s="153"/>
      <c r="F34" s="105"/>
    </row>
    <row r="35" spans="2:6" ht="4.95" customHeight="1" x14ac:dyDescent="0.3"/>
    <row r="36" spans="2:6" ht="22.05" customHeight="1" x14ac:dyDescent="0.3">
      <c r="B36" s="144" t="s">
        <v>1832</v>
      </c>
      <c r="C36" s="145"/>
      <c r="D36" s="7" t="s">
        <v>53</v>
      </c>
      <c r="E36" s="144" t="s">
        <v>1833</v>
      </c>
      <c r="F36" s="145"/>
    </row>
    <row r="37" spans="2:6" ht="19.95" customHeight="1" x14ac:dyDescent="0.3">
      <c r="B37" s="149" t="s">
        <v>1834</v>
      </c>
      <c r="C37" s="137"/>
      <c r="D37" s="10" t="s">
        <v>1835</v>
      </c>
      <c r="E37" s="130" t="s">
        <v>1834</v>
      </c>
      <c r="F37" s="111"/>
    </row>
    <row r="38" spans="2:6" ht="33.75" customHeight="1" x14ac:dyDescent="0.3">
      <c r="B38" s="149" t="s">
        <v>1836</v>
      </c>
      <c r="C38" s="137"/>
      <c r="D38" s="13" t="s">
        <v>1837</v>
      </c>
      <c r="E38" s="132" t="s">
        <v>1838</v>
      </c>
      <c r="F38" s="133"/>
    </row>
    <row r="39" spans="2:6" ht="19.95" customHeight="1" x14ac:dyDescent="0.3">
      <c r="B39" s="149" t="s">
        <v>1839</v>
      </c>
      <c r="C39" s="137"/>
      <c r="D39" s="10" t="s">
        <v>1840</v>
      </c>
      <c r="E39" s="130" t="s">
        <v>1839</v>
      </c>
      <c r="F39" s="111"/>
    </row>
    <row r="40" spans="2:6" ht="19.95" customHeight="1" x14ac:dyDescent="0.3">
      <c r="B40" s="149" t="s">
        <v>1836</v>
      </c>
      <c r="C40" s="137"/>
      <c r="D40" s="13" t="s">
        <v>1841</v>
      </c>
      <c r="E40" s="132" t="s">
        <v>1838</v>
      </c>
      <c r="F40" s="133"/>
    </row>
    <row r="41" spans="2:6" ht="19.95" customHeight="1" x14ac:dyDescent="0.3">
      <c r="B41" s="149" t="s">
        <v>1842</v>
      </c>
      <c r="C41" s="137"/>
      <c r="D41" s="10" t="s">
        <v>1843</v>
      </c>
      <c r="E41" s="130" t="s">
        <v>1842</v>
      </c>
      <c r="F41" s="111"/>
    </row>
    <row r="42" spans="2:6" ht="33.75" customHeight="1" x14ac:dyDescent="0.3">
      <c r="B42" s="149" t="s">
        <v>1844</v>
      </c>
      <c r="C42" s="137"/>
      <c r="D42" s="13" t="s">
        <v>1845</v>
      </c>
      <c r="E42" s="132" t="s">
        <v>1846</v>
      </c>
      <c r="F42" s="133"/>
    </row>
    <row r="43" spans="2:6" ht="19.95" customHeight="1" x14ac:dyDescent="0.3">
      <c r="B43" s="149" t="s">
        <v>1842</v>
      </c>
      <c r="C43" s="137"/>
      <c r="D43" s="10" t="s">
        <v>1847</v>
      </c>
      <c r="E43" s="130" t="s">
        <v>1842</v>
      </c>
      <c r="F43" s="111"/>
    </row>
    <row r="44" spans="2:6" ht="6" customHeight="1" x14ac:dyDescent="0.3"/>
    <row r="45" spans="2:6" ht="22.05" customHeight="1" x14ac:dyDescent="0.3">
      <c r="B45" s="16" t="s">
        <v>64</v>
      </c>
      <c r="C45" s="152" t="s">
        <v>1848</v>
      </c>
      <c r="D45" s="153"/>
      <c r="E45" s="153"/>
      <c r="F45" s="105"/>
    </row>
    <row r="46" spans="2:6" ht="4.95" customHeight="1" x14ac:dyDescent="0.3"/>
    <row r="47" spans="2:6" ht="12" customHeight="1" x14ac:dyDescent="0.3"/>
    <row r="48" spans="2:6" ht="27" customHeight="1" x14ac:dyDescent="0.3">
      <c r="B48" s="128" t="s">
        <v>1849</v>
      </c>
      <c r="C48" s="124"/>
      <c r="D48" s="124"/>
      <c r="E48" s="124"/>
      <c r="F48" s="124"/>
    </row>
    <row r="49" spans="2:6" ht="4.95" customHeight="1" x14ac:dyDescent="0.3"/>
    <row r="50" spans="2:6" ht="22.05" customHeight="1" x14ac:dyDescent="0.3">
      <c r="B50" s="144" t="s">
        <v>1850</v>
      </c>
      <c r="C50" s="145"/>
      <c r="D50" s="7" t="s">
        <v>53</v>
      </c>
      <c r="E50" s="144" t="s">
        <v>1851</v>
      </c>
      <c r="F50" s="145"/>
    </row>
    <row r="51" spans="2:6" ht="19.95" customHeight="1" x14ac:dyDescent="0.3">
      <c r="B51" s="149" t="s">
        <v>1852</v>
      </c>
      <c r="C51" s="137"/>
      <c r="D51" s="10" t="s">
        <v>1853</v>
      </c>
      <c r="E51" s="149" t="s">
        <v>1854</v>
      </c>
      <c r="F51" s="137"/>
    </row>
    <row r="52" spans="2:6" ht="19.95" customHeight="1" x14ac:dyDescent="0.3">
      <c r="B52" s="149" t="s">
        <v>1855</v>
      </c>
      <c r="C52" s="137"/>
      <c r="D52" s="13" t="s">
        <v>1856</v>
      </c>
      <c r="E52" s="149" t="s">
        <v>1857</v>
      </c>
      <c r="F52" s="137"/>
    </row>
    <row r="53" spans="2:6" ht="19.95" customHeight="1" x14ac:dyDescent="0.3">
      <c r="B53" s="149" t="s">
        <v>1858</v>
      </c>
      <c r="C53" s="137"/>
      <c r="D53" s="10" t="s">
        <v>1859</v>
      </c>
      <c r="E53" s="149" t="s">
        <v>1860</v>
      </c>
      <c r="F53" s="137"/>
    </row>
    <row r="54" spans="2:6" ht="19.95" customHeight="1" x14ac:dyDescent="0.3">
      <c r="B54" s="149" t="s">
        <v>1861</v>
      </c>
      <c r="C54" s="137"/>
      <c r="D54" s="13" t="s">
        <v>1862</v>
      </c>
      <c r="E54" s="149" t="s">
        <v>1863</v>
      </c>
      <c r="F54" s="137"/>
    </row>
    <row r="55" spans="2:6" ht="19.95" customHeight="1" x14ac:dyDescent="0.3">
      <c r="B55" s="149" t="s">
        <v>1864</v>
      </c>
      <c r="C55" s="137"/>
      <c r="D55" s="10" t="s">
        <v>1865</v>
      </c>
      <c r="E55" s="149" t="s">
        <v>1866</v>
      </c>
      <c r="F55" s="137"/>
    </row>
    <row r="56" spans="2:6" ht="19.95" customHeight="1" x14ac:dyDescent="0.3">
      <c r="B56" s="149" t="s">
        <v>1867</v>
      </c>
      <c r="C56" s="137"/>
      <c r="D56" s="13" t="s">
        <v>1868</v>
      </c>
      <c r="E56" s="149" t="s">
        <v>1869</v>
      </c>
      <c r="F56" s="137"/>
    </row>
    <row r="57" spans="2:6" ht="19.95" customHeight="1" x14ac:dyDescent="0.3">
      <c r="B57" s="149" t="s">
        <v>1870</v>
      </c>
      <c r="C57" s="137"/>
      <c r="D57" s="10" t="s">
        <v>1871</v>
      </c>
      <c r="E57" s="149" t="s">
        <v>1872</v>
      </c>
      <c r="F57" s="137"/>
    </row>
    <row r="58" spans="2:6" ht="19.95" customHeight="1" x14ac:dyDescent="0.3">
      <c r="B58" s="149" t="s">
        <v>1873</v>
      </c>
      <c r="C58" s="137"/>
      <c r="D58" s="13" t="s">
        <v>1874</v>
      </c>
      <c r="E58" s="149"/>
      <c r="F58" s="137"/>
    </row>
    <row r="59" spans="2:6" ht="19.95" customHeight="1" x14ac:dyDescent="0.3">
      <c r="B59" s="149" t="s">
        <v>1875</v>
      </c>
      <c r="C59" s="137"/>
      <c r="D59" s="10" t="s">
        <v>1876</v>
      </c>
      <c r="E59" s="149"/>
      <c r="F59" s="137"/>
    </row>
    <row r="60" spans="2:6" ht="19.95" customHeight="1" x14ac:dyDescent="0.3">
      <c r="B60" s="149" t="s">
        <v>1877</v>
      </c>
      <c r="C60" s="137"/>
      <c r="D60" s="13" t="s">
        <v>1878</v>
      </c>
      <c r="E60" s="149"/>
      <c r="F60" s="137"/>
    </row>
    <row r="61" spans="2:6" ht="19.95" customHeight="1" x14ac:dyDescent="0.3">
      <c r="B61" s="149" t="s">
        <v>1879</v>
      </c>
      <c r="C61" s="137"/>
      <c r="D61" s="10" t="s">
        <v>1880</v>
      </c>
      <c r="E61" s="149"/>
      <c r="F61" s="137"/>
    </row>
    <row r="62" spans="2:6" ht="19.95" customHeight="1" x14ac:dyDescent="0.3">
      <c r="B62" s="149" t="s">
        <v>1881</v>
      </c>
      <c r="C62" s="137"/>
      <c r="D62" s="13" t="s">
        <v>1882</v>
      </c>
      <c r="E62" s="149" t="s">
        <v>1883</v>
      </c>
      <c r="F62" s="137"/>
    </row>
    <row r="63" spans="2:6" ht="19.95" customHeight="1" x14ac:dyDescent="0.3">
      <c r="B63" s="149" t="s">
        <v>1884</v>
      </c>
      <c r="C63" s="137"/>
      <c r="D63" s="10" t="s">
        <v>1885</v>
      </c>
      <c r="E63" s="149" t="s">
        <v>1886</v>
      </c>
      <c r="F63" s="137"/>
    </row>
    <row r="64" spans="2:6" ht="19.95" customHeight="1" x14ac:dyDescent="0.3">
      <c r="B64" s="149" t="s">
        <v>1887</v>
      </c>
      <c r="C64" s="137"/>
      <c r="D64" s="13" t="s">
        <v>1888</v>
      </c>
      <c r="E64" s="149" t="s">
        <v>1889</v>
      </c>
      <c r="F64" s="137"/>
    </row>
    <row r="65" spans="2:6" ht="6" customHeight="1" x14ac:dyDescent="0.3"/>
    <row r="66" spans="2:6" ht="12" customHeight="1" x14ac:dyDescent="0.3"/>
    <row r="67" spans="2:6" ht="27" customHeight="1" x14ac:dyDescent="0.3">
      <c r="B67" s="128" t="s">
        <v>1890</v>
      </c>
      <c r="C67" s="124"/>
      <c r="D67" s="124"/>
      <c r="E67" s="124"/>
      <c r="F67" s="124"/>
    </row>
    <row r="68" spans="2:6" ht="4.95" customHeight="1" x14ac:dyDescent="0.3"/>
    <row r="69" spans="2:6" ht="22.05" customHeight="1" x14ac:dyDescent="0.3">
      <c r="B69" s="144" t="s">
        <v>1891</v>
      </c>
      <c r="C69" s="145"/>
      <c r="D69" s="7" t="s">
        <v>1892</v>
      </c>
      <c r="E69" s="7" t="s">
        <v>1893</v>
      </c>
      <c r="F69" s="7" t="s">
        <v>1894</v>
      </c>
    </row>
    <row r="70" spans="2:6" ht="19.95" customHeight="1" x14ac:dyDescent="0.3">
      <c r="B70" s="174" t="s">
        <v>1578</v>
      </c>
      <c r="C70" s="111"/>
      <c r="D70" s="10" t="s">
        <v>1895</v>
      </c>
      <c r="E70" s="23" t="s">
        <v>1528</v>
      </c>
      <c r="F70" s="10" t="s">
        <v>1531</v>
      </c>
    </row>
    <row r="71" spans="2:6" ht="19.95" customHeight="1" x14ac:dyDescent="0.3">
      <c r="B71" s="173" t="s">
        <v>1896</v>
      </c>
      <c r="C71" s="133"/>
      <c r="D71" s="13" t="s">
        <v>1897</v>
      </c>
      <c r="E71" s="23" t="s">
        <v>1898</v>
      </c>
      <c r="F71" s="13" t="s">
        <v>1531</v>
      </c>
    </row>
    <row r="72" spans="2:6" ht="19.95" customHeight="1" x14ac:dyDescent="0.3">
      <c r="B72" s="174" t="s">
        <v>1899</v>
      </c>
      <c r="C72" s="111"/>
      <c r="D72" s="10" t="s">
        <v>1900</v>
      </c>
      <c r="E72" s="23" t="s">
        <v>1901</v>
      </c>
      <c r="F72" s="10" t="s">
        <v>1531</v>
      </c>
    </row>
    <row r="73" spans="2:6" ht="19.95" customHeight="1" x14ac:dyDescent="0.3">
      <c r="B73" s="173" t="s">
        <v>1902</v>
      </c>
      <c r="C73" s="133"/>
      <c r="D73" s="13" t="s">
        <v>1903</v>
      </c>
      <c r="E73" s="23" t="s">
        <v>1904</v>
      </c>
      <c r="F73" s="13" t="s">
        <v>1531</v>
      </c>
    </row>
    <row r="74" spans="2:6" ht="48.15" customHeight="1" x14ac:dyDescent="0.3">
      <c r="B74" s="174" t="s">
        <v>1905</v>
      </c>
      <c r="C74" s="111"/>
      <c r="D74" s="10" t="s">
        <v>1906</v>
      </c>
      <c r="E74" s="23" t="s">
        <v>1907</v>
      </c>
      <c r="F74" s="10" t="s">
        <v>1531</v>
      </c>
    </row>
    <row r="75" spans="2:6" ht="33.75" customHeight="1" x14ac:dyDescent="0.3">
      <c r="B75" s="173" t="s">
        <v>1908</v>
      </c>
      <c r="C75" s="133"/>
      <c r="D75" s="13" t="s">
        <v>1909</v>
      </c>
      <c r="E75" s="23" t="s">
        <v>1910</v>
      </c>
      <c r="F75" s="13" t="s">
        <v>1911</v>
      </c>
    </row>
    <row r="76" spans="2:6" ht="6" customHeight="1" x14ac:dyDescent="0.3"/>
    <row r="77" spans="2:6" ht="22.05" customHeight="1" x14ac:dyDescent="0.3">
      <c r="B77" s="37" t="s">
        <v>66</v>
      </c>
      <c r="C77" s="152" t="s">
        <v>1912</v>
      </c>
      <c r="D77" s="153"/>
      <c r="E77" s="153"/>
      <c r="F77" s="105"/>
    </row>
    <row r="78" spans="2:6" ht="4.95" customHeight="1" x14ac:dyDescent="0.3"/>
    <row r="79" spans="2:6" ht="12" customHeight="1" x14ac:dyDescent="0.3"/>
    <row r="80" spans="2:6" ht="27" customHeight="1" x14ac:dyDescent="0.3">
      <c r="B80" s="128" t="s">
        <v>1913</v>
      </c>
      <c r="C80" s="124"/>
      <c r="D80" s="124"/>
      <c r="E80" s="124"/>
      <c r="F80" s="124"/>
    </row>
    <row r="81" spans="2:6" ht="4.95" customHeight="1" x14ac:dyDescent="0.3"/>
    <row r="82" spans="2:6" ht="7.05" customHeight="1" x14ac:dyDescent="0.3"/>
    <row r="83" spans="2:6" ht="22.95" customHeight="1" x14ac:dyDescent="0.3">
      <c r="B83" s="156" t="s">
        <v>1914</v>
      </c>
      <c r="C83" s="157"/>
      <c r="D83" s="157"/>
      <c r="E83" s="157"/>
      <c r="F83" s="157"/>
    </row>
    <row r="84" spans="2:6" ht="4.05" customHeight="1" x14ac:dyDescent="0.3"/>
    <row r="85" spans="2:6" ht="22.05" customHeight="1" x14ac:dyDescent="0.3">
      <c r="B85" s="7" t="s">
        <v>73</v>
      </c>
      <c r="C85" s="7" t="s">
        <v>159</v>
      </c>
      <c r="D85" s="7" t="s">
        <v>160</v>
      </c>
      <c r="E85" s="7" t="s">
        <v>161</v>
      </c>
      <c r="F85" s="7" t="s">
        <v>162</v>
      </c>
    </row>
    <row r="86" spans="2:6" ht="19.95" customHeight="1" x14ac:dyDescent="0.3">
      <c r="B86" s="8" t="s">
        <v>77</v>
      </c>
      <c r="C86" s="14" t="s">
        <v>1915</v>
      </c>
      <c r="D86" s="10" t="s">
        <v>1916</v>
      </c>
      <c r="E86" s="10"/>
      <c r="F86" s="10"/>
    </row>
    <row r="87" spans="2:6" ht="33.75" customHeight="1" x14ac:dyDescent="0.3">
      <c r="B87" s="11" t="s">
        <v>81</v>
      </c>
      <c r="C87" s="15" t="s">
        <v>1917</v>
      </c>
      <c r="D87" s="13" t="s">
        <v>1918</v>
      </c>
      <c r="E87" s="13"/>
      <c r="F87" s="13"/>
    </row>
    <row r="88" spans="2:6" ht="33.75" customHeight="1" x14ac:dyDescent="0.3">
      <c r="B88" s="8" t="s">
        <v>85</v>
      </c>
      <c r="C88" s="14" t="s">
        <v>1919</v>
      </c>
      <c r="D88" s="10" t="s">
        <v>1920</v>
      </c>
      <c r="E88" s="10" t="s">
        <v>1921</v>
      </c>
      <c r="F88" s="10"/>
    </row>
    <row r="89" spans="2:6" ht="48.15" customHeight="1" x14ac:dyDescent="0.3">
      <c r="B89" s="11" t="s">
        <v>88</v>
      </c>
      <c r="C89" s="15" t="s">
        <v>1922</v>
      </c>
      <c r="D89" s="13" t="s">
        <v>1923</v>
      </c>
      <c r="E89" s="13" t="s">
        <v>1528</v>
      </c>
      <c r="F89" s="13" t="s">
        <v>1924</v>
      </c>
    </row>
    <row r="90" spans="2:6" ht="6" customHeight="1" x14ac:dyDescent="0.3"/>
    <row r="91" spans="2:6" ht="15" customHeight="1" x14ac:dyDescent="0.3">
      <c r="B91" s="158" t="s">
        <v>1925</v>
      </c>
      <c r="C91" s="159"/>
      <c r="D91" s="159"/>
      <c r="E91" s="159"/>
      <c r="F91" s="160"/>
    </row>
    <row r="92" spans="2:6" ht="15" customHeight="1" x14ac:dyDescent="0.3">
      <c r="B92" s="161"/>
      <c r="C92" s="113"/>
      <c r="D92" s="113"/>
      <c r="E92" s="113"/>
      <c r="F92" s="162"/>
    </row>
    <row r="93" spans="2:6" ht="15" customHeight="1" x14ac:dyDescent="0.3">
      <c r="B93" s="161"/>
      <c r="C93" s="113"/>
      <c r="D93" s="113"/>
      <c r="E93" s="113"/>
      <c r="F93" s="162"/>
    </row>
    <row r="94" spans="2:6" ht="15" customHeight="1" x14ac:dyDescent="0.3">
      <c r="B94" s="161"/>
      <c r="C94" s="113"/>
      <c r="D94" s="113"/>
      <c r="E94" s="113"/>
      <c r="F94" s="162"/>
    </row>
    <row r="95" spans="2:6" ht="15" customHeight="1" x14ac:dyDescent="0.3">
      <c r="B95" s="161"/>
      <c r="C95" s="113"/>
      <c r="D95" s="113"/>
      <c r="E95" s="113"/>
      <c r="F95" s="162"/>
    </row>
    <row r="96" spans="2:6" ht="15" customHeight="1" x14ac:dyDescent="0.3">
      <c r="B96" s="161"/>
      <c r="C96" s="113"/>
      <c r="D96" s="113"/>
      <c r="E96" s="113"/>
      <c r="F96" s="162"/>
    </row>
    <row r="97" spans="2:6" ht="15" customHeight="1" x14ac:dyDescent="0.3">
      <c r="B97" s="161"/>
      <c r="C97" s="113"/>
      <c r="D97" s="113"/>
      <c r="E97" s="113"/>
      <c r="F97" s="162"/>
    </row>
    <row r="98" spans="2:6" ht="15" customHeight="1" x14ac:dyDescent="0.3">
      <c r="B98" s="161"/>
      <c r="C98" s="113"/>
      <c r="D98" s="113"/>
      <c r="E98" s="113"/>
      <c r="F98" s="162"/>
    </row>
    <row r="99" spans="2:6" ht="15" customHeight="1" x14ac:dyDescent="0.3">
      <c r="B99" s="161"/>
      <c r="C99" s="113"/>
      <c r="D99" s="113"/>
      <c r="E99" s="113"/>
      <c r="F99" s="162"/>
    </row>
    <row r="100" spans="2:6" ht="15" customHeight="1" x14ac:dyDescent="0.3">
      <c r="B100" s="161"/>
      <c r="C100" s="113"/>
      <c r="D100" s="113"/>
      <c r="E100" s="113"/>
      <c r="F100" s="162"/>
    </row>
    <row r="101" spans="2:6" ht="15" customHeight="1" x14ac:dyDescent="0.3">
      <c r="B101" s="161"/>
      <c r="C101" s="113"/>
      <c r="D101" s="113"/>
      <c r="E101" s="113"/>
      <c r="F101" s="162"/>
    </row>
    <row r="102" spans="2:6" ht="15" customHeight="1" x14ac:dyDescent="0.3">
      <c r="B102" s="161"/>
      <c r="C102" s="113"/>
      <c r="D102" s="113"/>
      <c r="E102" s="113"/>
      <c r="F102" s="162"/>
    </row>
    <row r="103" spans="2:6" ht="15" customHeight="1" x14ac:dyDescent="0.3">
      <c r="B103" s="161"/>
      <c r="C103" s="113"/>
      <c r="D103" s="113"/>
      <c r="E103" s="113"/>
      <c r="F103" s="162"/>
    </row>
    <row r="104" spans="2:6" ht="15" customHeight="1" x14ac:dyDescent="0.3">
      <c r="B104" s="161"/>
      <c r="C104" s="113"/>
      <c r="D104" s="113"/>
      <c r="E104" s="113"/>
      <c r="F104" s="162"/>
    </row>
    <row r="105" spans="2:6" ht="15" customHeight="1" x14ac:dyDescent="0.3">
      <c r="B105" s="161"/>
      <c r="C105" s="113"/>
      <c r="D105" s="113"/>
      <c r="E105" s="113"/>
      <c r="F105" s="162"/>
    </row>
    <row r="106" spans="2:6" ht="15" customHeight="1" x14ac:dyDescent="0.3">
      <c r="B106" s="161"/>
      <c r="C106" s="113"/>
      <c r="D106" s="113"/>
      <c r="E106" s="113"/>
      <c r="F106" s="162"/>
    </row>
    <row r="107" spans="2:6" ht="15" customHeight="1" x14ac:dyDescent="0.3">
      <c r="B107" s="161"/>
      <c r="C107" s="113"/>
      <c r="D107" s="113"/>
      <c r="E107" s="113"/>
      <c r="F107" s="162"/>
    </row>
    <row r="108" spans="2:6" ht="15" customHeight="1" x14ac:dyDescent="0.3">
      <c r="B108" s="161"/>
      <c r="C108" s="113"/>
      <c r="D108" s="113"/>
      <c r="E108" s="113"/>
      <c r="F108" s="162"/>
    </row>
    <row r="109" spans="2:6" ht="15" customHeight="1" x14ac:dyDescent="0.3">
      <c r="B109" s="161"/>
      <c r="C109" s="113"/>
      <c r="D109" s="113"/>
      <c r="E109" s="113"/>
      <c r="F109" s="162"/>
    </row>
    <row r="110" spans="2:6" ht="15" customHeight="1" x14ac:dyDescent="0.3">
      <c r="B110" s="163"/>
      <c r="C110" s="164"/>
      <c r="D110" s="164"/>
      <c r="E110" s="164"/>
      <c r="F110" s="165"/>
    </row>
    <row r="111" spans="2:6" ht="19.95" customHeight="1" x14ac:dyDescent="0.3">
      <c r="B111" s="151" t="s">
        <v>1926</v>
      </c>
      <c r="C111" s="113"/>
      <c r="D111" s="113"/>
      <c r="E111" s="113"/>
      <c r="F111" s="113"/>
    </row>
    <row r="112" spans="2:6" ht="6" customHeight="1" x14ac:dyDescent="0.3"/>
    <row r="113" spans="2:6" ht="7.05" customHeight="1" x14ac:dyDescent="0.3"/>
    <row r="114" spans="2:6" ht="22.95" customHeight="1" x14ac:dyDescent="0.3">
      <c r="B114" s="156" t="s">
        <v>1927</v>
      </c>
      <c r="C114" s="157"/>
      <c r="D114" s="157"/>
      <c r="E114" s="157"/>
      <c r="F114" s="157"/>
    </row>
    <row r="115" spans="2:6" ht="4.05" customHeight="1" x14ac:dyDescent="0.3"/>
    <row r="116" spans="2:6" ht="22.05" customHeight="1" x14ac:dyDescent="0.3">
      <c r="B116" s="7" t="s">
        <v>73</v>
      </c>
      <c r="C116" s="7" t="s">
        <v>159</v>
      </c>
      <c r="D116" s="7" t="s">
        <v>160</v>
      </c>
      <c r="E116" s="7" t="s">
        <v>161</v>
      </c>
      <c r="F116" s="7" t="s">
        <v>162</v>
      </c>
    </row>
    <row r="117" spans="2:6" ht="33.75" customHeight="1" x14ac:dyDescent="0.3">
      <c r="B117" s="8" t="s">
        <v>77</v>
      </c>
      <c r="C117" s="14" t="s">
        <v>1928</v>
      </c>
      <c r="D117" s="10" t="s">
        <v>1929</v>
      </c>
      <c r="E117" s="10"/>
      <c r="F117" s="10"/>
    </row>
    <row r="118" spans="2:6" ht="19.95" customHeight="1" x14ac:dyDescent="0.3">
      <c r="B118" s="11" t="s">
        <v>81</v>
      </c>
      <c r="C118" s="15" t="s">
        <v>723</v>
      </c>
      <c r="D118" s="13" t="s">
        <v>1930</v>
      </c>
      <c r="E118" s="13" t="s">
        <v>1931</v>
      </c>
      <c r="F118" s="13" t="s">
        <v>1932</v>
      </c>
    </row>
    <row r="119" spans="2:6" ht="33.75" customHeight="1" x14ac:dyDescent="0.3">
      <c r="B119" s="8" t="s">
        <v>85</v>
      </c>
      <c r="C119" s="14" t="s">
        <v>1933</v>
      </c>
      <c r="D119" s="10" t="s">
        <v>1934</v>
      </c>
      <c r="E119" s="10"/>
      <c r="F119" s="10" t="s">
        <v>1935</v>
      </c>
    </row>
    <row r="120" spans="2:6" ht="33.75" customHeight="1" x14ac:dyDescent="0.3">
      <c r="B120" s="11" t="s">
        <v>88</v>
      </c>
      <c r="C120" s="15" t="s">
        <v>1936</v>
      </c>
      <c r="D120" s="13" t="s">
        <v>1937</v>
      </c>
      <c r="E120" s="13"/>
      <c r="F120" s="13" t="s">
        <v>1938</v>
      </c>
    </row>
    <row r="121" spans="2:6" ht="6" customHeight="1" x14ac:dyDescent="0.3"/>
    <row r="122" spans="2:6" ht="15" customHeight="1" x14ac:dyDescent="0.3">
      <c r="B122" s="158" t="s">
        <v>1939</v>
      </c>
      <c r="C122" s="159"/>
      <c r="D122" s="159"/>
      <c r="E122" s="159"/>
      <c r="F122" s="160"/>
    </row>
    <row r="123" spans="2:6" ht="15" customHeight="1" x14ac:dyDescent="0.3">
      <c r="B123" s="161"/>
      <c r="C123" s="113"/>
      <c r="D123" s="113"/>
      <c r="E123" s="113"/>
      <c r="F123" s="162"/>
    </row>
    <row r="124" spans="2:6" ht="15" customHeight="1" x14ac:dyDescent="0.3">
      <c r="B124" s="161"/>
      <c r="C124" s="113"/>
      <c r="D124" s="113"/>
      <c r="E124" s="113"/>
      <c r="F124" s="162"/>
    </row>
    <row r="125" spans="2:6" ht="15" customHeight="1" x14ac:dyDescent="0.3">
      <c r="B125" s="161"/>
      <c r="C125" s="113"/>
      <c r="D125" s="113"/>
      <c r="E125" s="113"/>
      <c r="F125" s="162"/>
    </row>
    <row r="126" spans="2:6" ht="15" customHeight="1" x14ac:dyDescent="0.3">
      <c r="B126" s="161"/>
      <c r="C126" s="113"/>
      <c r="D126" s="113"/>
      <c r="E126" s="113"/>
      <c r="F126" s="162"/>
    </row>
    <row r="127" spans="2:6" ht="15" customHeight="1" x14ac:dyDescent="0.3">
      <c r="B127" s="161"/>
      <c r="C127" s="113"/>
      <c r="D127" s="113"/>
      <c r="E127" s="113"/>
      <c r="F127" s="162"/>
    </row>
    <row r="128" spans="2:6" ht="15" customHeight="1" x14ac:dyDescent="0.3">
      <c r="B128" s="161"/>
      <c r="C128" s="113"/>
      <c r="D128" s="113"/>
      <c r="E128" s="113"/>
      <c r="F128" s="162"/>
    </row>
    <row r="129" spans="2:6" ht="15" customHeight="1" x14ac:dyDescent="0.3">
      <c r="B129" s="161"/>
      <c r="C129" s="113"/>
      <c r="D129" s="113"/>
      <c r="E129" s="113"/>
      <c r="F129" s="162"/>
    </row>
    <row r="130" spans="2:6" ht="15" customHeight="1" x14ac:dyDescent="0.3">
      <c r="B130" s="161"/>
      <c r="C130" s="113"/>
      <c r="D130" s="113"/>
      <c r="E130" s="113"/>
      <c r="F130" s="162"/>
    </row>
    <row r="131" spans="2:6" ht="15" customHeight="1" x14ac:dyDescent="0.3">
      <c r="B131" s="161"/>
      <c r="C131" s="113"/>
      <c r="D131" s="113"/>
      <c r="E131" s="113"/>
      <c r="F131" s="162"/>
    </row>
    <row r="132" spans="2:6" ht="15" customHeight="1" x14ac:dyDescent="0.3">
      <c r="B132" s="161"/>
      <c r="C132" s="113"/>
      <c r="D132" s="113"/>
      <c r="E132" s="113"/>
      <c r="F132" s="162"/>
    </row>
    <row r="133" spans="2:6" ht="15" customHeight="1" x14ac:dyDescent="0.3">
      <c r="B133" s="161"/>
      <c r="C133" s="113"/>
      <c r="D133" s="113"/>
      <c r="E133" s="113"/>
      <c r="F133" s="162"/>
    </row>
    <row r="134" spans="2:6" ht="15" customHeight="1" x14ac:dyDescent="0.3">
      <c r="B134" s="161"/>
      <c r="C134" s="113"/>
      <c r="D134" s="113"/>
      <c r="E134" s="113"/>
      <c r="F134" s="162"/>
    </row>
    <row r="135" spans="2:6" ht="15" customHeight="1" x14ac:dyDescent="0.3">
      <c r="B135" s="161"/>
      <c r="C135" s="113"/>
      <c r="D135" s="113"/>
      <c r="E135" s="113"/>
      <c r="F135" s="162"/>
    </row>
    <row r="136" spans="2:6" ht="15" customHeight="1" x14ac:dyDescent="0.3">
      <c r="B136" s="161"/>
      <c r="C136" s="113"/>
      <c r="D136" s="113"/>
      <c r="E136" s="113"/>
      <c r="F136" s="162"/>
    </row>
    <row r="137" spans="2:6" ht="15" customHeight="1" x14ac:dyDescent="0.3">
      <c r="B137" s="161"/>
      <c r="C137" s="113"/>
      <c r="D137" s="113"/>
      <c r="E137" s="113"/>
      <c r="F137" s="162"/>
    </row>
    <row r="138" spans="2:6" ht="15" customHeight="1" x14ac:dyDescent="0.3">
      <c r="B138" s="161"/>
      <c r="C138" s="113"/>
      <c r="D138" s="113"/>
      <c r="E138" s="113"/>
      <c r="F138" s="162"/>
    </row>
    <row r="139" spans="2:6" ht="15" customHeight="1" x14ac:dyDescent="0.3">
      <c r="B139" s="163"/>
      <c r="C139" s="164"/>
      <c r="D139" s="164"/>
      <c r="E139" s="164"/>
      <c r="F139" s="165"/>
    </row>
    <row r="140" spans="2:6" ht="19.95" customHeight="1" x14ac:dyDescent="0.3">
      <c r="B140" s="151" t="s">
        <v>1940</v>
      </c>
      <c r="C140" s="113"/>
      <c r="D140" s="113"/>
      <c r="E140" s="113"/>
      <c r="F140" s="113"/>
    </row>
    <row r="141" spans="2:6" ht="6" customHeight="1" x14ac:dyDescent="0.3"/>
    <row r="142" spans="2:6" ht="12" customHeight="1" x14ac:dyDescent="0.3"/>
    <row r="143" spans="2:6" ht="27" customHeight="1" x14ac:dyDescent="0.3">
      <c r="B143" s="128" t="s">
        <v>1941</v>
      </c>
      <c r="C143" s="124"/>
      <c r="D143" s="124"/>
      <c r="E143" s="124"/>
      <c r="F143" s="124"/>
    </row>
    <row r="144" spans="2:6" ht="4.95" customHeight="1" x14ac:dyDescent="0.3"/>
    <row r="145" spans="2:6" ht="22.05" customHeight="1" x14ac:dyDescent="0.3">
      <c r="B145" s="144" t="s">
        <v>655</v>
      </c>
      <c r="C145" s="145"/>
      <c r="D145" s="144" t="s">
        <v>1942</v>
      </c>
      <c r="E145" s="145"/>
      <c r="F145" s="7" t="s">
        <v>657</v>
      </c>
    </row>
    <row r="146" spans="2:6" ht="33.75" customHeight="1" x14ac:dyDescent="0.3">
      <c r="B146" s="174" t="s">
        <v>1943</v>
      </c>
      <c r="C146" s="111"/>
      <c r="D146" s="130" t="s">
        <v>1944</v>
      </c>
      <c r="E146" s="111"/>
      <c r="F146" s="10" t="s">
        <v>1945</v>
      </c>
    </row>
    <row r="147" spans="2:6" ht="33.75" customHeight="1" x14ac:dyDescent="0.3">
      <c r="B147" s="173" t="s">
        <v>1943</v>
      </c>
      <c r="C147" s="133"/>
      <c r="D147" s="132" t="s">
        <v>1946</v>
      </c>
      <c r="E147" s="133"/>
      <c r="F147" s="13" t="s">
        <v>1947</v>
      </c>
    </row>
    <row r="148" spans="2:6" ht="33.75" customHeight="1" x14ac:dyDescent="0.3">
      <c r="B148" s="174" t="s">
        <v>1943</v>
      </c>
      <c r="C148" s="111"/>
      <c r="D148" s="130" t="s">
        <v>1948</v>
      </c>
      <c r="E148" s="111"/>
      <c r="F148" s="10" t="s">
        <v>1949</v>
      </c>
    </row>
    <row r="149" spans="2:6" ht="33.75" customHeight="1" x14ac:dyDescent="0.3">
      <c r="B149" s="173" t="s">
        <v>1943</v>
      </c>
      <c r="C149" s="133"/>
      <c r="D149" s="132" t="s">
        <v>1950</v>
      </c>
      <c r="E149" s="133"/>
      <c r="F149" s="13" t="s">
        <v>1951</v>
      </c>
    </row>
    <row r="150" spans="2:6" ht="19.95" customHeight="1" x14ac:dyDescent="0.3">
      <c r="B150" s="174" t="s">
        <v>1952</v>
      </c>
      <c r="C150" s="111"/>
      <c r="D150" s="130" t="s">
        <v>1953</v>
      </c>
      <c r="E150" s="111"/>
      <c r="F150" s="10" t="s">
        <v>1954</v>
      </c>
    </row>
    <row r="151" spans="2:6" ht="19.95" customHeight="1" x14ac:dyDescent="0.3">
      <c r="B151" s="173" t="s">
        <v>1955</v>
      </c>
      <c r="C151" s="133"/>
      <c r="D151" s="132" t="s">
        <v>1956</v>
      </c>
      <c r="E151" s="133"/>
      <c r="F151" s="13" t="s">
        <v>1957</v>
      </c>
    </row>
    <row r="152" spans="2:6" ht="48.15" customHeight="1" x14ac:dyDescent="0.3">
      <c r="B152" s="174" t="s">
        <v>1958</v>
      </c>
      <c r="C152" s="111"/>
      <c r="D152" s="130" t="s">
        <v>1959</v>
      </c>
      <c r="E152" s="111"/>
      <c r="F152" s="10" t="s">
        <v>1960</v>
      </c>
    </row>
    <row r="153" spans="2:6" ht="6" customHeight="1" x14ac:dyDescent="0.3"/>
    <row r="154" spans="2:6" ht="12" customHeight="1" x14ac:dyDescent="0.3"/>
    <row r="155" spans="2:6" ht="27" customHeight="1" x14ac:dyDescent="0.3">
      <c r="B155" s="128" t="s">
        <v>1961</v>
      </c>
      <c r="C155" s="124"/>
      <c r="D155" s="124"/>
      <c r="E155" s="124"/>
      <c r="F155" s="124"/>
    </row>
    <row r="156" spans="2:6" ht="4.95" customHeight="1" x14ac:dyDescent="0.3"/>
    <row r="157" spans="2:6" ht="22.05" customHeight="1" x14ac:dyDescent="0.3">
      <c r="B157" s="144" t="s">
        <v>1962</v>
      </c>
      <c r="C157" s="145"/>
      <c r="D157" s="7" t="s">
        <v>1963</v>
      </c>
      <c r="E157" s="7" t="s">
        <v>1482</v>
      </c>
      <c r="F157" s="7" t="s">
        <v>1483</v>
      </c>
    </row>
    <row r="158" spans="2:6" ht="33.75" customHeight="1" x14ac:dyDescent="0.3">
      <c r="B158" s="174" t="s">
        <v>1964</v>
      </c>
      <c r="C158" s="111"/>
      <c r="D158" s="10" t="s">
        <v>1965</v>
      </c>
      <c r="E158" s="10" t="s">
        <v>1966</v>
      </c>
      <c r="F158" s="10" t="s">
        <v>1967</v>
      </c>
    </row>
    <row r="159" spans="2:6" ht="19.95" customHeight="1" x14ac:dyDescent="0.3">
      <c r="B159" s="173" t="s">
        <v>1049</v>
      </c>
      <c r="C159" s="133"/>
      <c r="D159" s="13" t="s">
        <v>1968</v>
      </c>
      <c r="E159" s="13" t="s">
        <v>1969</v>
      </c>
      <c r="F159" s="13" t="s">
        <v>1970</v>
      </c>
    </row>
    <row r="160" spans="2:6" ht="33.75" customHeight="1" x14ac:dyDescent="0.3">
      <c r="B160" s="174" t="s">
        <v>1052</v>
      </c>
      <c r="C160" s="111"/>
      <c r="D160" s="10" t="s">
        <v>1971</v>
      </c>
      <c r="E160" s="10" t="s">
        <v>1972</v>
      </c>
      <c r="F160" s="10" t="s">
        <v>1973</v>
      </c>
    </row>
    <row r="161" spans="2:6" ht="6" customHeight="1" x14ac:dyDescent="0.3"/>
    <row r="162" spans="2:6" ht="19.350000000000001" customHeight="1" x14ac:dyDescent="0.3">
      <c r="B162" s="129" t="s">
        <v>1974</v>
      </c>
      <c r="C162" s="113"/>
      <c r="D162" s="113"/>
      <c r="E162" s="113"/>
      <c r="F162" s="113"/>
    </row>
    <row r="163" spans="2:6" ht="22.05" customHeight="1" x14ac:dyDescent="0.3">
      <c r="B163" s="144" t="s">
        <v>1324</v>
      </c>
      <c r="C163" s="145"/>
      <c r="D163" s="7" t="s">
        <v>1325</v>
      </c>
      <c r="E163" s="144" t="s">
        <v>1326</v>
      </c>
      <c r="F163" s="145"/>
    </row>
    <row r="164" spans="2:6" ht="19.95" customHeight="1" x14ac:dyDescent="0.3">
      <c r="B164" s="174" t="s">
        <v>1975</v>
      </c>
      <c r="C164" s="111"/>
      <c r="D164" s="23" t="s">
        <v>1525</v>
      </c>
      <c r="E164" s="130"/>
      <c r="F164" s="111"/>
    </row>
    <row r="165" spans="2:6" ht="19.95" customHeight="1" x14ac:dyDescent="0.3">
      <c r="B165" s="173" t="s">
        <v>1976</v>
      </c>
      <c r="C165" s="133"/>
      <c r="D165" s="23" t="s">
        <v>1977</v>
      </c>
      <c r="E165" s="132" t="s">
        <v>1978</v>
      </c>
      <c r="F165" s="133"/>
    </row>
    <row r="166" spans="2:6" ht="19.95" customHeight="1" x14ac:dyDescent="0.3">
      <c r="B166" s="174" t="s">
        <v>1533</v>
      </c>
      <c r="C166" s="111"/>
      <c r="D166" s="23" t="s">
        <v>77</v>
      </c>
      <c r="E166" s="130"/>
      <c r="F166" s="111"/>
    </row>
    <row r="167" spans="2:6" ht="19.95" customHeight="1" x14ac:dyDescent="0.3">
      <c r="B167" s="173" t="s">
        <v>1979</v>
      </c>
      <c r="C167" s="133"/>
      <c r="D167" s="23" t="s">
        <v>1536</v>
      </c>
      <c r="E167" s="132"/>
      <c r="F167" s="133"/>
    </row>
    <row r="168" spans="2:6" ht="6" customHeight="1" x14ac:dyDescent="0.3"/>
  </sheetData>
  <mergeCells count="127">
    <mergeCell ref="B167:C167"/>
    <mergeCell ref="E19:F19"/>
    <mergeCell ref="B23:C23"/>
    <mergeCell ref="B67:F67"/>
    <mergeCell ref="B145:C145"/>
    <mergeCell ref="D145:E145"/>
    <mergeCell ref="B14:F14"/>
    <mergeCell ref="E60:F60"/>
    <mergeCell ref="B73:C73"/>
    <mergeCell ref="E167:F167"/>
    <mergeCell ref="B147:C147"/>
    <mergeCell ref="D147:E147"/>
    <mergeCell ref="B74:C74"/>
    <mergeCell ref="B36:C36"/>
    <mergeCell ref="E37:F37"/>
    <mergeCell ref="B50:C50"/>
    <mergeCell ref="B163:C163"/>
    <mergeCell ref="E21:F21"/>
    <mergeCell ref="B1:F1"/>
    <mergeCell ref="B17:C17"/>
    <mergeCell ref="B57:C57"/>
    <mergeCell ref="B148:C148"/>
    <mergeCell ref="E59:F59"/>
    <mergeCell ref="C45:F45"/>
    <mergeCell ref="B19:C19"/>
    <mergeCell ref="B146:C146"/>
    <mergeCell ref="D146:E146"/>
    <mergeCell ref="B2:E2"/>
    <mergeCell ref="E61:F61"/>
    <mergeCell ref="E57:F57"/>
    <mergeCell ref="C31:F31"/>
    <mergeCell ref="E54:F54"/>
    <mergeCell ref="B20:C20"/>
    <mergeCell ref="E41:F41"/>
    <mergeCell ref="B114:F114"/>
    <mergeCell ref="E56:F56"/>
    <mergeCell ref="B75:C75"/>
    <mergeCell ref="E43:F43"/>
    <mergeCell ref="B62:C62"/>
    <mergeCell ref="E24:F24"/>
    <mergeCell ref="B59:C59"/>
    <mergeCell ref="C7:F7"/>
    <mergeCell ref="E18:F18"/>
    <mergeCell ref="B4:F4"/>
    <mergeCell ref="E50:F50"/>
    <mergeCell ref="B54:C54"/>
    <mergeCell ref="B72:C72"/>
    <mergeCell ref="E52:F52"/>
    <mergeCell ref="B56:C56"/>
    <mergeCell ref="B71:C71"/>
    <mergeCell ref="E39:F39"/>
    <mergeCell ref="B43:C43"/>
    <mergeCell ref="B58:C58"/>
    <mergeCell ref="B52:C52"/>
    <mergeCell ref="E20:F20"/>
    <mergeCell ref="B48:F48"/>
    <mergeCell ref="C34:F34"/>
    <mergeCell ref="B42:C42"/>
    <mergeCell ref="B60:C60"/>
    <mergeCell ref="E42:F42"/>
    <mergeCell ref="E17:F17"/>
    <mergeCell ref="B39:C39"/>
    <mergeCell ref="B70:C70"/>
    <mergeCell ref="B6:F6"/>
    <mergeCell ref="B51:C51"/>
    <mergeCell ref="B164:C164"/>
    <mergeCell ref="B80:F80"/>
    <mergeCell ref="E22:F22"/>
    <mergeCell ref="E53:F53"/>
    <mergeCell ref="B63:C63"/>
    <mergeCell ref="B41:C41"/>
    <mergeCell ref="D148:E148"/>
    <mergeCell ref="B16:C16"/>
    <mergeCell ref="B25:C25"/>
    <mergeCell ref="E55:F55"/>
    <mergeCell ref="B18:C18"/>
    <mergeCell ref="E38:F38"/>
    <mergeCell ref="B111:F111"/>
    <mergeCell ref="B157:C157"/>
    <mergeCell ref="E40:F40"/>
    <mergeCell ref="B53:C53"/>
    <mergeCell ref="B162:F162"/>
    <mergeCell ref="B37:C37"/>
    <mergeCell ref="B158:C158"/>
    <mergeCell ref="D152:E152"/>
    <mergeCell ref="B83:F83"/>
    <mergeCell ref="E16:F16"/>
    <mergeCell ref="E166:F166"/>
    <mergeCell ref="B28:F28"/>
    <mergeCell ref="E36:F36"/>
    <mergeCell ref="B40:C40"/>
    <mergeCell ref="E163:F163"/>
    <mergeCell ref="B143:F143"/>
    <mergeCell ref="B30:F30"/>
    <mergeCell ref="B55:C55"/>
    <mergeCell ref="B24:C24"/>
    <mergeCell ref="B64:C64"/>
    <mergeCell ref="B166:C166"/>
    <mergeCell ref="E25:F25"/>
    <mergeCell ref="B160:C160"/>
    <mergeCell ref="E58:F58"/>
    <mergeCell ref="C77:F77"/>
    <mergeCell ref="B91:F110"/>
    <mergeCell ref="E164:F164"/>
    <mergeCell ref="B150:C150"/>
    <mergeCell ref="B159:C159"/>
    <mergeCell ref="B140:F140"/>
    <mergeCell ref="B155:F155"/>
    <mergeCell ref="E165:F165"/>
    <mergeCell ref="B152:C152"/>
    <mergeCell ref="E62:F62"/>
    <mergeCell ref="B165:C165"/>
    <mergeCell ref="B22:C22"/>
    <mergeCell ref="E23:F23"/>
    <mergeCell ref="B149:C149"/>
    <mergeCell ref="D149:E149"/>
    <mergeCell ref="E64:F64"/>
    <mergeCell ref="B21:C21"/>
    <mergeCell ref="E51:F51"/>
    <mergeCell ref="B151:C151"/>
    <mergeCell ref="D151:E151"/>
    <mergeCell ref="E63:F63"/>
    <mergeCell ref="B61:C61"/>
    <mergeCell ref="B122:F139"/>
    <mergeCell ref="D150:E150"/>
    <mergeCell ref="B69:C69"/>
    <mergeCell ref="B38:C38"/>
  </mergeCells>
  <phoneticPr fontId="27"/>
  <hyperlinks>
    <hyperlink ref="F2" location="'目次'!A1" display="▲ 目次へ戻る" xr:uid="{00000000-0004-0000-07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D23 B86:B89 B117:B120 D16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04040"/>
    <pageSetUpPr fitToPage="1"/>
  </sheetPr>
  <dimension ref="B1:F153"/>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1980</v>
      </c>
      <c r="C1" s="118"/>
      <c r="D1" s="118"/>
      <c r="E1" s="118"/>
      <c r="F1" s="118"/>
    </row>
    <row r="2" spans="2:6" ht="24" customHeight="1" x14ac:dyDescent="0.3">
      <c r="B2" s="141" t="s">
        <v>1981</v>
      </c>
      <c r="C2" s="113"/>
      <c r="D2" s="113"/>
      <c r="E2" s="113"/>
      <c r="F2" s="4" t="s">
        <v>38</v>
      </c>
    </row>
    <row r="3" spans="2:6" ht="12" customHeight="1" x14ac:dyDescent="0.3"/>
    <row r="4" spans="2:6" ht="27" customHeight="1" x14ac:dyDescent="0.3">
      <c r="B4" s="128" t="s">
        <v>1982</v>
      </c>
      <c r="C4" s="124"/>
      <c r="D4" s="124"/>
      <c r="E4" s="124"/>
      <c r="F4" s="124"/>
    </row>
    <row r="5" spans="2:6" ht="4.95" customHeight="1" x14ac:dyDescent="0.3"/>
    <row r="6" spans="2:6" ht="33.75" customHeight="1" x14ac:dyDescent="0.3">
      <c r="B6" s="129" t="s">
        <v>1983</v>
      </c>
      <c r="C6" s="113"/>
      <c r="D6" s="113"/>
      <c r="E6" s="113"/>
      <c r="F6" s="113"/>
    </row>
    <row r="7" spans="2:6" ht="12" customHeight="1" x14ac:dyDescent="0.3"/>
    <row r="8" spans="2:6" ht="27" customHeight="1" x14ac:dyDescent="0.3">
      <c r="B8" s="128" t="s">
        <v>1984</v>
      </c>
      <c r="C8" s="124"/>
      <c r="D8" s="124"/>
      <c r="E8" s="124"/>
      <c r="F8" s="124"/>
    </row>
    <row r="9" spans="2:6" ht="4.95" customHeight="1" x14ac:dyDescent="0.3"/>
    <row r="10" spans="2:6" ht="22.05" customHeight="1" x14ac:dyDescent="0.3">
      <c r="B10" s="7" t="s">
        <v>73</v>
      </c>
      <c r="C10" s="144" t="s">
        <v>285</v>
      </c>
      <c r="D10" s="145"/>
      <c r="E10" s="7" t="s">
        <v>1786</v>
      </c>
      <c r="F10" s="7" t="s">
        <v>1787</v>
      </c>
    </row>
    <row r="11" spans="2:6" ht="19.95" customHeight="1" x14ac:dyDescent="0.3">
      <c r="B11" s="8" t="s">
        <v>77</v>
      </c>
      <c r="C11" s="130" t="s">
        <v>1985</v>
      </c>
      <c r="D11" s="111"/>
      <c r="E11" s="10" t="s">
        <v>1986</v>
      </c>
      <c r="F11" s="53" t="s">
        <v>291</v>
      </c>
    </row>
    <row r="12" spans="2:6" ht="19.95" customHeight="1" x14ac:dyDescent="0.3">
      <c r="B12" s="11" t="s">
        <v>81</v>
      </c>
      <c r="C12" s="132" t="s">
        <v>1987</v>
      </c>
      <c r="D12" s="133"/>
      <c r="E12" s="13" t="s">
        <v>1988</v>
      </c>
      <c r="F12" s="53" t="s">
        <v>291</v>
      </c>
    </row>
    <row r="13" spans="2:6" ht="19.95" customHeight="1" x14ac:dyDescent="0.3">
      <c r="B13" s="8" t="s">
        <v>85</v>
      </c>
      <c r="C13" s="130" t="s">
        <v>1989</v>
      </c>
      <c r="D13" s="111"/>
      <c r="E13" s="10" t="s">
        <v>1990</v>
      </c>
      <c r="F13" s="53" t="s">
        <v>291</v>
      </c>
    </row>
    <row r="14" spans="2:6" ht="19.95" customHeight="1" x14ac:dyDescent="0.3">
      <c r="B14" s="11" t="s">
        <v>88</v>
      </c>
      <c r="C14" s="132" t="s">
        <v>1991</v>
      </c>
      <c r="D14" s="133"/>
      <c r="E14" s="13" t="s">
        <v>788</v>
      </c>
      <c r="F14" s="53" t="s">
        <v>291</v>
      </c>
    </row>
    <row r="15" spans="2:6" ht="19.95" customHeight="1" x14ac:dyDescent="0.3">
      <c r="B15" s="8" t="s">
        <v>91</v>
      </c>
      <c r="C15" s="130" t="s">
        <v>1992</v>
      </c>
      <c r="D15" s="111"/>
      <c r="E15" s="10" t="s">
        <v>1993</v>
      </c>
      <c r="F15" s="53" t="s">
        <v>291</v>
      </c>
    </row>
    <row r="16" spans="2:6" ht="19.95" customHeight="1" x14ac:dyDescent="0.3">
      <c r="B16" s="11" t="s">
        <v>94</v>
      </c>
      <c r="C16" s="132" t="s">
        <v>1994</v>
      </c>
      <c r="D16" s="133"/>
      <c r="E16" s="13" t="s">
        <v>1995</v>
      </c>
      <c r="F16" s="53" t="s">
        <v>291</v>
      </c>
    </row>
    <row r="17" spans="2:6" ht="6" customHeight="1" x14ac:dyDescent="0.3"/>
    <row r="18" spans="2:6" ht="12" customHeight="1" x14ac:dyDescent="0.3"/>
    <row r="19" spans="2:6" ht="27" customHeight="1" x14ac:dyDescent="0.3">
      <c r="B19" s="128" t="s">
        <v>1996</v>
      </c>
      <c r="C19" s="124"/>
      <c r="D19" s="124"/>
      <c r="E19" s="124"/>
      <c r="F19" s="124"/>
    </row>
    <row r="20" spans="2:6" ht="4.95" customHeight="1" x14ac:dyDescent="0.3"/>
    <row r="21" spans="2:6" ht="22.05" customHeight="1" x14ac:dyDescent="0.3">
      <c r="B21" s="7" t="s">
        <v>73</v>
      </c>
      <c r="C21" s="7" t="s">
        <v>159</v>
      </c>
      <c r="D21" s="7" t="s">
        <v>160</v>
      </c>
      <c r="E21" s="7" t="s">
        <v>161</v>
      </c>
      <c r="F21" s="7" t="s">
        <v>162</v>
      </c>
    </row>
    <row r="22" spans="2:6" ht="19.95" customHeight="1" x14ac:dyDescent="0.3">
      <c r="B22" s="8" t="s">
        <v>77</v>
      </c>
      <c r="C22" s="14" t="s">
        <v>1997</v>
      </c>
      <c r="D22" s="10" t="s">
        <v>1998</v>
      </c>
      <c r="E22" s="10" t="s">
        <v>816</v>
      </c>
      <c r="F22" s="10" t="s">
        <v>1999</v>
      </c>
    </row>
    <row r="23" spans="2:6" ht="33.75" customHeight="1" x14ac:dyDescent="0.3">
      <c r="B23" s="11" t="s">
        <v>81</v>
      </c>
      <c r="C23" s="15" t="s">
        <v>794</v>
      </c>
      <c r="D23" s="13" t="s">
        <v>2000</v>
      </c>
      <c r="E23" s="13" t="s">
        <v>796</v>
      </c>
      <c r="F23" s="13" t="s">
        <v>2001</v>
      </c>
    </row>
    <row r="24" spans="2:6" ht="19.95" customHeight="1" x14ac:dyDescent="0.3">
      <c r="B24" s="8" t="s">
        <v>85</v>
      </c>
      <c r="C24" s="14" t="s">
        <v>2002</v>
      </c>
      <c r="D24" s="10" t="s">
        <v>2003</v>
      </c>
      <c r="E24" s="10"/>
      <c r="F24" s="10" t="s">
        <v>2004</v>
      </c>
    </row>
    <row r="25" spans="2:6" ht="19.95" customHeight="1" x14ac:dyDescent="0.3">
      <c r="B25" s="11" t="s">
        <v>88</v>
      </c>
      <c r="C25" s="15" t="s">
        <v>2005</v>
      </c>
      <c r="D25" s="13" t="s">
        <v>2006</v>
      </c>
      <c r="E25" s="13"/>
      <c r="F25" s="13"/>
    </row>
    <row r="26" spans="2:6" ht="48.15" customHeight="1" x14ac:dyDescent="0.3">
      <c r="B26" s="8" t="s">
        <v>91</v>
      </c>
      <c r="C26" s="14" t="s">
        <v>2007</v>
      </c>
      <c r="D26" s="10" t="s">
        <v>2008</v>
      </c>
      <c r="E26" s="10"/>
      <c r="F26" s="10" t="s">
        <v>2009</v>
      </c>
    </row>
    <row r="27" spans="2:6" ht="48.15" customHeight="1" x14ac:dyDescent="0.3">
      <c r="B27" s="11" t="s">
        <v>94</v>
      </c>
      <c r="C27" s="15" t="s">
        <v>2010</v>
      </c>
      <c r="D27" s="13" t="s">
        <v>2011</v>
      </c>
      <c r="E27" s="13"/>
      <c r="F27" s="13" t="s">
        <v>2012</v>
      </c>
    </row>
    <row r="28" spans="2:6" ht="33.75" customHeight="1" x14ac:dyDescent="0.3">
      <c r="B28" s="8" t="s">
        <v>97</v>
      </c>
      <c r="C28" s="14" t="s">
        <v>2013</v>
      </c>
      <c r="D28" s="10" t="s">
        <v>2014</v>
      </c>
      <c r="E28" s="10"/>
      <c r="F28" s="10" t="s">
        <v>2015</v>
      </c>
    </row>
    <row r="29" spans="2:6" ht="33.75" customHeight="1" x14ac:dyDescent="0.3">
      <c r="B29" s="11" t="s">
        <v>100</v>
      </c>
      <c r="C29" s="15" t="s">
        <v>2016</v>
      </c>
      <c r="D29" s="13" t="s">
        <v>2017</v>
      </c>
      <c r="E29" s="13"/>
      <c r="F29" s="13" t="s">
        <v>2018</v>
      </c>
    </row>
    <row r="30" spans="2:6" ht="33.75" customHeight="1" x14ac:dyDescent="0.3">
      <c r="B30" s="8" t="s">
        <v>103</v>
      </c>
      <c r="C30" s="14" t="s">
        <v>2019</v>
      </c>
      <c r="D30" s="10" t="s">
        <v>2020</v>
      </c>
      <c r="E30" s="10"/>
      <c r="F30" s="10" t="s">
        <v>2021</v>
      </c>
    </row>
    <row r="31" spans="2:6" ht="33.75" customHeight="1" x14ac:dyDescent="0.3">
      <c r="B31" s="11" t="s">
        <v>106</v>
      </c>
      <c r="C31" s="15" t="s">
        <v>2022</v>
      </c>
      <c r="D31" s="13" t="s">
        <v>2023</v>
      </c>
      <c r="E31" s="13"/>
      <c r="F31" s="13" t="s">
        <v>2024</v>
      </c>
    </row>
    <row r="32" spans="2:6" ht="6" customHeight="1" x14ac:dyDescent="0.3"/>
    <row r="33" spans="2:6" ht="15" customHeight="1" x14ac:dyDescent="0.3">
      <c r="B33" s="158" t="s">
        <v>2025</v>
      </c>
      <c r="C33" s="159"/>
      <c r="D33" s="159"/>
      <c r="E33" s="159"/>
      <c r="F33" s="160"/>
    </row>
    <row r="34" spans="2:6" ht="15" customHeight="1" x14ac:dyDescent="0.3">
      <c r="B34" s="161"/>
      <c r="C34" s="113"/>
      <c r="D34" s="113"/>
      <c r="E34" s="113"/>
      <c r="F34" s="162"/>
    </row>
    <row r="35" spans="2:6" ht="15" customHeight="1" x14ac:dyDescent="0.3">
      <c r="B35" s="161"/>
      <c r="C35" s="113"/>
      <c r="D35" s="113"/>
      <c r="E35" s="113"/>
      <c r="F35" s="162"/>
    </row>
    <row r="36" spans="2:6" ht="15" customHeight="1" x14ac:dyDescent="0.3">
      <c r="B36" s="161"/>
      <c r="C36" s="113"/>
      <c r="D36" s="113"/>
      <c r="E36" s="113"/>
      <c r="F36" s="162"/>
    </row>
    <row r="37" spans="2:6" ht="15" customHeight="1" x14ac:dyDescent="0.3">
      <c r="B37" s="161"/>
      <c r="C37" s="113"/>
      <c r="D37" s="113"/>
      <c r="E37" s="113"/>
      <c r="F37" s="162"/>
    </row>
    <row r="38" spans="2:6" ht="15" customHeight="1" x14ac:dyDescent="0.3">
      <c r="B38" s="161"/>
      <c r="C38" s="113"/>
      <c r="D38" s="113"/>
      <c r="E38" s="113"/>
      <c r="F38" s="162"/>
    </row>
    <row r="39" spans="2:6" ht="15" customHeight="1" x14ac:dyDescent="0.3">
      <c r="B39" s="161"/>
      <c r="C39" s="113"/>
      <c r="D39" s="113"/>
      <c r="E39" s="113"/>
      <c r="F39" s="162"/>
    </row>
    <row r="40" spans="2:6" ht="15" customHeight="1" x14ac:dyDescent="0.3">
      <c r="B40" s="161"/>
      <c r="C40" s="113"/>
      <c r="D40" s="113"/>
      <c r="E40" s="113"/>
      <c r="F40" s="162"/>
    </row>
    <row r="41" spans="2:6" ht="15" customHeight="1" x14ac:dyDescent="0.3">
      <c r="B41" s="161"/>
      <c r="C41" s="113"/>
      <c r="D41" s="113"/>
      <c r="E41" s="113"/>
      <c r="F41" s="162"/>
    </row>
    <row r="42" spans="2:6" ht="15" customHeight="1" x14ac:dyDescent="0.3">
      <c r="B42" s="161"/>
      <c r="C42" s="113"/>
      <c r="D42" s="113"/>
      <c r="E42" s="113"/>
      <c r="F42" s="162"/>
    </row>
    <row r="43" spans="2:6" ht="15" customHeight="1" x14ac:dyDescent="0.3">
      <c r="B43" s="161"/>
      <c r="C43" s="113"/>
      <c r="D43" s="113"/>
      <c r="E43" s="113"/>
      <c r="F43" s="162"/>
    </row>
    <row r="44" spans="2:6" ht="15" customHeight="1" x14ac:dyDescent="0.3">
      <c r="B44" s="161"/>
      <c r="C44" s="113"/>
      <c r="D44" s="113"/>
      <c r="E44" s="113"/>
      <c r="F44" s="162"/>
    </row>
    <row r="45" spans="2:6" ht="15" customHeight="1" x14ac:dyDescent="0.3">
      <c r="B45" s="161"/>
      <c r="C45" s="113"/>
      <c r="D45" s="113"/>
      <c r="E45" s="113"/>
      <c r="F45" s="162"/>
    </row>
    <row r="46" spans="2:6" ht="15" customHeight="1" x14ac:dyDescent="0.3">
      <c r="B46" s="161"/>
      <c r="C46" s="113"/>
      <c r="D46" s="113"/>
      <c r="E46" s="113"/>
      <c r="F46" s="162"/>
    </row>
    <row r="47" spans="2:6" ht="15" customHeight="1" x14ac:dyDescent="0.3">
      <c r="B47" s="161"/>
      <c r="C47" s="113"/>
      <c r="D47" s="113"/>
      <c r="E47" s="113"/>
      <c r="F47" s="162"/>
    </row>
    <row r="48" spans="2:6" ht="15" customHeight="1" x14ac:dyDescent="0.3">
      <c r="B48" s="163"/>
      <c r="C48" s="164"/>
      <c r="D48" s="164"/>
      <c r="E48" s="164"/>
      <c r="F48" s="165"/>
    </row>
    <row r="49" spans="2:6" ht="19.95" customHeight="1" x14ac:dyDescent="0.3">
      <c r="B49" s="151" t="s">
        <v>2026</v>
      </c>
      <c r="C49" s="113"/>
      <c r="D49" s="113"/>
      <c r="E49" s="113"/>
      <c r="F49" s="113"/>
    </row>
    <row r="50" spans="2:6" ht="6" customHeight="1" x14ac:dyDescent="0.3"/>
    <row r="51" spans="2:6" ht="15" customHeight="1" x14ac:dyDescent="0.3">
      <c r="B51" s="158" t="s">
        <v>2027</v>
      </c>
      <c r="C51" s="159"/>
      <c r="D51" s="159"/>
      <c r="E51" s="159"/>
      <c r="F51" s="160"/>
    </row>
    <row r="52" spans="2:6" ht="15" customHeight="1" x14ac:dyDescent="0.3">
      <c r="B52" s="161"/>
      <c r="C52" s="113"/>
      <c r="D52" s="113"/>
      <c r="E52" s="113"/>
      <c r="F52" s="162"/>
    </row>
    <row r="53" spans="2:6" ht="15" customHeight="1" x14ac:dyDescent="0.3">
      <c r="B53" s="161"/>
      <c r="C53" s="113"/>
      <c r="D53" s="113"/>
      <c r="E53" s="113"/>
      <c r="F53" s="162"/>
    </row>
    <row r="54" spans="2:6" ht="15" customHeight="1" x14ac:dyDescent="0.3">
      <c r="B54" s="161"/>
      <c r="C54" s="113"/>
      <c r="D54" s="113"/>
      <c r="E54" s="113"/>
      <c r="F54" s="162"/>
    </row>
    <row r="55" spans="2:6" ht="15" customHeight="1" x14ac:dyDescent="0.3">
      <c r="B55" s="161"/>
      <c r="C55" s="113"/>
      <c r="D55" s="113"/>
      <c r="E55" s="113"/>
      <c r="F55" s="162"/>
    </row>
    <row r="56" spans="2:6" ht="15" customHeight="1" x14ac:dyDescent="0.3">
      <c r="B56" s="161"/>
      <c r="C56" s="113"/>
      <c r="D56" s="113"/>
      <c r="E56" s="113"/>
      <c r="F56" s="162"/>
    </row>
    <row r="57" spans="2:6" ht="15" customHeight="1" x14ac:dyDescent="0.3">
      <c r="B57" s="161"/>
      <c r="C57" s="113"/>
      <c r="D57" s="113"/>
      <c r="E57" s="113"/>
      <c r="F57" s="162"/>
    </row>
    <row r="58" spans="2:6" ht="15" customHeight="1" x14ac:dyDescent="0.3">
      <c r="B58" s="161"/>
      <c r="C58" s="113"/>
      <c r="D58" s="113"/>
      <c r="E58" s="113"/>
      <c r="F58" s="162"/>
    </row>
    <row r="59" spans="2:6" ht="15" customHeight="1" x14ac:dyDescent="0.3">
      <c r="B59" s="161"/>
      <c r="C59" s="113"/>
      <c r="D59" s="113"/>
      <c r="E59" s="113"/>
      <c r="F59" s="162"/>
    </row>
    <row r="60" spans="2:6" ht="15" customHeight="1" x14ac:dyDescent="0.3">
      <c r="B60" s="161"/>
      <c r="C60" s="113"/>
      <c r="D60" s="113"/>
      <c r="E60" s="113"/>
      <c r="F60" s="162"/>
    </row>
    <row r="61" spans="2:6" ht="15" customHeight="1" x14ac:dyDescent="0.3">
      <c r="B61" s="161"/>
      <c r="C61" s="113"/>
      <c r="D61" s="113"/>
      <c r="E61" s="113"/>
      <c r="F61" s="162"/>
    </row>
    <row r="62" spans="2:6" ht="15" customHeight="1" x14ac:dyDescent="0.3">
      <c r="B62" s="161"/>
      <c r="C62" s="113"/>
      <c r="D62" s="113"/>
      <c r="E62" s="113"/>
      <c r="F62" s="162"/>
    </row>
    <row r="63" spans="2:6" ht="15" customHeight="1" x14ac:dyDescent="0.3">
      <c r="B63" s="161"/>
      <c r="C63" s="113"/>
      <c r="D63" s="113"/>
      <c r="E63" s="113"/>
      <c r="F63" s="162"/>
    </row>
    <row r="64" spans="2:6" ht="15" customHeight="1" x14ac:dyDescent="0.3">
      <c r="B64" s="161"/>
      <c r="C64" s="113"/>
      <c r="D64" s="113"/>
      <c r="E64" s="113"/>
      <c r="F64" s="162"/>
    </row>
    <row r="65" spans="2:6" ht="15" customHeight="1" x14ac:dyDescent="0.3">
      <c r="B65" s="161"/>
      <c r="C65" s="113"/>
      <c r="D65" s="113"/>
      <c r="E65" s="113"/>
      <c r="F65" s="162"/>
    </row>
    <row r="66" spans="2:6" ht="15" customHeight="1" x14ac:dyDescent="0.3">
      <c r="B66" s="161"/>
      <c r="C66" s="113"/>
      <c r="D66" s="113"/>
      <c r="E66" s="113"/>
      <c r="F66" s="162"/>
    </row>
    <row r="67" spans="2:6" ht="15" customHeight="1" x14ac:dyDescent="0.3">
      <c r="B67" s="161"/>
      <c r="C67" s="113"/>
      <c r="D67" s="113"/>
      <c r="E67" s="113"/>
      <c r="F67" s="162"/>
    </row>
    <row r="68" spans="2:6" ht="15" customHeight="1" x14ac:dyDescent="0.3">
      <c r="B68" s="161"/>
      <c r="C68" s="113"/>
      <c r="D68" s="113"/>
      <c r="E68" s="113"/>
      <c r="F68" s="162"/>
    </row>
    <row r="69" spans="2:6" ht="15" customHeight="1" x14ac:dyDescent="0.3">
      <c r="B69" s="161"/>
      <c r="C69" s="113"/>
      <c r="D69" s="113"/>
      <c r="E69" s="113"/>
      <c r="F69" s="162"/>
    </row>
    <row r="70" spans="2:6" ht="15" customHeight="1" x14ac:dyDescent="0.3">
      <c r="B70" s="161"/>
      <c r="C70" s="113"/>
      <c r="D70" s="113"/>
      <c r="E70" s="113"/>
      <c r="F70" s="162"/>
    </row>
    <row r="71" spans="2:6" ht="15" customHeight="1" x14ac:dyDescent="0.3">
      <c r="B71" s="161"/>
      <c r="C71" s="113"/>
      <c r="D71" s="113"/>
      <c r="E71" s="113"/>
      <c r="F71" s="162"/>
    </row>
    <row r="72" spans="2:6" ht="15" customHeight="1" x14ac:dyDescent="0.3">
      <c r="B72" s="163"/>
      <c r="C72" s="164"/>
      <c r="D72" s="164"/>
      <c r="E72" s="164"/>
      <c r="F72" s="165"/>
    </row>
    <row r="73" spans="2:6" ht="19.95" customHeight="1" x14ac:dyDescent="0.3">
      <c r="B73" s="151" t="s">
        <v>2028</v>
      </c>
      <c r="C73" s="113"/>
      <c r="D73" s="113"/>
      <c r="E73" s="113"/>
      <c r="F73" s="113"/>
    </row>
    <row r="74" spans="2:6" ht="6" customHeight="1" x14ac:dyDescent="0.3"/>
    <row r="75" spans="2:6" ht="15" customHeight="1" x14ac:dyDescent="0.3">
      <c r="B75" s="158" t="s">
        <v>2029</v>
      </c>
      <c r="C75" s="159"/>
      <c r="D75" s="159"/>
      <c r="E75" s="159"/>
      <c r="F75" s="160"/>
    </row>
    <row r="76" spans="2:6" ht="15" customHeight="1" x14ac:dyDescent="0.3">
      <c r="B76" s="161"/>
      <c r="C76" s="113"/>
      <c r="D76" s="113"/>
      <c r="E76" s="113"/>
      <c r="F76" s="162"/>
    </row>
    <row r="77" spans="2:6" ht="15" customHeight="1" x14ac:dyDescent="0.3">
      <c r="B77" s="161"/>
      <c r="C77" s="113"/>
      <c r="D77" s="113"/>
      <c r="E77" s="113"/>
      <c r="F77" s="162"/>
    </row>
    <row r="78" spans="2:6" ht="15" customHeight="1" x14ac:dyDescent="0.3">
      <c r="B78" s="161"/>
      <c r="C78" s="113"/>
      <c r="D78" s="113"/>
      <c r="E78" s="113"/>
      <c r="F78" s="162"/>
    </row>
    <row r="79" spans="2:6" ht="15" customHeight="1" x14ac:dyDescent="0.3">
      <c r="B79" s="161"/>
      <c r="C79" s="113"/>
      <c r="D79" s="113"/>
      <c r="E79" s="113"/>
      <c r="F79" s="162"/>
    </row>
    <row r="80" spans="2:6" ht="15" customHeight="1" x14ac:dyDescent="0.3">
      <c r="B80" s="161"/>
      <c r="C80" s="113"/>
      <c r="D80" s="113"/>
      <c r="E80" s="113"/>
      <c r="F80" s="162"/>
    </row>
    <row r="81" spans="2:6" ht="15" customHeight="1" x14ac:dyDescent="0.3">
      <c r="B81" s="161"/>
      <c r="C81" s="113"/>
      <c r="D81" s="113"/>
      <c r="E81" s="113"/>
      <c r="F81" s="162"/>
    </row>
    <row r="82" spans="2:6" ht="15" customHeight="1" x14ac:dyDescent="0.3">
      <c r="B82" s="161"/>
      <c r="C82" s="113"/>
      <c r="D82" s="113"/>
      <c r="E82" s="113"/>
      <c r="F82" s="162"/>
    </row>
    <row r="83" spans="2:6" ht="15" customHeight="1" x14ac:dyDescent="0.3">
      <c r="B83" s="161"/>
      <c r="C83" s="113"/>
      <c r="D83" s="113"/>
      <c r="E83" s="113"/>
      <c r="F83" s="162"/>
    </row>
    <row r="84" spans="2:6" ht="15" customHeight="1" x14ac:dyDescent="0.3">
      <c r="B84" s="161"/>
      <c r="C84" s="113"/>
      <c r="D84" s="113"/>
      <c r="E84" s="113"/>
      <c r="F84" s="162"/>
    </row>
    <row r="85" spans="2:6" ht="15" customHeight="1" x14ac:dyDescent="0.3">
      <c r="B85" s="161"/>
      <c r="C85" s="113"/>
      <c r="D85" s="113"/>
      <c r="E85" s="113"/>
      <c r="F85" s="162"/>
    </row>
    <row r="86" spans="2:6" ht="15" customHeight="1" x14ac:dyDescent="0.3">
      <c r="B86" s="161"/>
      <c r="C86" s="113"/>
      <c r="D86" s="113"/>
      <c r="E86" s="113"/>
      <c r="F86" s="162"/>
    </row>
    <row r="87" spans="2:6" ht="15" customHeight="1" x14ac:dyDescent="0.3">
      <c r="B87" s="161"/>
      <c r="C87" s="113"/>
      <c r="D87" s="113"/>
      <c r="E87" s="113"/>
      <c r="F87" s="162"/>
    </row>
    <row r="88" spans="2:6" ht="15" customHeight="1" x14ac:dyDescent="0.3">
      <c r="B88" s="161"/>
      <c r="C88" s="113"/>
      <c r="D88" s="113"/>
      <c r="E88" s="113"/>
      <c r="F88" s="162"/>
    </row>
    <row r="89" spans="2:6" ht="15" customHeight="1" x14ac:dyDescent="0.3">
      <c r="B89" s="161"/>
      <c r="C89" s="113"/>
      <c r="D89" s="113"/>
      <c r="E89" s="113"/>
      <c r="F89" s="162"/>
    </row>
    <row r="90" spans="2:6" ht="15" customHeight="1" x14ac:dyDescent="0.3">
      <c r="B90" s="161"/>
      <c r="C90" s="113"/>
      <c r="D90" s="113"/>
      <c r="E90" s="113"/>
      <c r="F90" s="162"/>
    </row>
    <row r="91" spans="2:6" ht="15" customHeight="1" x14ac:dyDescent="0.3">
      <c r="B91" s="161"/>
      <c r="C91" s="113"/>
      <c r="D91" s="113"/>
      <c r="E91" s="113"/>
      <c r="F91" s="162"/>
    </row>
    <row r="92" spans="2:6" ht="15" customHeight="1" x14ac:dyDescent="0.3">
      <c r="B92" s="161"/>
      <c r="C92" s="113"/>
      <c r="D92" s="113"/>
      <c r="E92" s="113"/>
      <c r="F92" s="162"/>
    </row>
    <row r="93" spans="2:6" ht="15" customHeight="1" x14ac:dyDescent="0.3">
      <c r="B93" s="161"/>
      <c r="C93" s="113"/>
      <c r="D93" s="113"/>
      <c r="E93" s="113"/>
      <c r="F93" s="162"/>
    </row>
    <row r="94" spans="2:6" ht="15" customHeight="1" x14ac:dyDescent="0.3">
      <c r="B94" s="161"/>
      <c r="C94" s="113"/>
      <c r="D94" s="113"/>
      <c r="E94" s="113"/>
      <c r="F94" s="162"/>
    </row>
    <row r="95" spans="2:6" ht="15" customHeight="1" x14ac:dyDescent="0.3">
      <c r="B95" s="161"/>
      <c r="C95" s="113"/>
      <c r="D95" s="113"/>
      <c r="E95" s="113"/>
      <c r="F95" s="162"/>
    </row>
    <row r="96" spans="2:6" ht="15" customHeight="1" x14ac:dyDescent="0.3">
      <c r="B96" s="163"/>
      <c r="C96" s="164"/>
      <c r="D96" s="164"/>
      <c r="E96" s="164"/>
      <c r="F96" s="165"/>
    </row>
    <row r="97" spans="2:6" ht="19.95" customHeight="1" x14ac:dyDescent="0.3">
      <c r="B97" s="151" t="s">
        <v>2030</v>
      </c>
      <c r="C97" s="113"/>
      <c r="D97" s="113"/>
      <c r="E97" s="113"/>
      <c r="F97" s="113"/>
    </row>
    <row r="98" spans="2:6" ht="6" customHeight="1" x14ac:dyDescent="0.3"/>
    <row r="99" spans="2:6" ht="12" customHeight="1" x14ac:dyDescent="0.3"/>
    <row r="100" spans="2:6" ht="27" customHeight="1" x14ac:dyDescent="0.3">
      <c r="B100" s="128" t="s">
        <v>2031</v>
      </c>
      <c r="C100" s="124"/>
      <c r="D100" s="124"/>
      <c r="E100" s="124"/>
      <c r="F100" s="124"/>
    </row>
    <row r="101" spans="2:6" ht="4.95" customHeight="1" x14ac:dyDescent="0.3"/>
    <row r="102" spans="2:6" ht="22.05" customHeight="1" x14ac:dyDescent="0.3">
      <c r="B102" s="144" t="s">
        <v>2032</v>
      </c>
      <c r="C102" s="145"/>
      <c r="D102" s="144" t="s">
        <v>2033</v>
      </c>
      <c r="E102" s="145"/>
      <c r="F102" s="7" t="s">
        <v>1637</v>
      </c>
    </row>
    <row r="103" spans="2:6" ht="19.95" customHeight="1" x14ac:dyDescent="0.3">
      <c r="B103" s="174" t="s">
        <v>2034</v>
      </c>
      <c r="C103" s="111"/>
      <c r="D103" s="130" t="s">
        <v>2035</v>
      </c>
      <c r="E103" s="111"/>
      <c r="F103" s="10" t="s">
        <v>2036</v>
      </c>
    </row>
    <row r="104" spans="2:6" ht="33.75" customHeight="1" x14ac:dyDescent="0.3">
      <c r="B104" s="173" t="s">
        <v>2037</v>
      </c>
      <c r="C104" s="133"/>
      <c r="D104" s="132" t="s">
        <v>2038</v>
      </c>
      <c r="E104" s="133"/>
      <c r="F104" s="13" t="s">
        <v>2039</v>
      </c>
    </row>
    <row r="105" spans="2:6" ht="19.95" customHeight="1" x14ac:dyDescent="0.3">
      <c r="B105" s="174" t="s">
        <v>2040</v>
      </c>
      <c r="C105" s="111"/>
      <c r="D105" s="130" t="s">
        <v>2041</v>
      </c>
      <c r="E105" s="111"/>
      <c r="F105" s="10" t="s">
        <v>2042</v>
      </c>
    </row>
    <row r="106" spans="2:6" ht="19.95" customHeight="1" x14ac:dyDescent="0.3">
      <c r="B106" s="173" t="s">
        <v>2043</v>
      </c>
      <c r="C106" s="133"/>
      <c r="D106" s="132" t="s">
        <v>2044</v>
      </c>
      <c r="E106" s="133"/>
      <c r="F106" s="13" t="s">
        <v>2045</v>
      </c>
    </row>
    <row r="107" spans="2:6" ht="33.75" customHeight="1" x14ac:dyDescent="0.3">
      <c r="B107" s="174" t="s">
        <v>2046</v>
      </c>
      <c r="C107" s="111"/>
      <c r="D107" s="130" t="s">
        <v>2047</v>
      </c>
      <c r="E107" s="111"/>
      <c r="F107" s="10" t="s">
        <v>2048</v>
      </c>
    </row>
    <row r="108" spans="2:6" ht="6" customHeight="1" x14ac:dyDescent="0.3"/>
    <row r="109" spans="2:6" ht="22.05" customHeight="1" x14ac:dyDescent="0.3">
      <c r="B109" s="37" t="s">
        <v>66</v>
      </c>
      <c r="C109" s="152" t="s">
        <v>2049</v>
      </c>
      <c r="D109" s="153"/>
      <c r="E109" s="153"/>
      <c r="F109" s="105"/>
    </row>
    <row r="110" spans="2:6" ht="4.95" customHeight="1" x14ac:dyDescent="0.3"/>
    <row r="111" spans="2:6" ht="22.05" customHeight="1" x14ac:dyDescent="0.3">
      <c r="B111" s="144" t="s">
        <v>2050</v>
      </c>
      <c r="C111" s="145"/>
      <c r="D111" s="144" t="s">
        <v>53</v>
      </c>
      <c r="E111" s="171"/>
      <c r="F111" s="145"/>
    </row>
    <row r="112" spans="2:6" ht="19.95" customHeight="1" x14ac:dyDescent="0.3">
      <c r="B112" s="174" t="s">
        <v>2051</v>
      </c>
      <c r="C112" s="111"/>
      <c r="D112" s="130" t="s">
        <v>2052</v>
      </c>
      <c r="E112" s="110"/>
      <c r="F112" s="111"/>
    </row>
    <row r="113" spans="2:6" ht="19.95" customHeight="1" x14ac:dyDescent="0.3">
      <c r="B113" s="173" t="s">
        <v>2053</v>
      </c>
      <c r="C113" s="133"/>
      <c r="D113" s="132" t="s">
        <v>2054</v>
      </c>
      <c r="E113" s="169"/>
      <c r="F113" s="133"/>
    </row>
    <row r="114" spans="2:6" ht="19.95" customHeight="1" x14ac:dyDescent="0.3">
      <c r="B114" s="174" t="s">
        <v>2055</v>
      </c>
      <c r="C114" s="111"/>
      <c r="D114" s="130" t="s">
        <v>2056</v>
      </c>
      <c r="E114" s="110"/>
      <c r="F114" s="111"/>
    </row>
    <row r="115" spans="2:6" ht="19.95" customHeight="1" x14ac:dyDescent="0.3">
      <c r="B115" s="173" t="s">
        <v>2057</v>
      </c>
      <c r="C115" s="133"/>
      <c r="D115" s="132" t="s">
        <v>2058</v>
      </c>
      <c r="E115" s="169"/>
      <c r="F115" s="133"/>
    </row>
    <row r="116" spans="2:6" ht="19.95" customHeight="1" x14ac:dyDescent="0.3">
      <c r="B116" s="174" t="s">
        <v>2059</v>
      </c>
      <c r="C116" s="111"/>
      <c r="D116" s="130" t="s">
        <v>2060</v>
      </c>
      <c r="E116" s="110"/>
      <c r="F116" s="111"/>
    </row>
    <row r="117" spans="2:6" ht="33.75" customHeight="1" x14ac:dyDescent="0.3">
      <c r="B117" s="173" t="s">
        <v>2061</v>
      </c>
      <c r="C117" s="133"/>
      <c r="D117" s="132" t="s">
        <v>2062</v>
      </c>
      <c r="E117" s="169"/>
      <c r="F117" s="133"/>
    </row>
    <row r="118" spans="2:6" ht="6" customHeight="1" x14ac:dyDescent="0.3"/>
    <row r="119" spans="2:6" ht="12" customHeight="1" x14ac:dyDescent="0.3"/>
    <row r="120" spans="2:6" ht="27" customHeight="1" x14ac:dyDescent="0.3">
      <c r="B120" s="128" t="s">
        <v>2063</v>
      </c>
      <c r="C120" s="124"/>
      <c r="D120" s="124"/>
      <c r="E120" s="124"/>
      <c r="F120" s="124"/>
    </row>
    <row r="121" spans="2:6" ht="4.95" customHeight="1" x14ac:dyDescent="0.3"/>
    <row r="122" spans="2:6" ht="33.75" customHeight="1" x14ac:dyDescent="0.3">
      <c r="B122" s="129" t="s">
        <v>2064</v>
      </c>
      <c r="C122" s="113"/>
      <c r="D122" s="113"/>
      <c r="E122" s="113"/>
      <c r="F122" s="113"/>
    </row>
    <row r="123" spans="2:6" ht="12" customHeight="1" x14ac:dyDescent="0.3"/>
    <row r="124" spans="2:6" ht="27" customHeight="1" x14ac:dyDescent="0.3">
      <c r="B124" s="128" t="s">
        <v>2065</v>
      </c>
      <c r="C124" s="124"/>
      <c r="D124" s="124"/>
      <c r="E124" s="124"/>
      <c r="F124" s="124"/>
    </row>
    <row r="125" spans="2:6" ht="4.95" customHeight="1" x14ac:dyDescent="0.3"/>
    <row r="126" spans="2:6" ht="22.05" customHeight="1" x14ac:dyDescent="0.3">
      <c r="B126" s="144" t="s">
        <v>1715</v>
      </c>
      <c r="C126" s="145"/>
      <c r="D126" s="7" t="s">
        <v>784</v>
      </c>
      <c r="E126" s="7" t="s">
        <v>1604</v>
      </c>
      <c r="F126" s="7" t="s">
        <v>1195</v>
      </c>
    </row>
    <row r="127" spans="2:6" ht="33.75" customHeight="1" x14ac:dyDescent="0.3">
      <c r="B127" s="174" t="s">
        <v>2066</v>
      </c>
      <c r="C127" s="111"/>
      <c r="D127" s="10" t="s">
        <v>2067</v>
      </c>
      <c r="E127" s="10" t="s">
        <v>2068</v>
      </c>
      <c r="F127" s="10" t="s">
        <v>2069</v>
      </c>
    </row>
    <row r="128" spans="2:6" ht="33.75" customHeight="1" x14ac:dyDescent="0.3">
      <c r="B128" s="173" t="s">
        <v>2070</v>
      </c>
      <c r="C128" s="133"/>
      <c r="D128" s="13" t="s">
        <v>2071</v>
      </c>
      <c r="E128" s="13" t="s">
        <v>2072</v>
      </c>
      <c r="F128" s="13" t="s">
        <v>2073</v>
      </c>
    </row>
    <row r="129" spans="2:6" ht="6" customHeight="1" x14ac:dyDescent="0.3"/>
    <row r="130" spans="2:6" ht="12" customHeight="1" x14ac:dyDescent="0.3"/>
    <row r="131" spans="2:6" ht="27" customHeight="1" x14ac:dyDescent="0.3">
      <c r="B131" s="128" t="s">
        <v>2074</v>
      </c>
      <c r="C131" s="124"/>
      <c r="D131" s="124"/>
      <c r="E131" s="124"/>
      <c r="F131" s="124"/>
    </row>
    <row r="132" spans="2:6" ht="4.95" customHeight="1" x14ac:dyDescent="0.3"/>
    <row r="133" spans="2:6" ht="22.05" customHeight="1" x14ac:dyDescent="0.3">
      <c r="B133" s="144" t="s">
        <v>2075</v>
      </c>
      <c r="C133" s="145"/>
      <c r="D133" s="7" t="s">
        <v>540</v>
      </c>
      <c r="E133" s="7" t="s">
        <v>1942</v>
      </c>
      <c r="F133" s="7" t="s">
        <v>2076</v>
      </c>
    </row>
    <row r="134" spans="2:6" ht="33.75" customHeight="1" x14ac:dyDescent="0.3">
      <c r="B134" s="130" t="s">
        <v>2077</v>
      </c>
      <c r="C134" s="111"/>
      <c r="D134" s="23" t="s">
        <v>2078</v>
      </c>
      <c r="E134" s="10" t="s">
        <v>2079</v>
      </c>
      <c r="F134" s="10" t="s">
        <v>2080</v>
      </c>
    </row>
    <row r="135" spans="2:6" ht="19.95" customHeight="1" x14ac:dyDescent="0.3">
      <c r="B135" s="132" t="s">
        <v>2077</v>
      </c>
      <c r="C135" s="133"/>
      <c r="D135" s="23" t="s">
        <v>2081</v>
      </c>
      <c r="E135" s="13" t="s">
        <v>2082</v>
      </c>
      <c r="F135" s="13" t="s">
        <v>2083</v>
      </c>
    </row>
    <row r="136" spans="2:6" ht="33.75" customHeight="1" x14ac:dyDescent="0.3">
      <c r="B136" s="130" t="s">
        <v>2077</v>
      </c>
      <c r="C136" s="111"/>
      <c r="D136" s="23" t="s">
        <v>2084</v>
      </c>
      <c r="E136" s="10" t="s">
        <v>2085</v>
      </c>
      <c r="F136" s="10" t="s">
        <v>2086</v>
      </c>
    </row>
    <row r="137" spans="2:6" ht="33.75" customHeight="1" x14ac:dyDescent="0.3">
      <c r="B137" s="132" t="s">
        <v>2077</v>
      </c>
      <c r="C137" s="133"/>
      <c r="D137" s="23" t="s">
        <v>2087</v>
      </c>
      <c r="E137" s="13" t="s">
        <v>2088</v>
      </c>
      <c r="F137" s="13" t="s">
        <v>2089</v>
      </c>
    </row>
    <row r="138" spans="2:6" ht="19.95" customHeight="1" x14ac:dyDescent="0.3">
      <c r="B138" s="130" t="s">
        <v>2090</v>
      </c>
      <c r="C138" s="111"/>
      <c r="D138" s="23" t="s">
        <v>2091</v>
      </c>
      <c r="E138" s="10" t="s">
        <v>2092</v>
      </c>
      <c r="F138" s="10" t="s">
        <v>2093</v>
      </c>
    </row>
    <row r="139" spans="2:6" ht="33.75" customHeight="1" x14ac:dyDescent="0.3">
      <c r="B139" s="132" t="s">
        <v>2090</v>
      </c>
      <c r="C139" s="133"/>
      <c r="D139" s="23" t="s">
        <v>2094</v>
      </c>
      <c r="E139" s="13" t="s">
        <v>2095</v>
      </c>
      <c r="F139" s="13" t="s">
        <v>2096</v>
      </c>
    </row>
    <row r="140" spans="2:6" ht="19.95" customHeight="1" x14ac:dyDescent="0.3">
      <c r="B140" s="130" t="s">
        <v>2090</v>
      </c>
      <c r="C140" s="111"/>
      <c r="D140" s="23" t="s">
        <v>2097</v>
      </c>
      <c r="E140" s="10" t="s">
        <v>2098</v>
      </c>
      <c r="F140" s="10" t="s">
        <v>2099</v>
      </c>
    </row>
    <row r="141" spans="2:6" ht="19.95" customHeight="1" x14ac:dyDescent="0.3">
      <c r="B141" s="132" t="s">
        <v>2090</v>
      </c>
      <c r="C141" s="133"/>
      <c r="D141" s="23" t="s">
        <v>2100</v>
      </c>
      <c r="E141" s="13" t="s">
        <v>2101</v>
      </c>
      <c r="F141" s="13" t="s">
        <v>2102</v>
      </c>
    </row>
    <row r="142" spans="2:6" ht="48.15" customHeight="1" x14ac:dyDescent="0.3">
      <c r="B142" s="130" t="s">
        <v>2090</v>
      </c>
      <c r="C142" s="111"/>
      <c r="D142" s="23" t="s">
        <v>2103</v>
      </c>
      <c r="E142" s="10" t="s">
        <v>2104</v>
      </c>
      <c r="F142" s="10" t="s">
        <v>2105</v>
      </c>
    </row>
    <row r="143" spans="2:6" ht="6" customHeight="1" x14ac:dyDescent="0.3"/>
    <row r="144" spans="2:6" ht="22.05" customHeight="1" x14ac:dyDescent="0.3">
      <c r="B144" s="37" t="s">
        <v>66</v>
      </c>
      <c r="C144" s="152" t="s">
        <v>2106</v>
      </c>
      <c r="D144" s="153"/>
      <c r="E144" s="153"/>
      <c r="F144" s="105"/>
    </row>
    <row r="145" spans="2:6" ht="4.95" customHeight="1" x14ac:dyDescent="0.3"/>
    <row r="146" spans="2:6" ht="12" customHeight="1" x14ac:dyDescent="0.3"/>
    <row r="147" spans="2:6" ht="27" customHeight="1" x14ac:dyDescent="0.3">
      <c r="B147" s="128" t="s">
        <v>2107</v>
      </c>
      <c r="C147" s="124"/>
      <c r="D147" s="124"/>
      <c r="E147" s="124"/>
      <c r="F147" s="124"/>
    </row>
    <row r="148" spans="2:6" ht="4.95" customHeight="1" x14ac:dyDescent="0.3"/>
    <row r="149" spans="2:6" ht="22.05" customHeight="1" x14ac:dyDescent="0.3">
      <c r="B149" s="7" t="s">
        <v>73</v>
      </c>
      <c r="C149" s="7" t="s">
        <v>159</v>
      </c>
      <c r="D149" s="7" t="s">
        <v>160</v>
      </c>
      <c r="E149" s="7" t="s">
        <v>161</v>
      </c>
      <c r="F149" s="7" t="s">
        <v>162</v>
      </c>
    </row>
    <row r="150" spans="2:6" ht="33.75" customHeight="1" x14ac:dyDescent="0.3">
      <c r="B150" s="8" t="s">
        <v>77</v>
      </c>
      <c r="C150" s="14" t="s">
        <v>2108</v>
      </c>
      <c r="D150" s="10" t="s">
        <v>2109</v>
      </c>
      <c r="E150" s="10"/>
      <c r="F150" s="10" t="s">
        <v>2110</v>
      </c>
    </row>
    <row r="151" spans="2:6" ht="19.95" customHeight="1" x14ac:dyDescent="0.3">
      <c r="B151" s="11" t="s">
        <v>81</v>
      </c>
      <c r="C151" s="15" t="s">
        <v>2111</v>
      </c>
      <c r="D151" s="13" t="s">
        <v>2112</v>
      </c>
      <c r="E151" s="13"/>
      <c r="F151" s="13" t="s">
        <v>2113</v>
      </c>
    </row>
    <row r="152" spans="2:6" ht="19.95" customHeight="1" x14ac:dyDescent="0.3">
      <c r="B152" s="8" t="s">
        <v>85</v>
      </c>
      <c r="C152" s="14" t="s">
        <v>708</v>
      </c>
      <c r="D152" s="10" t="s">
        <v>2114</v>
      </c>
      <c r="E152" s="10"/>
      <c r="F152" s="10" t="s">
        <v>2115</v>
      </c>
    </row>
    <row r="153" spans="2:6" ht="6" customHeight="1" x14ac:dyDescent="0.3"/>
  </sheetData>
  <mergeCells count="66">
    <mergeCell ref="B126:C126"/>
    <mergeCell ref="B97:F97"/>
    <mergeCell ref="B113:C113"/>
    <mergeCell ref="B147:F147"/>
    <mergeCell ref="C11:D11"/>
    <mergeCell ref="B103:C103"/>
    <mergeCell ref="D106:E106"/>
    <mergeCell ref="D103:E103"/>
    <mergeCell ref="B19:F19"/>
    <mergeCell ref="B128:C128"/>
    <mergeCell ref="B137:C137"/>
    <mergeCell ref="D102:E102"/>
    <mergeCell ref="C109:F109"/>
    <mergeCell ref="D115:F115"/>
    <mergeCell ref="B127:C127"/>
    <mergeCell ref="B49:F49"/>
    <mergeCell ref="B139:C139"/>
    <mergeCell ref="B104:C104"/>
    <mergeCell ref="B142:C142"/>
    <mergeCell ref="B1:F1"/>
    <mergeCell ref="B8:F8"/>
    <mergeCell ref="D114:F114"/>
    <mergeCell ref="D117:F117"/>
    <mergeCell ref="B75:F96"/>
    <mergeCell ref="C12:D12"/>
    <mergeCell ref="B73:F73"/>
    <mergeCell ref="D113:F113"/>
    <mergeCell ref="B116:C116"/>
    <mergeCell ref="B112:C112"/>
    <mergeCell ref="B2:E2"/>
    <mergeCell ref="B6:F6"/>
    <mergeCell ref="B114:C114"/>
    <mergeCell ref="D111:F111"/>
    <mergeCell ref="C13:D13"/>
    <mergeCell ref="C144:F144"/>
    <mergeCell ref="B141:C141"/>
    <mergeCell ref="C14:D14"/>
    <mergeCell ref="B115:C115"/>
    <mergeCell ref="B122:F122"/>
    <mergeCell ref="B102:C102"/>
    <mergeCell ref="B131:F131"/>
    <mergeCell ref="B140:C140"/>
    <mergeCell ref="B105:C105"/>
    <mergeCell ref="D105:E105"/>
    <mergeCell ref="D112:F112"/>
    <mergeCell ref="B106:C106"/>
    <mergeCell ref="C16:D16"/>
    <mergeCell ref="D104:E104"/>
    <mergeCell ref="B117:C117"/>
    <mergeCell ref="B136:C136"/>
    <mergeCell ref="B4:F4"/>
    <mergeCell ref="B135:C135"/>
    <mergeCell ref="B138:C138"/>
    <mergeCell ref="B33:F48"/>
    <mergeCell ref="B100:F100"/>
    <mergeCell ref="C15:D15"/>
    <mergeCell ref="D116:F116"/>
    <mergeCell ref="B134:C134"/>
    <mergeCell ref="C10:D10"/>
    <mergeCell ref="B51:F72"/>
    <mergeCell ref="B111:C111"/>
    <mergeCell ref="B120:F120"/>
    <mergeCell ref="B107:C107"/>
    <mergeCell ref="D107:E107"/>
    <mergeCell ref="B124:F124"/>
    <mergeCell ref="B133:C133"/>
  </mergeCells>
  <phoneticPr fontId="27"/>
  <dataValidations count="1">
    <dataValidation type="list" allowBlank="1" error="リストから選択してください" prompt="リストから選択" sqref="F11 F12 F13 F14 F15 F16" xr:uid="{00000000-0002-0000-0800-000000000000}">
      <formula1>"未,済"</formula1>
    </dataValidation>
  </dataValidations>
  <hyperlinks>
    <hyperlink ref="F2" location="'目次'!A1" display="▲ 目次へ戻る" xr:uid="{00000000-0004-0000-08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11:B16 B22:B31 B150:B15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04040"/>
    <pageSetUpPr fitToPage="1"/>
  </sheetPr>
  <dimension ref="B1:F166"/>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2116</v>
      </c>
      <c r="C1" s="118"/>
      <c r="D1" s="118"/>
      <c r="E1" s="118"/>
      <c r="F1" s="118"/>
    </row>
    <row r="2" spans="2:6" ht="24" customHeight="1" x14ac:dyDescent="0.3">
      <c r="B2" s="141" t="s">
        <v>2117</v>
      </c>
      <c r="C2" s="113"/>
      <c r="D2" s="113"/>
      <c r="E2" s="113"/>
      <c r="F2" s="4" t="s">
        <v>38</v>
      </c>
    </row>
    <row r="3" spans="2:6" ht="12" customHeight="1" x14ac:dyDescent="0.3"/>
    <row r="4" spans="2:6" ht="27" customHeight="1" x14ac:dyDescent="0.3">
      <c r="B4" s="128" t="s">
        <v>2118</v>
      </c>
      <c r="C4" s="124"/>
      <c r="D4" s="124"/>
      <c r="E4" s="124"/>
      <c r="F4" s="124"/>
    </row>
    <row r="5" spans="2:6" ht="4.95" customHeight="1" x14ac:dyDescent="0.3"/>
    <row r="6" spans="2:6" ht="22.05" customHeight="1" x14ac:dyDescent="0.3">
      <c r="B6" s="144" t="s">
        <v>2119</v>
      </c>
      <c r="C6" s="145"/>
      <c r="D6" s="7" t="s">
        <v>2120</v>
      </c>
      <c r="E6" s="7" t="s">
        <v>53</v>
      </c>
      <c r="F6" s="7" t="s">
        <v>2121</v>
      </c>
    </row>
    <row r="7" spans="2:6" ht="19.95" customHeight="1" x14ac:dyDescent="0.3">
      <c r="B7" s="174" t="s">
        <v>2122</v>
      </c>
      <c r="C7" s="111"/>
      <c r="D7" s="10" t="s">
        <v>2123</v>
      </c>
      <c r="E7" s="10" t="s">
        <v>2124</v>
      </c>
      <c r="F7" s="10" t="s">
        <v>2125</v>
      </c>
    </row>
    <row r="8" spans="2:6" ht="19.95" customHeight="1" x14ac:dyDescent="0.3">
      <c r="B8" s="173" t="s">
        <v>2126</v>
      </c>
      <c r="C8" s="133"/>
      <c r="D8" s="13" t="s">
        <v>2127</v>
      </c>
      <c r="E8" s="13" t="s">
        <v>2128</v>
      </c>
      <c r="F8" s="13" t="s">
        <v>2129</v>
      </c>
    </row>
    <row r="9" spans="2:6" ht="33.75" customHeight="1" x14ac:dyDescent="0.3">
      <c r="B9" s="174" t="s">
        <v>2130</v>
      </c>
      <c r="C9" s="111"/>
      <c r="D9" s="10" t="s">
        <v>2131</v>
      </c>
      <c r="E9" s="10" t="s">
        <v>2132</v>
      </c>
      <c r="F9" s="10" t="s">
        <v>2133</v>
      </c>
    </row>
    <row r="10" spans="2:6" ht="19.95" customHeight="1" x14ac:dyDescent="0.3">
      <c r="B10" s="173" t="s">
        <v>2134</v>
      </c>
      <c r="C10" s="133"/>
      <c r="D10" s="13" t="s">
        <v>2135</v>
      </c>
      <c r="E10" s="13" t="s">
        <v>2136</v>
      </c>
      <c r="F10" s="13" t="s">
        <v>2137</v>
      </c>
    </row>
    <row r="11" spans="2:6" ht="33.75" customHeight="1" x14ac:dyDescent="0.3">
      <c r="B11" s="174" t="s">
        <v>2138</v>
      </c>
      <c r="C11" s="111"/>
      <c r="D11" s="10" t="s">
        <v>2139</v>
      </c>
      <c r="E11" s="10" t="s">
        <v>2140</v>
      </c>
      <c r="F11" s="10" t="s">
        <v>2141</v>
      </c>
    </row>
    <row r="12" spans="2:6" ht="19.95" customHeight="1" x14ac:dyDescent="0.3">
      <c r="B12" s="173" t="s">
        <v>2142</v>
      </c>
      <c r="C12" s="133"/>
      <c r="D12" s="13" t="s">
        <v>2143</v>
      </c>
      <c r="E12" s="13" t="s">
        <v>2144</v>
      </c>
      <c r="F12" s="13" t="s">
        <v>2145</v>
      </c>
    </row>
    <row r="13" spans="2:6" ht="19.95" customHeight="1" x14ac:dyDescent="0.3">
      <c r="B13" s="174" t="s">
        <v>2146</v>
      </c>
      <c r="C13" s="111"/>
      <c r="D13" s="10" t="s">
        <v>2147</v>
      </c>
      <c r="E13" s="10" t="s">
        <v>2148</v>
      </c>
      <c r="F13" s="10" t="s">
        <v>2149</v>
      </c>
    </row>
    <row r="14" spans="2:6" ht="33.75" customHeight="1" x14ac:dyDescent="0.3">
      <c r="B14" s="173" t="s">
        <v>2150</v>
      </c>
      <c r="C14" s="133"/>
      <c r="D14" s="13" t="s">
        <v>2151</v>
      </c>
      <c r="E14" s="13" t="s">
        <v>2152</v>
      </c>
      <c r="F14" s="13" t="s">
        <v>2153</v>
      </c>
    </row>
    <row r="15" spans="2:6" ht="19.95" customHeight="1" x14ac:dyDescent="0.3">
      <c r="B15" s="174" t="s">
        <v>2154</v>
      </c>
      <c r="C15" s="111"/>
      <c r="D15" s="10" t="s">
        <v>2155</v>
      </c>
      <c r="E15" s="10" t="s">
        <v>2156</v>
      </c>
      <c r="F15" s="10" t="s">
        <v>2157</v>
      </c>
    </row>
    <row r="16" spans="2:6" ht="19.95" customHeight="1" x14ac:dyDescent="0.3">
      <c r="B16" s="173" t="s">
        <v>2158</v>
      </c>
      <c r="C16" s="133"/>
      <c r="D16" s="13" t="s">
        <v>2159</v>
      </c>
      <c r="E16" s="13" t="s">
        <v>2160</v>
      </c>
      <c r="F16" s="13"/>
    </row>
    <row r="17" spans="2:6" ht="19.95" customHeight="1" x14ac:dyDescent="0.3">
      <c r="B17" s="174" t="s">
        <v>2161</v>
      </c>
      <c r="C17" s="111"/>
      <c r="D17" s="10" t="s">
        <v>2162</v>
      </c>
      <c r="E17" s="10" t="s">
        <v>2163</v>
      </c>
      <c r="F17" s="10" t="s">
        <v>2164</v>
      </c>
    </row>
    <row r="18" spans="2:6" ht="19.95" customHeight="1" x14ac:dyDescent="0.3">
      <c r="B18" s="173" t="s">
        <v>2165</v>
      </c>
      <c r="C18" s="133"/>
      <c r="D18" s="13" t="s">
        <v>2166</v>
      </c>
      <c r="E18" s="13" t="s">
        <v>2167</v>
      </c>
      <c r="F18" s="13" t="s">
        <v>2168</v>
      </c>
    </row>
    <row r="19" spans="2:6" ht="6" customHeight="1" x14ac:dyDescent="0.3"/>
    <row r="20" spans="2:6" ht="3" customHeight="1" x14ac:dyDescent="0.3"/>
    <row r="21" spans="2:6" ht="21" customHeight="1" x14ac:dyDescent="0.3">
      <c r="B21" s="178" t="s">
        <v>2169</v>
      </c>
      <c r="C21" s="179"/>
      <c r="D21" s="179"/>
      <c r="E21" s="179"/>
      <c r="F21" s="179"/>
    </row>
    <row r="22" spans="2:6" ht="3" customHeight="1" x14ac:dyDescent="0.3"/>
    <row r="23" spans="2:6" ht="22.05" customHeight="1" x14ac:dyDescent="0.3">
      <c r="B23" s="144" t="s">
        <v>2170</v>
      </c>
      <c r="C23" s="145"/>
      <c r="D23" s="144" t="s">
        <v>2171</v>
      </c>
      <c r="E23" s="145"/>
      <c r="F23" s="7" t="s">
        <v>2172</v>
      </c>
    </row>
    <row r="24" spans="2:6" ht="19.95" customHeight="1" x14ac:dyDescent="0.3">
      <c r="B24" s="174" t="s">
        <v>2173</v>
      </c>
      <c r="C24" s="111"/>
      <c r="D24" s="130" t="s">
        <v>2174</v>
      </c>
      <c r="E24" s="111"/>
      <c r="F24" s="10" t="s">
        <v>2175</v>
      </c>
    </row>
    <row r="25" spans="2:6" ht="19.95" customHeight="1" x14ac:dyDescent="0.3">
      <c r="B25" s="173" t="s">
        <v>2176</v>
      </c>
      <c r="C25" s="133"/>
      <c r="D25" s="132" t="s">
        <v>2177</v>
      </c>
      <c r="E25" s="133"/>
      <c r="F25" s="13" t="s">
        <v>2178</v>
      </c>
    </row>
    <row r="26" spans="2:6" ht="33.75" customHeight="1" x14ac:dyDescent="0.3">
      <c r="B26" s="174" t="s">
        <v>2179</v>
      </c>
      <c r="C26" s="111"/>
      <c r="D26" s="130" t="s">
        <v>2180</v>
      </c>
      <c r="E26" s="111"/>
      <c r="F26" s="10" t="s">
        <v>2181</v>
      </c>
    </row>
    <row r="27" spans="2:6" ht="6" customHeight="1" x14ac:dyDescent="0.3"/>
    <row r="28" spans="2:6" ht="12" customHeight="1" x14ac:dyDescent="0.3"/>
    <row r="29" spans="2:6" ht="27" customHeight="1" x14ac:dyDescent="0.3">
      <c r="B29" s="128" t="s">
        <v>2182</v>
      </c>
      <c r="C29" s="124"/>
      <c r="D29" s="124"/>
      <c r="E29" s="124"/>
      <c r="F29" s="124"/>
    </row>
    <row r="30" spans="2:6" ht="4.95" customHeight="1" x14ac:dyDescent="0.3"/>
    <row r="31" spans="2:6" ht="22.05" customHeight="1" x14ac:dyDescent="0.3">
      <c r="B31" s="144" t="s">
        <v>1693</v>
      </c>
      <c r="C31" s="145"/>
      <c r="D31" s="144" t="s">
        <v>2183</v>
      </c>
      <c r="E31" s="145"/>
      <c r="F31" s="7" t="s">
        <v>2184</v>
      </c>
    </row>
    <row r="32" spans="2:6" ht="19.95" customHeight="1" x14ac:dyDescent="0.3">
      <c r="B32" s="174" t="s">
        <v>1096</v>
      </c>
      <c r="C32" s="111"/>
      <c r="D32" s="130" t="s">
        <v>2185</v>
      </c>
      <c r="E32" s="111"/>
      <c r="F32" s="10" t="s">
        <v>2186</v>
      </c>
    </row>
    <row r="33" spans="2:6" ht="33.75" customHeight="1" x14ac:dyDescent="0.3">
      <c r="B33" s="173" t="s">
        <v>1099</v>
      </c>
      <c r="C33" s="133"/>
      <c r="D33" s="132" t="s">
        <v>2187</v>
      </c>
      <c r="E33" s="133"/>
      <c r="F33" s="13" t="s">
        <v>2188</v>
      </c>
    </row>
    <row r="34" spans="2:6" ht="6" customHeight="1" x14ac:dyDescent="0.3"/>
    <row r="35" spans="2:6" ht="22.05" customHeight="1" x14ac:dyDescent="0.3">
      <c r="B35" s="22" t="s">
        <v>62</v>
      </c>
      <c r="C35" s="152" t="s">
        <v>2189</v>
      </c>
      <c r="D35" s="153"/>
      <c r="E35" s="153"/>
      <c r="F35" s="105"/>
    </row>
    <row r="36" spans="2:6" ht="4.95" customHeight="1" x14ac:dyDescent="0.3"/>
    <row r="37" spans="2:6" ht="19.350000000000001" customHeight="1" x14ac:dyDescent="0.3">
      <c r="B37" s="129" t="s">
        <v>2190</v>
      </c>
      <c r="C37" s="113"/>
      <c r="D37" s="113"/>
      <c r="E37" s="113"/>
      <c r="F37" s="113"/>
    </row>
    <row r="38" spans="2:6" ht="15" customHeight="1" x14ac:dyDescent="0.3">
      <c r="B38" s="158" t="s">
        <v>2191</v>
      </c>
      <c r="C38" s="159"/>
      <c r="D38" s="159"/>
      <c r="E38" s="159"/>
      <c r="F38" s="160"/>
    </row>
    <row r="39" spans="2:6" ht="15" customHeight="1" x14ac:dyDescent="0.3">
      <c r="B39" s="161"/>
      <c r="C39" s="113"/>
      <c r="D39" s="113"/>
      <c r="E39" s="113"/>
      <c r="F39" s="162"/>
    </row>
    <row r="40" spans="2:6" ht="15" customHeight="1" x14ac:dyDescent="0.3">
      <c r="B40" s="161"/>
      <c r="C40" s="113"/>
      <c r="D40" s="113"/>
      <c r="E40" s="113"/>
      <c r="F40" s="162"/>
    </row>
    <row r="41" spans="2:6" ht="15" customHeight="1" x14ac:dyDescent="0.3">
      <c r="B41" s="161"/>
      <c r="C41" s="113"/>
      <c r="D41" s="113"/>
      <c r="E41" s="113"/>
      <c r="F41" s="162"/>
    </row>
    <row r="42" spans="2:6" ht="15" customHeight="1" x14ac:dyDescent="0.3">
      <c r="B42" s="161"/>
      <c r="C42" s="113"/>
      <c r="D42" s="113"/>
      <c r="E42" s="113"/>
      <c r="F42" s="162"/>
    </row>
    <row r="43" spans="2:6" ht="15" customHeight="1" x14ac:dyDescent="0.3">
      <c r="B43" s="161"/>
      <c r="C43" s="113"/>
      <c r="D43" s="113"/>
      <c r="E43" s="113"/>
      <c r="F43" s="162"/>
    </row>
    <row r="44" spans="2:6" ht="15" customHeight="1" x14ac:dyDescent="0.3">
      <c r="B44" s="161"/>
      <c r="C44" s="113"/>
      <c r="D44" s="113"/>
      <c r="E44" s="113"/>
      <c r="F44" s="162"/>
    </row>
    <row r="45" spans="2:6" ht="15" customHeight="1" x14ac:dyDescent="0.3">
      <c r="B45" s="161"/>
      <c r="C45" s="113"/>
      <c r="D45" s="113"/>
      <c r="E45" s="113"/>
      <c r="F45" s="162"/>
    </row>
    <row r="46" spans="2:6" ht="15" customHeight="1" x14ac:dyDescent="0.3">
      <c r="B46" s="161"/>
      <c r="C46" s="113"/>
      <c r="D46" s="113"/>
      <c r="E46" s="113"/>
      <c r="F46" s="162"/>
    </row>
    <row r="47" spans="2:6" ht="15" customHeight="1" x14ac:dyDescent="0.3">
      <c r="B47" s="161"/>
      <c r="C47" s="113"/>
      <c r="D47" s="113"/>
      <c r="E47" s="113"/>
      <c r="F47" s="162"/>
    </row>
    <row r="48" spans="2:6" ht="15" customHeight="1" x14ac:dyDescent="0.3">
      <c r="B48" s="161"/>
      <c r="C48" s="113"/>
      <c r="D48" s="113"/>
      <c r="E48" s="113"/>
      <c r="F48" s="162"/>
    </row>
    <row r="49" spans="2:6" ht="15" customHeight="1" x14ac:dyDescent="0.3">
      <c r="B49" s="161"/>
      <c r="C49" s="113"/>
      <c r="D49" s="113"/>
      <c r="E49" s="113"/>
      <c r="F49" s="162"/>
    </row>
    <row r="50" spans="2:6" ht="15" customHeight="1" x14ac:dyDescent="0.3">
      <c r="B50" s="161"/>
      <c r="C50" s="113"/>
      <c r="D50" s="113"/>
      <c r="E50" s="113"/>
      <c r="F50" s="162"/>
    </row>
    <row r="51" spans="2:6" ht="15" customHeight="1" x14ac:dyDescent="0.3">
      <c r="B51" s="161"/>
      <c r="C51" s="113"/>
      <c r="D51" s="113"/>
      <c r="E51" s="113"/>
      <c r="F51" s="162"/>
    </row>
    <row r="52" spans="2:6" ht="15" customHeight="1" x14ac:dyDescent="0.3">
      <c r="B52" s="161"/>
      <c r="C52" s="113"/>
      <c r="D52" s="113"/>
      <c r="E52" s="113"/>
      <c r="F52" s="162"/>
    </row>
    <row r="53" spans="2:6" ht="15" customHeight="1" x14ac:dyDescent="0.3">
      <c r="B53" s="163"/>
      <c r="C53" s="164"/>
      <c r="D53" s="164"/>
      <c r="E53" s="164"/>
      <c r="F53" s="165"/>
    </row>
    <row r="54" spans="2:6" ht="19.95" customHeight="1" x14ac:dyDescent="0.3">
      <c r="B54" s="151" t="s">
        <v>2192</v>
      </c>
      <c r="C54" s="113"/>
      <c r="D54" s="113"/>
      <c r="E54" s="113"/>
      <c r="F54" s="113"/>
    </row>
    <row r="55" spans="2:6" ht="6" customHeight="1" x14ac:dyDescent="0.3"/>
    <row r="56" spans="2:6" ht="12" customHeight="1" x14ac:dyDescent="0.3"/>
    <row r="57" spans="2:6" ht="27" customHeight="1" x14ac:dyDescent="0.3">
      <c r="B57" s="128" t="s">
        <v>2193</v>
      </c>
      <c r="C57" s="124"/>
      <c r="D57" s="124"/>
      <c r="E57" s="124"/>
      <c r="F57" s="124"/>
    </row>
    <row r="58" spans="2:6" ht="4.95" customHeight="1" x14ac:dyDescent="0.3"/>
    <row r="59" spans="2:6" ht="7.05" customHeight="1" x14ac:dyDescent="0.3"/>
    <row r="60" spans="2:6" ht="22.95" customHeight="1" x14ac:dyDescent="0.3">
      <c r="B60" s="156" t="s">
        <v>2194</v>
      </c>
      <c r="C60" s="157"/>
      <c r="D60" s="157"/>
      <c r="E60" s="157"/>
      <c r="F60" s="157"/>
    </row>
    <row r="61" spans="2:6" ht="4.05" customHeight="1" x14ac:dyDescent="0.3"/>
    <row r="62" spans="2:6" ht="22.05" customHeight="1" x14ac:dyDescent="0.3">
      <c r="B62" s="144" t="s">
        <v>1715</v>
      </c>
      <c r="C62" s="145"/>
      <c r="D62" s="144" t="s">
        <v>159</v>
      </c>
      <c r="E62" s="145"/>
      <c r="F62" s="7" t="s">
        <v>1195</v>
      </c>
    </row>
    <row r="63" spans="2:6" ht="19.95" customHeight="1" x14ac:dyDescent="0.3">
      <c r="B63" s="174" t="s">
        <v>2195</v>
      </c>
      <c r="C63" s="111"/>
      <c r="D63" s="130" t="s">
        <v>2196</v>
      </c>
      <c r="E63" s="111"/>
      <c r="F63" s="10" t="s">
        <v>2197</v>
      </c>
    </row>
    <row r="64" spans="2:6" ht="19.95" customHeight="1" x14ac:dyDescent="0.3">
      <c r="B64" s="173" t="s">
        <v>2198</v>
      </c>
      <c r="C64" s="133"/>
      <c r="D64" s="132" t="s">
        <v>2199</v>
      </c>
      <c r="E64" s="133"/>
      <c r="F64" s="13" t="s">
        <v>2200</v>
      </c>
    </row>
    <row r="65" spans="2:6" ht="33.75" customHeight="1" x14ac:dyDescent="0.3">
      <c r="B65" s="174" t="s">
        <v>2201</v>
      </c>
      <c r="C65" s="111"/>
      <c r="D65" s="130" t="s">
        <v>2202</v>
      </c>
      <c r="E65" s="111"/>
      <c r="F65" s="10" t="s">
        <v>2203</v>
      </c>
    </row>
    <row r="66" spans="2:6" ht="6" customHeight="1" x14ac:dyDescent="0.3"/>
    <row r="67" spans="2:6" ht="7.05" customHeight="1" x14ac:dyDescent="0.3"/>
    <row r="68" spans="2:6" ht="22.95" customHeight="1" x14ac:dyDescent="0.3">
      <c r="B68" s="156" t="s">
        <v>2204</v>
      </c>
      <c r="C68" s="157"/>
      <c r="D68" s="157"/>
      <c r="E68" s="157"/>
      <c r="F68" s="157"/>
    </row>
    <row r="69" spans="2:6" ht="4.05" customHeight="1" x14ac:dyDescent="0.3"/>
    <row r="70" spans="2:6" ht="19.350000000000001" customHeight="1" x14ac:dyDescent="0.3">
      <c r="B70" s="129" t="s">
        <v>2205</v>
      </c>
      <c r="C70" s="113"/>
      <c r="D70" s="113"/>
      <c r="E70" s="113"/>
      <c r="F70" s="113"/>
    </row>
    <row r="71" spans="2:6" ht="15" customHeight="1" x14ac:dyDescent="0.3">
      <c r="B71" s="158" t="s">
        <v>2206</v>
      </c>
      <c r="C71" s="159"/>
      <c r="D71" s="159"/>
      <c r="E71" s="159"/>
      <c r="F71" s="160"/>
    </row>
    <row r="72" spans="2:6" ht="15" customHeight="1" x14ac:dyDescent="0.3">
      <c r="B72" s="161"/>
      <c r="C72" s="113"/>
      <c r="D72" s="113"/>
      <c r="E72" s="113"/>
      <c r="F72" s="162"/>
    </row>
    <row r="73" spans="2:6" ht="15" customHeight="1" x14ac:dyDescent="0.3">
      <c r="B73" s="161"/>
      <c r="C73" s="113"/>
      <c r="D73" s="113"/>
      <c r="E73" s="113"/>
      <c r="F73" s="162"/>
    </row>
    <row r="74" spans="2:6" ht="15" customHeight="1" x14ac:dyDescent="0.3">
      <c r="B74" s="161"/>
      <c r="C74" s="113"/>
      <c r="D74" s="113"/>
      <c r="E74" s="113"/>
      <c r="F74" s="162"/>
    </row>
    <row r="75" spans="2:6" ht="15" customHeight="1" x14ac:dyDescent="0.3">
      <c r="B75" s="161"/>
      <c r="C75" s="113"/>
      <c r="D75" s="113"/>
      <c r="E75" s="113"/>
      <c r="F75" s="162"/>
    </row>
    <row r="76" spans="2:6" ht="15" customHeight="1" x14ac:dyDescent="0.3">
      <c r="B76" s="161"/>
      <c r="C76" s="113"/>
      <c r="D76" s="113"/>
      <c r="E76" s="113"/>
      <c r="F76" s="162"/>
    </row>
    <row r="77" spans="2:6" ht="15" customHeight="1" x14ac:dyDescent="0.3">
      <c r="B77" s="161"/>
      <c r="C77" s="113"/>
      <c r="D77" s="113"/>
      <c r="E77" s="113"/>
      <c r="F77" s="162"/>
    </row>
    <row r="78" spans="2:6" ht="15" customHeight="1" x14ac:dyDescent="0.3">
      <c r="B78" s="161"/>
      <c r="C78" s="113"/>
      <c r="D78" s="113"/>
      <c r="E78" s="113"/>
      <c r="F78" s="162"/>
    </row>
    <row r="79" spans="2:6" ht="15" customHeight="1" x14ac:dyDescent="0.3">
      <c r="B79" s="161"/>
      <c r="C79" s="113"/>
      <c r="D79" s="113"/>
      <c r="E79" s="113"/>
      <c r="F79" s="162"/>
    </row>
    <row r="80" spans="2:6" ht="15" customHeight="1" x14ac:dyDescent="0.3">
      <c r="B80" s="161"/>
      <c r="C80" s="113"/>
      <c r="D80" s="113"/>
      <c r="E80" s="113"/>
      <c r="F80" s="162"/>
    </row>
    <row r="81" spans="2:6" ht="15" customHeight="1" x14ac:dyDescent="0.3">
      <c r="B81" s="161"/>
      <c r="C81" s="113"/>
      <c r="D81" s="113"/>
      <c r="E81" s="113"/>
      <c r="F81" s="162"/>
    </row>
    <row r="82" spans="2:6" ht="15" customHeight="1" x14ac:dyDescent="0.3">
      <c r="B82" s="161"/>
      <c r="C82" s="113"/>
      <c r="D82" s="113"/>
      <c r="E82" s="113"/>
      <c r="F82" s="162"/>
    </row>
    <row r="83" spans="2:6" ht="15" customHeight="1" x14ac:dyDescent="0.3">
      <c r="B83" s="161"/>
      <c r="C83" s="113"/>
      <c r="D83" s="113"/>
      <c r="E83" s="113"/>
      <c r="F83" s="162"/>
    </row>
    <row r="84" spans="2:6" ht="15" customHeight="1" x14ac:dyDescent="0.3">
      <c r="B84" s="161"/>
      <c r="C84" s="113"/>
      <c r="D84" s="113"/>
      <c r="E84" s="113"/>
      <c r="F84" s="162"/>
    </row>
    <row r="85" spans="2:6" ht="15" customHeight="1" x14ac:dyDescent="0.3">
      <c r="B85" s="161"/>
      <c r="C85" s="113"/>
      <c r="D85" s="113"/>
      <c r="E85" s="113"/>
      <c r="F85" s="162"/>
    </row>
    <row r="86" spans="2:6" ht="15" customHeight="1" x14ac:dyDescent="0.3">
      <c r="B86" s="161"/>
      <c r="C86" s="113"/>
      <c r="D86" s="113"/>
      <c r="E86" s="113"/>
      <c r="F86" s="162"/>
    </row>
    <row r="87" spans="2:6" ht="15" customHeight="1" x14ac:dyDescent="0.3">
      <c r="B87" s="161"/>
      <c r="C87" s="113"/>
      <c r="D87" s="113"/>
      <c r="E87" s="113"/>
      <c r="F87" s="162"/>
    </row>
    <row r="88" spans="2:6" ht="15" customHeight="1" x14ac:dyDescent="0.3">
      <c r="B88" s="161"/>
      <c r="C88" s="113"/>
      <c r="D88" s="113"/>
      <c r="E88" s="113"/>
      <c r="F88" s="162"/>
    </row>
    <row r="89" spans="2:6" ht="15" customHeight="1" x14ac:dyDescent="0.3">
      <c r="B89" s="161"/>
      <c r="C89" s="113"/>
      <c r="D89" s="113"/>
      <c r="E89" s="113"/>
      <c r="F89" s="162"/>
    </row>
    <row r="90" spans="2:6" ht="15" customHeight="1" x14ac:dyDescent="0.3">
      <c r="B90" s="161"/>
      <c r="C90" s="113"/>
      <c r="D90" s="113"/>
      <c r="E90" s="113"/>
      <c r="F90" s="162"/>
    </row>
    <row r="91" spans="2:6" ht="15" customHeight="1" x14ac:dyDescent="0.3">
      <c r="B91" s="161"/>
      <c r="C91" s="113"/>
      <c r="D91" s="113"/>
      <c r="E91" s="113"/>
      <c r="F91" s="162"/>
    </row>
    <row r="92" spans="2:6" ht="15" customHeight="1" x14ac:dyDescent="0.3">
      <c r="B92" s="161"/>
      <c r="C92" s="113"/>
      <c r="D92" s="113"/>
      <c r="E92" s="113"/>
      <c r="F92" s="162"/>
    </row>
    <row r="93" spans="2:6" ht="15" customHeight="1" x14ac:dyDescent="0.3">
      <c r="B93" s="161"/>
      <c r="C93" s="113"/>
      <c r="D93" s="113"/>
      <c r="E93" s="113"/>
      <c r="F93" s="162"/>
    </row>
    <row r="94" spans="2:6" ht="15" customHeight="1" x14ac:dyDescent="0.3">
      <c r="B94" s="163"/>
      <c r="C94" s="164"/>
      <c r="D94" s="164"/>
      <c r="E94" s="164"/>
      <c r="F94" s="165"/>
    </row>
    <row r="95" spans="2:6" ht="19.95" customHeight="1" x14ac:dyDescent="0.3">
      <c r="B95" s="151" t="s">
        <v>2207</v>
      </c>
      <c r="C95" s="113"/>
      <c r="D95" s="113"/>
      <c r="E95" s="113"/>
      <c r="F95" s="113"/>
    </row>
    <row r="96" spans="2:6" ht="6" customHeight="1" x14ac:dyDescent="0.3"/>
    <row r="97" spans="2:6" ht="7.05" customHeight="1" x14ac:dyDescent="0.3"/>
    <row r="98" spans="2:6" ht="22.95" customHeight="1" x14ac:dyDescent="0.3">
      <c r="B98" s="156" t="s">
        <v>2208</v>
      </c>
      <c r="C98" s="157"/>
      <c r="D98" s="157"/>
      <c r="E98" s="157"/>
      <c r="F98" s="157"/>
    </row>
    <row r="99" spans="2:6" ht="4.05" customHeight="1" x14ac:dyDescent="0.3"/>
    <row r="100" spans="2:6" ht="22.05" customHeight="1" x14ac:dyDescent="0.3">
      <c r="B100" s="144" t="s">
        <v>1169</v>
      </c>
      <c r="C100" s="145"/>
      <c r="D100" s="7" t="s">
        <v>369</v>
      </c>
      <c r="E100" s="7" t="s">
        <v>75</v>
      </c>
      <c r="F100" s="7" t="s">
        <v>2209</v>
      </c>
    </row>
    <row r="101" spans="2:6" ht="19.95" customHeight="1" x14ac:dyDescent="0.3">
      <c r="B101" s="130" t="s">
        <v>2210</v>
      </c>
      <c r="C101" s="111"/>
      <c r="D101" s="14" t="s">
        <v>2211</v>
      </c>
      <c r="E101" s="10" t="s">
        <v>2212</v>
      </c>
      <c r="F101" s="10" t="s">
        <v>2213</v>
      </c>
    </row>
    <row r="102" spans="2:6" ht="33.75" customHeight="1" x14ac:dyDescent="0.3">
      <c r="B102" s="132" t="s">
        <v>2210</v>
      </c>
      <c r="C102" s="133"/>
      <c r="D102" s="15" t="s">
        <v>2214</v>
      </c>
      <c r="E102" s="13" t="s">
        <v>2215</v>
      </c>
      <c r="F102" s="13" t="s">
        <v>2216</v>
      </c>
    </row>
    <row r="103" spans="2:6" ht="19.95" customHeight="1" x14ac:dyDescent="0.3">
      <c r="B103" s="130" t="s">
        <v>2210</v>
      </c>
      <c r="C103" s="111"/>
      <c r="D103" s="14" t="s">
        <v>2217</v>
      </c>
      <c r="E103" s="10" t="s">
        <v>2218</v>
      </c>
      <c r="F103" s="10" t="s">
        <v>2219</v>
      </c>
    </row>
    <row r="104" spans="2:6" ht="33.75" customHeight="1" x14ac:dyDescent="0.3">
      <c r="B104" s="132" t="s">
        <v>2210</v>
      </c>
      <c r="C104" s="133"/>
      <c r="D104" s="15" t="s">
        <v>2220</v>
      </c>
      <c r="E104" s="13" t="s">
        <v>2221</v>
      </c>
      <c r="F104" s="13" t="s">
        <v>2222</v>
      </c>
    </row>
    <row r="105" spans="2:6" ht="19.95" customHeight="1" x14ac:dyDescent="0.3">
      <c r="B105" s="130" t="s">
        <v>2210</v>
      </c>
      <c r="C105" s="111"/>
      <c r="D105" s="14" t="s">
        <v>2223</v>
      </c>
      <c r="E105" s="10" t="s">
        <v>2224</v>
      </c>
      <c r="F105" s="10" t="s">
        <v>2225</v>
      </c>
    </row>
    <row r="106" spans="2:6" ht="19.95" customHeight="1" x14ac:dyDescent="0.3">
      <c r="B106" s="132" t="s">
        <v>2210</v>
      </c>
      <c r="C106" s="133"/>
      <c r="D106" s="15" t="s">
        <v>2226</v>
      </c>
      <c r="E106" s="13" t="s">
        <v>2227</v>
      </c>
      <c r="F106" s="13" t="s">
        <v>2228</v>
      </c>
    </row>
    <row r="107" spans="2:6" ht="19.95" customHeight="1" x14ac:dyDescent="0.3">
      <c r="B107" s="130" t="s">
        <v>2229</v>
      </c>
      <c r="C107" s="111"/>
      <c r="D107" s="14" t="s">
        <v>2230</v>
      </c>
      <c r="E107" s="10" t="s">
        <v>2231</v>
      </c>
      <c r="F107" s="10" t="s">
        <v>2232</v>
      </c>
    </row>
    <row r="108" spans="2:6" ht="19.95" customHeight="1" x14ac:dyDescent="0.3">
      <c r="B108" s="132" t="s">
        <v>2229</v>
      </c>
      <c r="C108" s="133"/>
      <c r="D108" s="15" t="s">
        <v>2233</v>
      </c>
      <c r="E108" s="13" t="s">
        <v>2234</v>
      </c>
      <c r="F108" s="13" t="s">
        <v>2235</v>
      </c>
    </row>
    <row r="109" spans="2:6" ht="19.95" customHeight="1" x14ac:dyDescent="0.3">
      <c r="B109" s="130" t="s">
        <v>2229</v>
      </c>
      <c r="C109" s="111"/>
      <c r="D109" s="14" t="s">
        <v>2236</v>
      </c>
      <c r="E109" s="10" t="s">
        <v>2237</v>
      </c>
      <c r="F109" s="10" t="s">
        <v>2238</v>
      </c>
    </row>
    <row r="110" spans="2:6" ht="33.75" customHeight="1" x14ac:dyDescent="0.3">
      <c r="B110" s="132" t="s">
        <v>2229</v>
      </c>
      <c r="C110" s="133"/>
      <c r="D110" s="15" t="s">
        <v>2239</v>
      </c>
      <c r="E110" s="13" t="s">
        <v>2240</v>
      </c>
      <c r="F110" s="13" t="s">
        <v>2241</v>
      </c>
    </row>
    <row r="111" spans="2:6" ht="19.95" customHeight="1" x14ac:dyDescent="0.3">
      <c r="B111" s="130" t="s">
        <v>2242</v>
      </c>
      <c r="C111" s="111"/>
      <c r="D111" s="14" t="s">
        <v>2243</v>
      </c>
      <c r="E111" s="10" t="s">
        <v>2244</v>
      </c>
      <c r="F111" s="10" t="s">
        <v>2245</v>
      </c>
    </row>
    <row r="112" spans="2:6" ht="19.95" customHeight="1" x14ac:dyDescent="0.3">
      <c r="B112" s="132" t="s">
        <v>2242</v>
      </c>
      <c r="C112" s="133"/>
      <c r="D112" s="15" t="s">
        <v>2246</v>
      </c>
      <c r="E112" s="13" t="s">
        <v>2247</v>
      </c>
      <c r="F112" s="13" t="s">
        <v>2248</v>
      </c>
    </row>
    <row r="113" spans="2:6" ht="19.95" customHeight="1" x14ac:dyDescent="0.3">
      <c r="B113" s="130" t="s">
        <v>2242</v>
      </c>
      <c r="C113" s="111"/>
      <c r="D113" s="14" t="s">
        <v>2249</v>
      </c>
      <c r="E113" s="10" t="s">
        <v>2250</v>
      </c>
      <c r="F113" s="10" t="s">
        <v>2251</v>
      </c>
    </row>
    <row r="114" spans="2:6" ht="33.75" customHeight="1" x14ac:dyDescent="0.3">
      <c r="B114" s="132" t="s">
        <v>2252</v>
      </c>
      <c r="C114" s="133"/>
      <c r="D114" s="15" t="s">
        <v>2253</v>
      </c>
      <c r="E114" s="13" t="s">
        <v>2254</v>
      </c>
      <c r="F114" s="13" t="s">
        <v>2255</v>
      </c>
    </row>
    <row r="115" spans="2:6" ht="6" customHeight="1" x14ac:dyDescent="0.3"/>
    <row r="116" spans="2:6" ht="22.05" customHeight="1" x14ac:dyDescent="0.3">
      <c r="B116" s="16" t="s">
        <v>64</v>
      </c>
      <c r="C116" s="152" t="s">
        <v>2256</v>
      </c>
      <c r="D116" s="153"/>
      <c r="E116" s="153"/>
      <c r="F116" s="105"/>
    </row>
    <row r="117" spans="2:6" ht="4.95" customHeight="1" x14ac:dyDescent="0.3"/>
    <row r="118" spans="2:6" ht="22.05" customHeight="1" x14ac:dyDescent="0.3">
      <c r="B118" s="22" t="s">
        <v>62</v>
      </c>
      <c r="C118" s="152" t="s">
        <v>2257</v>
      </c>
      <c r="D118" s="153"/>
      <c r="E118" s="153"/>
      <c r="F118" s="105"/>
    </row>
    <row r="119" spans="2:6" ht="4.95" customHeight="1" x14ac:dyDescent="0.3"/>
    <row r="120" spans="2:6" ht="15" customHeight="1" x14ac:dyDescent="0.3">
      <c r="B120" s="158" t="s">
        <v>2258</v>
      </c>
      <c r="C120" s="159"/>
      <c r="D120" s="159"/>
      <c r="E120" s="159"/>
      <c r="F120" s="160"/>
    </row>
    <row r="121" spans="2:6" ht="15" customHeight="1" x14ac:dyDescent="0.3">
      <c r="B121" s="161"/>
      <c r="C121" s="113"/>
      <c r="D121" s="113"/>
      <c r="E121" s="113"/>
      <c r="F121" s="162"/>
    </row>
    <row r="122" spans="2:6" ht="15" customHeight="1" x14ac:dyDescent="0.3">
      <c r="B122" s="161"/>
      <c r="C122" s="113"/>
      <c r="D122" s="113"/>
      <c r="E122" s="113"/>
      <c r="F122" s="162"/>
    </row>
    <row r="123" spans="2:6" ht="15" customHeight="1" x14ac:dyDescent="0.3">
      <c r="B123" s="161"/>
      <c r="C123" s="113"/>
      <c r="D123" s="113"/>
      <c r="E123" s="113"/>
      <c r="F123" s="162"/>
    </row>
    <row r="124" spans="2:6" ht="15" customHeight="1" x14ac:dyDescent="0.3">
      <c r="B124" s="161"/>
      <c r="C124" s="113"/>
      <c r="D124" s="113"/>
      <c r="E124" s="113"/>
      <c r="F124" s="162"/>
    </row>
    <row r="125" spans="2:6" ht="15" customHeight="1" x14ac:dyDescent="0.3">
      <c r="B125" s="161"/>
      <c r="C125" s="113"/>
      <c r="D125" s="113"/>
      <c r="E125" s="113"/>
      <c r="F125" s="162"/>
    </row>
    <row r="126" spans="2:6" ht="15" customHeight="1" x14ac:dyDescent="0.3">
      <c r="B126" s="161"/>
      <c r="C126" s="113"/>
      <c r="D126" s="113"/>
      <c r="E126" s="113"/>
      <c r="F126" s="162"/>
    </row>
    <row r="127" spans="2:6" ht="15" customHeight="1" x14ac:dyDescent="0.3">
      <c r="B127" s="161"/>
      <c r="C127" s="113"/>
      <c r="D127" s="113"/>
      <c r="E127" s="113"/>
      <c r="F127" s="162"/>
    </row>
    <row r="128" spans="2:6" ht="15" customHeight="1" x14ac:dyDescent="0.3">
      <c r="B128" s="161"/>
      <c r="C128" s="113"/>
      <c r="D128" s="113"/>
      <c r="E128" s="113"/>
      <c r="F128" s="162"/>
    </row>
    <row r="129" spans="2:6" ht="15" customHeight="1" x14ac:dyDescent="0.3">
      <c r="B129" s="161"/>
      <c r="C129" s="113"/>
      <c r="D129" s="113"/>
      <c r="E129" s="113"/>
      <c r="F129" s="162"/>
    </row>
    <row r="130" spans="2:6" ht="15" customHeight="1" x14ac:dyDescent="0.3">
      <c r="B130" s="161"/>
      <c r="C130" s="113"/>
      <c r="D130" s="113"/>
      <c r="E130" s="113"/>
      <c r="F130" s="162"/>
    </row>
    <row r="131" spans="2:6" ht="15" customHeight="1" x14ac:dyDescent="0.3">
      <c r="B131" s="161"/>
      <c r="C131" s="113"/>
      <c r="D131" s="113"/>
      <c r="E131" s="113"/>
      <c r="F131" s="162"/>
    </row>
    <row r="132" spans="2:6" ht="15" customHeight="1" x14ac:dyDescent="0.3">
      <c r="B132" s="161"/>
      <c r="C132" s="113"/>
      <c r="D132" s="113"/>
      <c r="E132" s="113"/>
      <c r="F132" s="162"/>
    </row>
    <row r="133" spans="2:6" ht="15" customHeight="1" x14ac:dyDescent="0.3">
      <c r="B133" s="161"/>
      <c r="C133" s="113"/>
      <c r="D133" s="113"/>
      <c r="E133" s="113"/>
      <c r="F133" s="162"/>
    </row>
    <row r="134" spans="2:6" ht="15" customHeight="1" x14ac:dyDescent="0.3">
      <c r="B134" s="161"/>
      <c r="C134" s="113"/>
      <c r="D134" s="113"/>
      <c r="E134" s="113"/>
      <c r="F134" s="162"/>
    </row>
    <row r="135" spans="2:6" ht="15" customHeight="1" x14ac:dyDescent="0.3">
      <c r="B135" s="161"/>
      <c r="C135" s="113"/>
      <c r="D135" s="113"/>
      <c r="E135" s="113"/>
      <c r="F135" s="162"/>
    </row>
    <row r="136" spans="2:6" ht="15" customHeight="1" x14ac:dyDescent="0.3">
      <c r="B136" s="161"/>
      <c r="C136" s="113"/>
      <c r="D136" s="113"/>
      <c r="E136" s="113"/>
      <c r="F136" s="162"/>
    </row>
    <row r="137" spans="2:6" ht="15" customHeight="1" x14ac:dyDescent="0.3">
      <c r="B137" s="161"/>
      <c r="C137" s="113"/>
      <c r="D137" s="113"/>
      <c r="E137" s="113"/>
      <c r="F137" s="162"/>
    </row>
    <row r="138" spans="2:6" ht="15" customHeight="1" x14ac:dyDescent="0.3">
      <c r="B138" s="161"/>
      <c r="C138" s="113"/>
      <c r="D138" s="113"/>
      <c r="E138" s="113"/>
      <c r="F138" s="162"/>
    </row>
    <row r="139" spans="2:6" ht="15" customHeight="1" x14ac:dyDescent="0.3">
      <c r="B139" s="163"/>
      <c r="C139" s="164"/>
      <c r="D139" s="164"/>
      <c r="E139" s="164"/>
      <c r="F139" s="165"/>
    </row>
    <row r="140" spans="2:6" ht="19.95" customHeight="1" x14ac:dyDescent="0.3">
      <c r="B140" s="151" t="s">
        <v>2259</v>
      </c>
      <c r="C140" s="113"/>
      <c r="D140" s="113"/>
      <c r="E140" s="113"/>
      <c r="F140" s="113"/>
    </row>
    <row r="141" spans="2:6" ht="6" customHeight="1" x14ac:dyDescent="0.3"/>
    <row r="142" spans="2:6" ht="12" customHeight="1" x14ac:dyDescent="0.3"/>
    <row r="143" spans="2:6" ht="27" customHeight="1" x14ac:dyDescent="0.3">
      <c r="B143" s="128" t="s">
        <v>2260</v>
      </c>
      <c r="C143" s="124"/>
      <c r="D143" s="124"/>
      <c r="E143" s="124"/>
      <c r="F143" s="124"/>
    </row>
    <row r="144" spans="2:6" ht="4.95" customHeight="1" x14ac:dyDescent="0.3"/>
    <row r="145" spans="2:6" ht="19.350000000000001" customHeight="1" x14ac:dyDescent="0.3">
      <c r="B145" s="129" t="s">
        <v>2261</v>
      </c>
      <c r="C145" s="113"/>
      <c r="D145" s="113"/>
      <c r="E145" s="113"/>
      <c r="F145" s="113"/>
    </row>
    <row r="146" spans="2:6" ht="22.05" customHeight="1" x14ac:dyDescent="0.3">
      <c r="B146" s="144" t="s">
        <v>2262</v>
      </c>
      <c r="C146" s="145"/>
      <c r="D146" s="7" t="s">
        <v>53</v>
      </c>
      <c r="E146" s="144" t="s">
        <v>1851</v>
      </c>
      <c r="F146" s="145"/>
    </row>
    <row r="147" spans="2:6" ht="19.95" customHeight="1" x14ac:dyDescent="0.3">
      <c r="B147" s="149" t="s">
        <v>2263</v>
      </c>
      <c r="C147" s="137"/>
      <c r="D147" s="10" t="s">
        <v>2264</v>
      </c>
      <c r="E147" s="130" t="s">
        <v>2265</v>
      </c>
      <c r="F147" s="111"/>
    </row>
    <row r="148" spans="2:6" ht="19.95" customHeight="1" x14ac:dyDescent="0.3">
      <c r="B148" s="149" t="s">
        <v>2266</v>
      </c>
      <c r="C148" s="137"/>
      <c r="D148" s="13" t="s">
        <v>2267</v>
      </c>
      <c r="E148" s="132" t="s">
        <v>2268</v>
      </c>
      <c r="F148" s="133"/>
    </row>
    <row r="149" spans="2:6" ht="19.95" customHeight="1" x14ac:dyDescent="0.3">
      <c r="B149" s="149" t="s">
        <v>2269</v>
      </c>
      <c r="C149" s="137"/>
      <c r="D149" s="10" t="s">
        <v>2270</v>
      </c>
      <c r="E149" s="130" t="s">
        <v>1658</v>
      </c>
      <c r="F149" s="111"/>
    </row>
    <row r="150" spans="2:6" ht="33.75" customHeight="1" x14ac:dyDescent="0.3">
      <c r="B150" s="149" t="s">
        <v>2271</v>
      </c>
      <c r="C150" s="137"/>
      <c r="D150" s="13" t="s">
        <v>2272</v>
      </c>
      <c r="E150" s="132" t="s">
        <v>1577</v>
      </c>
      <c r="F150" s="133"/>
    </row>
    <row r="151" spans="2:6" ht="19.95" customHeight="1" x14ac:dyDescent="0.3">
      <c r="B151" s="149" t="s">
        <v>2273</v>
      </c>
      <c r="C151" s="137"/>
      <c r="D151" s="10" t="s">
        <v>2274</v>
      </c>
      <c r="E151" s="130" t="s">
        <v>2275</v>
      </c>
      <c r="F151" s="111"/>
    </row>
    <row r="152" spans="2:6" ht="19.95" customHeight="1" x14ac:dyDescent="0.3">
      <c r="B152" s="149" t="s">
        <v>2276</v>
      </c>
      <c r="C152" s="137"/>
      <c r="D152" s="13" t="s">
        <v>2277</v>
      </c>
      <c r="E152" s="132" t="s">
        <v>2278</v>
      </c>
      <c r="F152" s="133"/>
    </row>
    <row r="153" spans="2:6" ht="19.95" customHeight="1" x14ac:dyDescent="0.3">
      <c r="B153" s="149" t="s">
        <v>2279</v>
      </c>
      <c r="C153" s="137"/>
      <c r="D153" s="10" t="s">
        <v>2280</v>
      </c>
      <c r="E153" s="130" t="s">
        <v>2281</v>
      </c>
      <c r="F153" s="111"/>
    </row>
    <row r="154" spans="2:6" ht="19.95" customHeight="1" x14ac:dyDescent="0.3">
      <c r="B154" s="149" t="s">
        <v>2282</v>
      </c>
      <c r="C154" s="137"/>
      <c r="D154" s="13" t="s">
        <v>2283</v>
      </c>
      <c r="E154" s="132" t="s">
        <v>2284</v>
      </c>
      <c r="F154" s="133"/>
    </row>
    <row r="155" spans="2:6" ht="33.75" customHeight="1" x14ac:dyDescent="0.3">
      <c r="B155" s="149" t="s">
        <v>2285</v>
      </c>
      <c r="C155" s="137"/>
      <c r="D155" s="10" t="s">
        <v>2286</v>
      </c>
      <c r="E155" s="130" t="s">
        <v>2287</v>
      </c>
      <c r="F155" s="111"/>
    </row>
    <row r="156" spans="2:6" ht="19.95" customHeight="1" x14ac:dyDescent="0.3">
      <c r="B156" s="149" t="s">
        <v>2288</v>
      </c>
      <c r="C156" s="137"/>
      <c r="D156" s="13" t="s">
        <v>2289</v>
      </c>
      <c r="E156" s="132" t="s">
        <v>2290</v>
      </c>
      <c r="F156" s="133"/>
    </row>
    <row r="157" spans="2:6" ht="19.95" customHeight="1" x14ac:dyDescent="0.3">
      <c r="B157" s="149" t="s">
        <v>2291</v>
      </c>
      <c r="C157" s="137"/>
      <c r="D157" s="10" t="s">
        <v>2292</v>
      </c>
      <c r="E157" s="130" t="s">
        <v>2293</v>
      </c>
      <c r="F157" s="111"/>
    </row>
    <row r="158" spans="2:6" ht="19.95" customHeight="1" x14ac:dyDescent="0.3">
      <c r="B158" s="149" t="s">
        <v>2294</v>
      </c>
      <c r="C158" s="137"/>
      <c r="D158" s="13" t="s">
        <v>2295</v>
      </c>
      <c r="E158" s="132" t="s">
        <v>2296</v>
      </c>
      <c r="F158" s="133"/>
    </row>
    <row r="159" spans="2:6" ht="19.95" customHeight="1" x14ac:dyDescent="0.3">
      <c r="B159" s="149" t="s">
        <v>2055</v>
      </c>
      <c r="C159" s="137"/>
      <c r="D159" s="10" t="s">
        <v>2297</v>
      </c>
      <c r="E159" s="130" t="s">
        <v>2298</v>
      </c>
      <c r="F159" s="111"/>
    </row>
    <row r="160" spans="2:6" ht="19.95" customHeight="1" x14ac:dyDescent="0.3">
      <c r="B160" s="149" t="s">
        <v>2299</v>
      </c>
      <c r="C160" s="137"/>
      <c r="D160" s="13" t="s">
        <v>2300</v>
      </c>
      <c r="E160" s="132" t="s">
        <v>2301</v>
      </c>
      <c r="F160" s="133"/>
    </row>
    <row r="161" spans="2:6" ht="19.95" customHeight="1" x14ac:dyDescent="0.3">
      <c r="B161" s="149" t="s">
        <v>2302</v>
      </c>
      <c r="C161" s="137"/>
      <c r="D161" s="10" t="s">
        <v>2303</v>
      </c>
      <c r="E161" s="130" t="s">
        <v>2304</v>
      </c>
      <c r="F161" s="111"/>
    </row>
    <row r="162" spans="2:6" ht="6" customHeight="1" x14ac:dyDescent="0.3"/>
    <row r="163" spans="2:6" ht="22.05" customHeight="1" x14ac:dyDescent="0.3">
      <c r="B163" s="37" t="s">
        <v>66</v>
      </c>
      <c r="C163" s="152" t="s">
        <v>2305</v>
      </c>
      <c r="D163" s="153"/>
      <c r="E163" s="153"/>
      <c r="F163" s="105"/>
    </row>
    <row r="164" spans="2:6" ht="4.95" customHeight="1" x14ac:dyDescent="0.3"/>
    <row r="165" spans="2:6" ht="33.75" customHeight="1" x14ac:dyDescent="0.3">
      <c r="B165" s="22" t="s">
        <v>62</v>
      </c>
      <c r="C165" s="152" t="s">
        <v>2306</v>
      </c>
      <c r="D165" s="153"/>
      <c r="E165" s="153"/>
      <c r="F165" s="105"/>
    </row>
    <row r="166" spans="2:6" ht="4.95" customHeight="1" x14ac:dyDescent="0.3"/>
  </sheetData>
  <mergeCells count="106">
    <mergeCell ref="C165:F165"/>
    <mergeCell ref="E150:F150"/>
    <mergeCell ref="D65:E65"/>
    <mergeCell ref="B105:C105"/>
    <mergeCell ref="B21:F21"/>
    <mergeCell ref="E152:F152"/>
    <mergeCell ref="B107:C107"/>
    <mergeCell ref="B145:F145"/>
    <mergeCell ref="B1:F1"/>
    <mergeCell ref="B17:C17"/>
    <mergeCell ref="B148:C148"/>
    <mergeCell ref="E149:F149"/>
    <mergeCell ref="E158:F158"/>
    <mergeCell ref="B146:C146"/>
    <mergeCell ref="B108:C108"/>
    <mergeCell ref="B2:E2"/>
    <mergeCell ref="B9:C9"/>
    <mergeCell ref="D25:E25"/>
    <mergeCell ref="B109:C109"/>
    <mergeCell ref="B62:C62"/>
    <mergeCell ref="B150:C150"/>
    <mergeCell ref="B159:C159"/>
    <mergeCell ref="B140:F140"/>
    <mergeCell ref="B152:C152"/>
    <mergeCell ref="B6:C6"/>
    <mergeCell ref="B15:C15"/>
    <mergeCell ref="B120:F139"/>
    <mergeCell ref="D23:E23"/>
    <mergeCell ref="B160:C160"/>
    <mergeCell ref="B4:F4"/>
    <mergeCell ref="B153:C153"/>
    <mergeCell ref="B7:C7"/>
    <mergeCell ref="D63:E63"/>
    <mergeCell ref="E151:F151"/>
    <mergeCell ref="E160:F160"/>
    <mergeCell ref="B111:C111"/>
    <mergeCell ref="B23:C23"/>
    <mergeCell ref="D32:E32"/>
    <mergeCell ref="B8:C8"/>
    <mergeCell ref="B29:F29"/>
    <mergeCell ref="B147:C147"/>
    <mergeCell ref="C35:F35"/>
    <mergeCell ref="B10:C10"/>
    <mergeCell ref="B38:F53"/>
    <mergeCell ref="B65:C65"/>
    <mergeCell ref="C118:F118"/>
    <mergeCell ref="B95:F95"/>
    <mergeCell ref="B114:C114"/>
    <mergeCell ref="B11:C11"/>
    <mergeCell ref="E161:F161"/>
    <mergeCell ref="B98:F98"/>
    <mergeCell ref="B157:C157"/>
    <mergeCell ref="B57:F57"/>
    <mergeCell ref="B103:C103"/>
    <mergeCell ref="E154:F154"/>
    <mergeCell ref="B158:C158"/>
    <mergeCell ref="B68:F68"/>
    <mergeCell ref="B161:C161"/>
    <mergeCell ref="E159:F159"/>
    <mergeCell ref="B110:C110"/>
    <mergeCell ref="B113:C113"/>
    <mergeCell ref="C163:F163"/>
    <mergeCell ref="B32:C32"/>
    <mergeCell ref="E146:F146"/>
    <mergeCell ref="B63:C63"/>
    <mergeCell ref="B26:C26"/>
    <mergeCell ref="B154:C154"/>
    <mergeCell ref="D26:E26"/>
    <mergeCell ref="B106:C106"/>
    <mergeCell ref="B16:C16"/>
    <mergeCell ref="B25:C25"/>
    <mergeCell ref="B54:F54"/>
    <mergeCell ref="B156:C156"/>
    <mergeCell ref="B18:C18"/>
    <mergeCell ref="B70:F70"/>
    <mergeCell ref="E147:F147"/>
    <mergeCell ref="E157:F157"/>
    <mergeCell ref="B112:C112"/>
    <mergeCell ref="B37:F37"/>
    <mergeCell ref="D62:E62"/>
    <mergeCell ref="B71:F94"/>
    <mergeCell ref="B143:F143"/>
    <mergeCell ref="B24:C24"/>
    <mergeCell ref="B64:C64"/>
    <mergeCell ref="D24:E24"/>
    <mergeCell ref="B33:C33"/>
    <mergeCell ref="D64:E64"/>
    <mergeCell ref="B104:C104"/>
    <mergeCell ref="D33:E33"/>
    <mergeCell ref="B100:C100"/>
    <mergeCell ref="B155:C155"/>
    <mergeCell ref="B149:C149"/>
    <mergeCell ref="B31:C31"/>
    <mergeCell ref="B102:C102"/>
    <mergeCell ref="D31:E31"/>
    <mergeCell ref="B12:C12"/>
    <mergeCell ref="E156:F156"/>
    <mergeCell ref="E153:F153"/>
    <mergeCell ref="B151:C151"/>
    <mergeCell ref="B60:F60"/>
    <mergeCell ref="E155:F155"/>
    <mergeCell ref="B101:C101"/>
    <mergeCell ref="B14:C14"/>
    <mergeCell ref="C116:F116"/>
    <mergeCell ref="B13:C13"/>
    <mergeCell ref="E148:F148"/>
  </mergeCells>
  <phoneticPr fontId="27"/>
  <hyperlinks>
    <hyperlink ref="F2" location="'目次'!A1" display="▲ 目次へ戻る" xr:uid="{00000000-0004-0000-09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E147:E148 E150 E159:E16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04040"/>
    <pageSetUpPr fitToPage="1"/>
  </sheetPr>
  <dimension ref="B1:F55"/>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2307</v>
      </c>
      <c r="C1" s="118"/>
      <c r="D1" s="118"/>
      <c r="E1" s="118"/>
      <c r="F1" s="118"/>
    </row>
    <row r="2" spans="2:6" ht="24" customHeight="1" x14ac:dyDescent="0.3">
      <c r="B2" s="141" t="s">
        <v>2308</v>
      </c>
      <c r="C2" s="113"/>
      <c r="D2" s="113"/>
      <c r="E2" s="113"/>
      <c r="F2" s="4" t="s">
        <v>38</v>
      </c>
    </row>
    <row r="3" spans="2:6" ht="12" customHeight="1" x14ac:dyDescent="0.3"/>
    <row r="4" spans="2:6" ht="27" customHeight="1" x14ac:dyDescent="0.3">
      <c r="B4" s="128" t="s">
        <v>2309</v>
      </c>
      <c r="C4" s="124"/>
      <c r="D4" s="124"/>
      <c r="E4" s="124"/>
      <c r="F4" s="124"/>
    </row>
    <row r="5" spans="2:6" ht="4.95" customHeight="1" x14ac:dyDescent="0.3"/>
    <row r="6" spans="2:6" ht="19.350000000000001" customHeight="1" x14ac:dyDescent="0.3">
      <c r="B6" s="38" t="s">
        <v>200</v>
      </c>
      <c r="C6" s="129" t="s">
        <v>2310</v>
      </c>
      <c r="D6" s="113"/>
      <c r="E6" s="113"/>
      <c r="F6" s="113"/>
    </row>
    <row r="7" spans="2:6" ht="19.350000000000001" customHeight="1" x14ac:dyDescent="0.3">
      <c r="B7" s="38" t="s">
        <v>202</v>
      </c>
      <c r="C7" s="129" t="s">
        <v>2311</v>
      </c>
      <c r="D7" s="113"/>
      <c r="E7" s="113"/>
      <c r="F7" s="113"/>
    </row>
    <row r="8" spans="2:6" ht="19.350000000000001" customHeight="1" x14ac:dyDescent="0.3">
      <c r="B8" s="38" t="s">
        <v>204</v>
      </c>
      <c r="C8" s="129" t="s">
        <v>2312</v>
      </c>
      <c r="D8" s="113"/>
      <c r="E8" s="113"/>
      <c r="F8" s="113"/>
    </row>
    <row r="9" spans="2:6" ht="19.350000000000001" customHeight="1" x14ac:dyDescent="0.3">
      <c r="B9" s="38" t="s">
        <v>207</v>
      </c>
      <c r="C9" s="129" t="s">
        <v>2313</v>
      </c>
      <c r="D9" s="113"/>
      <c r="E9" s="113"/>
      <c r="F9" s="113"/>
    </row>
    <row r="10" spans="2:6" ht="19.350000000000001" customHeight="1" x14ac:dyDescent="0.3">
      <c r="B10" s="38" t="s">
        <v>210</v>
      </c>
      <c r="C10" s="129" t="s">
        <v>2314</v>
      </c>
      <c r="D10" s="113"/>
      <c r="E10" s="113"/>
      <c r="F10" s="113"/>
    </row>
    <row r="11" spans="2:6" ht="19.350000000000001" customHeight="1" x14ac:dyDescent="0.3">
      <c r="B11" s="38" t="s">
        <v>214</v>
      </c>
      <c r="C11" s="129" t="s">
        <v>2315</v>
      </c>
      <c r="D11" s="113"/>
      <c r="E11" s="113"/>
      <c r="F11" s="113"/>
    </row>
    <row r="12" spans="2:6" ht="12" customHeight="1" x14ac:dyDescent="0.3"/>
    <row r="13" spans="2:6" ht="27" customHeight="1" x14ac:dyDescent="0.3">
      <c r="B13" s="128" t="s">
        <v>2316</v>
      </c>
      <c r="C13" s="124"/>
      <c r="D13" s="124"/>
      <c r="E13" s="124"/>
      <c r="F13" s="124"/>
    </row>
    <row r="14" spans="2:6" ht="4.95" customHeight="1" x14ac:dyDescent="0.3"/>
    <row r="15" spans="2:6" ht="22.05" customHeight="1" x14ac:dyDescent="0.3">
      <c r="B15" s="7" t="s">
        <v>73</v>
      </c>
      <c r="C15" s="7" t="s">
        <v>2317</v>
      </c>
      <c r="D15" s="7" t="s">
        <v>2318</v>
      </c>
      <c r="E15" s="7" t="s">
        <v>2319</v>
      </c>
      <c r="F15" s="7" t="s">
        <v>2320</v>
      </c>
    </row>
    <row r="16" spans="2:6" ht="19.95" customHeight="1" x14ac:dyDescent="0.3">
      <c r="B16" s="8" t="s">
        <v>77</v>
      </c>
      <c r="C16" s="14" t="s">
        <v>2321</v>
      </c>
      <c r="D16" s="10" t="s">
        <v>2322</v>
      </c>
      <c r="E16" s="10" t="s">
        <v>2323</v>
      </c>
      <c r="F16" s="10" t="s">
        <v>2324</v>
      </c>
    </row>
    <row r="17" spans="2:6" ht="19.95" customHeight="1" x14ac:dyDescent="0.3">
      <c r="B17" s="11" t="s">
        <v>81</v>
      </c>
      <c r="C17" s="15" t="s">
        <v>2325</v>
      </c>
      <c r="D17" s="13" t="s">
        <v>2326</v>
      </c>
      <c r="E17" s="13" t="s">
        <v>2327</v>
      </c>
      <c r="F17" s="13" t="s">
        <v>2328</v>
      </c>
    </row>
    <row r="18" spans="2:6" ht="19.95" customHeight="1" x14ac:dyDescent="0.3">
      <c r="B18" s="8" t="s">
        <v>85</v>
      </c>
      <c r="C18" s="14" t="s">
        <v>2146</v>
      </c>
      <c r="D18" s="10" t="s">
        <v>2329</v>
      </c>
      <c r="E18" s="10" t="s">
        <v>2330</v>
      </c>
      <c r="F18" s="10" t="s">
        <v>2331</v>
      </c>
    </row>
    <row r="19" spans="2:6" ht="48.15" customHeight="1" x14ac:dyDescent="0.3">
      <c r="B19" s="11" t="s">
        <v>88</v>
      </c>
      <c r="C19" s="15" t="s">
        <v>2332</v>
      </c>
      <c r="D19" s="13" t="s">
        <v>2333</v>
      </c>
      <c r="E19" s="13" t="s">
        <v>80</v>
      </c>
      <c r="F19" s="13" t="s">
        <v>2334</v>
      </c>
    </row>
    <row r="20" spans="2:6" ht="19.95" customHeight="1" x14ac:dyDescent="0.3">
      <c r="B20" s="8" t="s">
        <v>91</v>
      </c>
      <c r="C20" s="14" t="s">
        <v>2335</v>
      </c>
      <c r="D20" s="10" t="s">
        <v>2336</v>
      </c>
      <c r="E20" s="10" t="s">
        <v>2337</v>
      </c>
      <c r="F20" s="10" t="s">
        <v>2338</v>
      </c>
    </row>
    <row r="21" spans="2:6" ht="33.75" customHeight="1" x14ac:dyDescent="0.3">
      <c r="B21" s="11" t="s">
        <v>94</v>
      </c>
      <c r="C21" s="15" t="s">
        <v>2150</v>
      </c>
      <c r="D21" s="13" t="s">
        <v>2339</v>
      </c>
      <c r="E21" s="13" t="s">
        <v>2340</v>
      </c>
      <c r="F21" s="13" t="s">
        <v>2341</v>
      </c>
    </row>
    <row r="22" spans="2:6" ht="33.75" customHeight="1" x14ac:dyDescent="0.3">
      <c r="B22" s="8" t="s">
        <v>97</v>
      </c>
      <c r="C22" s="14" t="s">
        <v>2342</v>
      </c>
      <c r="D22" s="10" t="s">
        <v>2230</v>
      </c>
      <c r="E22" s="10" t="s">
        <v>2343</v>
      </c>
      <c r="F22" s="10" t="s">
        <v>2344</v>
      </c>
    </row>
    <row r="23" spans="2:6" ht="33.75" customHeight="1" x14ac:dyDescent="0.3">
      <c r="B23" s="11" t="s">
        <v>100</v>
      </c>
      <c r="C23" s="15" t="s">
        <v>2345</v>
      </c>
      <c r="D23" s="13" t="s">
        <v>2346</v>
      </c>
      <c r="E23" s="13" t="s">
        <v>2347</v>
      </c>
      <c r="F23" s="13" t="s">
        <v>2348</v>
      </c>
    </row>
    <row r="24" spans="2:6" ht="19.95" customHeight="1" x14ac:dyDescent="0.3">
      <c r="B24" s="8" t="s">
        <v>103</v>
      </c>
      <c r="C24" s="14" t="s">
        <v>2349</v>
      </c>
      <c r="D24" s="10" t="s">
        <v>2350</v>
      </c>
      <c r="E24" s="10" t="s">
        <v>2351</v>
      </c>
      <c r="F24" s="10" t="s">
        <v>2352</v>
      </c>
    </row>
    <row r="25" spans="2:6" ht="19.95" customHeight="1" x14ac:dyDescent="0.3">
      <c r="B25" s="11" t="s">
        <v>106</v>
      </c>
      <c r="C25" s="15" t="s">
        <v>2165</v>
      </c>
      <c r="D25" s="13" t="s">
        <v>2353</v>
      </c>
      <c r="E25" s="13" t="s">
        <v>2354</v>
      </c>
      <c r="F25" s="13" t="s">
        <v>2355</v>
      </c>
    </row>
    <row r="26" spans="2:6" ht="19.95" customHeight="1" x14ac:dyDescent="0.3">
      <c r="B26" s="8" t="s">
        <v>109</v>
      </c>
      <c r="C26" s="14" t="s">
        <v>2356</v>
      </c>
      <c r="D26" s="10" t="s">
        <v>2357</v>
      </c>
      <c r="E26" s="10" t="s">
        <v>2358</v>
      </c>
      <c r="F26" s="10" t="s">
        <v>2359</v>
      </c>
    </row>
    <row r="27" spans="2:6" ht="19.95" customHeight="1" x14ac:dyDescent="0.3">
      <c r="B27" s="11" t="s">
        <v>113</v>
      </c>
      <c r="C27" s="15" t="s">
        <v>2360</v>
      </c>
      <c r="D27" s="13" t="s">
        <v>2361</v>
      </c>
      <c r="E27" s="13" t="s">
        <v>2362</v>
      </c>
      <c r="F27" s="13" t="s">
        <v>2363</v>
      </c>
    </row>
    <row r="28" spans="2:6" ht="19.95" customHeight="1" x14ac:dyDescent="0.3">
      <c r="B28" s="8" t="s">
        <v>117</v>
      </c>
      <c r="C28" s="14" t="s">
        <v>2364</v>
      </c>
      <c r="D28" s="10" t="s">
        <v>2365</v>
      </c>
      <c r="E28" s="10" t="s">
        <v>2366</v>
      </c>
      <c r="F28" s="10" t="s">
        <v>2367</v>
      </c>
    </row>
    <row r="29" spans="2:6" ht="19.95" customHeight="1" x14ac:dyDescent="0.3">
      <c r="B29" s="11" t="s">
        <v>120</v>
      </c>
      <c r="C29" s="15" t="s">
        <v>2368</v>
      </c>
      <c r="D29" s="13" t="s">
        <v>2369</v>
      </c>
      <c r="E29" s="13" t="s">
        <v>2370</v>
      </c>
      <c r="F29" s="13" t="s">
        <v>2371</v>
      </c>
    </row>
    <row r="30" spans="2:6" ht="6" customHeight="1" x14ac:dyDescent="0.3"/>
    <row r="31" spans="2:6" ht="12" customHeight="1" x14ac:dyDescent="0.3"/>
    <row r="32" spans="2:6" ht="27" customHeight="1" x14ac:dyDescent="0.3">
      <c r="B32" s="128" t="s">
        <v>2372</v>
      </c>
      <c r="C32" s="124"/>
      <c r="D32" s="124"/>
      <c r="E32" s="124"/>
      <c r="F32" s="124"/>
    </row>
    <row r="33" spans="2:6" ht="4.95" customHeight="1" x14ac:dyDescent="0.3"/>
    <row r="34" spans="2:6" ht="22.05" customHeight="1" x14ac:dyDescent="0.3">
      <c r="B34" s="144" t="s">
        <v>2373</v>
      </c>
      <c r="C34" s="145"/>
      <c r="D34" s="7" t="s">
        <v>2374</v>
      </c>
      <c r="E34" s="144" t="s">
        <v>2375</v>
      </c>
      <c r="F34" s="145"/>
    </row>
    <row r="35" spans="2:6" ht="19.95" customHeight="1" x14ac:dyDescent="0.3">
      <c r="B35" s="174" t="s">
        <v>309</v>
      </c>
      <c r="C35" s="111"/>
      <c r="D35" s="10" t="s">
        <v>2376</v>
      </c>
      <c r="E35" s="130" t="s">
        <v>2377</v>
      </c>
      <c r="F35" s="111"/>
    </row>
    <row r="36" spans="2:6" ht="19.95" customHeight="1" x14ac:dyDescent="0.3">
      <c r="B36" s="173" t="s">
        <v>309</v>
      </c>
      <c r="C36" s="133"/>
      <c r="D36" s="13" t="s">
        <v>2055</v>
      </c>
      <c r="E36" s="132" t="s">
        <v>2378</v>
      </c>
      <c r="F36" s="133"/>
    </row>
    <row r="37" spans="2:6" ht="19.95" customHeight="1" x14ac:dyDescent="0.3">
      <c r="B37" s="174" t="s">
        <v>309</v>
      </c>
      <c r="C37" s="111"/>
      <c r="D37" s="10" t="s">
        <v>2379</v>
      </c>
      <c r="E37" s="130" t="s">
        <v>2380</v>
      </c>
      <c r="F37" s="111"/>
    </row>
    <row r="38" spans="2:6" ht="19.95" customHeight="1" x14ac:dyDescent="0.3">
      <c r="B38" s="173" t="s">
        <v>309</v>
      </c>
      <c r="C38" s="133"/>
      <c r="D38" s="13" t="s">
        <v>2381</v>
      </c>
      <c r="E38" s="132" t="s">
        <v>2382</v>
      </c>
      <c r="F38" s="133"/>
    </row>
    <row r="39" spans="2:6" ht="33.75" customHeight="1" x14ac:dyDescent="0.3">
      <c r="B39" s="174" t="s">
        <v>2383</v>
      </c>
      <c r="C39" s="111"/>
      <c r="D39" s="10" t="s">
        <v>2384</v>
      </c>
      <c r="E39" s="130" t="s">
        <v>2385</v>
      </c>
      <c r="F39" s="111"/>
    </row>
    <row r="40" spans="2:6" ht="19.95" customHeight="1" x14ac:dyDescent="0.3">
      <c r="B40" s="173" t="s">
        <v>2383</v>
      </c>
      <c r="C40" s="133"/>
      <c r="D40" s="13" t="s">
        <v>2386</v>
      </c>
      <c r="E40" s="132" t="s">
        <v>2387</v>
      </c>
      <c r="F40" s="133"/>
    </row>
    <row r="41" spans="2:6" ht="19.95" customHeight="1" x14ac:dyDescent="0.3">
      <c r="B41" s="174" t="s">
        <v>2388</v>
      </c>
      <c r="C41" s="111"/>
      <c r="D41" s="10" t="s">
        <v>2389</v>
      </c>
      <c r="E41" s="130" t="s">
        <v>2390</v>
      </c>
      <c r="F41" s="111"/>
    </row>
    <row r="42" spans="2:6" ht="33.75" customHeight="1" x14ac:dyDescent="0.3">
      <c r="B42" s="173" t="s">
        <v>2391</v>
      </c>
      <c r="C42" s="133"/>
      <c r="D42" s="13" t="s">
        <v>2392</v>
      </c>
      <c r="E42" s="132" t="s">
        <v>2393</v>
      </c>
      <c r="F42" s="133"/>
    </row>
    <row r="43" spans="2:6" ht="19.95" customHeight="1" x14ac:dyDescent="0.3">
      <c r="B43" s="174" t="s">
        <v>303</v>
      </c>
      <c r="C43" s="111"/>
      <c r="D43" s="10" t="s">
        <v>2394</v>
      </c>
      <c r="E43" s="130" t="s">
        <v>2395</v>
      </c>
      <c r="F43" s="111"/>
    </row>
    <row r="44" spans="2:6" ht="19.95" customHeight="1" x14ac:dyDescent="0.3">
      <c r="B44" s="173" t="s">
        <v>2396</v>
      </c>
      <c r="C44" s="133"/>
      <c r="D44" s="13" t="s">
        <v>2397</v>
      </c>
      <c r="E44" s="132" t="s">
        <v>2398</v>
      </c>
      <c r="F44" s="133"/>
    </row>
    <row r="45" spans="2:6" ht="6" customHeight="1" x14ac:dyDescent="0.3"/>
    <row r="46" spans="2:6" ht="22.05" customHeight="1" x14ac:dyDescent="0.3">
      <c r="B46" s="22" t="s">
        <v>62</v>
      </c>
      <c r="C46" s="152" t="s">
        <v>2399</v>
      </c>
      <c r="D46" s="153"/>
      <c r="E46" s="153"/>
      <c r="F46" s="105"/>
    </row>
    <row r="47" spans="2:6" ht="4.95" customHeight="1" x14ac:dyDescent="0.3"/>
    <row r="48" spans="2:6" ht="12" customHeight="1" x14ac:dyDescent="0.3"/>
    <row r="49" spans="2:6" ht="27" customHeight="1" x14ac:dyDescent="0.3">
      <c r="B49" s="128" t="s">
        <v>2400</v>
      </c>
      <c r="C49" s="124"/>
      <c r="D49" s="124"/>
      <c r="E49" s="124"/>
      <c r="F49" s="124"/>
    </row>
    <row r="50" spans="2:6" ht="4.95" customHeight="1" x14ac:dyDescent="0.3"/>
    <row r="51" spans="2:6" ht="19.350000000000001" customHeight="1" x14ac:dyDescent="0.3">
      <c r="B51" s="5" t="s">
        <v>40</v>
      </c>
      <c r="C51" s="129" t="s">
        <v>2401</v>
      </c>
      <c r="D51" s="113"/>
      <c r="E51" s="113"/>
      <c r="F51" s="113"/>
    </row>
    <row r="52" spans="2:6" ht="19.350000000000001" customHeight="1" x14ac:dyDescent="0.3">
      <c r="B52" s="5" t="s">
        <v>40</v>
      </c>
      <c r="C52" s="129" t="s">
        <v>2402</v>
      </c>
      <c r="D52" s="113"/>
      <c r="E52" s="113"/>
      <c r="F52" s="113"/>
    </row>
    <row r="53" spans="2:6" ht="19.350000000000001" customHeight="1" x14ac:dyDescent="0.3">
      <c r="B53" s="5" t="s">
        <v>40</v>
      </c>
      <c r="C53" s="129" t="s">
        <v>2403</v>
      </c>
      <c r="D53" s="113"/>
      <c r="E53" s="113"/>
      <c r="F53" s="113"/>
    </row>
    <row r="54" spans="2:6" ht="19.350000000000001" customHeight="1" x14ac:dyDescent="0.3">
      <c r="B54" s="5" t="s">
        <v>40</v>
      </c>
      <c r="C54" s="129" t="s">
        <v>2404</v>
      </c>
      <c r="D54" s="113"/>
      <c r="E54" s="113"/>
      <c r="F54" s="113"/>
    </row>
    <row r="55" spans="2:6" ht="19.350000000000001" customHeight="1" x14ac:dyDescent="0.3">
      <c r="B55" s="5" t="s">
        <v>40</v>
      </c>
      <c r="C55" s="129" t="s">
        <v>2405</v>
      </c>
      <c r="D55" s="113"/>
      <c r="E55" s="113"/>
      <c r="F55" s="113"/>
    </row>
  </sheetData>
  <mergeCells count="40">
    <mergeCell ref="C55:F55"/>
    <mergeCell ref="B49:F49"/>
    <mergeCell ref="C9:F9"/>
    <mergeCell ref="E41:F41"/>
    <mergeCell ref="C46:F46"/>
    <mergeCell ref="B36:C36"/>
    <mergeCell ref="E37:F37"/>
    <mergeCell ref="C11:F11"/>
    <mergeCell ref="C51:F51"/>
    <mergeCell ref="B32:F32"/>
    <mergeCell ref="B35:C35"/>
    <mergeCell ref="C54:F54"/>
    <mergeCell ref="E36:F36"/>
    <mergeCell ref="B2:E2"/>
    <mergeCell ref="B40:C40"/>
    <mergeCell ref="C10:F10"/>
    <mergeCell ref="C53:F53"/>
    <mergeCell ref="E38:F38"/>
    <mergeCell ref="B42:C42"/>
    <mergeCell ref="C6:F6"/>
    <mergeCell ref="B1:F1"/>
    <mergeCell ref="E40:F40"/>
    <mergeCell ref="B13:F13"/>
    <mergeCell ref="E34:F34"/>
    <mergeCell ref="B38:C38"/>
    <mergeCell ref="B44:C44"/>
    <mergeCell ref="B34:C34"/>
    <mergeCell ref="B37:C37"/>
    <mergeCell ref="B41:C41"/>
    <mergeCell ref="B4:F4"/>
    <mergeCell ref="E43:F43"/>
    <mergeCell ref="C52:F52"/>
    <mergeCell ref="C8:F8"/>
    <mergeCell ref="C7:F7"/>
    <mergeCell ref="E42:F42"/>
    <mergeCell ref="E39:F39"/>
    <mergeCell ref="B43:C43"/>
    <mergeCell ref="E44:F44"/>
    <mergeCell ref="B39:C39"/>
    <mergeCell ref="E35:F35"/>
  </mergeCells>
  <phoneticPr fontId="27"/>
  <hyperlinks>
    <hyperlink ref="F2" location="'目次'!A1" display="▲ 目次へ戻る" xr:uid="{00000000-0004-0000-0A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16:B29"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04040"/>
    <pageSetUpPr fitToPage="1"/>
  </sheetPr>
  <dimension ref="B1:F47"/>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2406</v>
      </c>
      <c r="C1" s="118"/>
      <c r="D1" s="118"/>
      <c r="E1" s="118"/>
      <c r="F1" s="118"/>
    </row>
    <row r="2" spans="2:6" ht="24" customHeight="1" x14ac:dyDescent="0.3">
      <c r="B2" s="141" t="s">
        <v>2407</v>
      </c>
      <c r="C2" s="113"/>
      <c r="D2" s="113"/>
      <c r="E2" s="113"/>
      <c r="F2" s="4" t="s">
        <v>38</v>
      </c>
    </row>
    <row r="3" spans="2:6" ht="22.05" customHeight="1" x14ac:dyDescent="0.3">
      <c r="B3" s="7" t="s">
        <v>73</v>
      </c>
      <c r="C3" s="144" t="s">
        <v>1717</v>
      </c>
      <c r="D3" s="145"/>
      <c r="E3" s="7" t="s">
        <v>2408</v>
      </c>
      <c r="F3" s="7" t="s">
        <v>2409</v>
      </c>
    </row>
    <row r="4" spans="2:6" ht="21" customHeight="1" x14ac:dyDescent="0.3">
      <c r="B4" s="176" t="s">
        <v>2410</v>
      </c>
      <c r="C4" s="177"/>
      <c r="D4" s="177"/>
      <c r="E4" s="177"/>
      <c r="F4" s="135"/>
    </row>
    <row r="5" spans="2:6" ht="33.75" customHeight="1" x14ac:dyDescent="0.3">
      <c r="B5" s="8" t="s">
        <v>77</v>
      </c>
      <c r="C5" s="174" t="s">
        <v>2411</v>
      </c>
      <c r="D5" s="111"/>
      <c r="E5" s="10" t="s">
        <v>2412</v>
      </c>
      <c r="F5" s="10" t="s">
        <v>2413</v>
      </c>
    </row>
    <row r="6" spans="2:6" ht="19.95" customHeight="1" x14ac:dyDescent="0.3">
      <c r="B6" s="11" t="s">
        <v>81</v>
      </c>
      <c r="C6" s="173" t="s">
        <v>2414</v>
      </c>
      <c r="D6" s="133"/>
      <c r="E6" s="13" t="s">
        <v>2415</v>
      </c>
      <c r="F6" s="13" t="s">
        <v>2416</v>
      </c>
    </row>
    <row r="7" spans="2:6" ht="33.75" customHeight="1" x14ac:dyDescent="0.3">
      <c r="B7" s="8" t="s">
        <v>85</v>
      </c>
      <c r="C7" s="174" t="s">
        <v>2417</v>
      </c>
      <c r="D7" s="111"/>
      <c r="E7" s="10" t="s">
        <v>2418</v>
      </c>
      <c r="F7" s="10" t="s">
        <v>2419</v>
      </c>
    </row>
    <row r="8" spans="2:6" ht="21" customHeight="1" x14ac:dyDescent="0.3">
      <c r="B8" s="176" t="s">
        <v>2420</v>
      </c>
      <c r="C8" s="177"/>
      <c r="D8" s="177"/>
      <c r="E8" s="177"/>
      <c r="F8" s="135"/>
    </row>
    <row r="9" spans="2:6" ht="33.75" customHeight="1" x14ac:dyDescent="0.3">
      <c r="B9" s="8" t="s">
        <v>88</v>
      </c>
      <c r="C9" s="174" t="s">
        <v>2421</v>
      </c>
      <c r="D9" s="111"/>
      <c r="E9" s="10" t="s">
        <v>2422</v>
      </c>
      <c r="F9" s="10" t="s">
        <v>2423</v>
      </c>
    </row>
    <row r="10" spans="2:6" ht="19.95" customHeight="1" x14ac:dyDescent="0.3">
      <c r="B10" s="11" t="s">
        <v>91</v>
      </c>
      <c r="C10" s="173" t="s">
        <v>2424</v>
      </c>
      <c r="D10" s="133"/>
      <c r="E10" s="13" t="s">
        <v>2425</v>
      </c>
      <c r="F10" s="13" t="s">
        <v>2426</v>
      </c>
    </row>
    <row r="11" spans="2:6" ht="33.75" customHeight="1" x14ac:dyDescent="0.3">
      <c r="B11" s="8" t="s">
        <v>94</v>
      </c>
      <c r="C11" s="174" t="s">
        <v>2427</v>
      </c>
      <c r="D11" s="111"/>
      <c r="E11" s="10" t="s">
        <v>2428</v>
      </c>
      <c r="F11" s="10" t="s">
        <v>2429</v>
      </c>
    </row>
    <row r="12" spans="2:6" ht="33.75" customHeight="1" x14ac:dyDescent="0.3">
      <c r="B12" s="11" t="s">
        <v>97</v>
      </c>
      <c r="C12" s="173" t="s">
        <v>2430</v>
      </c>
      <c r="D12" s="133"/>
      <c r="E12" s="13" t="s">
        <v>2431</v>
      </c>
      <c r="F12" s="13" t="s">
        <v>2432</v>
      </c>
    </row>
    <row r="13" spans="2:6" ht="19.95" customHeight="1" x14ac:dyDescent="0.3">
      <c r="B13" s="8" t="s">
        <v>100</v>
      </c>
      <c r="C13" s="174" t="s">
        <v>2433</v>
      </c>
      <c r="D13" s="111"/>
      <c r="E13" s="10" t="s">
        <v>2434</v>
      </c>
      <c r="F13" s="10" t="s">
        <v>2435</v>
      </c>
    </row>
    <row r="14" spans="2:6" ht="21" customHeight="1" x14ac:dyDescent="0.3">
      <c r="B14" s="176" t="s">
        <v>315</v>
      </c>
      <c r="C14" s="177"/>
      <c r="D14" s="177"/>
      <c r="E14" s="177"/>
      <c r="F14" s="135"/>
    </row>
    <row r="15" spans="2:6" ht="33.75" customHeight="1" x14ac:dyDescent="0.3">
      <c r="B15" s="8" t="s">
        <v>103</v>
      </c>
      <c r="C15" s="174" t="s">
        <v>2436</v>
      </c>
      <c r="D15" s="111"/>
      <c r="E15" s="10" t="s">
        <v>2437</v>
      </c>
      <c r="F15" s="10" t="s">
        <v>2438</v>
      </c>
    </row>
    <row r="16" spans="2:6" ht="19.95" customHeight="1" x14ac:dyDescent="0.3">
      <c r="B16" s="11" t="s">
        <v>106</v>
      </c>
      <c r="C16" s="173" t="s">
        <v>2439</v>
      </c>
      <c r="D16" s="133"/>
      <c r="E16" s="13" t="s">
        <v>2440</v>
      </c>
      <c r="F16" s="13" t="s">
        <v>2441</v>
      </c>
    </row>
    <row r="17" spans="2:6" ht="19.95" customHeight="1" x14ac:dyDescent="0.3">
      <c r="B17" s="8" t="s">
        <v>109</v>
      </c>
      <c r="C17" s="174" t="s">
        <v>2442</v>
      </c>
      <c r="D17" s="111"/>
      <c r="E17" s="10" t="s">
        <v>2443</v>
      </c>
      <c r="F17" s="10" t="s">
        <v>2444</v>
      </c>
    </row>
    <row r="18" spans="2:6" ht="21" customHeight="1" x14ac:dyDescent="0.3">
      <c r="B18" s="176" t="s">
        <v>2445</v>
      </c>
      <c r="C18" s="177"/>
      <c r="D18" s="177"/>
      <c r="E18" s="177"/>
      <c r="F18" s="135"/>
    </row>
    <row r="19" spans="2:6" ht="33.75" customHeight="1" x14ac:dyDescent="0.3">
      <c r="B19" s="8" t="s">
        <v>113</v>
      </c>
      <c r="C19" s="174" t="s">
        <v>2446</v>
      </c>
      <c r="D19" s="111"/>
      <c r="E19" s="10" t="s">
        <v>2447</v>
      </c>
      <c r="F19" s="10" t="s">
        <v>2448</v>
      </c>
    </row>
    <row r="20" spans="2:6" ht="19.95" customHeight="1" x14ac:dyDescent="0.3">
      <c r="B20" s="11" t="s">
        <v>117</v>
      </c>
      <c r="C20" s="173" t="s">
        <v>2449</v>
      </c>
      <c r="D20" s="133"/>
      <c r="E20" s="13" t="s">
        <v>2450</v>
      </c>
      <c r="F20" s="13" t="s">
        <v>2451</v>
      </c>
    </row>
    <row r="21" spans="2:6" ht="19.95" customHeight="1" x14ac:dyDescent="0.3">
      <c r="B21" s="8" t="s">
        <v>120</v>
      </c>
      <c r="C21" s="174" t="s">
        <v>2452</v>
      </c>
      <c r="D21" s="111"/>
      <c r="E21" s="10" t="s">
        <v>2453</v>
      </c>
      <c r="F21" s="10" t="s">
        <v>2454</v>
      </c>
    </row>
    <row r="22" spans="2:6" ht="19.95" customHeight="1" x14ac:dyDescent="0.3">
      <c r="B22" s="11" t="s">
        <v>124</v>
      </c>
      <c r="C22" s="173" t="s">
        <v>2455</v>
      </c>
      <c r="D22" s="133"/>
      <c r="E22" s="13" t="s">
        <v>2456</v>
      </c>
      <c r="F22" s="13" t="s">
        <v>2457</v>
      </c>
    </row>
    <row r="23" spans="2:6" ht="19.95" customHeight="1" x14ac:dyDescent="0.3">
      <c r="B23" s="8" t="s">
        <v>127</v>
      </c>
      <c r="C23" s="174" t="s">
        <v>2458</v>
      </c>
      <c r="D23" s="111"/>
      <c r="E23" s="10" t="s">
        <v>2459</v>
      </c>
      <c r="F23" s="10" t="s">
        <v>2460</v>
      </c>
    </row>
    <row r="24" spans="2:6" ht="19.95" customHeight="1" x14ac:dyDescent="0.3">
      <c r="B24" s="11" t="s">
        <v>130</v>
      </c>
      <c r="C24" s="173" t="s">
        <v>2461</v>
      </c>
      <c r="D24" s="133"/>
      <c r="E24" s="13" t="s">
        <v>2462</v>
      </c>
      <c r="F24" s="13" t="s">
        <v>2463</v>
      </c>
    </row>
    <row r="25" spans="2:6" ht="19.95" customHeight="1" x14ac:dyDescent="0.3">
      <c r="B25" s="8" t="s">
        <v>133</v>
      </c>
      <c r="C25" s="174" t="s">
        <v>2464</v>
      </c>
      <c r="D25" s="111"/>
      <c r="E25" s="10" t="s">
        <v>2465</v>
      </c>
      <c r="F25" s="10" t="s">
        <v>2466</v>
      </c>
    </row>
    <row r="26" spans="2:6" ht="33.75" customHeight="1" x14ac:dyDescent="0.3">
      <c r="B26" s="11" t="s">
        <v>136</v>
      </c>
      <c r="C26" s="173" t="s">
        <v>2467</v>
      </c>
      <c r="D26" s="133"/>
      <c r="E26" s="13" t="s">
        <v>2468</v>
      </c>
      <c r="F26" s="13" t="s">
        <v>2469</v>
      </c>
    </row>
    <row r="27" spans="2:6" ht="21" customHeight="1" x14ac:dyDescent="0.3">
      <c r="B27" s="176" t="s">
        <v>2470</v>
      </c>
      <c r="C27" s="177"/>
      <c r="D27" s="177"/>
      <c r="E27" s="177"/>
      <c r="F27" s="135"/>
    </row>
    <row r="28" spans="2:6" ht="33.75" customHeight="1" x14ac:dyDescent="0.3">
      <c r="B28" s="8" t="s">
        <v>139</v>
      </c>
      <c r="C28" s="174" t="s">
        <v>2471</v>
      </c>
      <c r="D28" s="111"/>
      <c r="E28" s="10" t="s">
        <v>2472</v>
      </c>
      <c r="F28" s="10" t="s">
        <v>2473</v>
      </c>
    </row>
    <row r="29" spans="2:6" ht="33.75" customHeight="1" x14ac:dyDescent="0.3">
      <c r="B29" s="11" t="s">
        <v>143</v>
      </c>
      <c r="C29" s="173" t="s">
        <v>2474</v>
      </c>
      <c r="D29" s="133"/>
      <c r="E29" s="13" t="s">
        <v>2475</v>
      </c>
      <c r="F29" s="13" t="s">
        <v>2476</v>
      </c>
    </row>
    <row r="30" spans="2:6" ht="19.95" customHeight="1" x14ac:dyDescent="0.3">
      <c r="B30" s="8" t="s">
        <v>146</v>
      </c>
      <c r="C30" s="174" t="s">
        <v>2477</v>
      </c>
      <c r="D30" s="111"/>
      <c r="E30" s="10" t="s">
        <v>2478</v>
      </c>
      <c r="F30" s="10" t="s">
        <v>2479</v>
      </c>
    </row>
    <row r="31" spans="2:6" ht="21" customHeight="1" x14ac:dyDescent="0.3">
      <c r="B31" s="176" t="s">
        <v>2480</v>
      </c>
      <c r="C31" s="177"/>
      <c r="D31" s="177"/>
      <c r="E31" s="177"/>
      <c r="F31" s="135"/>
    </row>
    <row r="32" spans="2:6" ht="33.75" customHeight="1" x14ac:dyDescent="0.3">
      <c r="B32" s="8" t="s">
        <v>149</v>
      </c>
      <c r="C32" s="174" t="s">
        <v>2481</v>
      </c>
      <c r="D32" s="111"/>
      <c r="E32" s="10" t="s">
        <v>2482</v>
      </c>
      <c r="F32" s="10" t="s">
        <v>2483</v>
      </c>
    </row>
    <row r="33" spans="2:6" ht="19.95" customHeight="1" x14ac:dyDescent="0.3">
      <c r="B33" s="11" t="s">
        <v>152</v>
      </c>
      <c r="C33" s="173" t="s">
        <v>2484</v>
      </c>
      <c r="D33" s="133"/>
      <c r="E33" s="13" t="s">
        <v>2485</v>
      </c>
      <c r="F33" s="13" t="s">
        <v>2486</v>
      </c>
    </row>
    <row r="34" spans="2:6" ht="19.95" customHeight="1" x14ac:dyDescent="0.3">
      <c r="B34" s="8" t="s">
        <v>155</v>
      </c>
      <c r="C34" s="174" t="s">
        <v>2487</v>
      </c>
      <c r="D34" s="111"/>
      <c r="E34" s="10" t="s">
        <v>2488</v>
      </c>
      <c r="F34" s="10" t="s">
        <v>2489</v>
      </c>
    </row>
    <row r="35" spans="2:6" ht="19.95" customHeight="1" x14ac:dyDescent="0.3">
      <c r="B35" s="11" t="s">
        <v>2490</v>
      </c>
      <c r="C35" s="173" t="s">
        <v>2491</v>
      </c>
      <c r="D35" s="133"/>
      <c r="E35" s="13" t="s">
        <v>2492</v>
      </c>
      <c r="F35" s="13" t="s">
        <v>2493</v>
      </c>
    </row>
    <row r="36" spans="2:6" ht="21" customHeight="1" x14ac:dyDescent="0.3">
      <c r="B36" s="176" t="s">
        <v>2494</v>
      </c>
      <c r="C36" s="177"/>
      <c r="D36" s="177"/>
      <c r="E36" s="177"/>
      <c r="F36" s="135"/>
    </row>
    <row r="37" spans="2:6" ht="19.95" customHeight="1" x14ac:dyDescent="0.3">
      <c r="B37" s="8" t="s">
        <v>2495</v>
      </c>
      <c r="C37" s="174" t="s">
        <v>2496</v>
      </c>
      <c r="D37" s="111"/>
      <c r="E37" s="10" t="s">
        <v>2497</v>
      </c>
      <c r="F37" s="10" t="s">
        <v>2498</v>
      </c>
    </row>
    <row r="38" spans="2:6" ht="19.95" customHeight="1" x14ac:dyDescent="0.3">
      <c r="B38" s="11" t="s">
        <v>2499</v>
      </c>
      <c r="C38" s="173" t="s">
        <v>2500</v>
      </c>
      <c r="D38" s="133"/>
      <c r="E38" s="13" t="s">
        <v>2501</v>
      </c>
      <c r="F38" s="13" t="s">
        <v>2502</v>
      </c>
    </row>
    <row r="39" spans="2:6" ht="21" customHeight="1" x14ac:dyDescent="0.3">
      <c r="B39" s="176" t="s">
        <v>2503</v>
      </c>
      <c r="C39" s="177"/>
      <c r="D39" s="177"/>
      <c r="E39" s="177"/>
      <c r="F39" s="135"/>
    </row>
    <row r="40" spans="2:6" ht="33.75" customHeight="1" x14ac:dyDescent="0.3">
      <c r="B40" s="8" t="s">
        <v>2504</v>
      </c>
      <c r="C40" s="174" t="s">
        <v>2505</v>
      </c>
      <c r="D40" s="111"/>
      <c r="E40" s="10" t="s">
        <v>2506</v>
      </c>
      <c r="F40" s="10" t="s">
        <v>2507</v>
      </c>
    </row>
    <row r="41" spans="2:6" ht="21" customHeight="1" x14ac:dyDescent="0.3">
      <c r="B41" s="176" t="s">
        <v>2508</v>
      </c>
      <c r="C41" s="177"/>
      <c r="D41" s="177"/>
      <c r="E41" s="177"/>
      <c r="F41" s="135"/>
    </row>
    <row r="42" spans="2:6" ht="33.75" customHeight="1" x14ac:dyDescent="0.3">
      <c r="B42" s="8" t="s">
        <v>2509</v>
      </c>
      <c r="C42" s="174" t="s">
        <v>2510</v>
      </c>
      <c r="D42" s="111"/>
      <c r="E42" s="10" t="s">
        <v>2511</v>
      </c>
      <c r="F42" s="10" t="s">
        <v>2512</v>
      </c>
    </row>
    <row r="43" spans="2:6" ht="33.75" customHeight="1" x14ac:dyDescent="0.3">
      <c r="B43" s="11" t="s">
        <v>2513</v>
      </c>
      <c r="C43" s="173" t="s">
        <v>2514</v>
      </c>
      <c r="D43" s="133"/>
      <c r="E43" s="13" t="s">
        <v>2515</v>
      </c>
      <c r="F43" s="13" t="s">
        <v>2516</v>
      </c>
    </row>
    <row r="44" spans="2:6" ht="21" customHeight="1" x14ac:dyDescent="0.3">
      <c r="B44" s="176" t="s">
        <v>2517</v>
      </c>
      <c r="C44" s="177"/>
      <c r="D44" s="177"/>
      <c r="E44" s="177"/>
      <c r="F44" s="135"/>
    </row>
    <row r="45" spans="2:6" ht="19.95" customHeight="1" x14ac:dyDescent="0.3">
      <c r="B45" s="8" t="s">
        <v>2518</v>
      </c>
      <c r="C45" s="174" t="s">
        <v>2519</v>
      </c>
      <c r="D45" s="111"/>
      <c r="E45" s="10" t="s">
        <v>2520</v>
      </c>
      <c r="F45" s="10" t="s">
        <v>2521</v>
      </c>
    </row>
    <row r="46" spans="2:6" ht="19.95" customHeight="1" x14ac:dyDescent="0.3">
      <c r="B46" s="11" t="s">
        <v>2522</v>
      </c>
      <c r="C46" s="173" t="s">
        <v>2523</v>
      </c>
      <c r="D46" s="133"/>
      <c r="E46" s="13" t="s">
        <v>2524</v>
      </c>
      <c r="F46" s="13" t="s">
        <v>2525</v>
      </c>
    </row>
    <row r="47" spans="2:6" ht="6" customHeight="1" x14ac:dyDescent="0.3"/>
  </sheetData>
  <mergeCells count="46">
    <mergeCell ref="C46:D46"/>
    <mergeCell ref="C21:D21"/>
    <mergeCell ref="C11:D11"/>
    <mergeCell ref="B2:E2"/>
    <mergeCell ref="C17:D17"/>
    <mergeCell ref="C23:D23"/>
    <mergeCell ref="C32:D32"/>
    <mergeCell ref="C7:D7"/>
    <mergeCell ref="C38:D38"/>
    <mergeCell ref="C19:D19"/>
    <mergeCell ref="C37:D37"/>
    <mergeCell ref="C28:D28"/>
    <mergeCell ref="C13:D13"/>
    <mergeCell ref="B36:F36"/>
    <mergeCell ref="C3:D3"/>
    <mergeCell ref="B41:F41"/>
    <mergeCell ref="B1:F1"/>
    <mergeCell ref="C9:D9"/>
    <mergeCell ref="B14:F14"/>
    <mergeCell ref="B8:F8"/>
    <mergeCell ref="C40:D40"/>
    <mergeCell ref="C12:D12"/>
    <mergeCell ref="C42:D42"/>
    <mergeCell ref="C45:D45"/>
    <mergeCell ref="B31:F31"/>
    <mergeCell ref="C26:D26"/>
    <mergeCell ref="B18:F18"/>
    <mergeCell ref="B27:F27"/>
    <mergeCell ref="C35:D35"/>
    <mergeCell ref="C20:D20"/>
    <mergeCell ref="B39:F39"/>
    <mergeCell ref="C29:D29"/>
    <mergeCell ref="C25:D25"/>
    <mergeCell ref="C22:D22"/>
    <mergeCell ref="B44:F44"/>
    <mergeCell ref="C43:D43"/>
    <mergeCell ref="B4:F4"/>
    <mergeCell ref="C34:D34"/>
    <mergeCell ref="C6:D6"/>
    <mergeCell ref="C24:D24"/>
    <mergeCell ref="C30:D30"/>
    <mergeCell ref="C15:D15"/>
    <mergeCell ref="C33:D33"/>
    <mergeCell ref="C5:D5"/>
    <mergeCell ref="C10:D10"/>
    <mergeCell ref="C16:D16"/>
  </mergeCells>
  <phoneticPr fontId="27"/>
  <hyperlinks>
    <hyperlink ref="F2" location="'目次'!A1" display="▲ 目次へ戻る" xr:uid="{00000000-0004-0000-0B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5:B7 B9:B13 B15:B17 B19:B26 B28:B30 B32:B35 B37:B38 B40 B42:B43 B45:B46"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F7F7F"/>
    <pageSetUpPr fitToPage="1"/>
  </sheetPr>
  <dimension ref="B1:F242"/>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2526</v>
      </c>
      <c r="C1" s="118"/>
      <c r="D1" s="118"/>
      <c r="E1" s="118"/>
      <c r="F1" s="118"/>
    </row>
    <row r="2" spans="2:6" ht="24" customHeight="1" x14ac:dyDescent="0.3">
      <c r="B2" s="141" t="s">
        <v>2527</v>
      </c>
      <c r="C2" s="113"/>
      <c r="D2" s="113"/>
      <c r="E2" s="113"/>
      <c r="F2" s="4" t="s">
        <v>38</v>
      </c>
    </row>
    <row r="3" spans="2:6" ht="12" customHeight="1" x14ac:dyDescent="0.3"/>
    <row r="4" spans="2:6" ht="27" customHeight="1" x14ac:dyDescent="0.3">
      <c r="B4" s="128" t="s">
        <v>2528</v>
      </c>
      <c r="C4" s="124"/>
      <c r="D4" s="124"/>
      <c r="E4" s="124"/>
      <c r="F4" s="124"/>
    </row>
    <row r="5" spans="2:6" ht="4.95" customHeight="1" x14ac:dyDescent="0.3"/>
    <row r="6" spans="2:6" ht="22.05" customHeight="1" x14ac:dyDescent="0.3">
      <c r="B6" s="144" t="s">
        <v>369</v>
      </c>
      <c r="C6" s="145"/>
      <c r="D6" s="7" t="s">
        <v>2529</v>
      </c>
      <c r="E6" s="144" t="s">
        <v>2530</v>
      </c>
      <c r="F6" s="145"/>
    </row>
    <row r="7" spans="2:6" ht="19.95" customHeight="1" x14ac:dyDescent="0.3">
      <c r="B7" s="174" t="s">
        <v>2531</v>
      </c>
      <c r="C7" s="111"/>
      <c r="D7" s="10" t="s">
        <v>2532</v>
      </c>
      <c r="E7" s="149" t="s">
        <v>2533</v>
      </c>
      <c r="F7" s="137"/>
    </row>
    <row r="8" spans="2:6" ht="19.95" customHeight="1" x14ac:dyDescent="0.3">
      <c r="B8" s="173" t="s">
        <v>2534</v>
      </c>
      <c r="C8" s="133"/>
      <c r="D8" s="13" t="s">
        <v>2535</v>
      </c>
      <c r="E8" s="149" t="s">
        <v>2536</v>
      </c>
      <c r="F8" s="137"/>
    </row>
    <row r="9" spans="2:6" ht="19.95" customHeight="1" x14ac:dyDescent="0.3">
      <c r="B9" s="174" t="s">
        <v>2537</v>
      </c>
      <c r="C9" s="111"/>
      <c r="D9" s="10" t="s">
        <v>2538</v>
      </c>
      <c r="E9" s="149" t="s">
        <v>2539</v>
      </c>
      <c r="F9" s="137"/>
    </row>
    <row r="10" spans="2:6" ht="19.95" customHeight="1" x14ac:dyDescent="0.3">
      <c r="B10" s="173" t="s">
        <v>2503</v>
      </c>
      <c r="C10" s="133"/>
      <c r="D10" s="13" t="s">
        <v>2540</v>
      </c>
      <c r="E10" s="149" t="s">
        <v>2541</v>
      </c>
      <c r="F10" s="137"/>
    </row>
    <row r="11" spans="2:6" ht="19.95" customHeight="1" x14ac:dyDescent="0.3">
      <c r="B11" s="174" t="s">
        <v>2542</v>
      </c>
      <c r="C11" s="111"/>
      <c r="D11" s="10" t="s">
        <v>2543</v>
      </c>
      <c r="E11" s="149" t="s">
        <v>438</v>
      </c>
      <c r="F11" s="137"/>
    </row>
    <row r="12" spans="2:6" ht="19.95" customHeight="1" x14ac:dyDescent="0.3">
      <c r="B12" s="173" t="s">
        <v>294</v>
      </c>
      <c r="C12" s="133"/>
      <c r="D12" s="13" t="s">
        <v>2544</v>
      </c>
      <c r="E12" s="149" t="s">
        <v>2545</v>
      </c>
      <c r="F12" s="137"/>
    </row>
    <row r="13" spans="2:6" ht="19.95" customHeight="1" x14ac:dyDescent="0.3">
      <c r="B13" s="174" t="s">
        <v>2494</v>
      </c>
      <c r="C13" s="111"/>
      <c r="D13" s="10" t="s">
        <v>2546</v>
      </c>
      <c r="E13" s="149" t="s">
        <v>2547</v>
      </c>
      <c r="F13" s="137"/>
    </row>
    <row r="14" spans="2:6" ht="6" customHeight="1" x14ac:dyDescent="0.3"/>
    <row r="15" spans="2:6" ht="22.05" customHeight="1" x14ac:dyDescent="0.3">
      <c r="B15" s="16" t="s">
        <v>64</v>
      </c>
      <c r="C15" s="152" t="s">
        <v>2548</v>
      </c>
      <c r="D15" s="153"/>
      <c r="E15" s="153"/>
      <c r="F15" s="105"/>
    </row>
    <row r="16" spans="2:6" ht="4.95" customHeight="1" x14ac:dyDescent="0.3"/>
    <row r="17" spans="2:6" ht="12" customHeight="1" x14ac:dyDescent="0.3"/>
    <row r="18" spans="2:6" ht="27" customHeight="1" x14ac:dyDescent="0.3">
      <c r="B18" s="128" t="s">
        <v>2549</v>
      </c>
      <c r="C18" s="124"/>
      <c r="D18" s="124"/>
      <c r="E18" s="124"/>
      <c r="F18" s="124"/>
    </row>
    <row r="19" spans="2:6" ht="4.95" customHeight="1" x14ac:dyDescent="0.3"/>
    <row r="20" spans="2:6" ht="7.05" customHeight="1" x14ac:dyDescent="0.3"/>
    <row r="21" spans="2:6" ht="22.95" customHeight="1" x14ac:dyDescent="0.3">
      <c r="B21" s="156" t="s">
        <v>2550</v>
      </c>
      <c r="C21" s="157"/>
      <c r="D21" s="157"/>
      <c r="E21" s="157"/>
      <c r="F21" s="157"/>
    </row>
    <row r="22" spans="2:6" ht="4.05" customHeight="1" x14ac:dyDescent="0.3"/>
    <row r="23" spans="2:6" ht="16.95" customHeight="1" x14ac:dyDescent="0.3">
      <c r="C23" s="170" t="s">
        <v>2551</v>
      </c>
      <c r="D23" s="113"/>
      <c r="E23" s="113"/>
      <c r="F23" s="113"/>
    </row>
    <row r="24" spans="2:6" ht="17.25" customHeight="1" x14ac:dyDescent="0.3">
      <c r="C24" s="48" t="s">
        <v>2552</v>
      </c>
      <c r="D24" s="49"/>
      <c r="E24" s="49"/>
      <c r="F24" s="50"/>
    </row>
    <row r="25" spans="2:6" ht="4.95" customHeight="1" x14ac:dyDescent="0.3"/>
    <row r="26" spans="2:6" ht="22.05" customHeight="1" x14ac:dyDescent="0.3">
      <c r="B26" s="144" t="s">
        <v>2553</v>
      </c>
      <c r="C26" s="145"/>
      <c r="D26" s="144" t="s">
        <v>53</v>
      </c>
      <c r="E26" s="171"/>
      <c r="F26" s="145"/>
    </row>
    <row r="27" spans="2:6" ht="19.95" customHeight="1" x14ac:dyDescent="0.3">
      <c r="B27" s="149" t="s">
        <v>2554</v>
      </c>
      <c r="C27" s="137"/>
      <c r="D27" s="130" t="s">
        <v>2555</v>
      </c>
      <c r="E27" s="110"/>
      <c r="F27" s="111"/>
    </row>
    <row r="28" spans="2:6" ht="19.95" customHeight="1" x14ac:dyDescent="0.3">
      <c r="B28" s="149" t="s">
        <v>2556</v>
      </c>
      <c r="C28" s="137"/>
      <c r="D28" s="132" t="s">
        <v>2557</v>
      </c>
      <c r="E28" s="169"/>
      <c r="F28" s="133"/>
    </row>
    <row r="29" spans="2:6" ht="19.95" customHeight="1" x14ac:dyDescent="0.3">
      <c r="B29" s="149" t="s">
        <v>2558</v>
      </c>
      <c r="C29" s="137"/>
      <c r="D29" s="130" t="s">
        <v>2559</v>
      </c>
      <c r="E29" s="110"/>
      <c r="F29" s="111"/>
    </row>
    <row r="30" spans="2:6" ht="6" customHeight="1" x14ac:dyDescent="0.3"/>
    <row r="31" spans="2:6" ht="19.350000000000001" customHeight="1" x14ac:dyDescent="0.3">
      <c r="B31" s="129" t="s">
        <v>2560</v>
      </c>
      <c r="C31" s="113"/>
      <c r="D31" s="113"/>
      <c r="E31" s="113"/>
      <c r="F31" s="113"/>
    </row>
    <row r="32" spans="2:6" ht="7.05" customHeight="1" x14ac:dyDescent="0.3"/>
    <row r="33" spans="2:6" ht="22.95" customHeight="1" x14ac:dyDescent="0.3">
      <c r="B33" s="156" t="s">
        <v>2561</v>
      </c>
      <c r="C33" s="157"/>
      <c r="D33" s="157"/>
      <c r="E33" s="157"/>
      <c r="F33" s="157"/>
    </row>
    <row r="34" spans="2:6" ht="4.05" customHeight="1" x14ac:dyDescent="0.3"/>
    <row r="35" spans="2:6" ht="19.350000000000001" customHeight="1" x14ac:dyDescent="0.3">
      <c r="B35" s="129" t="s">
        <v>2562</v>
      </c>
      <c r="C35" s="113"/>
      <c r="D35" s="113"/>
      <c r="E35" s="113"/>
      <c r="F35" s="113"/>
    </row>
    <row r="36" spans="2:6" ht="16.95" customHeight="1" x14ac:dyDescent="0.3">
      <c r="C36" s="170" t="s">
        <v>2563</v>
      </c>
      <c r="D36" s="113"/>
      <c r="E36" s="113"/>
      <c r="F36" s="113"/>
    </row>
    <row r="37" spans="2:6" ht="17.25" customHeight="1" x14ac:dyDescent="0.3">
      <c r="C37" s="39" t="s">
        <v>2564</v>
      </c>
      <c r="D37" s="40"/>
      <c r="E37" s="40"/>
      <c r="F37" s="41"/>
    </row>
    <row r="38" spans="2:6" ht="17.25" customHeight="1" x14ac:dyDescent="0.3">
      <c r="C38" s="45" t="s">
        <v>2565</v>
      </c>
      <c r="D38" s="46"/>
      <c r="E38" s="46"/>
      <c r="F38" s="47"/>
    </row>
    <row r="39" spans="2:6" ht="4.95" customHeight="1" x14ac:dyDescent="0.3"/>
    <row r="40" spans="2:6" ht="16.95" customHeight="1" x14ac:dyDescent="0.3">
      <c r="C40" s="170" t="s">
        <v>2566</v>
      </c>
      <c r="D40" s="113"/>
      <c r="E40" s="113"/>
      <c r="F40" s="113"/>
    </row>
    <row r="41" spans="2:6" ht="17.25" customHeight="1" x14ac:dyDescent="0.3">
      <c r="C41" s="39" t="s">
        <v>2567</v>
      </c>
      <c r="D41" s="40"/>
      <c r="E41" s="40"/>
      <c r="F41" s="41"/>
    </row>
    <row r="42" spans="2:6" ht="17.25" customHeight="1" x14ac:dyDescent="0.3">
      <c r="C42" s="42" t="s">
        <v>2568</v>
      </c>
      <c r="D42" s="43"/>
      <c r="E42" s="43"/>
      <c r="F42" s="44"/>
    </row>
    <row r="43" spans="2:6" ht="17.25" customHeight="1" x14ac:dyDescent="0.3">
      <c r="C43" s="42" t="s">
        <v>2569</v>
      </c>
      <c r="D43" s="43"/>
      <c r="E43" s="43"/>
      <c r="F43" s="44"/>
    </row>
    <row r="44" spans="2:6" ht="17.25" customHeight="1" x14ac:dyDescent="0.3">
      <c r="C44" s="42" t="s">
        <v>2570</v>
      </c>
      <c r="D44" s="43"/>
      <c r="E44" s="43"/>
      <c r="F44" s="44"/>
    </row>
    <row r="45" spans="2:6" ht="17.25" customHeight="1" x14ac:dyDescent="0.3">
      <c r="C45" s="42"/>
      <c r="D45" s="43"/>
      <c r="E45" s="43"/>
      <c r="F45" s="44"/>
    </row>
    <row r="46" spans="2:6" ht="17.25" customHeight="1" x14ac:dyDescent="0.3">
      <c r="C46" s="42" t="s">
        <v>2571</v>
      </c>
      <c r="D46" s="43"/>
      <c r="E46" s="43"/>
      <c r="F46" s="44"/>
    </row>
    <row r="47" spans="2:6" ht="17.25" customHeight="1" x14ac:dyDescent="0.3">
      <c r="C47" s="42" t="s">
        <v>2572</v>
      </c>
      <c r="D47" s="43"/>
      <c r="E47" s="43"/>
      <c r="F47" s="44"/>
    </row>
    <row r="48" spans="2:6" ht="17.25" customHeight="1" x14ac:dyDescent="0.3">
      <c r="C48" s="42" t="s">
        <v>2569</v>
      </c>
      <c r="D48" s="43"/>
      <c r="E48" s="43"/>
      <c r="F48" s="44"/>
    </row>
    <row r="49" spans="2:6" ht="17.25" customHeight="1" x14ac:dyDescent="0.3">
      <c r="C49" s="42" t="s">
        <v>2573</v>
      </c>
      <c r="D49" s="43"/>
      <c r="E49" s="43"/>
      <c r="F49" s="44"/>
    </row>
    <row r="50" spans="2:6" ht="17.25" customHeight="1" x14ac:dyDescent="0.3">
      <c r="C50" s="45" t="s">
        <v>2574</v>
      </c>
      <c r="D50" s="46"/>
      <c r="E50" s="46"/>
      <c r="F50" s="47"/>
    </row>
    <row r="51" spans="2:6" ht="4.95" customHeight="1" x14ac:dyDescent="0.3"/>
    <row r="52" spans="2:6" ht="16.95" customHeight="1" x14ac:dyDescent="0.3">
      <c r="C52" s="170" t="s">
        <v>2575</v>
      </c>
      <c r="D52" s="113"/>
      <c r="E52" s="113"/>
      <c r="F52" s="113"/>
    </row>
    <row r="53" spans="2:6" ht="17.25" customHeight="1" x14ac:dyDescent="0.3">
      <c r="C53" s="48" t="s">
        <v>2576</v>
      </c>
      <c r="D53" s="49"/>
      <c r="E53" s="49"/>
      <c r="F53" s="50"/>
    </row>
    <row r="54" spans="2:6" ht="4.95" customHeight="1" x14ac:dyDescent="0.3"/>
    <row r="55" spans="2:6" ht="22.05" customHeight="1" x14ac:dyDescent="0.3">
      <c r="B55" s="37" t="s">
        <v>66</v>
      </c>
      <c r="C55" s="152" t="s">
        <v>2577</v>
      </c>
      <c r="D55" s="153"/>
      <c r="E55" s="153"/>
      <c r="F55" s="105"/>
    </row>
    <row r="56" spans="2:6" ht="4.95" customHeight="1" x14ac:dyDescent="0.3"/>
    <row r="57" spans="2:6" ht="7.05" customHeight="1" x14ac:dyDescent="0.3"/>
    <row r="58" spans="2:6" ht="22.95" customHeight="1" x14ac:dyDescent="0.3">
      <c r="B58" s="156" t="s">
        <v>2578</v>
      </c>
      <c r="C58" s="157"/>
      <c r="D58" s="157"/>
      <c r="E58" s="157"/>
      <c r="F58" s="157"/>
    </row>
    <row r="59" spans="2:6" ht="4.05" customHeight="1" x14ac:dyDescent="0.3"/>
    <row r="60" spans="2:6" ht="19.350000000000001" customHeight="1" x14ac:dyDescent="0.3">
      <c r="B60" s="129" t="s">
        <v>2579</v>
      </c>
      <c r="C60" s="113"/>
      <c r="D60" s="113"/>
      <c r="E60" s="113"/>
      <c r="F60" s="113"/>
    </row>
    <row r="61" spans="2:6" ht="16.95" customHeight="1" x14ac:dyDescent="0.3">
      <c r="C61" s="170" t="s">
        <v>484</v>
      </c>
      <c r="D61" s="113"/>
      <c r="E61" s="113"/>
      <c r="F61" s="113"/>
    </row>
    <row r="62" spans="2:6" ht="17.25" customHeight="1" x14ac:dyDescent="0.3">
      <c r="C62" s="39" t="s">
        <v>2580</v>
      </c>
      <c r="D62" s="40"/>
      <c r="E62" s="40"/>
      <c r="F62" s="41"/>
    </row>
    <row r="63" spans="2:6" ht="17.25" customHeight="1" x14ac:dyDescent="0.3">
      <c r="C63" s="45" t="s">
        <v>2581</v>
      </c>
      <c r="D63" s="46"/>
      <c r="E63" s="46"/>
      <c r="F63" s="47"/>
    </row>
    <row r="64" spans="2:6" ht="4.95" customHeight="1" x14ac:dyDescent="0.3"/>
    <row r="65" spans="2:6" ht="15" customHeight="1" x14ac:dyDescent="0.3">
      <c r="B65" s="158" t="s">
        <v>2582</v>
      </c>
      <c r="C65" s="159"/>
      <c r="D65" s="159"/>
      <c r="E65" s="159"/>
      <c r="F65" s="160"/>
    </row>
    <row r="66" spans="2:6" ht="15" customHeight="1" x14ac:dyDescent="0.3">
      <c r="B66" s="161"/>
      <c r="C66" s="113"/>
      <c r="D66" s="113"/>
      <c r="E66" s="113"/>
      <c r="F66" s="162"/>
    </row>
    <row r="67" spans="2:6" ht="15" customHeight="1" x14ac:dyDescent="0.3">
      <c r="B67" s="161"/>
      <c r="C67" s="113"/>
      <c r="D67" s="113"/>
      <c r="E67" s="113"/>
      <c r="F67" s="162"/>
    </row>
    <row r="68" spans="2:6" ht="15" customHeight="1" x14ac:dyDescent="0.3">
      <c r="B68" s="161"/>
      <c r="C68" s="113"/>
      <c r="D68" s="113"/>
      <c r="E68" s="113"/>
      <c r="F68" s="162"/>
    </row>
    <row r="69" spans="2:6" ht="15" customHeight="1" x14ac:dyDescent="0.3">
      <c r="B69" s="161"/>
      <c r="C69" s="113"/>
      <c r="D69" s="113"/>
      <c r="E69" s="113"/>
      <c r="F69" s="162"/>
    </row>
    <row r="70" spans="2:6" ht="15" customHeight="1" x14ac:dyDescent="0.3">
      <c r="B70" s="161"/>
      <c r="C70" s="113"/>
      <c r="D70" s="113"/>
      <c r="E70" s="113"/>
      <c r="F70" s="162"/>
    </row>
    <row r="71" spans="2:6" ht="15" customHeight="1" x14ac:dyDescent="0.3">
      <c r="B71" s="161"/>
      <c r="C71" s="113"/>
      <c r="D71" s="113"/>
      <c r="E71" s="113"/>
      <c r="F71" s="162"/>
    </row>
    <row r="72" spans="2:6" ht="15" customHeight="1" x14ac:dyDescent="0.3">
      <c r="B72" s="161"/>
      <c r="C72" s="113"/>
      <c r="D72" s="113"/>
      <c r="E72" s="113"/>
      <c r="F72" s="162"/>
    </row>
    <row r="73" spans="2:6" ht="15" customHeight="1" x14ac:dyDescent="0.3">
      <c r="B73" s="161"/>
      <c r="C73" s="113"/>
      <c r="D73" s="113"/>
      <c r="E73" s="113"/>
      <c r="F73" s="162"/>
    </row>
    <row r="74" spans="2:6" ht="15" customHeight="1" x14ac:dyDescent="0.3">
      <c r="B74" s="161"/>
      <c r="C74" s="113"/>
      <c r="D74" s="113"/>
      <c r="E74" s="113"/>
      <c r="F74" s="162"/>
    </row>
    <row r="75" spans="2:6" ht="15" customHeight="1" x14ac:dyDescent="0.3">
      <c r="B75" s="161"/>
      <c r="C75" s="113"/>
      <c r="D75" s="113"/>
      <c r="E75" s="113"/>
      <c r="F75" s="162"/>
    </row>
    <row r="76" spans="2:6" ht="15" customHeight="1" x14ac:dyDescent="0.3">
      <c r="B76" s="163"/>
      <c r="C76" s="164"/>
      <c r="D76" s="164"/>
      <c r="E76" s="164"/>
      <c r="F76" s="165"/>
    </row>
    <row r="77" spans="2:6" ht="19.95" customHeight="1" x14ac:dyDescent="0.3">
      <c r="B77" s="151" t="s">
        <v>2583</v>
      </c>
      <c r="C77" s="113"/>
      <c r="D77" s="113"/>
      <c r="E77" s="113"/>
      <c r="F77" s="113"/>
    </row>
    <row r="78" spans="2:6" ht="6" customHeight="1" x14ac:dyDescent="0.3"/>
    <row r="79" spans="2:6" ht="12" customHeight="1" x14ac:dyDescent="0.3"/>
    <row r="80" spans="2:6" ht="27" customHeight="1" x14ac:dyDescent="0.3">
      <c r="B80" s="128" t="s">
        <v>2584</v>
      </c>
      <c r="C80" s="124"/>
      <c r="D80" s="124"/>
      <c r="E80" s="124"/>
      <c r="F80" s="124"/>
    </row>
    <row r="81" spans="2:6" ht="4.95" customHeight="1" x14ac:dyDescent="0.3"/>
    <row r="82" spans="2:6" ht="16.95" customHeight="1" x14ac:dyDescent="0.3">
      <c r="C82" s="170" t="s">
        <v>2585</v>
      </c>
      <c r="D82" s="113"/>
      <c r="E82" s="113"/>
      <c r="F82" s="113"/>
    </row>
    <row r="83" spans="2:6" ht="17.25" customHeight="1" x14ac:dyDescent="0.3">
      <c r="C83" s="39" t="s">
        <v>2533</v>
      </c>
      <c r="D83" s="40"/>
      <c r="E83" s="40"/>
      <c r="F83" s="41"/>
    </row>
    <row r="84" spans="2:6" ht="17.25" customHeight="1" x14ac:dyDescent="0.3">
      <c r="C84" s="42" t="s">
        <v>2536</v>
      </c>
      <c r="D84" s="43"/>
      <c r="E84" s="43"/>
      <c r="F84" s="44"/>
    </row>
    <row r="85" spans="2:6" ht="17.25" customHeight="1" x14ac:dyDescent="0.3">
      <c r="C85" s="42" t="s">
        <v>2539</v>
      </c>
      <c r="D85" s="43"/>
      <c r="E85" s="43"/>
      <c r="F85" s="44"/>
    </row>
    <row r="86" spans="2:6" ht="17.25" customHeight="1" x14ac:dyDescent="0.3">
      <c r="C86" s="42" t="s">
        <v>2541</v>
      </c>
      <c r="D86" s="43"/>
      <c r="E86" s="43"/>
      <c r="F86" s="44"/>
    </row>
    <row r="87" spans="2:6" ht="17.25" customHeight="1" x14ac:dyDescent="0.3">
      <c r="C87" s="45" t="s">
        <v>2547</v>
      </c>
      <c r="D87" s="46"/>
      <c r="E87" s="46"/>
      <c r="F87" s="47"/>
    </row>
    <row r="88" spans="2:6" ht="4.95" customHeight="1" x14ac:dyDescent="0.3"/>
    <row r="89" spans="2:6" ht="22.05" customHeight="1" x14ac:dyDescent="0.3">
      <c r="B89" s="144" t="s">
        <v>487</v>
      </c>
      <c r="C89" s="145"/>
      <c r="D89" s="144" t="s">
        <v>1637</v>
      </c>
      <c r="E89" s="171"/>
      <c r="F89" s="145"/>
    </row>
    <row r="90" spans="2:6" ht="19.95" customHeight="1" x14ac:dyDescent="0.3">
      <c r="B90" s="149" t="s">
        <v>2533</v>
      </c>
      <c r="C90" s="137"/>
      <c r="D90" s="130" t="s">
        <v>2586</v>
      </c>
      <c r="E90" s="110"/>
      <c r="F90" s="111"/>
    </row>
    <row r="91" spans="2:6" ht="19.95" customHeight="1" x14ac:dyDescent="0.3">
      <c r="B91" s="149" t="s">
        <v>2587</v>
      </c>
      <c r="C91" s="137"/>
      <c r="D91" s="132" t="s">
        <v>2588</v>
      </c>
      <c r="E91" s="169"/>
      <c r="F91" s="133"/>
    </row>
    <row r="92" spans="2:6" ht="19.95" customHeight="1" x14ac:dyDescent="0.3">
      <c r="B92" s="149" t="s">
        <v>2547</v>
      </c>
      <c r="C92" s="137"/>
      <c r="D92" s="130" t="s">
        <v>2589</v>
      </c>
      <c r="E92" s="110"/>
      <c r="F92" s="111"/>
    </row>
    <row r="93" spans="2:6" ht="6" customHeight="1" x14ac:dyDescent="0.3"/>
    <row r="94" spans="2:6" ht="22.05" customHeight="1" x14ac:dyDescent="0.3">
      <c r="B94" s="22" t="s">
        <v>62</v>
      </c>
      <c r="C94" s="152" t="s">
        <v>2590</v>
      </c>
      <c r="D94" s="153"/>
      <c r="E94" s="153"/>
      <c r="F94" s="105"/>
    </row>
    <row r="95" spans="2:6" ht="4.95" customHeight="1" x14ac:dyDescent="0.3"/>
    <row r="96" spans="2:6" ht="12" customHeight="1" x14ac:dyDescent="0.3"/>
    <row r="97" spans="2:6" ht="27" customHeight="1" x14ac:dyDescent="0.3">
      <c r="B97" s="128" t="s">
        <v>2591</v>
      </c>
      <c r="C97" s="124"/>
      <c r="D97" s="124"/>
      <c r="E97" s="124"/>
      <c r="F97" s="124"/>
    </row>
    <row r="98" spans="2:6" ht="4.95" customHeight="1" x14ac:dyDescent="0.3"/>
    <row r="99" spans="2:6" ht="19.350000000000001" customHeight="1" x14ac:dyDescent="0.3">
      <c r="B99" s="129" t="s">
        <v>2592</v>
      </c>
      <c r="C99" s="113"/>
      <c r="D99" s="113"/>
      <c r="E99" s="113"/>
      <c r="F99" s="113"/>
    </row>
    <row r="100" spans="2:6" ht="16.95" customHeight="1" x14ac:dyDescent="0.3">
      <c r="C100" s="170" t="s">
        <v>2593</v>
      </c>
      <c r="D100" s="113"/>
      <c r="E100" s="113"/>
      <c r="F100" s="113"/>
    </row>
    <row r="101" spans="2:6" ht="17.25" customHeight="1" x14ac:dyDescent="0.3">
      <c r="C101" s="48" t="s">
        <v>2594</v>
      </c>
      <c r="D101" s="49"/>
      <c r="E101" s="49"/>
      <c r="F101" s="50"/>
    </row>
    <row r="102" spans="2:6" ht="4.95" customHeight="1" x14ac:dyDescent="0.3"/>
    <row r="103" spans="2:6" ht="16.95" customHeight="1" x14ac:dyDescent="0.3">
      <c r="C103" s="170" t="s">
        <v>2595</v>
      </c>
      <c r="D103" s="113"/>
      <c r="E103" s="113"/>
      <c r="F103" s="113"/>
    </row>
    <row r="104" spans="2:6" ht="17.25" customHeight="1" x14ac:dyDescent="0.3">
      <c r="C104" s="48" t="s">
        <v>2596</v>
      </c>
      <c r="D104" s="49"/>
      <c r="E104" s="49"/>
      <c r="F104" s="50"/>
    </row>
    <row r="105" spans="2:6" ht="4.95" customHeight="1" x14ac:dyDescent="0.3"/>
    <row r="106" spans="2:6" ht="16.95" customHeight="1" x14ac:dyDescent="0.3">
      <c r="C106" s="170" t="s">
        <v>2597</v>
      </c>
      <c r="D106" s="113"/>
      <c r="E106" s="113"/>
      <c r="F106" s="113"/>
    </row>
    <row r="107" spans="2:6" ht="17.25" customHeight="1" x14ac:dyDescent="0.3">
      <c r="C107" s="39" t="s">
        <v>2598</v>
      </c>
      <c r="D107" s="40"/>
      <c r="E107" s="40"/>
      <c r="F107" s="41"/>
    </row>
    <row r="108" spans="2:6" ht="17.25" customHeight="1" x14ac:dyDescent="0.3">
      <c r="C108" s="45" t="s">
        <v>2599</v>
      </c>
      <c r="D108" s="46"/>
      <c r="E108" s="46"/>
      <c r="F108" s="47"/>
    </row>
    <row r="109" spans="2:6" ht="4.95" customHeight="1" x14ac:dyDescent="0.3"/>
    <row r="110" spans="2:6" ht="16.95" customHeight="1" x14ac:dyDescent="0.3">
      <c r="C110" s="170" t="s">
        <v>2600</v>
      </c>
      <c r="D110" s="113"/>
      <c r="E110" s="113"/>
      <c r="F110" s="113"/>
    </row>
    <row r="111" spans="2:6" ht="17.25" customHeight="1" x14ac:dyDescent="0.3">
      <c r="C111" s="48" t="s">
        <v>438</v>
      </c>
      <c r="D111" s="49"/>
      <c r="E111" s="49"/>
      <c r="F111" s="50"/>
    </row>
    <row r="112" spans="2:6" ht="4.95" customHeight="1" x14ac:dyDescent="0.3"/>
    <row r="113" spans="2:6" ht="22.05" customHeight="1" x14ac:dyDescent="0.3">
      <c r="B113" s="37" t="s">
        <v>66</v>
      </c>
      <c r="C113" s="152" t="s">
        <v>2601</v>
      </c>
      <c r="D113" s="153"/>
      <c r="E113" s="153"/>
      <c r="F113" s="105"/>
    </row>
    <row r="114" spans="2:6" ht="4.95" customHeight="1" x14ac:dyDescent="0.3"/>
    <row r="115" spans="2:6" ht="12" customHeight="1" x14ac:dyDescent="0.3"/>
    <row r="116" spans="2:6" ht="27" customHeight="1" x14ac:dyDescent="0.3">
      <c r="B116" s="128" t="s">
        <v>2602</v>
      </c>
      <c r="C116" s="124"/>
      <c r="D116" s="124"/>
      <c r="E116" s="124"/>
      <c r="F116" s="124"/>
    </row>
    <row r="117" spans="2:6" ht="4.95" customHeight="1" x14ac:dyDescent="0.3"/>
    <row r="118" spans="2:6" ht="7.05" customHeight="1" x14ac:dyDescent="0.3"/>
    <row r="119" spans="2:6" ht="22.95" customHeight="1" x14ac:dyDescent="0.3">
      <c r="B119" s="156" t="s">
        <v>2603</v>
      </c>
      <c r="C119" s="157"/>
      <c r="D119" s="157"/>
      <c r="E119" s="157"/>
      <c r="F119" s="157"/>
    </row>
    <row r="120" spans="2:6" ht="4.05" customHeight="1" x14ac:dyDescent="0.3"/>
    <row r="121" spans="2:6" ht="16.95" customHeight="1" x14ac:dyDescent="0.3">
      <c r="C121" s="170" t="s">
        <v>2604</v>
      </c>
      <c r="D121" s="113"/>
      <c r="E121" s="113"/>
      <c r="F121" s="113"/>
    </row>
    <row r="122" spans="2:6" ht="17.25" customHeight="1" x14ac:dyDescent="0.3">
      <c r="C122" s="39" t="s">
        <v>2605</v>
      </c>
      <c r="D122" s="40"/>
      <c r="E122" s="40"/>
      <c r="F122" s="41"/>
    </row>
    <row r="123" spans="2:6" ht="17.25" customHeight="1" x14ac:dyDescent="0.3">
      <c r="C123" s="42" t="s">
        <v>2606</v>
      </c>
      <c r="D123" s="43"/>
      <c r="E123" s="43"/>
      <c r="F123" s="44"/>
    </row>
    <row r="124" spans="2:6" ht="17.25" customHeight="1" x14ac:dyDescent="0.3">
      <c r="C124" s="42" t="s">
        <v>2607</v>
      </c>
      <c r="D124" s="43"/>
      <c r="E124" s="43"/>
      <c r="F124" s="44"/>
    </row>
    <row r="125" spans="2:6" ht="17.25" customHeight="1" x14ac:dyDescent="0.3">
      <c r="C125" s="45" t="s">
        <v>2608</v>
      </c>
      <c r="D125" s="46"/>
      <c r="E125" s="46"/>
      <c r="F125" s="47"/>
    </row>
    <row r="126" spans="2:6" ht="4.95" customHeight="1" x14ac:dyDescent="0.3"/>
    <row r="127" spans="2:6" ht="33.75" customHeight="1" x14ac:dyDescent="0.3">
      <c r="B127" s="37" t="s">
        <v>66</v>
      </c>
      <c r="C127" s="152" t="s">
        <v>2609</v>
      </c>
      <c r="D127" s="153"/>
      <c r="E127" s="153"/>
      <c r="F127" s="105"/>
    </row>
    <row r="128" spans="2:6" ht="4.95" customHeight="1" x14ac:dyDescent="0.3"/>
    <row r="129" spans="2:6" ht="7.05" customHeight="1" x14ac:dyDescent="0.3"/>
    <row r="130" spans="2:6" ht="22.95" customHeight="1" x14ac:dyDescent="0.3">
      <c r="B130" s="156" t="s">
        <v>2610</v>
      </c>
      <c r="C130" s="157"/>
      <c r="D130" s="157"/>
      <c r="E130" s="157"/>
      <c r="F130" s="157"/>
    </row>
    <row r="131" spans="2:6" ht="4.05" customHeight="1" x14ac:dyDescent="0.3"/>
    <row r="132" spans="2:6" ht="22.05" customHeight="1" x14ac:dyDescent="0.3">
      <c r="B132" s="7" t="s">
        <v>73</v>
      </c>
      <c r="C132" s="7" t="s">
        <v>159</v>
      </c>
      <c r="D132" s="7" t="s">
        <v>160</v>
      </c>
      <c r="E132" s="7" t="s">
        <v>161</v>
      </c>
      <c r="F132" s="7" t="s">
        <v>162</v>
      </c>
    </row>
    <row r="133" spans="2:6" ht="33.75" customHeight="1" x14ac:dyDescent="0.3">
      <c r="B133" s="8" t="s">
        <v>77</v>
      </c>
      <c r="C133" s="14" t="s">
        <v>2611</v>
      </c>
      <c r="D133" s="10" t="s">
        <v>2612</v>
      </c>
      <c r="E133" s="10" t="s">
        <v>2613</v>
      </c>
      <c r="F133" s="10" t="s">
        <v>2614</v>
      </c>
    </row>
    <row r="134" spans="2:6" ht="33.75" customHeight="1" x14ac:dyDescent="0.3">
      <c r="B134" s="11" t="s">
        <v>81</v>
      </c>
      <c r="C134" s="15" t="s">
        <v>2615</v>
      </c>
      <c r="D134" s="13" t="s">
        <v>2616</v>
      </c>
      <c r="E134" s="23" t="s">
        <v>2617</v>
      </c>
      <c r="F134" s="13" t="s">
        <v>2618</v>
      </c>
    </row>
    <row r="135" spans="2:6" ht="33.75" customHeight="1" x14ac:dyDescent="0.3">
      <c r="B135" s="8" t="s">
        <v>85</v>
      </c>
      <c r="C135" s="14" t="s">
        <v>2619</v>
      </c>
      <c r="D135" s="10" t="s">
        <v>2620</v>
      </c>
      <c r="E135" s="10"/>
      <c r="F135" s="10" t="s">
        <v>2621</v>
      </c>
    </row>
    <row r="136" spans="2:6" ht="6" customHeight="1" x14ac:dyDescent="0.3"/>
    <row r="137" spans="2:6" ht="7.05" customHeight="1" x14ac:dyDescent="0.3"/>
    <row r="138" spans="2:6" ht="22.95" customHeight="1" x14ac:dyDescent="0.3">
      <c r="B138" s="156" t="s">
        <v>2622</v>
      </c>
      <c r="C138" s="157"/>
      <c r="D138" s="157"/>
      <c r="E138" s="157"/>
      <c r="F138" s="157"/>
    </row>
    <row r="139" spans="2:6" ht="4.05" customHeight="1" x14ac:dyDescent="0.3"/>
    <row r="140" spans="2:6" ht="16.95" customHeight="1" x14ac:dyDescent="0.3">
      <c r="C140" s="170" t="s">
        <v>2585</v>
      </c>
      <c r="D140" s="113"/>
      <c r="E140" s="113"/>
      <c r="F140" s="113"/>
    </row>
    <row r="141" spans="2:6" ht="17.25" customHeight="1" x14ac:dyDescent="0.3">
      <c r="C141" s="39" t="s">
        <v>2623</v>
      </c>
      <c r="D141" s="40"/>
      <c r="E141" s="40"/>
      <c r="F141" s="41"/>
    </row>
    <row r="142" spans="2:6" ht="17.25" customHeight="1" x14ac:dyDescent="0.3">
      <c r="C142" s="42" t="s">
        <v>2624</v>
      </c>
      <c r="D142" s="43"/>
      <c r="E142" s="43"/>
      <c r="F142" s="44"/>
    </row>
    <row r="143" spans="2:6" ht="17.25" customHeight="1" x14ac:dyDescent="0.3">
      <c r="C143" s="42" t="s">
        <v>2625</v>
      </c>
      <c r="D143" s="43"/>
      <c r="E143" s="43"/>
      <c r="F143" s="44"/>
    </row>
    <row r="144" spans="2:6" ht="17.25" customHeight="1" x14ac:dyDescent="0.3">
      <c r="C144" s="45" t="s">
        <v>2626</v>
      </c>
      <c r="D144" s="46"/>
      <c r="E144" s="46"/>
      <c r="F144" s="47"/>
    </row>
    <row r="145" spans="2:6" ht="4.95" customHeight="1" x14ac:dyDescent="0.3"/>
    <row r="146" spans="2:6" ht="22.05" customHeight="1" x14ac:dyDescent="0.3">
      <c r="B146" s="144" t="s">
        <v>487</v>
      </c>
      <c r="C146" s="145"/>
      <c r="D146" s="144" t="s">
        <v>53</v>
      </c>
      <c r="E146" s="171"/>
      <c r="F146" s="145"/>
    </row>
    <row r="147" spans="2:6" ht="19.95" customHeight="1" x14ac:dyDescent="0.3">
      <c r="B147" s="149" t="s">
        <v>2627</v>
      </c>
      <c r="C147" s="137"/>
      <c r="D147" s="130" t="s">
        <v>2628</v>
      </c>
      <c r="E147" s="110"/>
      <c r="F147" s="111"/>
    </row>
    <row r="148" spans="2:6" ht="19.95" customHeight="1" x14ac:dyDescent="0.3">
      <c r="B148" s="149" t="s">
        <v>2629</v>
      </c>
      <c r="C148" s="137"/>
      <c r="D148" s="132" t="s">
        <v>2630</v>
      </c>
      <c r="E148" s="169"/>
      <c r="F148" s="133"/>
    </row>
    <row r="149" spans="2:6" ht="19.95" customHeight="1" x14ac:dyDescent="0.3">
      <c r="B149" s="149" t="s">
        <v>2631</v>
      </c>
      <c r="C149" s="137"/>
      <c r="D149" s="130" t="s">
        <v>2632</v>
      </c>
      <c r="E149" s="110"/>
      <c r="F149" s="111"/>
    </row>
    <row r="150" spans="2:6" ht="19.95" customHeight="1" x14ac:dyDescent="0.3">
      <c r="B150" s="149" t="s">
        <v>2626</v>
      </c>
      <c r="C150" s="137"/>
      <c r="D150" s="132" t="s">
        <v>2633</v>
      </c>
      <c r="E150" s="169"/>
      <c r="F150" s="133"/>
    </row>
    <row r="151" spans="2:6" ht="6" customHeight="1" x14ac:dyDescent="0.3"/>
    <row r="152" spans="2:6" ht="7.05" customHeight="1" x14ac:dyDescent="0.3"/>
    <row r="153" spans="2:6" ht="22.95" customHeight="1" x14ac:dyDescent="0.3">
      <c r="B153" s="156" t="s">
        <v>2634</v>
      </c>
      <c r="C153" s="157"/>
      <c r="D153" s="157"/>
      <c r="E153" s="157"/>
      <c r="F153" s="157"/>
    </row>
    <row r="154" spans="2:6" ht="4.05" customHeight="1" x14ac:dyDescent="0.3"/>
    <row r="155" spans="2:6" ht="16.95" customHeight="1" x14ac:dyDescent="0.3">
      <c r="C155" s="170" t="s">
        <v>2635</v>
      </c>
      <c r="D155" s="113"/>
      <c r="E155" s="113"/>
      <c r="F155" s="113"/>
    </row>
    <row r="156" spans="2:6" ht="17.25" customHeight="1" x14ac:dyDescent="0.3">
      <c r="C156" s="39" t="s">
        <v>2636</v>
      </c>
      <c r="D156" s="40"/>
      <c r="E156" s="40"/>
      <c r="F156" s="41"/>
    </row>
    <row r="157" spans="2:6" ht="17.25" customHeight="1" x14ac:dyDescent="0.3">
      <c r="C157" s="42" t="s">
        <v>2637</v>
      </c>
      <c r="D157" s="43"/>
      <c r="E157" s="43"/>
      <c r="F157" s="44"/>
    </row>
    <row r="158" spans="2:6" ht="17.25" customHeight="1" x14ac:dyDescent="0.3">
      <c r="C158" s="42" t="s">
        <v>2638</v>
      </c>
      <c r="D158" s="43"/>
      <c r="E158" s="43"/>
      <c r="F158" s="44"/>
    </row>
    <row r="159" spans="2:6" ht="17.25" customHeight="1" x14ac:dyDescent="0.3">
      <c r="C159" s="45" t="s">
        <v>2639</v>
      </c>
      <c r="D159" s="46"/>
      <c r="E159" s="46"/>
      <c r="F159" s="47"/>
    </row>
    <row r="160" spans="2:6" ht="4.95" customHeight="1" x14ac:dyDescent="0.3"/>
    <row r="161" spans="2:6" ht="15" customHeight="1" x14ac:dyDescent="0.3">
      <c r="B161" s="158" t="s">
        <v>2640</v>
      </c>
      <c r="C161" s="159"/>
      <c r="D161" s="159"/>
      <c r="E161" s="159"/>
      <c r="F161" s="160"/>
    </row>
    <row r="162" spans="2:6" ht="15" customHeight="1" x14ac:dyDescent="0.3">
      <c r="B162" s="161"/>
      <c r="C162" s="113"/>
      <c r="D162" s="113"/>
      <c r="E162" s="113"/>
      <c r="F162" s="162"/>
    </row>
    <row r="163" spans="2:6" ht="15" customHeight="1" x14ac:dyDescent="0.3">
      <c r="B163" s="161"/>
      <c r="C163" s="113"/>
      <c r="D163" s="113"/>
      <c r="E163" s="113"/>
      <c r="F163" s="162"/>
    </row>
    <row r="164" spans="2:6" ht="15" customHeight="1" x14ac:dyDescent="0.3">
      <c r="B164" s="161"/>
      <c r="C164" s="113"/>
      <c r="D164" s="113"/>
      <c r="E164" s="113"/>
      <c r="F164" s="162"/>
    </row>
    <row r="165" spans="2:6" ht="15" customHeight="1" x14ac:dyDescent="0.3">
      <c r="B165" s="161"/>
      <c r="C165" s="113"/>
      <c r="D165" s="113"/>
      <c r="E165" s="113"/>
      <c r="F165" s="162"/>
    </row>
    <row r="166" spans="2:6" ht="15" customHeight="1" x14ac:dyDescent="0.3">
      <c r="B166" s="161"/>
      <c r="C166" s="113"/>
      <c r="D166" s="113"/>
      <c r="E166" s="113"/>
      <c r="F166" s="162"/>
    </row>
    <row r="167" spans="2:6" ht="15" customHeight="1" x14ac:dyDescent="0.3">
      <c r="B167" s="161"/>
      <c r="C167" s="113"/>
      <c r="D167" s="113"/>
      <c r="E167" s="113"/>
      <c r="F167" s="162"/>
    </row>
    <row r="168" spans="2:6" ht="15" customHeight="1" x14ac:dyDescent="0.3">
      <c r="B168" s="161"/>
      <c r="C168" s="113"/>
      <c r="D168" s="113"/>
      <c r="E168" s="113"/>
      <c r="F168" s="162"/>
    </row>
    <row r="169" spans="2:6" ht="15" customHeight="1" x14ac:dyDescent="0.3">
      <c r="B169" s="161"/>
      <c r="C169" s="113"/>
      <c r="D169" s="113"/>
      <c r="E169" s="113"/>
      <c r="F169" s="162"/>
    </row>
    <row r="170" spans="2:6" ht="15" customHeight="1" x14ac:dyDescent="0.3">
      <c r="B170" s="161"/>
      <c r="C170" s="113"/>
      <c r="D170" s="113"/>
      <c r="E170" s="113"/>
      <c r="F170" s="162"/>
    </row>
    <row r="171" spans="2:6" ht="15" customHeight="1" x14ac:dyDescent="0.3">
      <c r="B171" s="161"/>
      <c r="C171" s="113"/>
      <c r="D171" s="113"/>
      <c r="E171" s="113"/>
      <c r="F171" s="162"/>
    </row>
    <row r="172" spans="2:6" ht="15" customHeight="1" x14ac:dyDescent="0.3">
      <c r="B172" s="161"/>
      <c r="C172" s="113"/>
      <c r="D172" s="113"/>
      <c r="E172" s="113"/>
      <c r="F172" s="162"/>
    </row>
    <row r="173" spans="2:6" ht="15" customHeight="1" x14ac:dyDescent="0.3">
      <c r="B173" s="161"/>
      <c r="C173" s="113"/>
      <c r="D173" s="113"/>
      <c r="E173" s="113"/>
      <c r="F173" s="162"/>
    </row>
    <row r="174" spans="2:6" ht="15" customHeight="1" x14ac:dyDescent="0.3">
      <c r="B174" s="163"/>
      <c r="C174" s="164"/>
      <c r="D174" s="164"/>
      <c r="E174" s="164"/>
      <c r="F174" s="165"/>
    </row>
    <row r="175" spans="2:6" ht="19.95" customHeight="1" x14ac:dyDescent="0.3">
      <c r="B175" s="151" t="s">
        <v>2641</v>
      </c>
      <c r="C175" s="113"/>
      <c r="D175" s="113"/>
      <c r="E175" s="113"/>
      <c r="F175" s="113"/>
    </row>
    <row r="176" spans="2:6" ht="6" customHeight="1" x14ac:dyDescent="0.3"/>
    <row r="177" spans="2:6" ht="12" customHeight="1" x14ac:dyDescent="0.3"/>
    <row r="178" spans="2:6" ht="27" customHeight="1" x14ac:dyDescent="0.3">
      <c r="B178" s="128" t="s">
        <v>2642</v>
      </c>
      <c r="C178" s="124"/>
      <c r="D178" s="124"/>
      <c r="E178" s="124"/>
      <c r="F178" s="124"/>
    </row>
    <row r="179" spans="2:6" ht="4.95" customHeight="1" x14ac:dyDescent="0.3"/>
    <row r="180" spans="2:6" ht="16.95" customHeight="1" x14ac:dyDescent="0.3">
      <c r="C180" s="170" t="s">
        <v>2643</v>
      </c>
      <c r="D180" s="113"/>
      <c r="E180" s="113"/>
      <c r="F180" s="113"/>
    </row>
    <row r="181" spans="2:6" ht="17.25" customHeight="1" x14ac:dyDescent="0.3">
      <c r="C181" s="39" t="s">
        <v>2644</v>
      </c>
      <c r="D181" s="40"/>
      <c r="E181" s="40"/>
      <c r="F181" s="41"/>
    </row>
    <row r="182" spans="2:6" ht="17.25" customHeight="1" x14ac:dyDescent="0.3">
      <c r="C182" s="42" t="s">
        <v>711</v>
      </c>
      <c r="D182" s="43"/>
      <c r="E182" s="43"/>
      <c r="F182" s="44"/>
    </row>
    <row r="183" spans="2:6" ht="17.25" customHeight="1" x14ac:dyDescent="0.3">
      <c r="C183" s="42" t="s">
        <v>713</v>
      </c>
      <c r="D183" s="43"/>
      <c r="E183" s="43"/>
      <c r="F183" s="44"/>
    </row>
    <row r="184" spans="2:6" ht="17.25" customHeight="1" x14ac:dyDescent="0.3">
      <c r="C184" s="42" t="s">
        <v>715</v>
      </c>
      <c r="D184" s="43"/>
      <c r="E184" s="43"/>
      <c r="F184" s="44"/>
    </row>
    <row r="185" spans="2:6" ht="17.25" customHeight="1" x14ac:dyDescent="0.3">
      <c r="C185" s="42" t="s">
        <v>716</v>
      </c>
      <c r="D185" s="43"/>
      <c r="E185" s="43"/>
      <c r="F185" s="44"/>
    </row>
    <row r="186" spans="2:6" ht="17.25" customHeight="1" x14ac:dyDescent="0.3">
      <c r="C186" s="42" t="s">
        <v>717</v>
      </c>
      <c r="D186" s="43"/>
      <c r="E186" s="43"/>
      <c r="F186" s="44"/>
    </row>
    <row r="187" spans="2:6" ht="17.25" customHeight="1" x14ac:dyDescent="0.3">
      <c r="C187" s="42" t="s">
        <v>719</v>
      </c>
      <c r="D187" s="43"/>
      <c r="E187" s="43"/>
      <c r="F187" s="44"/>
    </row>
    <row r="188" spans="2:6" ht="17.25" customHeight="1" x14ac:dyDescent="0.3">
      <c r="C188" s="42" t="s">
        <v>720</v>
      </c>
      <c r="D188" s="43"/>
      <c r="E188" s="43"/>
      <c r="F188" s="44"/>
    </row>
    <row r="189" spans="2:6" ht="17.25" customHeight="1" x14ac:dyDescent="0.3">
      <c r="C189" s="42" t="s">
        <v>721</v>
      </c>
      <c r="D189" s="43"/>
      <c r="E189" s="43"/>
      <c r="F189" s="44"/>
    </row>
    <row r="190" spans="2:6" ht="17.25" customHeight="1" x14ac:dyDescent="0.3">
      <c r="C190" s="42" t="s">
        <v>722</v>
      </c>
      <c r="D190" s="43"/>
      <c r="E190" s="43"/>
      <c r="F190" s="44"/>
    </row>
    <row r="191" spans="2:6" ht="17.25" customHeight="1" x14ac:dyDescent="0.3">
      <c r="C191" s="42" t="s">
        <v>2645</v>
      </c>
      <c r="D191" s="43"/>
      <c r="E191" s="43"/>
      <c r="F191" s="44"/>
    </row>
    <row r="192" spans="2:6" ht="17.25" customHeight="1" x14ac:dyDescent="0.3">
      <c r="C192" s="45" t="s">
        <v>2646</v>
      </c>
      <c r="D192" s="46"/>
      <c r="E192" s="46"/>
      <c r="F192" s="47"/>
    </row>
    <row r="193" spans="2:6" ht="4.95" customHeight="1" x14ac:dyDescent="0.3"/>
    <row r="194" spans="2:6" ht="22.05" customHeight="1" x14ac:dyDescent="0.3">
      <c r="B194" s="16" t="s">
        <v>64</v>
      </c>
      <c r="C194" s="152" t="s">
        <v>2647</v>
      </c>
      <c r="D194" s="153"/>
      <c r="E194" s="153"/>
      <c r="F194" s="105"/>
    </row>
    <row r="195" spans="2:6" ht="4.95" customHeight="1" x14ac:dyDescent="0.3"/>
    <row r="196" spans="2:6" ht="12" customHeight="1" x14ac:dyDescent="0.3"/>
    <row r="197" spans="2:6" ht="27" customHeight="1" x14ac:dyDescent="0.3">
      <c r="B197" s="128" t="s">
        <v>2648</v>
      </c>
      <c r="C197" s="124"/>
      <c r="D197" s="124"/>
      <c r="E197" s="124"/>
      <c r="F197" s="124"/>
    </row>
    <row r="198" spans="2:6" ht="4.95" customHeight="1" x14ac:dyDescent="0.3"/>
    <row r="199" spans="2:6" ht="16.95" customHeight="1" x14ac:dyDescent="0.3">
      <c r="C199" s="170" t="s">
        <v>2585</v>
      </c>
      <c r="D199" s="113"/>
      <c r="E199" s="113"/>
      <c r="F199" s="113"/>
    </row>
    <row r="200" spans="2:6" ht="17.25" customHeight="1" x14ac:dyDescent="0.3">
      <c r="C200" s="39" t="s">
        <v>2649</v>
      </c>
      <c r="D200" s="40"/>
      <c r="E200" s="40"/>
      <c r="F200" s="41"/>
    </row>
    <row r="201" spans="2:6" ht="17.25" customHeight="1" x14ac:dyDescent="0.3">
      <c r="C201" s="42" t="s">
        <v>2650</v>
      </c>
      <c r="D201" s="43"/>
      <c r="E201" s="43"/>
      <c r="F201" s="44"/>
    </row>
    <row r="202" spans="2:6" ht="17.25" customHeight="1" x14ac:dyDescent="0.3">
      <c r="C202" s="45" t="s">
        <v>2651</v>
      </c>
      <c r="D202" s="46"/>
      <c r="E202" s="46"/>
      <c r="F202" s="47"/>
    </row>
    <row r="203" spans="2:6" ht="4.95" customHeight="1" x14ac:dyDescent="0.3"/>
    <row r="204" spans="2:6" ht="22.05" customHeight="1" x14ac:dyDescent="0.3">
      <c r="B204" s="144" t="s">
        <v>610</v>
      </c>
      <c r="C204" s="145"/>
      <c r="D204" s="144" t="s">
        <v>611</v>
      </c>
      <c r="E204" s="145"/>
      <c r="F204" s="7" t="s">
        <v>2652</v>
      </c>
    </row>
    <row r="205" spans="2:6" ht="19.95" customHeight="1" x14ac:dyDescent="0.3">
      <c r="B205" s="149" t="s">
        <v>615</v>
      </c>
      <c r="C205" s="137"/>
      <c r="D205" s="130" t="s">
        <v>614</v>
      </c>
      <c r="E205" s="111"/>
      <c r="F205" s="23" t="s">
        <v>613</v>
      </c>
    </row>
    <row r="206" spans="2:6" ht="19.95" customHeight="1" x14ac:dyDescent="0.3">
      <c r="B206" s="149" t="s">
        <v>618</v>
      </c>
      <c r="C206" s="137"/>
      <c r="D206" s="132" t="s">
        <v>617</v>
      </c>
      <c r="E206" s="133"/>
      <c r="F206" s="23" t="s">
        <v>616</v>
      </c>
    </row>
    <row r="207" spans="2:6" ht="19.95" customHeight="1" x14ac:dyDescent="0.3">
      <c r="B207" s="149" t="s">
        <v>621</v>
      </c>
      <c r="C207" s="137"/>
      <c r="D207" s="130" t="s">
        <v>2653</v>
      </c>
      <c r="E207" s="111"/>
      <c r="F207" s="23" t="s">
        <v>619</v>
      </c>
    </row>
    <row r="208" spans="2:6" ht="19.95" customHeight="1" x14ac:dyDescent="0.3">
      <c r="B208" s="149" t="s">
        <v>624</v>
      </c>
      <c r="C208" s="137"/>
      <c r="D208" s="132" t="s">
        <v>2654</v>
      </c>
      <c r="E208" s="133"/>
      <c r="F208" s="23" t="s">
        <v>622</v>
      </c>
    </row>
    <row r="209" spans="2:6" ht="19.95" customHeight="1" x14ac:dyDescent="0.3">
      <c r="B209" s="149" t="s">
        <v>627</v>
      </c>
      <c r="C209" s="137"/>
      <c r="D209" s="130" t="s">
        <v>2655</v>
      </c>
      <c r="E209" s="111"/>
      <c r="F209" s="23" t="s">
        <v>625</v>
      </c>
    </row>
    <row r="210" spans="2:6" ht="6" customHeight="1" x14ac:dyDescent="0.3"/>
    <row r="211" spans="2:6" ht="19.350000000000001" customHeight="1" x14ac:dyDescent="0.3">
      <c r="B211" s="129" t="s">
        <v>2656</v>
      </c>
      <c r="C211" s="113"/>
      <c r="D211" s="113"/>
      <c r="E211" s="113"/>
      <c r="F211" s="113"/>
    </row>
    <row r="212" spans="2:6" ht="12" customHeight="1" x14ac:dyDescent="0.3"/>
    <row r="213" spans="2:6" ht="27" customHeight="1" x14ac:dyDescent="0.3">
      <c r="B213" s="128" t="s">
        <v>2657</v>
      </c>
      <c r="C213" s="124"/>
      <c r="D213" s="124"/>
      <c r="E213" s="124"/>
      <c r="F213" s="124"/>
    </row>
    <row r="214" spans="2:6" ht="4.95" customHeight="1" x14ac:dyDescent="0.3"/>
    <row r="215" spans="2:6" ht="22.05" customHeight="1" x14ac:dyDescent="0.3">
      <c r="B215" s="144" t="s">
        <v>369</v>
      </c>
      <c r="C215" s="145"/>
      <c r="D215" s="7" t="s">
        <v>2658</v>
      </c>
      <c r="E215" s="144" t="s">
        <v>772</v>
      </c>
      <c r="F215" s="145"/>
    </row>
    <row r="216" spans="2:6" ht="33.75" customHeight="1" x14ac:dyDescent="0.3">
      <c r="B216" s="174" t="s">
        <v>2659</v>
      </c>
      <c r="C216" s="111"/>
      <c r="D216" s="23" t="s">
        <v>2660</v>
      </c>
      <c r="E216" s="130" t="s">
        <v>2661</v>
      </c>
      <c r="F216" s="111"/>
    </row>
    <row r="217" spans="2:6" ht="19.95" customHeight="1" x14ac:dyDescent="0.3">
      <c r="B217" s="173" t="s">
        <v>2662</v>
      </c>
      <c r="C217" s="133"/>
      <c r="D217" s="23" t="s">
        <v>2663</v>
      </c>
      <c r="E217" s="132" t="s">
        <v>2664</v>
      </c>
      <c r="F217" s="133"/>
    </row>
    <row r="218" spans="2:6" ht="19.95" customHeight="1" x14ac:dyDescent="0.3">
      <c r="B218" s="174" t="s">
        <v>2665</v>
      </c>
      <c r="C218" s="111"/>
      <c r="D218" s="23" t="s">
        <v>2666</v>
      </c>
      <c r="E218" s="130" t="s">
        <v>2667</v>
      </c>
      <c r="F218" s="111"/>
    </row>
    <row r="219" spans="2:6" ht="6" customHeight="1" x14ac:dyDescent="0.3"/>
    <row r="220" spans="2:6" ht="12" customHeight="1" x14ac:dyDescent="0.3"/>
    <row r="221" spans="2:6" ht="27" customHeight="1" x14ac:dyDescent="0.3">
      <c r="B221" s="128" t="s">
        <v>2668</v>
      </c>
      <c r="C221" s="124"/>
      <c r="D221" s="124"/>
      <c r="E221" s="124"/>
      <c r="F221" s="124"/>
    </row>
    <row r="222" spans="2:6" ht="4.95" customHeight="1" x14ac:dyDescent="0.3"/>
    <row r="223" spans="2:6" ht="19.350000000000001" customHeight="1" x14ac:dyDescent="0.3">
      <c r="B223" s="129" t="s">
        <v>2669</v>
      </c>
      <c r="C223" s="113"/>
      <c r="D223" s="113"/>
      <c r="E223" s="113"/>
      <c r="F223" s="113"/>
    </row>
    <row r="224" spans="2:6" ht="16.95" customHeight="1" x14ac:dyDescent="0.3">
      <c r="C224" s="170" t="s">
        <v>2670</v>
      </c>
      <c r="D224" s="113"/>
      <c r="E224" s="113"/>
      <c r="F224" s="113"/>
    </row>
    <row r="225" spans="2:6" ht="17.25" customHeight="1" x14ac:dyDescent="0.3">
      <c r="C225" s="39" t="s">
        <v>2671</v>
      </c>
      <c r="D225" s="40"/>
      <c r="E225" s="40"/>
      <c r="F225" s="41"/>
    </row>
    <row r="226" spans="2:6" ht="17.25" customHeight="1" x14ac:dyDescent="0.3">
      <c r="C226" s="42" t="s">
        <v>2672</v>
      </c>
      <c r="D226" s="43"/>
      <c r="E226" s="43"/>
      <c r="F226" s="44"/>
    </row>
    <row r="227" spans="2:6" ht="17.25" customHeight="1" x14ac:dyDescent="0.3">
      <c r="C227" s="42" t="s">
        <v>2673</v>
      </c>
      <c r="D227" s="43"/>
      <c r="E227" s="43"/>
      <c r="F227" s="44"/>
    </row>
    <row r="228" spans="2:6" ht="17.25" customHeight="1" x14ac:dyDescent="0.3">
      <c r="C228" s="45" t="s">
        <v>2674</v>
      </c>
      <c r="D228" s="46"/>
      <c r="E228" s="46"/>
      <c r="F228" s="47"/>
    </row>
    <row r="229" spans="2:6" ht="4.95" customHeight="1" x14ac:dyDescent="0.3"/>
    <row r="230" spans="2:6" ht="19.350000000000001" customHeight="1" x14ac:dyDescent="0.3">
      <c r="B230" s="129" t="s">
        <v>2675</v>
      </c>
      <c r="C230" s="113"/>
      <c r="D230" s="113"/>
      <c r="E230" s="113"/>
      <c r="F230" s="113"/>
    </row>
    <row r="231" spans="2:6" ht="16.95" customHeight="1" x14ac:dyDescent="0.3">
      <c r="C231" s="170" t="s">
        <v>2676</v>
      </c>
      <c r="D231" s="113"/>
      <c r="E231" s="113"/>
      <c r="F231" s="113"/>
    </row>
    <row r="232" spans="2:6" ht="17.25" customHeight="1" x14ac:dyDescent="0.3">
      <c r="C232" s="39" t="s">
        <v>2677</v>
      </c>
      <c r="D232" s="40"/>
      <c r="E232" s="40"/>
      <c r="F232" s="41"/>
    </row>
    <row r="233" spans="2:6" ht="17.25" customHeight="1" x14ac:dyDescent="0.3">
      <c r="C233" s="42" t="s">
        <v>2678</v>
      </c>
      <c r="D233" s="43"/>
      <c r="E233" s="43"/>
      <c r="F233" s="44"/>
    </row>
    <row r="234" spans="2:6" ht="17.25" customHeight="1" x14ac:dyDescent="0.3">
      <c r="C234" s="45" t="s">
        <v>2679</v>
      </c>
      <c r="D234" s="46"/>
      <c r="E234" s="46"/>
      <c r="F234" s="47"/>
    </row>
    <row r="235" spans="2:6" ht="4.95" customHeight="1" x14ac:dyDescent="0.3"/>
    <row r="236" spans="2:6" ht="22.05" customHeight="1" x14ac:dyDescent="0.3">
      <c r="B236" s="144" t="s">
        <v>487</v>
      </c>
      <c r="C236" s="145"/>
      <c r="D236" s="144" t="s">
        <v>53</v>
      </c>
      <c r="E236" s="171"/>
      <c r="F236" s="145"/>
    </row>
    <row r="237" spans="2:6" ht="33.75" customHeight="1" x14ac:dyDescent="0.3">
      <c r="B237" s="149" t="s">
        <v>2680</v>
      </c>
      <c r="C237" s="137"/>
      <c r="D237" s="130" t="s">
        <v>2681</v>
      </c>
      <c r="E237" s="110"/>
      <c r="F237" s="111"/>
    </row>
    <row r="238" spans="2:6" ht="33.75" customHeight="1" x14ac:dyDescent="0.3">
      <c r="B238" s="149" t="s">
        <v>2682</v>
      </c>
      <c r="C238" s="137"/>
      <c r="D238" s="132" t="s">
        <v>2683</v>
      </c>
      <c r="E238" s="169"/>
      <c r="F238" s="133"/>
    </row>
    <row r="239" spans="2:6" ht="19.95" customHeight="1" x14ac:dyDescent="0.3">
      <c r="B239" s="149" t="s">
        <v>2684</v>
      </c>
      <c r="C239" s="137"/>
      <c r="D239" s="130" t="s">
        <v>2685</v>
      </c>
      <c r="E239" s="110"/>
      <c r="F239" s="111"/>
    </row>
    <row r="240" spans="2:6" ht="6" customHeight="1" x14ac:dyDescent="0.3"/>
    <row r="241" spans="2:6" ht="33.75" customHeight="1" x14ac:dyDescent="0.3">
      <c r="B241" s="22" t="s">
        <v>62</v>
      </c>
      <c r="C241" s="152" t="s">
        <v>2686</v>
      </c>
      <c r="D241" s="153"/>
      <c r="E241" s="153"/>
      <c r="F241" s="105"/>
    </row>
    <row r="242" spans="2:6" ht="4.95" customHeight="1" x14ac:dyDescent="0.3"/>
  </sheetData>
  <mergeCells count="123">
    <mergeCell ref="C241:F241"/>
    <mergeCell ref="B218:C218"/>
    <mergeCell ref="C23:F23"/>
    <mergeCell ref="C106:F106"/>
    <mergeCell ref="B150:C150"/>
    <mergeCell ref="D238:F238"/>
    <mergeCell ref="B130:F130"/>
    <mergeCell ref="C140:F140"/>
    <mergeCell ref="B77:F77"/>
    <mergeCell ref="B119:F119"/>
    <mergeCell ref="D89:F89"/>
    <mergeCell ref="B147:C147"/>
    <mergeCell ref="D209:E209"/>
    <mergeCell ref="E216:F216"/>
    <mergeCell ref="D26:F26"/>
    <mergeCell ref="C103:F103"/>
    <mergeCell ref="B217:C217"/>
    <mergeCell ref="C55:F55"/>
    <mergeCell ref="B211:F211"/>
    <mergeCell ref="C180:F180"/>
    <mergeCell ref="D90:F90"/>
    <mergeCell ref="E218:F218"/>
    <mergeCell ref="B33:F33"/>
    <mergeCell ref="B207:C207"/>
    <mergeCell ref="B1:F1"/>
    <mergeCell ref="B148:C148"/>
    <mergeCell ref="B161:F174"/>
    <mergeCell ref="E6:F6"/>
    <mergeCell ref="B178:F178"/>
    <mergeCell ref="C113:F113"/>
    <mergeCell ref="D148:F148"/>
    <mergeCell ref="B146:C146"/>
    <mergeCell ref="B28:C28"/>
    <mergeCell ref="C100:F100"/>
    <mergeCell ref="C94:F94"/>
    <mergeCell ref="B2:E2"/>
    <mergeCell ref="B9:C9"/>
    <mergeCell ref="B92:C92"/>
    <mergeCell ref="C127:F127"/>
    <mergeCell ref="E7:F7"/>
    <mergeCell ref="D149:F149"/>
    <mergeCell ref="B138:F138"/>
    <mergeCell ref="E10:F10"/>
    <mergeCell ref="E9:F9"/>
    <mergeCell ref="B8:C8"/>
    <mergeCell ref="B10:C10"/>
    <mergeCell ref="E11:F11"/>
    <mergeCell ref="B97:F97"/>
    <mergeCell ref="B6:C6"/>
    <mergeCell ref="D237:F237"/>
    <mergeCell ref="B89:C89"/>
    <mergeCell ref="D239:F239"/>
    <mergeCell ref="C194:F194"/>
    <mergeCell ref="B4:F4"/>
    <mergeCell ref="C110:F110"/>
    <mergeCell ref="B7:C7"/>
    <mergeCell ref="D150:F150"/>
    <mergeCell ref="B208:C208"/>
    <mergeCell ref="C82:F82"/>
    <mergeCell ref="D208:E208"/>
    <mergeCell ref="B31:F31"/>
    <mergeCell ref="C155:F155"/>
    <mergeCell ref="E215:F215"/>
    <mergeCell ref="B21:F21"/>
    <mergeCell ref="E13:F13"/>
    <mergeCell ref="B239:C239"/>
    <mergeCell ref="B204:C204"/>
    <mergeCell ref="B216:C216"/>
    <mergeCell ref="D207:E207"/>
    <mergeCell ref="B221:F221"/>
    <mergeCell ref="E217:F217"/>
    <mergeCell ref="B197:F197"/>
    <mergeCell ref="B238:C238"/>
    <mergeCell ref="C199:F199"/>
    <mergeCell ref="B11:C11"/>
    <mergeCell ref="D146:F146"/>
    <mergeCell ref="D204:E204"/>
    <mergeCell ref="B175:F175"/>
    <mergeCell ref="D206:E206"/>
    <mergeCell ref="B29:C29"/>
    <mergeCell ref="B99:F99"/>
    <mergeCell ref="C40:F40"/>
    <mergeCell ref="B153:F153"/>
    <mergeCell ref="B35:F35"/>
    <mergeCell ref="B237:C237"/>
    <mergeCell ref="E12:F12"/>
    <mergeCell ref="D27:F27"/>
    <mergeCell ref="B209:C209"/>
    <mergeCell ref="B90:C90"/>
    <mergeCell ref="B236:C236"/>
    <mergeCell ref="B27:C27"/>
    <mergeCell ref="D91:F91"/>
    <mergeCell ref="D147:F147"/>
    <mergeCell ref="D236:F236"/>
    <mergeCell ref="D92:F92"/>
    <mergeCell ref="B13:C13"/>
    <mergeCell ref="D29:F29"/>
    <mergeCell ref="B205:C205"/>
    <mergeCell ref="B116:F116"/>
    <mergeCell ref="D205:E205"/>
    <mergeCell ref="C231:F231"/>
    <mergeCell ref="B230:F230"/>
    <mergeCell ref="C121:F121"/>
    <mergeCell ref="B65:F76"/>
    <mergeCell ref="B80:F80"/>
    <mergeCell ref="B213:F213"/>
    <mergeCell ref="B26:C26"/>
    <mergeCell ref="B206:C206"/>
    <mergeCell ref="C36:F36"/>
    <mergeCell ref="B91:C91"/>
    <mergeCell ref="C52:F52"/>
    <mergeCell ref="C61:F61"/>
    <mergeCell ref="C224:F224"/>
    <mergeCell ref="B149:C149"/>
    <mergeCell ref="B215:C215"/>
    <mergeCell ref="E8:F8"/>
    <mergeCell ref="B18:F18"/>
    <mergeCell ref="B58:F58"/>
    <mergeCell ref="B12:C12"/>
    <mergeCell ref="B223:F223"/>
    <mergeCell ref="D28:F28"/>
    <mergeCell ref="B60:F60"/>
    <mergeCell ref="C15:F15"/>
  </mergeCells>
  <phoneticPr fontId="27"/>
  <hyperlinks>
    <hyperlink ref="F2" location="'目次'!A1" display="▲ 目次へ戻る" xr:uid="{00000000-0004-0000-0C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133:B135"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F7F7F"/>
    <pageSetUpPr fitToPage="1"/>
  </sheetPr>
  <dimension ref="B1:F152"/>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2687</v>
      </c>
      <c r="C1" s="118"/>
      <c r="D1" s="118"/>
      <c r="E1" s="118"/>
      <c r="F1" s="118"/>
    </row>
    <row r="2" spans="2:6" ht="24" customHeight="1" x14ac:dyDescent="0.3">
      <c r="B2" s="141" t="s">
        <v>2688</v>
      </c>
      <c r="C2" s="113"/>
      <c r="D2" s="113"/>
      <c r="E2" s="113"/>
      <c r="F2" s="4" t="s">
        <v>38</v>
      </c>
    </row>
    <row r="3" spans="2:6" ht="12" customHeight="1" x14ac:dyDescent="0.3"/>
    <row r="4" spans="2:6" ht="27" customHeight="1" x14ac:dyDescent="0.3">
      <c r="B4" s="128" t="s">
        <v>2689</v>
      </c>
      <c r="C4" s="124"/>
      <c r="D4" s="124"/>
      <c r="E4" s="124"/>
      <c r="F4" s="124"/>
    </row>
    <row r="5" spans="2:6" ht="4.95" customHeight="1" x14ac:dyDescent="0.3"/>
    <row r="6" spans="2:6" ht="22.05" customHeight="1" x14ac:dyDescent="0.3">
      <c r="B6" s="144" t="s">
        <v>2690</v>
      </c>
      <c r="C6" s="145"/>
      <c r="D6" s="7" t="s">
        <v>2691</v>
      </c>
      <c r="E6" s="7" t="s">
        <v>2692</v>
      </c>
      <c r="F6" s="7" t="s">
        <v>230</v>
      </c>
    </row>
    <row r="7" spans="2:6" ht="33.75" customHeight="1" x14ac:dyDescent="0.3">
      <c r="B7" s="130" t="s">
        <v>2693</v>
      </c>
      <c r="C7" s="111"/>
      <c r="D7" s="23" t="s">
        <v>2694</v>
      </c>
      <c r="E7" s="23" t="s">
        <v>2695</v>
      </c>
      <c r="F7" s="10" t="s">
        <v>2696</v>
      </c>
    </row>
    <row r="8" spans="2:6" ht="19.95" customHeight="1" x14ac:dyDescent="0.3">
      <c r="B8" s="132" t="s">
        <v>2697</v>
      </c>
      <c r="C8" s="133"/>
      <c r="D8" s="23" t="s">
        <v>2698</v>
      </c>
      <c r="E8" s="23" t="s">
        <v>2699</v>
      </c>
      <c r="F8" s="13" t="s">
        <v>2700</v>
      </c>
    </row>
    <row r="9" spans="2:6" ht="33.75" customHeight="1" x14ac:dyDescent="0.3">
      <c r="B9" s="130" t="s">
        <v>2701</v>
      </c>
      <c r="C9" s="111"/>
      <c r="D9" s="23" t="s">
        <v>1303</v>
      </c>
      <c r="E9" s="23" t="s">
        <v>2702</v>
      </c>
      <c r="F9" s="10" t="s">
        <v>2703</v>
      </c>
    </row>
    <row r="10" spans="2:6" ht="33.75" customHeight="1" x14ac:dyDescent="0.3">
      <c r="B10" s="132" t="s">
        <v>2704</v>
      </c>
      <c r="C10" s="133"/>
      <c r="D10" s="23" t="s">
        <v>2705</v>
      </c>
      <c r="E10" s="23" t="s">
        <v>2706</v>
      </c>
      <c r="F10" s="13" t="s">
        <v>2707</v>
      </c>
    </row>
    <row r="11" spans="2:6" ht="19.95" customHeight="1" x14ac:dyDescent="0.3">
      <c r="B11" s="130" t="s">
        <v>2708</v>
      </c>
      <c r="C11" s="111"/>
      <c r="D11" s="23" t="s">
        <v>2709</v>
      </c>
      <c r="E11" s="23" t="s">
        <v>2710</v>
      </c>
      <c r="F11" s="10" t="s">
        <v>2711</v>
      </c>
    </row>
    <row r="12" spans="2:6" ht="6" customHeight="1" x14ac:dyDescent="0.3"/>
    <row r="13" spans="2:6" ht="12" customHeight="1" x14ac:dyDescent="0.3"/>
    <row r="14" spans="2:6" ht="27" customHeight="1" x14ac:dyDescent="0.3">
      <c r="B14" s="128" t="s">
        <v>2712</v>
      </c>
      <c r="C14" s="124"/>
      <c r="D14" s="124"/>
      <c r="E14" s="124"/>
      <c r="F14" s="124"/>
    </row>
    <row r="15" spans="2:6" ht="4.95" customHeight="1" x14ac:dyDescent="0.3"/>
    <row r="16" spans="2:6" ht="19.350000000000001" customHeight="1" x14ac:dyDescent="0.3">
      <c r="B16" s="129" t="s">
        <v>2713</v>
      </c>
      <c r="C16" s="113"/>
      <c r="D16" s="113"/>
      <c r="E16" s="113"/>
      <c r="F16" s="113"/>
    </row>
    <row r="17" spans="2:6" ht="16.95" customHeight="1" x14ac:dyDescent="0.3">
      <c r="C17" s="170" t="s">
        <v>2714</v>
      </c>
      <c r="D17" s="113"/>
      <c r="E17" s="113"/>
      <c r="F17" s="113"/>
    </row>
    <row r="18" spans="2:6" ht="17.25" customHeight="1" x14ac:dyDescent="0.3">
      <c r="C18" s="39" t="s">
        <v>2715</v>
      </c>
      <c r="D18" s="40"/>
      <c r="E18" s="40"/>
      <c r="F18" s="41"/>
    </row>
    <row r="19" spans="2:6" ht="17.25" customHeight="1" x14ac:dyDescent="0.3">
      <c r="C19" s="42" t="s">
        <v>2716</v>
      </c>
      <c r="D19" s="43"/>
      <c r="E19" s="43"/>
      <c r="F19" s="44"/>
    </row>
    <row r="20" spans="2:6" ht="17.25" customHeight="1" x14ac:dyDescent="0.3">
      <c r="C20" s="45" t="s">
        <v>2717</v>
      </c>
      <c r="D20" s="46"/>
      <c r="E20" s="46"/>
      <c r="F20" s="47"/>
    </row>
    <row r="21" spans="2:6" ht="4.95" customHeight="1" x14ac:dyDescent="0.3"/>
    <row r="22" spans="2:6" ht="16.95" customHeight="1" x14ac:dyDescent="0.3">
      <c r="C22" s="170" t="s">
        <v>2718</v>
      </c>
      <c r="D22" s="113"/>
      <c r="E22" s="113"/>
      <c r="F22" s="113"/>
    </row>
    <row r="23" spans="2:6" ht="17.25" customHeight="1" x14ac:dyDescent="0.3">
      <c r="C23" s="39" t="s">
        <v>2719</v>
      </c>
      <c r="D23" s="40"/>
      <c r="E23" s="40"/>
      <c r="F23" s="41"/>
    </row>
    <row r="24" spans="2:6" ht="17.25" customHeight="1" x14ac:dyDescent="0.3">
      <c r="C24" s="42" t="s">
        <v>2720</v>
      </c>
      <c r="D24" s="43"/>
      <c r="E24" s="43"/>
      <c r="F24" s="44"/>
    </row>
    <row r="25" spans="2:6" ht="17.25" customHeight="1" x14ac:dyDescent="0.3">
      <c r="C25" s="45" t="s">
        <v>2721</v>
      </c>
      <c r="D25" s="46"/>
      <c r="E25" s="46"/>
      <c r="F25" s="47"/>
    </row>
    <row r="26" spans="2:6" ht="4.95" customHeight="1" x14ac:dyDescent="0.3"/>
    <row r="27" spans="2:6" ht="22.05" customHeight="1" x14ac:dyDescent="0.3">
      <c r="B27" s="144" t="s">
        <v>2553</v>
      </c>
      <c r="C27" s="145"/>
      <c r="D27" s="144" t="s">
        <v>53</v>
      </c>
      <c r="E27" s="171"/>
      <c r="F27" s="145"/>
    </row>
    <row r="28" spans="2:6" ht="19.95" customHeight="1" x14ac:dyDescent="0.3">
      <c r="B28" s="149" t="s">
        <v>2722</v>
      </c>
      <c r="C28" s="137"/>
      <c r="D28" s="130" t="s">
        <v>2723</v>
      </c>
      <c r="E28" s="110"/>
      <c r="F28" s="111"/>
    </row>
    <row r="29" spans="2:6" ht="19.95" customHeight="1" x14ac:dyDescent="0.3">
      <c r="B29" s="149" t="s">
        <v>2724</v>
      </c>
      <c r="C29" s="137"/>
      <c r="D29" s="132" t="s">
        <v>2725</v>
      </c>
      <c r="E29" s="169"/>
      <c r="F29" s="133"/>
    </row>
    <row r="30" spans="2:6" ht="19.95" customHeight="1" x14ac:dyDescent="0.3">
      <c r="B30" s="149" t="s">
        <v>2726</v>
      </c>
      <c r="C30" s="137"/>
      <c r="D30" s="130" t="s">
        <v>2727</v>
      </c>
      <c r="E30" s="110"/>
      <c r="F30" s="111"/>
    </row>
    <row r="31" spans="2:6" ht="6" customHeight="1" x14ac:dyDescent="0.3"/>
    <row r="32" spans="2:6" ht="22.05" customHeight="1" x14ac:dyDescent="0.3">
      <c r="B32" s="16" t="s">
        <v>64</v>
      </c>
      <c r="C32" s="152" t="s">
        <v>2728</v>
      </c>
      <c r="D32" s="153"/>
      <c r="E32" s="153"/>
      <c r="F32" s="105"/>
    </row>
    <row r="33" spans="2:6" ht="4.95" customHeight="1" x14ac:dyDescent="0.3"/>
    <row r="34" spans="2:6" ht="12" customHeight="1" x14ac:dyDescent="0.3"/>
    <row r="35" spans="2:6" ht="27" customHeight="1" x14ac:dyDescent="0.3">
      <c r="B35" s="128" t="s">
        <v>2729</v>
      </c>
      <c r="C35" s="124"/>
      <c r="D35" s="124"/>
      <c r="E35" s="124"/>
      <c r="F35" s="124"/>
    </row>
    <row r="36" spans="2:6" ht="4.95" customHeight="1" x14ac:dyDescent="0.3"/>
    <row r="37" spans="2:6" ht="19.350000000000001" customHeight="1" x14ac:dyDescent="0.3">
      <c r="B37" s="129" t="s">
        <v>2730</v>
      </c>
      <c r="C37" s="113"/>
      <c r="D37" s="113"/>
      <c r="E37" s="113"/>
      <c r="F37" s="113"/>
    </row>
    <row r="38" spans="2:6" ht="22.05" customHeight="1" x14ac:dyDescent="0.3">
      <c r="B38" s="7" t="s">
        <v>73</v>
      </c>
      <c r="C38" s="7" t="s">
        <v>159</v>
      </c>
      <c r="D38" s="7" t="s">
        <v>160</v>
      </c>
      <c r="E38" s="7" t="s">
        <v>161</v>
      </c>
      <c r="F38" s="7" t="s">
        <v>162</v>
      </c>
    </row>
    <row r="39" spans="2:6" ht="62.55" customHeight="1" x14ac:dyDescent="0.3">
      <c r="B39" s="8" t="s">
        <v>77</v>
      </c>
      <c r="C39" s="14" t="s">
        <v>2731</v>
      </c>
      <c r="D39" s="10" t="s">
        <v>2732</v>
      </c>
      <c r="E39" s="10" t="s">
        <v>2733</v>
      </c>
      <c r="F39" s="10"/>
    </row>
    <row r="40" spans="2:6" ht="33.75" customHeight="1" x14ac:dyDescent="0.3">
      <c r="B40" s="11" t="s">
        <v>81</v>
      </c>
      <c r="C40" s="15" t="s">
        <v>2734</v>
      </c>
      <c r="D40" s="13" t="s">
        <v>2735</v>
      </c>
      <c r="E40" s="13" t="s">
        <v>2736</v>
      </c>
      <c r="F40" s="13" t="s">
        <v>2737</v>
      </c>
    </row>
    <row r="41" spans="2:6" ht="19.95" customHeight="1" x14ac:dyDescent="0.3">
      <c r="B41" s="8" t="s">
        <v>85</v>
      </c>
      <c r="C41" s="14" t="s">
        <v>2738</v>
      </c>
      <c r="D41" s="10" t="s">
        <v>2739</v>
      </c>
      <c r="E41" s="10"/>
      <c r="F41" s="10"/>
    </row>
    <row r="42" spans="2:6" ht="33.75" customHeight="1" x14ac:dyDescent="0.3">
      <c r="B42" s="11" t="s">
        <v>88</v>
      </c>
      <c r="C42" s="15" t="s">
        <v>2740</v>
      </c>
      <c r="D42" s="13" t="s">
        <v>2741</v>
      </c>
      <c r="E42" s="13"/>
      <c r="F42" s="13" t="s">
        <v>2742</v>
      </c>
    </row>
    <row r="43" spans="2:6" ht="33.75" customHeight="1" x14ac:dyDescent="0.3">
      <c r="B43" s="8" t="s">
        <v>91</v>
      </c>
      <c r="C43" s="14" t="s">
        <v>2743</v>
      </c>
      <c r="D43" s="10" t="s">
        <v>2744</v>
      </c>
      <c r="E43" s="10"/>
      <c r="F43" s="10" t="s">
        <v>2745</v>
      </c>
    </row>
    <row r="44" spans="2:6" ht="6" customHeight="1" x14ac:dyDescent="0.3"/>
    <row r="45" spans="2:6" ht="15" customHeight="1" x14ac:dyDescent="0.3">
      <c r="B45" s="158" t="s">
        <v>2746</v>
      </c>
      <c r="C45" s="159"/>
      <c r="D45" s="159"/>
      <c r="E45" s="159"/>
      <c r="F45" s="160"/>
    </row>
    <row r="46" spans="2:6" ht="15" customHeight="1" x14ac:dyDescent="0.3">
      <c r="B46" s="161"/>
      <c r="C46" s="113"/>
      <c r="D46" s="113"/>
      <c r="E46" s="113"/>
      <c r="F46" s="162"/>
    </row>
    <row r="47" spans="2:6" ht="15" customHeight="1" x14ac:dyDescent="0.3">
      <c r="B47" s="161"/>
      <c r="C47" s="113"/>
      <c r="D47" s="113"/>
      <c r="E47" s="113"/>
      <c r="F47" s="162"/>
    </row>
    <row r="48" spans="2:6" ht="15" customHeight="1" x14ac:dyDescent="0.3">
      <c r="B48" s="161"/>
      <c r="C48" s="113"/>
      <c r="D48" s="113"/>
      <c r="E48" s="113"/>
      <c r="F48" s="162"/>
    </row>
    <row r="49" spans="2:6" ht="15" customHeight="1" x14ac:dyDescent="0.3">
      <c r="B49" s="161"/>
      <c r="C49" s="113"/>
      <c r="D49" s="113"/>
      <c r="E49" s="113"/>
      <c r="F49" s="162"/>
    </row>
    <row r="50" spans="2:6" ht="15" customHeight="1" x14ac:dyDescent="0.3">
      <c r="B50" s="161"/>
      <c r="C50" s="113"/>
      <c r="D50" s="113"/>
      <c r="E50" s="113"/>
      <c r="F50" s="162"/>
    </row>
    <row r="51" spans="2:6" ht="15" customHeight="1" x14ac:dyDescent="0.3">
      <c r="B51" s="161"/>
      <c r="C51" s="113"/>
      <c r="D51" s="113"/>
      <c r="E51" s="113"/>
      <c r="F51" s="162"/>
    </row>
    <row r="52" spans="2:6" ht="15" customHeight="1" x14ac:dyDescent="0.3">
      <c r="B52" s="161"/>
      <c r="C52" s="113"/>
      <c r="D52" s="113"/>
      <c r="E52" s="113"/>
      <c r="F52" s="162"/>
    </row>
    <row r="53" spans="2:6" ht="15" customHeight="1" x14ac:dyDescent="0.3">
      <c r="B53" s="161"/>
      <c r="C53" s="113"/>
      <c r="D53" s="113"/>
      <c r="E53" s="113"/>
      <c r="F53" s="162"/>
    </row>
    <row r="54" spans="2:6" ht="15" customHeight="1" x14ac:dyDescent="0.3">
      <c r="B54" s="161"/>
      <c r="C54" s="113"/>
      <c r="D54" s="113"/>
      <c r="E54" s="113"/>
      <c r="F54" s="162"/>
    </row>
    <row r="55" spans="2:6" ht="15" customHeight="1" x14ac:dyDescent="0.3">
      <c r="B55" s="161"/>
      <c r="C55" s="113"/>
      <c r="D55" s="113"/>
      <c r="E55" s="113"/>
      <c r="F55" s="162"/>
    </row>
    <row r="56" spans="2:6" ht="15" customHeight="1" x14ac:dyDescent="0.3">
      <c r="B56" s="161"/>
      <c r="C56" s="113"/>
      <c r="D56" s="113"/>
      <c r="E56" s="113"/>
      <c r="F56" s="162"/>
    </row>
    <row r="57" spans="2:6" ht="15" customHeight="1" x14ac:dyDescent="0.3">
      <c r="B57" s="161"/>
      <c r="C57" s="113"/>
      <c r="D57" s="113"/>
      <c r="E57" s="113"/>
      <c r="F57" s="162"/>
    </row>
    <row r="58" spans="2:6" ht="15" customHeight="1" x14ac:dyDescent="0.3">
      <c r="B58" s="161"/>
      <c r="C58" s="113"/>
      <c r="D58" s="113"/>
      <c r="E58" s="113"/>
      <c r="F58" s="162"/>
    </row>
    <row r="59" spans="2:6" ht="15" customHeight="1" x14ac:dyDescent="0.3">
      <c r="B59" s="161"/>
      <c r="C59" s="113"/>
      <c r="D59" s="113"/>
      <c r="E59" s="113"/>
      <c r="F59" s="162"/>
    </row>
    <row r="60" spans="2:6" ht="15" customHeight="1" x14ac:dyDescent="0.3">
      <c r="B60" s="161"/>
      <c r="C60" s="113"/>
      <c r="D60" s="113"/>
      <c r="E60" s="113"/>
      <c r="F60" s="162"/>
    </row>
    <row r="61" spans="2:6" ht="15" customHeight="1" x14ac:dyDescent="0.3">
      <c r="B61" s="161"/>
      <c r="C61" s="113"/>
      <c r="D61" s="113"/>
      <c r="E61" s="113"/>
      <c r="F61" s="162"/>
    </row>
    <row r="62" spans="2:6" ht="15" customHeight="1" x14ac:dyDescent="0.3">
      <c r="B62" s="163"/>
      <c r="C62" s="164"/>
      <c r="D62" s="164"/>
      <c r="E62" s="164"/>
      <c r="F62" s="165"/>
    </row>
    <row r="63" spans="2:6" ht="19.95" customHeight="1" x14ac:dyDescent="0.3">
      <c r="B63" s="151" t="s">
        <v>2747</v>
      </c>
      <c r="C63" s="113"/>
      <c r="D63" s="113"/>
      <c r="E63" s="113"/>
      <c r="F63" s="113"/>
    </row>
    <row r="64" spans="2:6" ht="6" customHeight="1" x14ac:dyDescent="0.3"/>
    <row r="65" spans="2:6" ht="15" customHeight="1" x14ac:dyDescent="0.3">
      <c r="B65" s="158" t="s">
        <v>2748</v>
      </c>
      <c r="C65" s="159"/>
      <c r="D65" s="159"/>
      <c r="E65" s="159"/>
      <c r="F65" s="160"/>
    </row>
    <row r="66" spans="2:6" ht="15" customHeight="1" x14ac:dyDescent="0.3">
      <c r="B66" s="161"/>
      <c r="C66" s="113"/>
      <c r="D66" s="113"/>
      <c r="E66" s="113"/>
      <c r="F66" s="162"/>
    </row>
    <row r="67" spans="2:6" ht="15" customHeight="1" x14ac:dyDescent="0.3">
      <c r="B67" s="161"/>
      <c r="C67" s="113"/>
      <c r="D67" s="113"/>
      <c r="E67" s="113"/>
      <c r="F67" s="162"/>
    </row>
    <row r="68" spans="2:6" ht="15" customHeight="1" x14ac:dyDescent="0.3">
      <c r="B68" s="161"/>
      <c r="C68" s="113"/>
      <c r="D68" s="113"/>
      <c r="E68" s="113"/>
      <c r="F68" s="162"/>
    </row>
    <row r="69" spans="2:6" ht="15" customHeight="1" x14ac:dyDescent="0.3">
      <c r="B69" s="161"/>
      <c r="C69" s="113"/>
      <c r="D69" s="113"/>
      <c r="E69" s="113"/>
      <c r="F69" s="162"/>
    </row>
    <row r="70" spans="2:6" ht="15" customHeight="1" x14ac:dyDescent="0.3">
      <c r="B70" s="161"/>
      <c r="C70" s="113"/>
      <c r="D70" s="113"/>
      <c r="E70" s="113"/>
      <c r="F70" s="162"/>
    </row>
    <row r="71" spans="2:6" ht="15" customHeight="1" x14ac:dyDescent="0.3">
      <c r="B71" s="161"/>
      <c r="C71" s="113"/>
      <c r="D71" s="113"/>
      <c r="E71" s="113"/>
      <c r="F71" s="162"/>
    </row>
    <row r="72" spans="2:6" ht="15" customHeight="1" x14ac:dyDescent="0.3">
      <c r="B72" s="161"/>
      <c r="C72" s="113"/>
      <c r="D72" s="113"/>
      <c r="E72" s="113"/>
      <c r="F72" s="162"/>
    </row>
    <row r="73" spans="2:6" ht="15" customHeight="1" x14ac:dyDescent="0.3">
      <c r="B73" s="161"/>
      <c r="C73" s="113"/>
      <c r="D73" s="113"/>
      <c r="E73" s="113"/>
      <c r="F73" s="162"/>
    </row>
    <row r="74" spans="2:6" ht="15" customHeight="1" x14ac:dyDescent="0.3">
      <c r="B74" s="161"/>
      <c r="C74" s="113"/>
      <c r="D74" s="113"/>
      <c r="E74" s="113"/>
      <c r="F74" s="162"/>
    </row>
    <row r="75" spans="2:6" ht="15" customHeight="1" x14ac:dyDescent="0.3">
      <c r="B75" s="161"/>
      <c r="C75" s="113"/>
      <c r="D75" s="113"/>
      <c r="E75" s="113"/>
      <c r="F75" s="162"/>
    </row>
    <row r="76" spans="2:6" ht="15" customHeight="1" x14ac:dyDescent="0.3">
      <c r="B76" s="161"/>
      <c r="C76" s="113"/>
      <c r="D76" s="113"/>
      <c r="E76" s="113"/>
      <c r="F76" s="162"/>
    </row>
    <row r="77" spans="2:6" ht="15" customHeight="1" x14ac:dyDescent="0.3">
      <c r="B77" s="161"/>
      <c r="C77" s="113"/>
      <c r="D77" s="113"/>
      <c r="E77" s="113"/>
      <c r="F77" s="162"/>
    </row>
    <row r="78" spans="2:6" ht="15" customHeight="1" x14ac:dyDescent="0.3">
      <c r="B78" s="161"/>
      <c r="C78" s="113"/>
      <c r="D78" s="113"/>
      <c r="E78" s="113"/>
      <c r="F78" s="162"/>
    </row>
    <row r="79" spans="2:6" ht="15" customHeight="1" x14ac:dyDescent="0.3">
      <c r="B79" s="161"/>
      <c r="C79" s="113"/>
      <c r="D79" s="113"/>
      <c r="E79" s="113"/>
      <c r="F79" s="162"/>
    </row>
    <row r="80" spans="2:6" ht="15" customHeight="1" x14ac:dyDescent="0.3">
      <c r="B80" s="161"/>
      <c r="C80" s="113"/>
      <c r="D80" s="113"/>
      <c r="E80" s="113"/>
      <c r="F80" s="162"/>
    </row>
    <row r="81" spans="2:6" ht="15" customHeight="1" x14ac:dyDescent="0.3">
      <c r="B81" s="161"/>
      <c r="C81" s="113"/>
      <c r="D81" s="113"/>
      <c r="E81" s="113"/>
      <c r="F81" s="162"/>
    </row>
    <row r="82" spans="2:6" ht="15" customHeight="1" x14ac:dyDescent="0.3">
      <c r="B82" s="163"/>
      <c r="C82" s="164"/>
      <c r="D82" s="164"/>
      <c r="E82" s="164"/>
      <c r="F82" s="165"/>
    </row>
    <row r="83" spans="2:6" ht="19.95" customHeight="1" x14ac:dyDescent="0.3">
      <c r="B83" s="151" t="s">
        <v>2749</v>
      </c>
      <c r="C83" s="113"/>
      <c r="D83" s="113"/>
      <c r="E83" s="113"/>
      <c r="F83" s="113"/>
    </row>
    <row r="84" spans="2:6" ht="6" customHeight="1" x14ac:dyDescent="0.3"/>
    <row r="85" spans="2:6" ht="12" customHeight="1" x14ac:dyDescent="0.3"/>
    <row r="86" spans="2:6" ht="27" customHeight="1" x14ac:dyDescent="0.3">
      <c r="B86" s="128" t="s">
        <v>2750</v>
      </c>
      <c r="C86" s="124"/>
      <c r="D86" s="124"/>
      <c r="E86" s="124"/>
      <c r="F86" s="124"/>
    </row>
    <row r="87" spans="2:6" ht="4.95" customHeight="1" x14ac:dyDescent="0.3"/>
    <row r="88" spans="2:6" ht="7.05" customHeight="1" x14ac:dyDescent="0.3"/>
    <row r="89" spans="2:6" ht="22.95" customHeight="1" x14ac:dyDescent="0.3">
      <c r="B89" s="156" t="s">
        <v>2751</v>
      </c>
      <c r="C89" s="157"/>
      <c r="D89" s="157"/>
      <c r="E89" s="157"/>
      <c r="F89" s="157"/>
    </row>
    <row r="90" spans="2:6" ht="4.05" customHeight="1" x14ac:dyDescent="0.3"/>
    <row r="91" spans="2:6" ht="16.95" customHeight="1" x14ac:dyDescent="0.3">
      <c r="C91" s="170" t="s">
        <v>2585</v>
      </c>
      <c r="D91" s="113"/>
      <c r="E91" s="113"/>
      <c r="F91" s="113"/>
    </row>
    <row r="92" spans="2:6" ht="17.25" customHeight="1" x14ac:dyDescent="0.3">
      <c r="C92" s="39" t="s">
        <v>2752</v>
      </c>
      <c r="D92" s="40"/>
      <c r="E92" s="40"/>
      <c r="F92" s="41"/>
    </row>
    <row r="93" spans="2:6" ht="17.25" customHeight="1" x14ac:dyDescent="0.3">
      <c r="C93" s="45" t="s">
        <v>2753</v>
      </c>
      <c r="D93" s="46"/>
      <c r="E93" s="46"/>
      <c r="F93" s="47"/>
    </row>
    <row r="94" spans="2:6" ht="4.95" customHeight="1" x14ac:dyDescent="0.3"/>
    <row r="95" spans="2:6" ht="22.05" customHeight="1" x14ac:dyDescent="0.3">
      <c r="B95" s="22" t="s">
        <v>62</v>
      </c>
      <c r="C95" s="152" t="s">
        <v>2754</v>
      </c>
      <c r="D95" s="153"/>
      <c r="E95" s="153"/>
      <c r="F95" s="105"/>
    </row>
    <row r="96" spans="2:6" ht="4.95" customHeight="1" x14ac:dyDescent="0.3"/>
    <row r="97" spans="2:6" ht="7.05" customHeight="1" x14ac:dyDescent="0.3"/>
    <row r="98" spans="2:6" ht="22.95" customHeight="1" x14ac:dyDescent="0.3">
      <c r="B98" s="156" t="s">
        <v>2755</v>
      </c>
      <c r="C98" s="157"/>
      <c r="D98" s="157"/>
      <c r="E98" s="157"/>
      <c r="F98" s="157"/>
    </row>
    <row r="99" spans="2:6" ht="4.05" customHeight="1" x14ac:dyDescent="0.3"/>
    <row r="100" spans="2:6" ht="16.95" customHeight="1" x14ac:dyDescent="0.3">
      <c r="C100" s="170" t="s">
        <v>2756</v>
      </c>
      <c r="D100" s="113"/>
      <c r="E100" s="113"/>
      <c r="F100" s="113"/>
    </row>
    <row r="101" spans="2:6" ht="17.25" customHeight="1" x14ac:dyDescent="0.3">
      <c r="C101" s="48" t="s">
        <v>2757</v>
      </c>
      <c r="D101" s="49"/>
      <c r="E101" s="49"/>
      <c r="F101" s="50"/>
    </row>
    <row r="102" spans="2:6" ht="4.95" customHeight="1" x14ac:dyDescent="0.3"/>
    <row r="103" spans="2:6" ht="16.95" customHeight="1" x14ac:dyDescent="0.3">
      <c r="C103" s="170" t="s">
        <v>2758</v>
      </c>
      <c r="D103" s="113"/>
      <c r="E103" s="113"/>
      <c r="F103" s="113"/>
    </row>
    <row r="104" spans="2:6" ht="17.25" customHeight="1" x14ac:dyDescent="0.3">
      <c r="C104" s="48" t="s">
        <v>2759</v>
      </c>
      <c r="D104" s="49"/>
      <c r="E104" s="49"/>
      <c r="F104" s="50"/>
    </row>
    <row r="105" spans="2:6" ht="4.95" customHeight="1" x14ac:dyDescent="0.3"/>
    <row r="106" spans="2:6" ht="19.350000000000001" customHeight="1" x14ac:dyDescent="0.3">
      <c r="B106" s="129" t="s">
        <v>2760</v>
      </c>
      <c r="C106" s="113"/>
      <c r="D106" s="113"/>
      <c r="E106" s="113"/>
      <c r="F106" s="113"/>
    </row>
    <row r="107" spans="2:6" ht="7.05" customHeight="1" x14ac:dyDescent="0.3"/>
    <row r="108" spans="2:6" ht="22.95" customHeight="1" x14ac:dyDescent="0.3">
      <c r="B108" s="156" t="s">
        <v>2761</v>
      </c>
      <c r="C108" s="157"/>
      <c r="D108" s="157"/>
      <c r="E108" s="157"/>
      <c r="F108" s="157"/>
    </row>
    <row r="109" spans="2:6" ht="4.05" customHeight="1" x14ac:dyDescent="0.3"/>
    <row r="110" spans="2:6" ht="16.95" customHeight="1" x14ac:dyDescent="0.3">
      <c r="C110" s="170" t="s">
        <v>2585</v>
      </c>
      <c r="D110" s="113"/>
      <c r="E110" s="113"/>
      <c r="F110" s="113"/>
    </row>
    <row r="111" spans="2:6" ht="17.25" customHeight="1" x14ac:dyDescent="0.3">
      <c r="C111" s="39" t="s">
        <v>2762</v>
      </c>
      <c r="D111" s="40"/>
      <c r="E111" s="40"/>
      <c r="F111" s="41"/>
    </row>
    <row r="112" spans="2:6" ht="17.25" customHeight="1" x14ac:dyDescent="0.3">
      <c r="C112" s="45" t="s">
        <v>2763</v>
      </c>
      <c r="D112" s="46"/>
      <c r="E112" s="46"/>
      <c r="F112" s="47"/>
    </row>
    <row r="113" spans="2:6" ht="4.95" customHeight="1" x14ac:dyDescent="0.3"/>
    <row r="114" spans="2:6" ht="22.05" customHeight="1" x14ac:dyDescent="0.3">
      <c r="B114" s="144" t="s">
        <v>487</v>
      </c>
      <c r="C114" s="145"/>
      <c r="D114" s="144" t="s">
        <v>488</v>
      </c>
      <c r="E114" s="145"/>
      <c r="F114" s="7" t="s">
        <v>2764</v>
      </c>
    </row>
    <row r="115" spans="2:6" ht="33.75" customHeight="1" x14ac:dyDescent="0.3">
      <c r="B115" s="149" t="s">
        <v>2765</v>
      </c>
      <c r="C115" s="137"/>
      <c r="D115" s="130" t="s">
        <v>2766</v>
      </c>
      <c r="E115" s="111"/>
      <c r="F115" s="10" t="s">
        <v>2767</v>
      </c>
    </row>
    <row r="116" spans="2:6" ht="33.75" customHeight="1" x14ac:dyDescent="0.3">
      <c r="B116" s="149" t="s">
        <v>2768</v>
      </c>
      <c r="C116" s="137"/>
      <c r="D116" s="132" t="s">
        <v>2769</v>
      </c>
      <c r="E116" s="133"/>
      <c r="F116" s="13" t="s">
        <v>2770</v>
      </c>
    </row>
    <row r="117" spans="2:6" ht="6" customHeight="1" x14ac:dyDescent="0.3"/>
    <row r="118" spans="2:6" ht="12" customHeight="1" x14ac:dyDescent="0.3"/>
    <row r="119" spans="2:6" ht="27" customHeight="1" x14ac:dyDescent="0.3">
      <c r="B119" s="128" t="s">
        <v>2771</v>
      </c>
      <c r="C119" s="124"/>
      <c r="D119" s="124"/>
      <c r="E119" s="124"/>
      <c r="F119" s="124"/>
    </row>
    <row r="120" spans="2:6" ht="4.95" customHeight="1" x14ac:dyDescent="0.3"/>
    <row r="121" spans="2:6" ht="19.350000000000001" customHeight="1" x14ac:dyDescent="0.3">
      <c r="B121" s="129" t="s">
        <v>2772</v>
      </c>
      <c r="C121" s="113"/>
      <c r="D121" s="113"/>
      <c r="E121" s="113"/>
      <c r="F121" s="113"/>
    </row>
    <row r="122" spans="2:6" ht="16.95" customHeight="1" x14ac:dyDescent="0.3">
      <c r="C122" s="170" t="s">
        <v>2585</v>
      </c>
      <c r="D122" s="113"/>
      <c r="E122" s="113"/>
      <c r="F122" s="113"/>
    </row>
    <row r="123" spans="2:6" ht="17.25" customHeight="1" x14ac:dyDescent="0.3">
      <c r="C123" s="39" t="s">
        <v>2773</v>
      </c>
      <c r="D123" s="40"/>
      <c r="E123" s="40"/>
      <c r="F123" s="41"/>
    </row>
    <row r="124" spans="2:6" ht="17.25" customHeight="1" x14ac:dyDescent="0.3">
      <c r="C124" s="42" t="s">
        <v>2774</v>
      </c>
      <c r="D124" s="43"/>
      <c r="E124" s="43"/>
      <c r="F124" s="44"/>
    </row>
    <row r="125" spans="2:6" ht="17.25" customHeight="1" x14ac:dyDescent="0.3">
      <c r="C125" s="45" t="s">
        <v>2775</v>
      </c>
      <c r="D125" s="46"/>
      <c r="E125" s="46"/>
      <c r="F125" s="47"/>
    </row>
    <row r="126" spans="2:6" ht="4.95" customHeight="1" x14ac:dyDescent="0.3"/>
    <row r="127" spans="2:6" ht="22.05" customHeight="1" x14ac:dyDescent="0.3">
      <c r="B127" s="144" t="s">
        <v>1637</v>
      </c>
      <c r="C127" s="145"/>
      <c r="D127" s="144" t="s">
        <v>488</v>
      </c>
      <c r="E127" s="171"/>
      <c r="F127" s="145"/>
    </row>
    <row r="128" spans="2:6" ht="19.95" customHeight="1" x14ac:dyDescent="0.3">
      <c r="B128" s="174" t="s">
        <v>2776</v>
      </c>
      <c r="C128" s="111"/>
      <c r="D128" s="130" t="s">
        <v>2777</v>
      </c>
      <c r="E128" s="110"/>
      <c r="F128" s="111"/>
    </row>
    <row r="129" spans="2:6" ht="19.95" customHeight="1" x14ac:dyDescent="0.3">
      <c r="B129" s="173" t="s">
        <v>2778</v>
      </c>
      <c r="C129" s="133"/>
      <c r="D129" s="132" t="s">
        <v>2779</v>
      </c>
      <c r="E129" s="169"/>
      <c r="F129" s="133"/>
    </row>
    <row r="130" spans="2:6" ht="19.95" customHeight="1" x14ac:dyDescent="0.3">
      <c r="B130" s="174" t="s">
        <v>2780</v>
      </c>
      <c r="C130" s="111"/>
      <c r="D130" s="130" t="s">
        <v>2781</v>
      </c>
      <c r="E130" s="110"/>
      <c r="F130" s="111"/>
    </row>
    <row r="131" spans="2:6" ht="6" customHeight="1" x14ac:dyDescent="0.3"/>
    <row r="132" spans="2:6" ht="16.95" customHeight="1" x14ac:dyDescent="0.3">
      <c r="C132" s="170" t="s">
        <v>2782</v>
      </c>
      <c r="D132" s="113"/>
      <c r="E132" s="113"/>
      <c r="F132" s="113"/>
    </row>
    <row r="133" spans="2:6" ht="17.25" customHeight="1" x14ac:dyDescent="0.3">
      <c r="C133" s="48" t="s">
        <v>2783</v>
      </c>
      <c r="D133" s="49"/>
      <c r="E133" s="49"/>
      <c r="F133" s="50"/>
    </row>
    <row r="134" spans="2:6" ht="4.95" customHeight="1" x14ac:dyDescent="0.3"/>
    <row r="135" spans="2:6" ht="15" customHeight="1" x14ac:dyDescent="0.3">
      <c r="B135" s="158" t="s">
        <v>2784</v>
      </c>
      <c r="C135" s="159"/>
      <c r="D135" s="159"/>
      <c r="E135" s="159"/>
      <c r="F135" s="160"/>
    </row>
    <row r="136" spans="2:6" ht="15" customHeight="1" x14ac:dyDescent="0.3">
      <c r="B136" s="161"/>
      <c r="C136" s="113"/>
      <c r="D136" s="113"/>
      <c r="E136" s="113"/>
      <c r="F136" s="162"/>
    </row>
    <row r="137" spans="2:6" ht="15" customHeight="1" x14ac:dyDescent="0.3">
      <c r="B137" s="161"/>
      <c r="C137" s="113"/>
      <c r="D137" s="113"/>
      <c r="E137" s="113"/>
      <c r="F137" s="162"/>
    </row>
    <row r="138" spans="2:6" ht="15" customHeight="1" x14ac:dyDescent="0.3">
      <c r="B138" s="161"/>
      <c r="C138" s="113"/>
      <c r="D138" s="113"/>
      <c r="E138" s="113"/>
      <c r="F138" s="162"/>
    </row>
    <row r="139" spans="2:6" ht="15" customHeight="1" x14ac:dyDescent="0.3">
      <c r="B139" s="161"/>
      <c r="C139" s="113"/>
      <c r="D139" s="113"/>
      <c r="E139" s="113"/>
      <c r="F139" s="162"/>
    </row>
    <row r="140" spans="2:6" ht="15" customHeight="1" x14ac:dyDescent="0.3">
      <c r="B140" s="161"/>
      <c r="C140" s="113"/>
      <c r="D140" s="113"/>
      <c r="E140" s="113"/>
      <c r="F140" s="162"/>
    </row>
    <row r="141" spans="2:6" ht="15" customHeight="1" x14ac:dyDescent="0.3">
      <c r="B141" s="161"/>
      <c r="C141" s="113"/>
      <c r="D141" s="113"/>
      <c r="E141" s="113"/>
      <c r="F141" s="162"/>
    </row>
    <row r="142" spans="2:6" ht="15" customHeight="1" x14ac:dyDescent="0.3">
      <c r="B142" s="161"/>
      <c r="C142" s="113"/>
      <c r="D142" s="113"/>
      <c r="E142" s="113"/>
      <c r="F142" s="162"/>
    </row>
    <row r="143" spans="2:6" ht="15" customHeight="1" x14ac:dyDescent="0.3">
      <c r="B143" s="161"/>
      <c r="C143" s="113"/>
      <c r="D143" s="113"/>
      <c r="E143" s="113"/>
      <c r="F143" s="162"/>
    </row>
    <row r="144" spans="2:6" ht="15" customHeight="1" x14ac:dyDescent="0.3">
      <c r="B144" s="161"/>
      <c r="C144" s="113"/>
      <c r="D144" s="113"/>
      <c r="E144" s="113"/>
      <c r="F144" s="162"/>
    </row>
    <row r="145" spans="2:6" ht="15" customHeight="1" x14ac:dyDescent="0.3">
      <c r="B145" s="161"/>
      <c r="C145" s="113"/>
      <c r="D145" s="113"/>
      <c r="E145" s="113"/>
      <c r="F145" s="162"/>
    </row>
    <row r="146" spans="2:6" ht="15" customHeight="1" x14ac:dyDescent="0.3">
      <c r="B146" s="161"/>
      <c r="C146" s="113"/>
      <c r="D146" s="113"/>
      <c r="E146" s="113"/>
      <c r="F146" s="162"/>
    </row>
    <row r="147" spans="2:6" ht="15" customHeight="1" x14ac:dyDescent="0.3">
      <c r="B147" s="161"/>
      <c r="C147" s="113"/>
      <c r="D147" s="113"/>
      <c r="E147" s="113"/>
      <c r="F147" s="162"/>
    </row>
    <row r="148" spans="2:6" ht="15" customHeight="1" x14ac:dyDescent="0.3">
      <c r="B148" s="161"/>
      <c r="C148" s="113"/>
      <c r="D148" s="113"/>
      <c r="E148" s="113"/>
      <c r="F148" s="162"/>
    </row>
    <row r="149" spans="2:6" ht="15" customHeight="1" x14ac:dyDescent="0.3">
      <c r="B149" s="161"/>
      <c r="C149" s="113"/>
      <c r="D149" s="113"/>
      <c r="E149" s="113"/>
      <c r="F149" s="162"/>
    </row>
    <row r="150" spans="2:6" ht="15" customHeight="1" x14ac:dyDescent="0.3">
      <c r="B150" s="163"/>
      <c r="C150" s="164"/>
      <c r="D150" s="164"/>
      <c r="E150" s="164"/>
      <c r="F150" s="165"/>
    </row>
    <row r="151" spans="2:6" ht="19.95" customHeight="1" x14ac:dyDescent="0.3">
      <c r="B151" s="151" t="s">
        <v>2785</v>
      </c>
      <c r="C151" s="113"/>
      <c r="D151" s="113"/>
      <c r="E151" s="113"/>
      <c r="F151" s="113"/>
    </row>
    <row r="152" spans="2:6" ht="6" customHeight="1" x14ac:dyDescent="0.3"/>
  </sheetData>
  <mergeCells count="58">
    <mergeCell ref="B2:E2"/>
    <mergeCell ref="C103:F103"/>
    <mergeCell ref="B9:C9"/>
    <mergeCell ref="B127:C127"/>
    <mergeCell ref="D114:E114"/>
    <mergeCell ref="C22:F22"/>
    <mergeCell ref="B83:F83"/>
    <mergeCell ref="B6:C6"/>
    <mergeCell ref="B30:C30"/>
    <mergeCell ref="B89:F89"/>
    <mergeCell ref="B114:C114"/>
    <mergeCell ref="B63:F63"/>
    <mergeCell ref="C95:F95"/>
    <mergeCell ref="B35:F35"/>
    <mergeCell ref="B151:F151"/>
    <mergeCell ref="B98:F98"/>
    <mergeCell ref="D127:F127"/>
    <mergeCell ref="B1:F1"/>
    <mergeCell ref="B14:F14"/>
    <mergeCell ref="D30:F30"/>
    <mergeCell ref="D116:E116"/>
    <mergeCell ref="B8:C8"/>
    <mergeCell ref="D130:F130"/>
    <mergeCell ref="B119:F119"/>
    <mergeCell ref="D29:F29"/>
    <mergeCell ref="B29:C29"/>
    <mergeCell ref="B116:C116"/>
    <mergeCell ref="D129:F129"/>
    <mergeCell ref="B128:C128"/>
    <mergeCell ref="B10:C10"/>
    <mergeCell ref="B135:F150"/>
    <mergeCell ref="B115:C115"/>
    <mergeCell ref="B121:F121"/>
    <mergeCell ref="C32:F32"/>
    <mergeCell ref="B27:C27"/>
    <mergeCell ref="D28:F28"/>
    <mergeCell ref="B130:C130"/>
    <mergeCell ref="B86:F86"/>
    <mergeCell ref="B28:C28"/>
    <mergeCell ref="B37:F37"/>
    <mergeCell ref="C100:F100"/>
    <mergeCell ref="B108:F108"/>
    <mergeCell ref="D128:F128"/>
    <mergeCell ref="D115:E115"/>
    <mergeCell ref="C122:F122"/>
    <mergeCell ref="C91:F91"/>
    <mergeCell ref="B129:C129"/>
    <mergeCell ref="C132:F132"/>
    <mergeCell ref="B4:F4"/>
    <mergeCell ref="B106:F106"/>
    <mergeCell ref="B65:F82"/>
    <mergeCell ref="B45:F62"/>
    <mergeCell ref="C110:F110"/>
    <mergeCell ref="C17:F17"/>
    <mergeCell ref="D27:F27"/>
    <mergeCell ref="B7:C7"/>
    <mergeCell ref="B16:F16"/>
    <mergeCell ref="B11:C11"/>
  </mergeCells>
  <phoneticPr fontId="27"/>
  <hyperlinks>
    <hyperlink ref="F2" location="'目次'!A1" display="▲ 目次へ戻る" xr:uid="{00000000-0004-0000-0D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39:B43"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F7F7F"/>
    <pageSetUpPr fitToPage="1"/>
  </sheetPr>
  <dimension ref="B1:F284"/>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2786</v>
      </c>
      <c r="C1" s="118"/>
      <c r="D1" s="118"/>
      <c r="E1" s="118"/>
      <c r="F1" s="118"/>
    </row>
    <row r="2" spans="2:6" ht="24" customHeight="1" x14ac:dyDescent="0.3">
      <c r="B2" s="141" t="s">
        <v>2787</v>
      </c>
      <c r="C2" s="113"/>
      <c r="D2" s="113"/>
      <c r="E2" s="113"/>
      <c r="F2" s="4" t="s">
        <v>38</v>
      </c>
    </row>
    <row r="3" spans="2:6" ht="12" customHeight="1" x14ac:dyDescent="0.3"/>
    <row r="4" spans="2:6" ht="27" customHeight="1" x14ac:dyDescent="0.3">
      <c r="B4" s="128" t="s">
        <v>2788</v>
      </c>
      <c r="C4" s="124"/>
      <c r="D4" s="124"/>
      <c r="E4" s="124"/>
      <c r="F4" s="124"/>
    </row>
    <row r="5" spans="2:6" ht="4.95" customHeight="1" x14ac:dyDescent="0.3"/>
    <row r="6" spans="2:6" ht="16.95" customHeight="1" x14ac:dyDescent="0.3">
      <c r="C6" s="170" t="s">
        <v>2789</v>
      </c>
      <c r="D6" s="113"/>
      <c r="E6" s="113"/>
      <c r="F6" s="113"/>
    </row>
    <row r="7" spans="2:6" ht="17.25" customHeight="1" x14ac:dyDescent="0.3">
      <c r="C7" s="48" t="s">
        <v>2790</v>
      </c>
      <c r="D7" s="49"/>
      <c r="E7" s="49"/>
      <c r="F7" s="50"/>
    </row>
    <row r="8" spans="2:6" ht="4.95" customHeight="1" x14ac:dyDescent="0.3"/>
    <row r="9" spans="2:6" ht="16.95" customHeight="1" x14ac:dyDescent="0.3">
      <c r="C9" s="170" t="s">
        <v>2791</v>
      </c>
      <c r="D9" s="113"/>
      <c r="E9" s="113"/>
      <c r="F9" s="113"/>
    </row>
    <row r="10" spans="2:6" ht="17.25" customHeight="1" x14ac:dyDescent="0.3">
      <c r="C10" s="39" t="s">
        <v>2792</v>
      </c>
      <c r="D10" s="40"/>
      <c r="E10" s="40"/>
      <c r="F10" s="41"/>
    </row>
    <row r="11" spans="2:6" ht="17.25" customHeight="1" x14ac:dyDescent="0.3">
      <c r="C11" s="42" t="s">
        <v>2793</v>
      </c>
      <c r="D11" s="43"/>
      <c r="E11" s="43"/>
      <c r="F11" s="44"/>
    </row>
    <row r="12" spans="2:6" ht="17.25" customHeight="1" x14ac:dyDescent="0.3">
      <c r="C12" s="42" t="s">
        <v>2794</v>
      </c>
      <c r="D12" s="43"/>
      <c r="E12" s="43"/>
      <c r="F12" s="44"/>
    </row>
    <row r="13" spans="2:6" ht="17.25" customHeight="1" x14ac:dyDescent="0.3">
      <c r="C13" s="42" t="s">
        <v>2795</v>
      </c>
      <c r="D13" s="43"/>
      <c r="E13" s="43"/>
      <c r="F13" s="44"/>
    </row>
    <row r="14" spans="2:6" ht="17.25" customHeight="1" x14ac:dyDescent="0.3">
      <c r="C14" s="42" t="s">
        <v>2796</v>
      </c>
      <c r="D14" s="43"/>
      <c r="E14" s="43"/>
      <c r="F14" s="44"/>
    </row>
    <row r="15" spans="2:6" ht="17.25" customHeight="1" x14ac:dyDescent="0.3">
      <c r="C15" s="42" t="s">
        <v>2797</v>
      </c>
      <c r="D15" s="43"/>
      <c r="E15" s="43"/>
      <c r="F15" s="44"/>
    </row>
    <row r="16" spans="2:6" ht="17.25" customHeight="1" x14ac:dyDescent="0.3">
      <c r="C16" s="45" t="s">
        <v>2798</v>
      </c>
      <c r="D16" s="46"/>
      <c r="E16" s="46"/>
      <c r="F16" s="47"/>
    </row>
    <row r="17" spans="2:6" ht="4.95" customHeight="1" x14ac:dyDescent="0.3"/>
    <row r="18" spans="2:6" ht="12" customHeight="1" x14ac:dyDescent="0.3"/>
    <row r="19" spans="2:6" ht="27" customHeight="1" x14ac:dyDescent="0.3">
      <c r="B19" s="128" t="s">
        <v>2799</v>
      </c>
      <c r="C19" s="124"/>
      <c r="D19" s="124"/>
      <c r="E19" s="124"/>
      <c r="F19" s="124"/>
    </row>
    <row r="20" spans="2:6" ht="4.95" customHeight="1" x14ac:dyDescent="0.3"/>
    <row r="21" spans="2:6" ht="22.05" customHeight="1" x14ac:dyDescent="0.3">
      <c r="B21" s="144" t="s">
        <v>2800</v>
      </c>
      <c r="C21" s="145"/>
      <c r="D21" s="7" t="s">
        <v>2801</v>
      </c>
      <c r="E21" s="7" t="s">
        <v>53</v>
      </c>
      <c r="F21" s="7" t="s">
        <v>2802</v>
      </c>
    </row>
    <row r="22" spans="2:6" ht="19.95" customHeight="1" x14ac:dyDescent="0.3">
      <c r="B22" s="180" t="s">
        <v>2803</v>
      </c>
      <c r="C22" s="137"/>
      <c r="D22" s="10" t="s">
        <v>2804</v>
      </c>
      <c r="E22" s="10" t="s">
        <v>2805</v>
      </c>
      <c r="F22" s="23" t="s">
        <v>2803</v>
      </c>
    </row>
    <row r="23" spans="2:6" ht="19.95" customHeight="1" x14ac:dyDescent="0.3">
      <c r="B23" s="180" t="s">
        <v>2806</v>
      </c>
      <c r="C23" s="137"/>
      <c r="D23" s="13" t="s">
        <v>2807</v>
      </c>
      <c r="E23" s="13" t="s">
        <v>2808</v>
      </c>
      <c r="F23" s="23" t="s">
        <v>2809</v>
      </c>
    </row>
    <row r="24" spans="2:6" ht="19.95" customHeight="1" x14ac:dyDescent="0.3">
      <c r="B24" s="180" t="s">
        <v>2810</v>
      </c>
      <c r="C24" s="137"/>
      <c r="D24" s="10" t="s">
        <v>2811</v>
      </c>
      <c r="E24" s="10" t="s">
        <v>2812</v>
      </c>
      <c r="F24" s="23" t="s">
        <v>2813</v>
      </c>
    </row>
    <row r="25" spans="2:6" ht="33.75" customHeight="1" x14ac:dyDescent="0.3">
      <c r="B25" s="180" t="s">
        <v>2814</v>
      </c>
      <c r="C25" s="137"/>
      <c r="D25" s="13" t="s">
        <v>2815</v>
      </c>
      <c r="E25" s="13" t="s">
        <v>2816</v>
      </c>
      <c r="F25" s="23" t="s">
        <v>2817</v>
      </c>
    </row>
    <row r="26" spans="2:6" ht="19.95" customHeight="1" x14ac:dyDescent="0.3">
      <c r="B26" s="180" t="s">
        <v>2818</v>
      </c>
      <c r="C26" s="137"/>
      <c r="D26" s="10" t="s">
        <v>2819</v>
      </c>
      <c r="E26" s="10" t="s">
        <v>2820</v>
      </c>
      <c r="F26" s="23" t="s">
        <v>2818</v>
      </c>
    </row>
    <row r="27" spans="2:6" ht="19.95" customHeight="1" x14ac:dyDescent="0.3">
      <c r="B27" s="180" t="s">
        <v>2821</v>
      </c>
      <c r="C27" s="137"/>
      <c r="D27" s="13" t="s">
        <v>2822</v>
      </c>
      <c r="E27" s="13" t="s">
        <v>2823</v>
      </c>
      <c r="F27" s="23" t="s">
        <v>2824</v>
      </c>
    </row>
    <row r="28" spans="2:6" ht="33.75" customHeight="1" x14ac:dyDescent="0.3">
      <c r="B28" s="180" t="s">
        <v>2825</v>
      </c>
      <c r="C28" s="137"/>
      <c r="D28" s="10" t="s">
        <v>2826</v>
      </c>
      <c r="E28" s="10" t="s">
        <v>2827</v>
      </c>
      <c r="F28" s="23" t="s">
        <v>2828</v>
      </c>
    </row>
    <row r="29" spans="2:6" ht="19.95" customHeight="1" x14ac:dyDescent="0.3">
      <c r="B29" s="180" t="s">
        <v>2829</v>
      </c>
      <c r="C29" s="137"/>
      <c r="D29" s="13" t="s">
        <v>2830</v>
      </c>
      <c r="E29" s="13" t="s">
        <v>2831</v>
      </c>
      <c r="F29" s="23" t="s">
        <v>2832</v>
      </c>
    </row>
    <row r="30" spans="2:6" ht="19.95" customHeight="1" x14ac:dyDescent="0.3">
      <c r="B30" s="180" t="s">
        <v>2833</v>
      </c>
      <c r="C30" s="137"/>
      <c r="D30" s="10" t="s">
        <v>2834</v>
      </c>
      <c r="E30" s="10" t="s">
        <v>2835</v>
      </c>
      <c r="F30" s="23" t="s">
        <v>2836</v>
      </c>
    </row>
    <row r="31" spans="2:6" ht="19.95" customHeight="1" x14ac:dyDescent="0.3">
      <c r="B31" s="180" t="s">
        <v>2837</v>
      </c>
      <c r="C31" s="137"/>
      <c r="D31" s="13" t="s">
        <v>2838</v>
      </c>
      <c r="E31" s="13" t="s">
        <v>2839</v>
      </c>
      <c r="F31" s="23" t="s">
        <v>2840</v>
      </c>
    </row>
    <row r="32" spans="2:6" ht="33.75" customHeight="1" x14ac:dyDescent="0.3">
      <c r="B32" s="180" t="s">
        <v>2841</v>
      </c>
      <c r="C32" s="137"/>
      <c r="D32" s="10" t="s">
        <v>2842</v>
      </c>
      <c r="E32" s="10" t="s">
        <v>2843</v>
      </c>
      <c r="F32" s="23" t="s">
        <v>2844</v>
      </c>
    </row>
    <row r="33" spans="2:6" ht="19.95" customHeight="1" x14ac:dyDescent="0.3">
      <c r="B33" s="180" t="s">
        <v>2845</v>
      </c>
      <c r="C33" s="137"/>
      <c r="D33" s="13" t="s">
        <v>2846</v>
      </c>
      <c r="E33" s="13" t="s">
        <v>2847</v>
      </c>
      <c r="F33" s="23" t="s">
        <v>2848</v>
      </c>
    </row>
    <row r="34" spans="2:6" ht="19.95" customHeight="1" x14ac:dyDescent="0.3">
      <c r="B34" s="180" t="s">
        <v>2849</v>
      </c>
      <c r="C34" s="137"/>
      <c r="D34" s="10" t="s">
        <v>2850</v>
      </c>
      <c r="E34" s="10" t="s">
        <v>2851</v>
      </c>
      <c r="F34" s="23" t="s">
        <v>2639</v>
      </c>
    </row>
    <row r="35" spans="2:6" ht="19.95" customHeight="1" x14ac:dyDescent="0.3">
      <c r="B35" s="180" t="s">
        <v>2852</v>
      </c>
      <c r="C35" s="137"/>
      <c r="D35" s="13"/>
      <c r="E35" s="13" t="s">
        <v>2853</v>
      </c>
      <c r="F35" s="23" t="s">
        <v>2854</v>
      </c>
    </row>
    <row r="36" spans="2:6" ht="6" customHeight="1" x14ac:dyDescent="0.3"/>
    <row r="37" spans="2:6" ht="22.05" customHeight="1" x14ac:dyDescent="0.3">
      <c r="B37" s="22" t="s">
        <v>62</v>
      </c>
      <c r="C37" s="152" t="s">
        <v>2855</v>
      </c>
      <c r="D37" s="153"/>
      <c r="E37" s="153"/>
      <c r="F37" s="105"/>
    </row>
    <row r="38" spans="2:6" ht="4.95" customHeight="1" x14ac:dyDescent="0.3"/>
    <row r="39" spans="2:6" ht="12" customHeight="1" x14ac:dyDescent="0.3"/>
    <row r="40" spans="2:6" ht="27" customHeight="1" x14ac:dyDescent="0.3">
      <c r="B40" s="128" t="s">
        <v>2856</v>
      </c>
      <c r="C40" s="124"/>
      <c r="D40" s="124"/>
      <c r="E40" s="124"/>
      <c r="F40" s="124"/>
    </row>
    <row r="41" spans="2:6" ht="4.95" customHeight="1" x14ac:dyDescent="0.3"/>
    <row r="42" spans="2:6" ht="7.05" customHeight="1" x14ac:dyDescent="0.3"/>
    <row r="43" spans="2:6" ht="22.95" customHeight="1" x14ac:dyDescent="0.3">
      <c r="B43" s="156" t="s">
        <v>2857</v>
      </c>
      <c r="C43" s="157"/>
      <c r="D43" s="157"/>
      <c r="E43" s="157"/>
      <c r="F43" s="157"/>
    </row>
    <row r="44" spans="2:6" ht="4.05" customHeight="1" x14ac:dyDescent="0.3"/>
    <row r="45" spans="2:6" ht="19.350000000000001" customHeight="1" x14ac:dyDescent="0.3">
      <c r="B45" s="5" t="s">
        <v>40</v>
      </c>
      <c r="C45" s="129" t="s">
        <v>2858</v>
      </c>
      <c r="D45" s="113"/>
      <c r="E45" s="113"/>
      <c r="F45" s="113"/>
    </row>
    <row r="46" spans="2:6" ht="19.350000000000001" customHeight="1" x14ac:dyDescent="0.3">
      <c r="B46" s="5" t="s">
        <v>40</v>
      </c>
      <c r="C46" s="129" t="s">
        <v>2859</v>
      </c>
      <c r="D46" s="113"/>
      <c r="E46" s="113"/>
      <c r="F46" s="113"/>
    </row>
    <row r="47" spans="2:6" ht="19.350000000000001" customHeight="1" x14ac:dyDescent="0.3">
      <c r="B47" s="5" t="s">
        <v>40</v>
      </c>
      <c r="C47" s="129" t="s">
        <v>2860</v>
      </c>
      <c r="D47" s="113"/>
      <c r="E47" s="113"/>
      <c r="F47" s="113"/>
    </row>
    <row r="48" spans="2:6" ht="19.350000000000001" customHeight="1" x14ac:dyDescent="0.3">
      <c r="B48" s="5" t="s">
        <v>40</v>
      </c>
      <c r="C48" s="129" t="s">
        <v>2861</v>
      </c>
      <c r="D48" s="113"/>
      <c r="E48" s="113"/>
      <c r="F48" s="113"/>
    </row>
    <row r="49" spans="2:6" ht="19.350000000000001" customHeight="1" x14ac:dyDescent="0.3">
      <c r="B49" s="5" t="s">
        <v>40</v>
      </c>
      <c r="C49" s="129" t="s">
        <v>2862</v>
      </c>
      <c r="D49" s="113"/>
      <c r="E49" s="113"/>
      <c r="F49" s="113"/>
    </row>
    <row r="50" spans="2:6" ht="7.05" customHeight="1" x14ac:dyDescent="0.3"/>
    <row r="51" spans="2:6" ht="22.95" customHeight="1" x14ac:dyDescent="0.3">
      <c r="B51" s="156" t="s">
        <v>2863</v>
      </c>
      <c r="C51" s="157"/>
      <c r="D51" s="157"/>
      <c r="E51" s="157"/>
      <c r="F51" s="157"/>
    </row>
    <row r="52" spans="2:6" ht="4.05" customHeight="1" x14ac:dyDescent="0.3"/>
    <row r="53" spans="2:6" ht="22.05" customHeight="1" x14ac:dyDescent="0.3">
      <c r="B53" s="144" t="s">
        <v>2800</v>
      </c>
      <c r="C53" s="145"/>
      <c r="D53" s="144" t="s">
        <v>2864</v>
      </c>
      <c r="E53" s="145"/>
      <c r="F53" s="7" t="s">
        <v>1717</v>
      </c>
    </row>
    <row r="54" spans="2:6" ht="33.75" customHeight="1" x14ac:dyDescent="0.3">
      <c r="B54" s="149" t="s">
        <v>2865</v>
      </c>
      <c r="C54" s="137"/>
      <c r="D54" s="130" t="s">
        <v>2866</v>
      </c>
      <c r="E54" s="111"/>
      <c r="F54" s="10" t="s">
        <v>2867</v>
      </c>
    </row>
    <row r="55" spans="2:6" ht="33.75" customHeight="1" x14ac:dyDescent="0.3">
      <c r="B55" s="149" t="s">
        <v>2868</v>
      </c>
      <c r="C55" s="137"/>
      <c r="D55" s="132" t="s">
        <v>2869</v>
      </c>
      <c r="E55" s="133"/>
      <c r="F55" s="13" t="s">
        <v>2870</v>
      </c>
    </row>
    <row r="56" spans="2:6" ht="33.75" customHeight="1" x14ac:dyDescent="0.3">
      <c r="B56" s="149" t="s">
        <v>2871</v>
      </c>
      <c r="C56" s="137"/>
      <c r="D56" s="130" t="s">
        <v>2872</v>
      </c>
      <c r="E56" s="111"/>
      <c r="F56" s="10" t="s">
        <v>2873</v>
      </c>
    </row>
    <row r="57" spans="2:6" ht="6" customHeight="1" x14ac:dyDescent="0.3"/>
    <row r="58" spans="2:6" ht="19.350000000000001" customHeight="1" x14ac:dyDescent="0.3">
      <c r="B58" s="129" t="s">
        <v>2874</v>
      </c>
      <c r="C58" s="113"/>
      <c r="D58" s="113"/>
      <c r="E58" s="113"/>
      <c r="F58" s="113"/>
    </row>
    <row r="59" spans="2:6" ht="16.95" customHeight="1" x14ac:dyDescent="0.3">
      <c r="C59" s="170" t="s">
        <v>2875</v>
      </c>
      <c r="D59" s="113"/>
      <c r="E59" s="113"/>
      <c r="F59" s="113"/>
    </row>
    <row r="60" spans="2:6" ht="17.25" customHeight="1" x14ac:dyDescent="0.3">
      <c r="C60" s="39" t="s">
        <v>2876</v>
      </c>
      <c r="D60" s="40"/>
      <c r="E60" s="40"/>
      <c r="F60" s="41"/>
    </row>
    <row r="61" spans="2:6" ht="17.25" customHeight="1" x14ac:dyDescent="0.3">
      <c r="C61" s="42" t="s">
        <v>2877</v>
      </c>
      <c r="D61" s="43"/>
      <c r="E61" s="43"/>
      <c r="F61" s="44"/>
    </row>
    <row r="62" spans="2:6" ht="17.25" customHeight="1" x14ac:dyDescent="0.3">
      <c r="C62" s="42" t="s">
        <v>2878</v>
      </c>
      <c r="D62" s="43"/>
      <c r="E62" s="43"/>
      <c r="F62" s="44"/>
    </row>
    <row r="63" spans="2:6" ht="17.25" customHeight="1" x14ac:dyDescent="0.3">
      <c r="C63" s="42" t="s">
        <v>2879</v>
      </c>
      <c r="D63" s="43"/>
      <c r="E63" s="43"/>
      <c r="F63" s="44"/>
    </row>
    <row r="64" spans="2:6" ht="17.25" customHeight="1" x14ac:dyDescent="0.3">
      <c r="C64" s="42" t="s">
        <v>2880</v>
      </c>
      <c r="D64" s="43"/>
      <c r="E64" s="43"/>
      <c r="F64" s="44"/>
    </row>
    <row r="65" spans="2:6" ht="17.25" customHeight="1" x14ac:dyDescent="0.3">
      <c r="C65" s="45" t="s">
        <v>2881</v>
      </c>
      <c r="D65" s="46"/>
      <c r="E65" s="46"/>
      <c r="F65" s="47"/>
    </row>
    <row r="66" spans="2:6" ht="4.95" customHeight="1" x14ac:dyDescent="0.3"/>
    <row r="67" spans="2:6" ht="12" customHeight="1" x14ac:dyDescent="0.3"/>
    <row r="68" spans="2:6" ht="27" customHeight="1" x14ac:dyDescent="0.3">
      <c r="B68" s="128" t="s">
        <v>2882</v>
      </c>
      <c r="C68" s="124"/>
      <c r="D68" s="124"/>
      <c r="E68" s="124"/>
      <c r="F68" s="124"/>
    </row>
    <row r="69" spans="2:6" ht="4.95" customHeight="1" x14ac:dyDescent="0.3"/>
    <row r="70" spans="2:6" ht="19.350000000000001" customHeight="1" x14ac:dyDescent="0.3">
      <c r="B70" s="129" t="s">
        <v>2883</v>
      </c>
      <c r="C70" s="113"/>
      <c r="D70" s="113"/>
      <c r="E70" s="113"/>
      <c r="F70" s="113"/>
    </row>
    <row r="71" spans="2:6" ht="22.05" customHeight="1" x14ac:dyDescent="0.3">
      <c r="B71" s="7" t="s">
        <v>73</v>
      </c>
      <c r="C71" s="7" t="s">
        <v>159</v>
      </c>
      <c r="D71" s="7" t="s">
        <v>160</v>
      </c>
      <c r="E71" s="7" t="s">
        <v>161</v>
      </c>
      <c r="F71" s="7" t="s">
        <v>162</v>
      </c>
    </row>
    <row r="72" spans="2:6" ht="33.75" customHeight="1" x14ac:dyDescent="0.3">
      <c r="B72" s="8" t="s">
        <v>77</v>
      </c>
      <c r="C72" s="14" t="s">
        <v>2884</v>
      </c>
      <c r="D72" s="10" t="s">
        <v>2885</v>
      </c>
      <c r="E72" s="23" t="s">
        <v>2886</v>
      </c>
      <c r="F72" s="10"/>
    </row>
    <row r="73" spans="2:6" ht="19.95" customHeight="1" x14ac:dyDescent="0.3">
      <c r="B73" s="11" t="s">
        <v>81</v>
      </c>
      <c r="C73" s="15" t="s">
        <v>2887</v>
      </c>
      <c r="D73" s="13" t="s">
        <v>2888</v>
      </c>
      <c r="E73" s="13"/>
      <c r="F73" s="13"/>
    </row>
    <row r="74" spans="2:6" ht="19.95" customHeight="1" x14ac:dyDescent="0.3">
      <c r="B74" s="8" t="s">
        <v>85</v>
      </c>
      <c r="C74" s="14" t="s">
        <v>2889</v>
      </c>
      <c r="D74" s="10" t="s">
        <v>2890</v>
      </c>
      <c r="E74" s="23" t="s">
        <v>2645</v>
      </c>
      <c r="F74" s="10" t="s">
        <v>2891</v>
      </c>
    </row>
    <row r="75" spans="2:6" ht="19.95" customHeight="1" x14ac:dyDescent="0.3">
      <c r="B75" s="11" t="s">
        <v>88</v>
      </c>
      <c r="C75" s="15" t="s">
        <v>2892</v>
      </c>
      <c r="D75" s="13" t="s">
        <v>2893</v>
      </c>
      <c r="E75" s="23" t="s">
        <v>2894</v>
      </c>
      <c r="F75" s="13"/>
    </row>
    <row r="76" spans="2:6" ht="19.95" customHeight="1" x14ac:dyDescent="0.3">
      <c r="B76" s="8" t="s">
        <v>91</v>
      </c>
      <c r="C76" s="14" t="s">
        <v>2895</v>
      </c>
      <c r="D76" s="10" t="s">
        <v>2896</v>
      </c>
      <c r="E76" s="23" t="s">
        <v>2897</v>
      </c>
      <c r="F76" s="10"/>
    </row>
    <row r="77" spans="2:6" ht="6" customHeight="1" x14ac:dyDescent="0.3"/>
    <row r="78" spans="2:6" ht="16.95" customHeight="1" x14ac:dyDescent="0.3">
      <c r="C78" s="170" t="s">
        <v>2898</v>
      </c>
      <c r="D78" s="113"/>
      <c r="E78" s="113"/>
      <c r="F78" s="113"/>
    </row>
    <row r="79" spans="2:6" ht="17.25" customHeight="1" x14ac:dyDescent="0.3">
      <c r="C79" s="39" t="s">
        <v>2899</v>
      </c>
      <c r="D79" s="40"/>
      <c r="E79" s="40"/>
      <c r="F79" s="41"/>
    </row>
    <row r="80" spans="2:6" ht="17.25" customHeight="1" x14ac:dyDescent="0.3">
      <c r="C80" s="42" t="s">
        <v>2900</v>
      </c>
      <c r="D80" s="43"/>
      <c r="E80" s="43"/>
      <c r="F80" s="44"/>
    </row>
    <row r="81" spans="3:6" ht="17.25" customHeight="1" x14ac:dyDescent="0.3">
      <c r="C81" s="42" t="s">
        <v>2901</v>
      </c>
      <c r="D81" s="43"/>
      <c r="E81" s="43"/>
      <c r="F81" s="44"/>
    </row>
    <row r="82" spans="3:6" ht="17.25" customHeight="1" x14ac:dyDescent="0.3">
      <c r="C82" s="42" t="s">
        <v>2902</v>
      </c>
      <c r="D82" s="43"/>
      <c r="E82" s="43"/>
      <c r="F82" s="44"/>
    </row>
    <row r="83" spans="3:6" ht="17.25" customHeight="1" x14ac:dyDescent="0.3">
      <c r="C83" s="42" t="s">
        <v>2903</v>
      </c>
      <c r="D83" s="43"/>
      <c r="E83" s="43"/>
      <c r="F83" s="44"/>
    </row>
    <row r="84" spans="3:6" ht="17.25" customHeight="1" x14ac:dyDescent="0.3">
      <c r="C84" s="42" t="s">
        <v>2900</v>
      </c>
      <c r="D84" s="43"/>
      <c r="E84" s="43"/>
      <c r="F84" s="44"/>
    </row>
    <row r="85" spans="3:6" ht="17.25" customHeight="1" x14ac:dyDescent="0.3">
      <c r="C85" s="42" t="s">
        <v>2904</v>
      </c>
      <c r="D85" s="43"/>
      <c r="E85" s="43"/>
      <c r="F85" s="44"/>
    </row>
    <row r="86" spans="3:6" ht="17.25" customHeight="1" x14ac:dyDescent="0.3">
      <c r="C86" s="42"/>
      <c r="D86" s="43"/>
      <c r="E86" s="43"/>
      <c r="F86" s="44"/>
    </row>
    <row r="87" spans="3:6" ht="17.25" customHeight="1" x14ac:dyDescent="0.3">
      <c r="C87" s="42" t="s">
        <v>2905</v>
      </c>
      <c r="D87" s="43"/>
      <c r="E87" s="43"/>
      <c r="F87" s="44"/>
    </row>
    <row r="88" spans="3:6" ht="17.25" customHeight="1" x14ac:dyDescent="0.3">
      <c r="C88" s="42" t="s">
        <v>2906</v>
      </c>
      <c r="D88" s="43"/>
      <c r="E88" s="43"/>
      <c r="F88" s="44"/>
    </row>
    <row r="89" spans="3:6" ht="17.25" customHeight="1" x14ac:dyDescent="0.3">
      <c r="C89" s="42" t="s">
        <v>2907</v>
      </c>
      <c r="D89" s="43"/>
      <c r="E89" s="43"/>
      <c r="F89" s="44"/>
    </row>
    <row r="90" spans="3:6" ht="17.25" customHeight="1" x14ac:dyDescent="0.3">
      <c r="C90" s="42" t="s">
        <v>2908</v>
      </c>
      <c r="D90" s="43"/>
      <c r="E90" s="43"/>
      <c r="F90" s="44"/>
    </row>
    <row r="91" spans="3:6" ht="17.25" customHeight="1" x14ac:dyDescent="0.3">
      <c r="C91" s="42" t="s">
        <v>2909</v>
      </c>
      <c r="D91" s="43"/>
      <c r="E91" s="43"/>
      <c r="F91" s="44"/>
    </row>
    <row r="92" spans="3:6" ht="17.25" customHeight="1" x14ac:dyDescent="0.3">
      <c r="C92" s="42"/>
      <c r="D92" s="43"/>
      <c r="E92" s="43"/>
      <c r="F92" s="44"/>
    </row>
    <row r="93" spans="3:6" ht="17.25" customHeight="1" x14ac:dyDescent="0.3">
      <c r="C93" s="42" t="s">
        <v>2910</v>
      </c>
      <c r="D93" s="43"/>
      <c r="E93" s="43"/>
      <c r="F93" s="44"/>
    </row>
    <row r="94" spans="3:6" ht="17.25" customHeight="1" x14ac:dyDescent="0.3">
      <c r="C94" s="42" t="s">
        <v>2911</v>
      </c>
      <c r="D94" s="43"/>
      <c r="E94" s="43"/>
      <c r="F94" s="44"/>
    </row>
    <row r="95" spans="3:6" ht="17.25" customHeight="1" x14ac:dyDescent="0.3">
      <c r="C95" s="42" t="s">
        <v>2912</v>
      </c>
      <c r="D95" s="43"/>
      <c r="E95" s="43"/>
      <c r="F95" s="44"/>
    </row>
    <row r="96" spans="3:6" ht="17.25" customHeight="1" x14ac:dyDescent="0.3">
      <c r="C96" s="42" t="s">
        <v>2913</v>
      </c>
      <c r="D96" s="43"/>
      <c r="E96" s="43"/>
      <c r="F96" s="44"/>
    </row>
    <row r="97" spans="3:6" ht="17.25" customHeight="1" x14ac:dyDescent="0.3">
      <c r="C97" s="42" t="s">
        <v>2914</v>
      </c>
      <c r="D97" s="43"/>
      <c r="E97" s="43"/>
      <c r="F97" s="44"/>
    </row>
    <row r="98" spans="3:6" ht="17.25" customHeight="1" x14ac:dyDescent="0.3">
      <c r="C98" s="42" t="s">
        <v>2915</v>
      </c>
      <c r="D98" s="43"/>
      <c r="E98" s="43"/>
      <c r="F98" s="44"/>
    </row>
    <row r="99" spans="3:6" ht="17.25" customHeight="1" x14ac:dyDescent="0.3">
      <c r="C99" s="42"/>
      <c r="D99" s="43"/>
      <c r="E99" s="43"/>
      <c r="F99" s="44"/>
    </row>
    <row r="100" spans="3:6" ht="17.25" customHeight="1" x14ac:dyDescent="0.3">
      <c r="C100" s="42" t="s">
        <v>2916</v>
      </c>
      <c r="D100" s="43"/>
      <c r="E100" s="43"/>
      <c r="F100" s="44"/>
    </row>
    <row r="101" spans="3:6" ht="17.25" customHeight="1" x14ac:dyDescent="0.3">
      <c r="C101" s="42" t="s">
        <v>2917</v>
      </c>
      <c r="D101" s="43"/>
      <c r="E101" s="43"/>
      <c r="F101" s="44"/>
    </row>
    <row r="102" spans="3:6" ht="17.25" customHeight="1" x14ac:dyDescent="0.3">
      <c r="C102" s="42" t="s">
        <v>2918</v>
      </c>
      <c r="D102" s="43"/>
      <c r="E102" s="43"/>
      <c r="F102" s="44"/>
    </row>
    <row r="103" spans="3:6" ht="17.25" customHeight="1" x14ac:dyDescent="0.3">
      <c r="C103" s="42" t="s">
        <v>2919</v>
      </c>
      <c r="D103" s="43"/>
      <c r="E103" s="43"/>
      <c r="F103" s="44"/>
    </row>
    <row r="104" spans="3:6" ht="17.25" customHeight="1" x14ac:dyDescent="0.3">
      <c r="C104" s="42"/>
      <c r="D104" s="43"/>
      <c r="E104" s="43"/>
      <c r="F104" s="44"/>
    </row>
    <row r="105" spans="3:6" ht="17.25" customHeight="1" x14ac:dyDescent="0.3">
      <c r="C105" s="42" t="s">
        <v>2920</v>
      </c>
      <c r="D105" s="43"/>
      <c r="E105" s="43"/>
      <c r="F105" s="44"/>
    </row>
    <row r="106" spans="3:6" ht="17.25" customHeight="1" x14ac:dyDescent="0.3">
      <c r="C106" s="42" t="s">
        <v>2921</v>
      </c>
      <c r="D106" s="43"/>
      <c r="E106" s="43"/>
      <c r="F106" s="44"/>
    </row>
    <row r="107" spans="3:6" ht="17.25" customHeight="1" x14ac:dyDescent="0.3">
      <c r="C107" s="42" t="s">
        <v>2922</v>
      </c>
      <c r="D107" s="43"/>
      <c r="E107" s="43"/>
      <c r="F107" s="44"/>
    </row>
    <row r="108" spans="3:6" ht="17.25" customHeight="1" x14ac:dyDescent="0.3">
      <c r="C108" s="42"/>
      <c r="D108" s="43"/>
      <c r="E108" s="43"/>
      <c r="F108" s="44"/>
    </row>
    <row r="109" spans="3:6" ht="17.25" customHeight="1" x14ac:dyDescent="0.3">
      <c r="C109" s="42" t="s">
        <v>2923</v>
      </c>
      <c r="D109" s="43"/>
      <c r="E109" s="43"/>
      <c r="F109" s="44"/>
    </row>
    <row r="110" spans="3:6" ht="17.25" customHeight="1" x14ac:dyDescent="0.3">
      <c r="C110" s="42" t="s">
        <v>2924</v>
      </c>
      <c r="D110" s="43"/>
      <c r="E110" s="43"/>
      <c r="F110" s="44"/>
    </row>
    <row r="111" spans="3:6" ht="17.25" customHeight="1" x14ac:dyDescent="0.3">
      <c r="C111" s="42" t="s">
        <v>2925</v>
      </c>
      <c r="D111" s="43"/>
      <c r="E111" s="43"/>
      <c r="F111" s="44"/>
    </row>
    <row r="112" spans="3:6" ht="17.25" customHeight="1" x14ac:dyDescent="0.3">
      <c r="C112" s="42" t="s">
        <v>2926</v>
      </c>
      <c r="D112" s="43"/>
      <c r="E112" s="43"/>
      <c r="F112" s="44"/>
    </row>
    <row r="113" spans="3:6" ht="17.25" customHeight="1" x14ac:dyDescent="0.3">
      <c r="C113" s="42"/>
      <c r="D113" s="43"/>
      <c r="E113" s="43"/>
      <c r="F113" s="44"/>
    </row>
    <row r="114" spans="3:6" ht="17.25" customHeight="1" x14ac:dyDescent="0.3">
      <c r="C114" s="42" t="s">
        <v>2927</v>
      </c>
      <c r="D114" s="43"/>
      <c r="E114" s="43"/>
      <c r="F114" s="44"/>
    </row>
    <row r="115" spans="3:6" ht="17.25" customHeight="1" x14ac:dyDescent="0.3">
      <c r="C115" s="42" t="s">
        <v>2928</v>
      </c>
      <c r="D115" s="43"/>
      <c r="E115" s="43"/>
      <c r="F115" s="44"/>
    </row>
    <row r="116" spans="3:6" ht="17.25" customHeight="1" x14ac:dyDescent="0.3">
      <c r="C116" s="42" t="s">
        <v>2929</v>
      </c>
      <c r="D116" s="43"/>
      <c r="E116" s="43"/>
      <c r="F116" s="44"/>
    </row>
    <row r="117" spans="3:6" ht="17.25" customHeight="1" x14ac:dyDescent="0.3">
      <c r="C117" s="42" t="s">
        <v>2930</v>
      </c>
      <c r="D117" s="43"/>
      <c r="E117" s="43"/>
      <c r="F117" s="44"/>
    </row>
    <row r="118" spans="3:6" ht="17.25" customHeight="1" x14ac:dyDescent="0.3">
      <c r="C118" s="42" t="s">
        <v>2931</v>
      </c>
      <c r="D118" s="43"/>
      <c r="E118" s="43"/>
      <c r="F118" s="44"/>
    </row>
    <row r="119" spans="3:6" ht="17.25" customHeight="1" x14ac:dyDescent="0.3">
      <c r="C119" s="42" t="s">
        <v>2932</v>
      </c>
      <c r="D119" s="43"/>
      <c r="E119" s="43"/>
      <c r="F119" s="44"/>
    </row>
    <row r="120" spans="3:6" ht="17.25" customHeight="1" x14ac:dyDescent="0.3">
      <c r="C120" s="42" t="s">
        <v>2933</v>
      </c>
      <c r="D120" s="43"/>
      <c r="E120" s="43"/>
      <c r="F120" s="44"/>
    </row>
    <row r="121" spans="3:6" ht="17.25" customHeight="1" x14ac:dyDescent="0.3">
      <c r="C121" s="42" t="s">
        <v>2934</v>
      </c>
      <c r="D121" s="43"/>
      <c r="E121" s="43"/>
      <c r="F121" s="44"/>
    </row>
    <row r="122" spans="3:6" ht="17.25" customHeight="1" x14ac:dyDescent="0.3">
      <c r="C122" s="42" t="s">
        <v>2935</v>
      </c>
      <c r="D122" s="43"/>
      <c r="E122" s="43"/>
      <c r="F122" s="44"/>
    </row>
    <row r="123" spans="3:6" ht="17.25" customHeight="1" x14ac:dyDescent="0.3">
      <c r="C123" s="42" t="s">
        <v>2936</v>
      </c>
      <c r="D123" s="43"/>
      <c r="E123" s="43"/>
      <c r="F123" s="44"/>
    </row>
    <row r="124" spans="3:6" ht="17.25" customHeight="1" x14ac:dyDescent="0.3">
      <c r="C124" s="42"/>
      <c r="D124" s="43"/>
      <c r="E124" s="43"/>
      <c r="F124" s="44"/>
    </row>
    <row r="125" spans="3:6" ht="17.25" customHeight="1" x14ac:dyDescent="0.3">
      <c r="C125" s="42" t="s">
        <v>2937</v>
      </c>
      <c r="D125" s="43"/>
      <c r="E125" s="43"/>
      <c r="F125" s="44"/>
    </row>
    <row r="126" spans="3:6" ht="17.25" customHeight="1" x14ac:dyDescent="0.3">
      <c r="C126" s="42" t="s">
        <v>2938</v>
      </c>
      <c r="D126" s="43"/>
      <c r="E126" s="43"/>
      <c r="F126" s="44"/>
    </row>
    <row r="127" spans="3:6" ht="17.25" customHeight="1" x14ac:dyDescent="0.3">
      <c r="C127" s="42" t="s">
        <v>2939</v>
      </c>
      <c r="D127" s="43"/>
      <c r="E127" s="43"/>
      <c r="F127" s="44"/>
    </row>
    <row r="128" spans="3:6" ht="17.25" customHeight="1" x14ac:dyDescent="0.3">
      <c r="C128" s="45" t="s">
        <v>2940</v>
      </c>
      <c r="D128" s="46"/>
      <c r="E128" s="46"/>
      <c r="F128" s="47"/>
    </row>
    <row r="129" spans="2:6" ht="4.95" customHeight="1" x14ac:dyDescent="0.3"/>
    <row r="130" spans="2:6" ht="22.05" customHeight="1" x14ac:dyDescent="0.3">
      <c r="B130" s="37" t="s">
        <v>66</v>
      </c>
      <c r="C130" s="152" t="s">
        <v>2941</v>
      </c>
      <c r="D130" s="153"/>
      <c r="E130" s="153"/>
      <c r="F130" s="105"/>
    </row>
    <row r="131" spans="2:6" ht="4.95" customHeight="1" x14ac:dyDescent="0.3"/>
    <row r="132" spans="2:6" ht="22.05" customHeight="1" x14ac:dyDescent="0.3">
      <c r="B132" s="144" t="s">
        <v>2553</v>
      </c>
      <c r="C132" s="145"/>
      <c r="D132" s="144" t="s">
        <v>53</v>
      </c>
      <c r="E132" s="171"/>
      <c r="F132" s="145"/>
    </row>
    <row r="133" spans="2:6" ht="19.95" customHeight="1" x14ac:dyDescent="0.3">
      <c r="B133" s="149" t="s">
        <v>2942</v>
      </c>
      <c r="C133" s="137"/>
      <c r="D133" s="130" t="s">
        <v>2943</v>
      </c>
      <c r="E133" s="110"/>
      <c r="F133" s="111"/>
    </row>
    <row r="134" spans="2:6" ht="19.95" customHeight="1" x14ac:dyDescent="0.3">
      <c r="B134" s="149" t="s">
        <v>2914</v>
      </c>
      <c r="C134" s="137"/>
      <c r="D134" s="132" t="s">
        <v>2944</v>
      </c>
      <c r="E134" s="169"/>
      <c r="F134" s="133"/>
    </row>
    <row r="135" spans="2:6" ht="19.95" customHeight="1" x14ac:dyDescent="0.3">
      <c r="B135" s="149" t="s">
        <v>2945</v>
      </c>
      <c r="C135" s="137"/>
      <c r="D135" s="130" t="s">
        <v>2946</v>
      </c>
      <c r="E135" s="110"/>
      <c r="F135" s="111"/>
    </row>
    <row r="136" spans="2:6" ht="19.95" customHeight="1" x14ac:dyDescent="0.3">
      <c r="B136" s="149" t="s">
        <v>2947</v>
      </c>
      <c r="C136" s="137"/>
      <c r="D136" s="132" t="s">
        <v>2948</v>
      </c>
      <c r="E136" s="169"/>
      <c r="F136" s="133"/>
    </row>
    <row r="137" spans="2:6" ht="19.95" customHeight="1" x14ac:dyDescent="0.3">
      <c r="B137" s="149" t="s">
        <v>2949</v>
      </c>
      <c r="C137" s="137"/>
      <c r="D137" s="130" t="s">
        <v>2950</v>
      </c>
      <c r="E137" s="110"/>
      <c r="F137" s="111"/>
    </row>
    <row r="138" spans="2:6" ht="19.95" customHeight="1" x14ac:dyDescent="0.3">
      <c r="B138" s="149" t="s">
        <v>2951</v>
      </c>
      <c r="C138" s="137"/>
      <c r="D138" s="132" t="s">
        <v>2952</v>
      </c>
      <c r="E138" s="169"/>
      <c r="F138" s="133"/>
    </row>
    <row r="139" spans="2:6" ht="19.95" customHeight="1" x14ac:dyDescent="0.3">
      <c r="B139" s="149" t="s">
        <v>2953</v>
      </c>
      <c r="C139" s="137"/>
      <c r="D139" s="130" t="s">
        <v>2954</v>
      </c>
      <c r="E139" s="110"/>
      <c r="F139" s="111"/>
    </row>
    <row r="140" spans="2:6" ht="19.95" customHeight="1" x14ac:dyDescent="0.3">
      <c r="B140" s="149" t="s">
        <v>2955</v>
      </c>
      <c r="C140" s="137"/>
      <c r="D140" s="132" t="s">
        <v>2956</v>
      </c>
      <c r="E140" s="169"/>
      <c r="F140" s="133"/>
    </row>
    <row r="141" spans="2:6" ht="6" customHeight="1" x14ac:dyDescent="0.3"/>
    <row r="142" spans="2:6" ht="22.05" customHeight="1" x14ac:dyDescent="0.3">
      <c r="B142" s="37" t="s">
        <v>66</v>
      </c>
      <c r="C142" s="152" t="s">
        <v>2957</v>
      </c>
      <c r="D142" s="153"/>
      <c r="E142" s="153"/>
      <c r="F142" s="105"/>
    </row>
    <row r="143" spans="2:6" ht="4.95" customHeight="1" x14ac:dyDescent="0.3"/>
    <row r="144" spans="2:6" ht="12" customHeight="1" x14ac:dyDescent="0.3"/>
    <row r="145" spans="2:6" ht="27" customHeight="1" x14ac:dyDescent="0.3">
      <c r="B145" s="128" t="s">
        <v>2958</v>
      </c>
      <c r="C145" s="124"/>
      <c r="D145" s="124"/>
      <c r="E145" s="124"/>
      <c r="F145" s="124"/>
    </row>
    <row r="146" spans="2:6" ht="4.95" customHeight="1" x14ac:dyDescent="0.3"/>
    <row r="147" spans="2:6" ht="7.05" customHeight="1" x14ac:dyDescent="0.3"/>
    <row r="148" spans="2:6" ht="22.95" customHeight="1" x14ac:dyDescent="0.3">
      <c r="B148" s="156" t="s">
        <v>2959</v>
      </c>
      <c r="C148" s="157"/>
      <c r="D148" s="157"/>
      <c r="E148" s="157"/>
      <c r="F148" s="157"/>
    </row>
    <row r="149" spans="2:6" ht="4.05" customHeight="1" x14ac:dyDescent="0.3"/>
    <row r="150" spans="2:6" ht="22.05" customHeight="1" x14ac:dyDescent="0.3">
      <c r="B150" s="7" t="s">
        <v>73</v>
      </c>
      <c r="C150" s="7" t="s">
        <v>159</v>
      </c>
      <c r="D150" s="7" t="s">
        <v>160</v>
      </c>
      <c r="E150" s="7" t="s">
        <v>161</v>
      </c>
      <c r="F150" s="7" t="s">
        <v>162</v>
      </c>
    </row>
    <row r="151" spans="2:6" ht="19.95" customHeight="1" x14ac:dyDescent="0.3">
      <c r="B151" s="8" t="s">
        <v>77</v>
      </c>
      <c r="C151" s="14" t="s">
        <v>2740</v>
      </c>
      <c r="D151" s="10" t="s">
        <v>2960</v>
      </c>
      <c r="E151" s="23" t="s">
        <v>2576</v>
      </c>
      <c r="F151" s="10"/>
    </row>
    <row r="152" spans="2:6" ht="19.95" customHeight="1" x14ac:dyDescent="0.3">
      <c r="B152" s="11" t="s">
        <v>81</v>
      </c>
      <c r="C152" s="15" t="s">
        <v>2961</v>
      </c>
      <c r="D152" s="13" t="s">
        <v>2962</v>
      </c>
      <c r="E152" s="23" t="s">
        <v>2963</v>
      </c>
      <c r="F152" s="13" t="s">
        <v>2964</v>
      </c>
    </row>
    <row r="153" spans="2:6" ht="19.95" customHeight="1" x14ac:dyDescent="0.3">
      <c r="B153" s="8" t="s">
        <v>85</v>
      </c>
      <c r="C153" s="14" t="s">
        <v>2965</v>
      </c>
      <c r="D153" s="10"/>
      <c r="E153" s="23" t="s">
        <v>2966</v>
      </c>
      <c r="F153" s="10"/>
    </row>
    <row r="154" spans="2:6" ht="33.75" customHeight="1" x14ac:dyDescent="0.3">
      <c r="B154" s="11" t="s">
        <v>88</v>
      </c>
      <c r="C154" s="15" t="s">
        <v>2967</v>
      </c>
      <c r="D154" s="13" t="s">
        <v>2968</v>
      </c>
      <c r="E154" s="23" t="s">
        <v>2969</v>
      </c>
      <c r="F154" s="13" t="s">
        <v>2970</v>
      </c>
    </row>
    <row r="155" spans="2:6" ht="19.95" customHeight="1" x14ac:dyDescent="0.3">
      <c r="B155" s="8" t="s">
        <v>91</v>
      </c>
      <c r="C155" s="14" t="s">
        <v>2971</v>
      </c>
      <c r="D155" s="10" t="s">
        <v>2972</v>
      </c>
      <c r="E155" s="10"/>
      <c r="F155" s="10"/>
    </row>
    <row r="156" spans="2:6" ht="33.75" customHeight="1" x14ac:dyDescent="0.3">
      <c r="B156" s="11" t="s">
        <v>94</v>
      </c>
      <c r="C156" s="15" t="s">
        <v>2973</v>
      </c>
      <c r="D156" s="13" t="s">
        <v>2974</v>
      </c>
      <c r="E156" s="13" t="s">
        <v>2975</v>
      </c>
      <c r="F156" s="13" t="s">
        <v>2976</v>
      </c>
    </row>
    <row r="157" spans="2:6" ht="19.95" customHeight="1" x14ac:dyDescent="0.3">
      <c r="B157" s="8" t="s">
        <v>97</v>
      </c>
      <c r="C157" s="14" t="s">
        <v>2977</v>
      </c>
      <c r="D157" s="10" t="s">
        <v>2978</v>
      </c>
      <c r="E157" s="23" t="s">
        <v>2979</v>
      </c>
      <c r="F157" s="10"/>
    </row>
    <row r="158" spans="2:6" ht="19.95" customHeight="1" x14ac:dyDescent="0.3">
      <c r="B158" s="11" t="s">
        <v>100</v>
      </c>
      <c r="C158" s="15" t="s">
        <v>2980</v>
      </c>
      <c r="D158" s="13" t="s">
        <v>2981</v>
      </c>
      <c r="E158" s="13"/>
      <c r="F158" s="13"/>
    </row>
    <row r="159" spans="2:6" ht="19.95" customHeight="1" x14ac:dyDescent="0.3">
      <c r="B159" s="8" t="s">
        <v>103</v>
      </c>
      <c r="C159" s="14" t="s">
        <v>2982</v>
      </c>
      <c r="D159" s="10" t="s">
        <v>2983</v>
      </c>
      <c r="E159" s="23" t="s">
        <v>2984</v>
      </c>
      <c r="F159" s="10"/>
    </row>
    <row r="160" spans="2:6" ht="6" customHeight="1" x14ac:dyDescent="0.3"/>
    <row r="161" spans="2:6" ht="15" customHeight="1" x14ac:dyDescent="0.3">
      <c r="B161" s="158" t="s">
        <v>2985</v>
      </c>
      <c r="C161" s="159"/>
      <c r="D161" s="159"/>
      <c r="E161" s="159"/>
      <c r="F161" s="160"/>
    </row>
    <row r="162" spans="2:6" ht="15" customHeight="1" x14ac:dyDescent="0.3">
      <c r="B162" s="161"/>
      <c r="C162" s="113"/>
      <c r="D162" s="113"/>
      <c r="E162" s="113"/>
      <c r="F162" s="162"/>
    </row>
    <row r="163" spans="2:6" ht="15" customHeight="1" x14ac:dyDescent="0.3">
      <c r="B163" s="161"/>
      <c r="C163" s="113"/>
      <c r="D163" s="113"/>
      <c r="E163" s="113"/>
      <c r="F163" s="162"/>
    </row>
    <row r="164" spans="2:6" ht="15" customHeight="1" x14ac:dyDescent="0.3">
      <c r="B164" s="161"/>
      <c r="C164" s="113"/>
      <c r="D164" s="113"/>
      <c r="E164" s="113"/>
      <c r="F164" s="162"/>
    </row>
    <row r="165" spans="2:6" ht="15" customHeight="1" x14ac:dyDescent="0.3">
      <c r="B165" s="161"/>
      <c r="C165" s="113"/>
      <c r="D165" s="113"/>
      <c r="E165" s="113"/>
      <c r="F165" s="162"/>
    </row>
    <row r="166" spans="2:6" ht="15" customHeight="1" x14ac:dyDescent="0.3">
      <c r="B166" s="161"/>
      <c r="C166" s="113"/>
      <c r="D166" s="113"/>
      <c r="E166" s="113"/>
      <c r="F166" s="162"/>
    </row>
    <row r="167" spans="2:6" ht="15" customHeight="1" x14ac:dyDescent="0.3">
      <c r="B167" s="161"/>
      <c r="C167" s="113"/>
      <c r="D167" s="113"/>
      <c r="E167" s="113"/>
      <c r="F167" s="162"/>
    </row>
    <row r="168" spans="2:6" ht="15" customHeight="1" x14ac:dyDescent="0.3">
      <c r="B168" s="161"/>
      <c r="C168" s="113"/>
      <c r="D168" s="113"/>
      <c r="E168" s="113"/>
      <c r="F168" s="162"/>
    </row>
    <row r="169" spans="2:6" ht="15" customHeight="1" x14ac:dyDescent="0.3">
      <c r="B169" s="161"/>
      <c r="C169" s="113"/>
      <c r="D169" s="113"/>
      <c r="E169" s="113"/>
      <c r="F169" s="162"/>
    </row>
    <row r="170" spans="2:6" ht="15" customHeight="1" x14ac:dyDescent="0.3">
      <c r="B170" s="161"/>
      <c r="C170" s="113"/>
      <c r="D170" s="113"/>
      <c r="E170" s="113"/>
      <c r="F170" s="162"/>
    </row>
    <row r="171" spans="2:6" ht="15" customHeight="1" x14ac:dyDescent="0.3">
      <c r="B171" s="161"/>
      <c r="C171" s="113"/>
      <c r="D171" s="113"/>
      <c r="E171" s="113"/>
      <c r="F171" s="162"/>
    </row>
    <row r="172" spans="2:6" ht="15" customHeight="1" x14ac:dyDescent="0.3">
      <c r="B172" s="161"/>
      <c r="C172" s="113"/>
      <c r="D172" s="113"/>
      <c r="E172" s="113"/>
      <c r="F172" s="162"/>
    </row>
    <row r="173" spans="2:6" ht="15" customHeight="1" x14ac:dyDescent="0.3">
      <c r="B173" s="161"/>
      <c r="C173" s="113"/>
      <c r="D173" s="113"/>
      <c r="E173" s="113"/>
      <c r="F173" s="162"/>
    </row>
    <row r="174" spans="2:6" ht="15" customHeight="1" x14ac:dyDescent="0.3">
      <c r="B174" s="161"/>
      <c r="C174" s="113"/>
      <c r="D174" s="113"/>
      <c r="E174" s="113"/>
      <c r="F174" s="162"/>
    </row>
    <row r="175" spans="2:6" ht="15" customHeight="1" x14ac:dyDescent="0.3">
      <c r="B175" s="161"/>
      <c r="C175" s="113"/>
      <c r="D175" s="113"/>
      <c r="E175" s="113"/>
      <c r="F175" s="162"/>
    </row>
    <row r="176" spans="2:6" ht="15" customHeight="1" x14ac:dyDescent="0.3">
      <c r="B176" s="161"/>
      <c r="C176" s="113"/>
      <c r="D176" s="113"/>
      <c r="E176" s="113"/>
      <c r="F176" s="162"/>
    </row>
    <row r="177" spans="2:6" ht="15" customHeight="1" x14ac:dyDescent="0.3">
      <c r="B177" s="161"/>
      <c r="C177" s="113"/>
      <c r="D177" s="113"/>
      <c r="E177" s="113"/>
      <c r="F177" s="162"/>
    </row>
    <row r="178" spans="2:6" ht="15" customHeight="1" x14ac:dyDescent="0.3">
      <c r="B178" s="163"/>
      <c r="C178" s="164"/>
      <c r="D178" s="164"/>
      <c r="E178" s="164"/>
      <c r="F178" s="165"/>
    </row>
    <row r="179" spans="2:6" ht="19.95" customHeight="1" x14ac:dyDescent="0.3">
      <c r="B179" s="151" t="s">
        <v>2986</v>
      </c>
      <c r="C179" s="113"/>
      <c r="D179" s="113"/>
      <c r="E179" s="113"/>
      <c r="F179" s="113"/>
    </row>
    <row r="180" spans="2:6" ht="6" customHeight="1" x14ac:dyDescent="0.3"/>
    <row r="181" spans="2:6" ht="7.05" customHeight="1" x14ac:dyDescent="0.3"/>
    <row r="182" spans="2:6" ht="22.95" customHeight="1" x14ac:dyDescent="0.3">
      <c r="B182" s="156" t="s">
        <v>2987</v>
      </c>
      <c r="C182" s="157"/>
      <c r="D182" s="157"/>
      <c r="E182" s="157"/>
      <c r="F182" s="157"/>
    </row>
    <row r="183" spans="2:6" ht="4.05" customHeight="1" x14ac:dyDescent="0.3"/>
    <row r="184" spans="2:6" ht="16.95" customHeight="1" x14ac:dyDescent="0.3">
      <c r="C184" s="170" t="s">
        <v>2988</v>
      </c>
      <c r="D184" s="113"/>
      <c r="E184" s="113"/>
      <c r="F184" s="113"/>
    </row>
    <row r="185" spans="2:6" ht="17.25" customHeight="1" x14ac:dyDescent="0.3">
      <c r="C185" s="39" t="s">
        <v>2966</v>
      </c>
      <c r="D185" s="40"/>
      <c r="E185" s="40"/>
      <c r="F185" s="41"/>
    </row>
    <row r="186" spans="2:6" ht="17.25" customHeight="1" x14ac:dyDescent="0.3">
      <c r="C186" s="42" t="s">
        <v>2989</v>
      </c>
      <c r="D186" s="43"/>
      <c r="E186" s="43"/>
      <c r="F186" s="44"/>
    </row>
    <row r="187" spans="2:6" ht="17.25" customHeight="1" x14ac:dyDescent="0.3">
      <c r="C187" s="45" t="s">
        <v>2990</v>
      </c>
      <c r="D187" s="46"/>
      <c r="E187" s="46"/>
      <c r="F187" s="47"/>
    </row>
    <row r="188" spans="2:6" ht="4.95" customHeight="1" x14ac:dyDescent="0.3"/>
    <row r="189" spans="2:6" ht="12" customHeight="1" x14ac:dyDescent="0.3"/>
    <row r="190" spans="2:6" ht="27" customHeight="1" x14ac:dyDescent="0.3">
      <c r="B190" s="128" t="s">
        <v>2991</v>
      </c>
      <c r="C190" s="124"/>
      <c r="D190" s="124"/>
      <c r="E190" s="124"/>
      <c r="F190" s="124"/>
    </row>
    <row r="191" spans="2:6" ht="4.95" customHeight="1" x14ac:dyDescent="0.3"/>
    <row r="192" spans="2:6" ht="16.95" customHeight="1" x14ac:dyDescent="0.3">
      <c r="C192" s="170" t="s">
        <v>2992</v>
      </c>
      <c r="D192" s="113"/>
      <c r="E192" s="113"/>
      <c r="F192" s="113"/>
    </row>
    <row r="193" spans="2:6" ht="17.25" customHeight="1" x14ac:dyDescent="0.3">
      <c r="C193" s="39" t="s">
        <v>2993</v>
      </c>
      <c r="D193" s="40"/>
      <c r="E193" s="40"/>
      <c r="F193" s="41"/>
    </row>
    <row r="194" spans="2:6" ht="17.25" customHeight="1" x14ac:dyDescent="0.3">
      <c r="C194" s="42" t="s">
        <v>2994</v>
      </c>
      <c r="D194" s="43"/>
      <c r="E194" s="43"/>
      <c r="F194" s="44"/>
    </row>
    <row r="195" spans="2:6" ht="17.25" customHeight="1" x14ac:dyDescent="0.3">
      <c r="C195" s="42" t="s">
        <v>2995</v>
      </c>
      <c r="D195" s="43"/>
      <c r="E195" s="43"/>
      <c r="F195" s="44"/>
    </row>
    <row r="196" spans="2:6" ht="17.25" customHeight="1" x14ac:dyDescent="0.3">
      <c r="C196" s="42" t="s">
        <v>2996</v>
      </c>
      <c r="D196" s="43"/>
      <c r="E196" s="43"/>
      <c r="F196" s="44"/>
    </row>
    <row r="197" spans="2:6" ht="17.25" customHeight="1" x14ac:dyDescent="0.3">
      <c r="C197" s="42" t="s">
        <v>2997</v>
      </c>
      <c r="D197" s="43"/>
      <c r="E197" s="43"/>
      <c r="F197" s="44"/>
    </row>
    <row r="198" spans="2:6" ht="17.25" customHeight="1" x14ac:dyDescent="0.3">
      <c r="C198" s="42" t="s">
        <v>2998</v>
      </c>
      <c r="D198" s="43"/>
      <c r="E198" s="43"/>
      <c r="F198" s="44"/>
    </row>
    <row r="199" spans="2:6" ht="17.25" customHeight="1" x14ac:dyDescent="0.3">
      <c r="C199" s="42" t="s">
        <v>2999</v>
      </c>
      <c r="D199" s="43"/>
      <c r="E199" s="43"/>
      <c r="F199" s="44"/>
    </row>
    <row r="200" spans="2:6" ht="17.25" customHeight="1" x14ac:dyDescent="0.3">
      <c r="C200" s="42" t="s">
        <v>3000</v>
      </c>
      <c r="D200" s="43"/>
      <c r="E200" s="43"/>
      <c r="F200" s="44"/>
    </row>
    <row r="201" spans="2:6" ht="17.25" customHeight="1" x14ac:dyDescent="0.3">
      <c r="C201" s="42" t="s">
        <v>3001</v>
      </c>
      <c r="D201" s="43"/>
      <c r="E201" s="43"/>
      <c r="F201" s="44"/>
    </row>
    <row r="202" spans="2:6" ht="17.25" customHeight="1" x14ac:dyDescent="0.3">
      <c r="C202" s="42" t="s">
        <v>3002</v>
      </c>
      <c r="D202" s="43"/>
      <c r="E202" s="43"/>
      <c r="F202" s="44"/>
    </row>
    <row r="203" spans="2:6" ht="17.25" customHeight="1" x14ac:dyDescent="0.3">
      <c r="C203" s="42" t="s">
        <v>3003</v>
      </c>
      <c r="D203" s="43"/>
      <c r="E203" s="43"/>
      <c r="F203" s="44"/>
    </row>
    <row r="204" spans="2:6" ht="17.25" customHeight="1" x14ac:dyDescent="0.3">
      <c r="C204" s="45" t="s">
        <v>3004</v>
      </c>
      <c r="D204" s="46"/>
      <c r="E204" s="46"/>
      <c r="F204" s="47"/>
    </row>
    <row r="205" spans="2:6" ht="4.95" customHeight="1" x14ac:dyDescent="0.3"/>
    <row r="206" spans="2:6" ht="22.05" customHeight="1" x14ac:dyDescent="0.3">
      <c r="B206" s="144" t="s">
        <v>52</v>
      </c>
      <c r="C206" s="145"/>
      <c r="D206" s="144" t="s">
        <v>53</v>
      </c>
      <c r="E206" s="171"/>
      <c r="F206" s="145"/>
    </row>
    <row r="207" spans="2:6" ht="19.95" customHeight="1" x14ac:dyDescent="0.3">
      <c r="B207" s="149" t="s">
        <v>3005</v>
      </c>
      <c r="C207" s="137"/>
      <c r="D207" s="130" t="s">
        <v>3006</v>
      </c>
      <c r="E207" s="110"/>
      <c r="F207" s="111"/>
    </row>
    <row r="208" spans="2:6" ht="19.95" customHeight="1" x14ac:dyDescent="0.3">
      <c r="B208" s="149" t="s">
        <v>3007</v>
      </c>
      <c r="C208" s="137"/>
      <c r="D208" s="132" t="s">
        <v>3008</v>
      </c>
      <c r="E208" s="169"/>
      <c r="F208" s="133"/>
    </row>
    <row r="209" spans="2:6" ht="19.95" customHeight="1" x14ac:dyDescent="0.3">
      <c r="B209" s="149" t="s">
        <v>3009</v>
      </c>
      <c r="C209" s="137"/>
      <c r="D209" s="130" t="s">
        <v>3010</v>
      </c>
      <c r="E209" s="110"/>
      <c r="F209" s="111"/>
    </row>
    <row r="210" spans="2:6" ht="19.95" customHeight="1" x14ac:dyDescent="0.3">
      <c r="B210" s="181" t="s">
        <v>3011</v>
      </c>
      <c r="C210" s="137"/>
      <c r="D210" s="132" t="s">
        <v>3012</v>
      </c>
      <c r="E210" s="169"/>
      <c r="F210" s="133"/>
    </row>
    <row r="211" spans="2:6" ht="19.95" customHeight="1" x14ac:dyDescent="0.3">
      <c r="B211" s="149" t="s">
        <v>3013</v>
      </c>
      <c r="C211" s="137"/>
      <c r="D211" s="130" t="s">
        <v>3014</v>
      </c>
      <c r="E211" s="110"/>
      <c r="F211" s="111"/>
    </row>
    <row r="212" spans="2:6" ht="19.95" customHeight="1" x14ac:dyDescent="0.3">
      <c r="B212" s="149" t="s">
        <v>3015</v>
      </c>
      <c r="C212" s="137"/>
      <c r="D212" s="132" t="s">
        <v>3016</v>
      </c>
      <c r="E212" s="169"/>
      <c r="F212" s="133"/>
    </row>
    <row r="213" spans="2:6" ht="19.95" customHeight="1" x14ac:dyDescent="0.3">
      <c r="B213" s="149" t="s">
        <v>3017</v>
      </c>
      <c r="C213" s="137"/>
      <c r="D213" s="130" t="s">
        <v>3018</v>
      </c>
      <c r="E213" s="110"/>
      <c r="F213" s="111"/>
    </row>
    <row r="214" spans="2:6" ht="19.95" customHeight="1" x14ac:dyDescent="0.3">
      <c r="B214" s="149" t="s">
        <v>3019</v>
      </c>
      <c r="C214" s="137"/>
      <c r="D214" s="132" t="s">
        <v>3020</v>
      </c>
      <c r="E214" s="169"/>
      <c r="F214" s="133"/>
    </row>
    <row r="215" spans="2:6" ht="6" customHeight="1" x14ac:dyDescent="0.3"/>
    <row r="216" spans="2:6" ht="33.75" customHeight="1" x14ac:dyDescent="0.3">
      <c r="B216" s="16" t="s">
        <v>64</v>
      </c>
      <c r="C216" s="152" t="s">
        <v>3021</v>
      </c>
      <c r="D216" s="153"/>
      <c r="E216" s="153"/>
      <c r="F216" s="105"/>
    </row>
    <row r="217" spans="2:6" ht="4.95" customHeight="1" x14ac:dyDescent="0.3"/>
    <row r="218" spans="2:6" ht="12" customHeight="1" x14ac:dyDescent="0.3"/>
    <row r="219" spans="2:6" ht="27" customHeight="1" x14ac:dyDescent="0.3">
      <c r="B219" s="128" t="s">
        <v>3022</v>
      </c>
      <c r="C219" s="124"/>
      <c r="D219" s="124"/>
      <c r="E219" s="124"/>
      <c r="F219" s="124"/>
    </row>
    <row r="220" spans="2:6" ht="4.95" customHeight="1" x14ac:dyDescent="0.3"/>
    <row r="221" spans="2:6" ht="19.350000000000001" customHeight="1" x14ac:dyDescent="0.3">
      <c r="B221" s="129" t="s">
        <v>3023</v>
      </c>
      <c r="C221" s="113"/>
      <c r="D221" s="113"/>
      <c r="E221" s="113"/>
      <c r="F221" s="113"/>
    </row>
    <row r="222" spans="2:6" ht="16.95" customHeight="1" x14ac:dyDescent="0.3">
      <c r="C222" s="170" t="s">
        <v>3024</v>
      </c>
      <c r="D222" s="113"/>
      <c r="E222" s="113"/>
      <c r="F222" s="113"/>
    </row>
    <row r="223" spans="2:6" ht="17.25" customHeight="1" x14ac:dyDescent="0.3">
      <c r="C223" s="39" t="s">
        <v>3025</v>
      </c>
      <c r="D223" s="40"/>
      <c r="E223" s="40"/>
      <c r="F223" s="41"/>
    </row>
    <row r="224" spans="2:6" ht="17.25" customHeight="1" x14ac:dyDescent="0.3">
      <c r="C224" s="45" t="s">
        <v>3026</v>
      </c>
      <c r="D224" s="46"/>
      <c r="E224" s="46"/>
      <c r="F224" s="47"/>
    </row>
    <row r="225" spans="2:6" ht="4.95" customHeight="1" x14ac:dyDescent="0.3"/>
    <row r="226" spans="2:6" ht="22.05" customHeight="1" x14ac:dyDescent="0.3">
      <c r="B226" s="144" t="s">
        <v>487</v>
      </c>
      <c r="C226" s="145"/>
      <c r="D226" s="144" t="s">
        <v>3027</v>
      </c>
      <c r="E226" s="145"/>
      <c r="F226" s="7" t="s">
        <v>639</v>
      </c>
    </row>
    <row r="227" spans="2:6" ht="19.95" customHeight="1" x14ac:dyDescent="0.3">
      <c r="B227" s="149" t="s">
        <v>3028</v>
      </c>
      <c r="C227" s="137"/>
      <c r="D227" s="130" t="s">
        <v>3029</v>
      </c>
      <c r="E227" s="111"/>
      <c r="F227" s="10" t="s">
        <v>3030</v>
      </c>
    </row>
    <row r="228" spans="2:6" ht="19.95" customHeight="1" x14ac:dyDescent="0.3">
      <c r="B228" s="149" t="s">
        <v>3031</v>
      </c>
      <c r="C228" s="137"/>
      <c r="D228" s="132" t="s">
        <v>3032</v>
      </c>
      <c r="E228" s="133"/>
      <c r="F228" s="13" t="s">
        <v>80</v>
      </c>
    </row>
    <row r="229" spans="2:6" ht="19.95" customHeight="1" x14ac:dyDescent="0.3">
      <c r="B229" s="149" t="s">
        <v>3033</v>
      </c>
      <c r="C229" s="137"/>
      <c r="D229" s="130" t="s">
        <v>3034</v>
      </c>
      <c r="E229" s="111"/>
      <c r="F229" s="10" t="s">
        <v>80</v>
      </c>
    </row>
    <row r="230" spans="2:6" ht="19.95" customHeight="1" x14ac:dyDescent="0.3">
      <c r="B230" s="149" t="s">
        <v>3035</v>
      </c>
      <c r="C230" s="137"/>
      <c r="D230" s="132" t="s">
        <v>3036</v>
      </c>
      <c r="E230" s="133"/>
      <c r="F230" s="13" t="s">
        <v>80</v>
      </c>
    </row>
    <row r="231" spans="2:6" ht="33.75" customHeight="1" x14ac:dyDescent="0.3">
      <c r="B231" s="149" t="s">
        <v>3037</v>
      </c>
      <c r="C231" s="137"/>
      <c r="D231" s="130" t="s">
        <v>3038</v>
      </c>
      <c r="E231" s="111"/>
      <c r="F231" s="10" t="s">
        <v>80</v>
      </c>
    </row>
    <row r="232" spans="2:6" ht="19.95" customHeight="1" x14ac:dyDescent="0.3">
      <c r="B232" s="149" t="s">
        <v>3039</v>
      </c>
      <c r="C232" s="137"/>
      <c r="D232" s="132" t="s">
        <v>3040</v>
      </c>
      <c r="E232" s="133"/>
      <c r="F232" s="13" t="s">
        <v>3041</v>
      </c>
    </row>
    <row r="233" spans="2:6" ht="19.95" customHeight="1" x14ac:dyDescent="0.3">
      <c r="B233" s="149" t="s">
        <v>3042</v>
      </c>
      <c r="C233" s="137"/>
      <c r="D233" s="130" t="s">
        <v>3043</v>
      </c>
      <c r="E233" s="111"/>
      <c r="F233" s="10" t="s">
        <v>3030</v>
      </c>
    </row>
    <row r="234" spans="2:6" ht="19.95" customHeight="1" x14ac:dyDescent="0.3">
      <c r="B234" s="149" t="s">
        <v>3044</v>
      </c>
      <c r="C234" s="137"/>
      <c r="D234" s="132" t="s">
        <v>3045</v>
      </c>
      <c r="E234" s="133"/>
      <c r="F234" s="13" t="s">
        <v>80</v>
      </c>
    </row>
    <row r="235" spans="2:6" ht="19.95" customHeight="1" x14ac:dyDescent="0.3">
      <c r="B235" s="149" t="s">
        <v>3046</v>
      </c>
      <c r="C235" s="137"/>
      <c r="D235" s="130" t="s">
        <v>3047</v>
      </c>
      <c r="E235" s="111"/>
      <c r="F235" s="10" t="s">
        <v>80</v>
      </c>
    </row>
    <row r="236" spans="2:6" ht="6" customHeight="1" x14ac:dyDescent="0.3"/>
    <row r="237" spans="2:6" ht="33.75" customHeight="1" x14ac:dyDescent="0.3">
      <c r="B237" s="22" t="s">
        <v>62</v>
      </c>
      <c r="C237" s="152" t="s">
        <v>3048</v>
      </c>
      <c r="D237" s="153"/>
      <c r="E237" s="153"/>
      <c r="F237" s="105"/>
    </row>
    <row r="238" spans="2:6" ht="4.95" customHeight="1" x14ac:dyDescent="0.3"/>
    <row r="239" spans="2:6" ht="22.05" customHeight="1" x14ac:dyDescent="0.3">
      <c r="B239" s="22" t="s">
        <v>62</v>
      </c>
      <c r="C239" s="152" t="s">
        <v>3049</v>
      </c>
      <c r="D239" s="153"/>
      <c r="E239" s="153"/>
      <c r="F239" s="105"/>
    </row>
    <row r="240" spans="2:6" ht="4.95" customHeight="1" x14ac:dyDescent="0.3"/>
    <row r="241" spans="2:6" ht="12" customHeight="1" x14ac:dyDescent="0.3"/>
    <row r="242" spans="2:6" ht="27" customHeight="1" x14ac:dyDescent="0.3">
      <c r="B242" s="128" t="s">
        <v>3050</v>
      </c>
      <c r="C242" s="124"/>
      <c r="D242" s="124"/>
      <c r="E242" s="124"/>
      <c r="F242" s="124"/>
    </row>
    <row r="243" spans="2:6" ht="4.95" customHeight="1" x14ac:dyDescent="0.3"/>
    <row r="244" spans="2:6" ht="22.05" customHeight="1" x14ac:dyDescent="0.3">
      <c r="B244" s="144" t="s">
        <v>1715</v>
      </c>
      <c r="C244" s="145"/>
      <c r="D244" s="7" t="s">
        <v>487</v>
      </c>
      <c r="E244" s="144" t="s">
        <v>1604</v>
      </c>
      <c r="F244" s="145"/>
    </row>
    <row r="245" spans="2:6" ht="19.95" customHeight="1" x14ac:dyDescent="0.3">
      <c r="B245" s="174" t="s">
        <v>3051</v>
      </c>
      <c r="C245" s="111"/>
      <c r="D245" s="23" t="s">
        <v>3052</v>
      </c>
      <c r="E245" s="130" t="s">
        <v>3053</v>
      </c>
      <c r="F245" s="111"/>
    </row>
    <row r="246" spans="2:6" ht="19.95" customHeight="1" x14ac:dyDescent="0.3">
      <c r="B246" s="173" t="s">
        <v>3054</v>
      </c>
      <c r="C246" s="133"/>
      <c r="D246" s="23" t="s">
        <v>3055</v>
      </c>
      <c r="E246" s="132" t="s">
        <v>3056</v>
      </c>
      <c r="F246" s="133"/>
    </row>
    <row r="247" spans="2:6" ht="19.95" customHeight="1" x14ac:dyDescent="0.3">
      <c r="B247" s="174" t="s">
        <v>3057</v>
      </c>
      <c r="C247" s="111"/>
      <c r="D247" s="23" t="s">
        <v>3058</v>
      </c>
      <c r="E247" s="130" t="s">
        <v>3059</v>
      </c>
      <c r="F247" s="111"/>
    </row>
    <row r="248" spans="2:6" ht="19.95" customHeight="1" x14ac:dyDescent="0.3">
      <c r="B248" s="173" t="s">
        <v>3060</v>
      </c>
      <c r="C248" s="133"/>
      <c r="D248" s="23" t="s">
        <v>3061</v>
      </c>
      <c r="E248" s="132" t="s">
        <v>3062</v>
      </c>
      <c r="F248" s="133"/>
    </row>
    <row r="249" spans="2:6" ht="6" customHeight="1" x14ac:dyDescent="0.3"/>
    <row r="250" spans="2:6" ht="22.05" customHeight="1" x14ac:dyDescent="0.3">
      <c r="B250" s="37" t="s">
        <v>66</v>
      </c>
      <c r="C250" s="152" t="s">
        <v>3063</v>
      </c>
      <c r="D250" s="153"/>
      <c r="E250" s="153"/>
      <c r="F250" s="105"/>
    </row>
    <row r="251" spans="2:6" ht="4.95" customHeight="1" x14ac:dyDescent="0.3"/>
    <row r="252" spans="2:6" ht="12" customHeight="1" x14ac:dyDescent="0.3"/>
    <row r="253" spans="2:6" ht="27" customHeight="1" x14ac:dyDescent="0.3">
      <c r="B253" s="128" t="s">
        <v>3064</v>
      </c>
      <c r="C253" s="124"/>
      <c r="D253" s="124"/>
      <c r="E253" s="124"/>
      <c r="F253" s="124"/>
    </row>
    <row r="254" spans="2:6" ht="4.95" customHeight="1" x14ac:dyDescent="0.3"/>
    <row r="255" spans="2:6" ht="22.05" customHeight="1" x14ac:dyDescent="0.3">
      <c r="B255" s="144" t="s">
        <v>1637</v>
      </c>
      <c r="C255" s="145"/>
      <c r="D255" s="144" t="s">
        <v>3065</v>
      </c>
      <c r="E255" s="145"/>
      <c r="F255" s="7" t="s">
        <v>488</v>
      </c>
    </row>
    <row r="256" spans="2:6" ht="19.95" customHeight="1" x14ac:dyDescent="0.3">
      <c r="B256" s="174" t="s">
        <v>3066</v>
      </c>
      <c r="C256" s="111"/>
      <c r="D256" s="149" t="s">
        <v>3067</v>
      </c>
      <c r="E256" s="137"/>
      <c r="F256" s="10" t="s">
        <v>3068</v>
      </c>
    </row>
    <row r="257" spans="2:6" ht="33.75" customHeight="1" x14ac:dyDescent="0.3">
      <c r="B257" s="173" t="s">
        <v>3069</v>
      </c>
      <c r="C257" s="133"/>
      <c r="D257" s="149" t="s">
        <v>3070</v>
      </c>
      <c r="E257" s="137"/>
      <c r="F257" s="13" t="s">
        <v>3071</v>
      </c>
    </row>
    <row r="258" spans="2:6" ht="33.75" customHeight="1" x14ac:dyDescent="0.3">
      <c r="B258" s="174" t="s">
        <v>3072</v>
      </c>
      <c r="C258" s="111"/>
      <c r="D258" s="149" t="s">
        <v>3073</v>
      </c>
      <c r="E258" s="137"/>
      <c r="F258" s="10" t="s">
        <v>3074</v>
      </c>
    </row>
    <row r="259" spans="2:6" ht="19.95" customHeight="1" x14ac:dyDescent="0.3">
      <c r="B259" s="173" t="s">
        <v>3075</v>
      </c>
      <c r="C259" s="133"/>
      <c r="D259" s="149" t="s">
        <v>3076</v>
      </c>
      <c r="E259" s="137"/>
      <c r="F259" s="13" t="s">
        <v>3077</v>
      </c>
    </row>
    <row r="260" spans="2:6" ht="6" customHeight="1" x14ac:dyDescent="0.3"/>
    <row r="261" spans="2:6" ht="12" customHeight="1" x14ac:dyDescent="0.3"/>
    <row r="262" spans="2:6" ht="27" customHeight="1" x14ac:dyDescent="0.3">
      <c r="B262" s="128" t="s">
        <v>3078</v>
      </c>
      <c r="C262" s="124"/>
      <c r="D262" s="124"/>
      <c r="E262" s="124"/>
      <c r="F262" s="124"/>
    </row>
    <row r="263" spans="2:6" ht="4.95" customHeight="1" x14ac:dyDescent="0.3"/>
    <row r="264" spans="2:6" ht="19.350000000000001" customHeight="1" x14ac:dyDescent="0.3">
      <c r="B264" s="129" t="s">
        <v>3079</v>
      </c>
      <c r="C264" s="113"/>
      <c r="D264" s="113"/>
      <c r="E264" s="113"/>
      <c r="F264" s="113"/>
    </row>
    <row r="265" spans="2:6" ht="16.95" customHeight="1" x14ac:dyDescent="0.3">
      <c r="C265" s="170" t="s">
        <v>3080</v>
      </c>
      <c r="D265" s="113"/>
      <c r="E265" s="113"/>
      <c r="F265" s="113"/>
    </row>
    <row r="266" spans="2:6" ht="17.25" customHeight="1" x14ac:dyDescent="0.3">
      <c r="C266" s="39" t="s">
        <v>3081</v>
      </c>
      <c r="D266" s="40"/>
      <c r="E266" s="40"/>
      <c r="F266" s="41"/>
    </row>
    <row r="267" spans="2:6" ht="17.25" customHeight="1" x14ac:dyDescent="0.3">
      <c r="C267" s="42" t="s">
        <v>3082</v>
      </c>
      <c r="D267" s="43"/>
      <c r="E267" s="43"/>
      <c r="F267" s="44"/>
    </row>
    <row r="268" spans="2:6" ht="17.25" customHeight="1" x14ac:dyDescent="0.3">
      <c r="C268" s="42" t="s">
        <v>3083</v>
      </c>
      <c r="D268" s="43"/>
      <c r="E268" s="43"/>
      <c r="F268" s="44"/>
    </row>
    <row r="269" spans="2:6" ht="17.25" customHeight="1" x14ac:dyDescent="0.3">
      <c r="C269" s="45" t="s">
        <v>3084</v>
      </c>
      <c r="D269" s="46"/>
      <c r="E269" s="46"/>
      <c r="F269" s="47"/>
    </row>
    <row r="270" spans="2:6" ht="4.95" customHeight="1" x14ac:dyDescent="0.3"/>
    <row r="271" spans="2:6" ht="22.05" customHeight="1" x14ac:dyDescent="0.3">
      <c r="B271" s="144" t="s">
        <v>487</v>
      </c>
      <c r="C271" s="145"/>
      <c r="D271" s="144" t="s">
        <v>53</v>
      </c>
      <c r="E271" s="171"/>
      <c r="F271" s="145"/>
    </row>
    <row r="272" spans="2:6" ht="19.95" customHeight="1" x14ac:dyDescent="0.3">
      <c r="B272" s="149" t="s">
        <v>3085</v>
      </c>
      <c r="C272" s="137"/>
      <c r="D272" s="130" t="s">
        <v>3086</v>
      </c>
      <c r="E272" s="110"/>
      <c r="F272" s="111"/>
    </row>
    <row r="273" spans="2:6" ht="19.95" customHeight="1" x14ac:dyDescent="0.3">
      <c r="B273" s="149" t="s">
        <v>3087</v>
      </c>
      <c r="C273" s="137"/>
      <c r="D273" s="132" t="s">
        <v>3088</v>
      </c>
      <c r="E273" s="169"/>
      <c r="F273" s="133"/>
    </row>
    <row r="274" spans="2:6" ht="19.95" customHeight="1" x14ac:dyDescent="0.3">
      <c r="B274" s="149" t="s">
        <v>3089</v>
      </c>
      <c r="C274" s="137"/>
      <c r="D274" s="130" t="s">
        <v>3090</v>
      </c>
      <c r="E274" s="110"/>
      <c r="F274" s="111"/>
    </row>
    <row r="275" spans="2:6" ht="6" customHeight="1" x14ac:dyDescent="0.3"/>
    <row r="276" spans="2:6" ht="12" customHeight="1" x14ac:dyDescent="0.3"/>
    <row r="277" spans="2:6" ht="27" customHeight="1" x14ac:dyDescent="0.3">
      <c r="B277" s="128" t="s">
        <v>3091</v>
      </c>
      <c r="C277" s="124"/>
      <c r="D277" s="124"/>
      <c r="E277" s="124"/>
      <c r="F277" s="124"/>
    </row>
    <row r="278" spans="2:6" ht="4.95" customHeight="1" x14ac:dyDescent="0.3"/>
    <row r="279" spans="2:6" ht="16.95" customHeight="1" x14ac:dyDescent="0.3">
      <c r="C279" s="170" t="s">
        <v>3092</v>
      </c>
      <c r="D279" s="113"/>
      <c r="E279" s="113"/>
      <c r="F279" s="113"/>
    </row>
    <row r="280" spans="2:6" ht="17.25" customHeight="1" x14ac:dyDescent="0.3">
      <c r="C280" s="39" t="s">
        <v>3093</v>
      </c>
      <c r="D280" s="40"/>
      <c r="E280" s="40"/>
      <c r="F280" s="41"/>
    </row>
    <row r="281" spans="2:6" ht="17.25" customHeight="1" x14ac:dyDescent="0.3">
      <c r="C281" s="42" t="s">
        <v>2969</v>
      </c>
      <c r="D281" s="43"/>
      <c r="E281" s="43"/>
      <c r="F281" s="44"/>
    </row>
    <row r="282" spans="2:6" ht="17.25" customHeight="1" x14ac:dyDescent="0.3">
      <c r="C282" s="45" t="s">
        <v>3094</v>
      </c>
      <c r="D282" s="46"/>
      <c r="E282" s="46"/>
      <c r="F282" s="47"/>
    </row>
    <row r="283" spans="2:6" ht="4.95" customHeight="1" x14ac:dyDescent="0.3"/>
    <row r="284" spans="2:6" ht="19.350000000000001" customHeight="1" x14ac:dyDescent="0.3">
      <c r="B284" s="129" t="s">
        <v>3095</v>
      </c>
      <c r="C284" s="113"/>
      <c r="D284" s="113"/>
      <c r="E284" s="113"/>
      <c r="F284" s="113"/>
    </row>
  </sheetData>
  <mergeCells count="152">
    <mergeCell ref="B284:F284"/>
    <mergeCell ref="B133:C133"/>
    <mergeCell ref="D140:F140"/>
    <mergeCell ref="C46:F46"/>
    <mergeCell ref="B256:C256"/>
    <mergeCell ref="D256:E256"/>
    <mergeCell ref="D54:E54"/>
    <mergeCell ref="B221:F221"/>
    <mergeCell ref="B135:C135"/>
    <mergeCell ref="D213:F213"/>
    <mergeCell ref="C48:F48"/>
    <mergeCell ref="B233:C233"/>
    <mergeCell ref="B227:C227"/>
    <mergeCell ref="D135:F135"/>
    <mergeCell ref="B273:C273"/>
    <mergeCell ref="D206:F206"/>
    <mergeCell ref="D233:E233"/>
    <mergeCell ref="B264:F264"/>
    <mergeCell ref="D134:F134"/>
    <mergeCell ref="B272:C272"/>
    <mergeCell ref="B244:C244"/>
    <mergeCell ref="B259:C259"/>
    <mergeCell ref="C49:F49"/>
    <mergeCell ref="B262:F262"/>
    <mergeCell ref="D274:F274"/>
    <mergeCell ref="B145:F145"/>
    <mergeCell ref="C279:F279"/>
    <mergeCell ref="B1:F1"/>
    <mergeCell ref="D234:E234"/>
    <mergeCell ref="C45:F45"/>
    <mergeCell ref="B234:C234"/>
    <mergeCell ref="B34:C34"/>
    <mergeCell ref="D259:E259"/>
    <mergeCell ref="B28:C28"/>
    <mergeCell ref="C265:F265"/>
    <mergeCell ref="B2:E2"/>
    <mergeCell ref="C47:F47"/>
    <mergeCell ref="D138:F138"/>
    <mergeCell ref="C142:F142"/>
    <mergeCell ref="B30:C30"/>
    <mergeCell ref="D55:E55"/>
    <mergeCell ref="B136:C136"/>
    <mergeCell ref="B229:C229"/>
    <mergeCell ref="B23:C23"/>
    <mergeCell ref="B274:C274"/>
    <mergeCell ref="E245:F245"/>
    <mergeCell ref="B258:C258"/>
    <mergeCell ref="B182:F182"/>
    <mergeCell ref="B4:F4"/>
    <mergeCell ref="B54:C54"/>
    <mergeCell ref="D136:F136"/>
    <mergeCell ref="B134:C134"/>
    <mergeCell ref="B208:C208"/>
    <mergeCell ref="D272:F272"/>
    <mergeCell ref="D210:F210"/>
    <mergeCell ref="B190:F190"/>
    <mergeCell ref="B56:C56"/>
    <mergeCell ref="C237:F237"/>
    <mergeCell ref="B214:C214"/>
    <mergeCell ref="B228:C228"/>
    <mergeCell ref="B210:C210"/>
    <mergeCell ref="B245:C245"/>
    <mergeCell ref="D227:E227"/>
    <mergeCell ref="B137:C137"/>
    <mergeCell ref="B226:C226"/>
    <mergeCell ref="B40:F40"/>
    <mergeCell ref="C9:F9"/>
    <mergeCell ref="B139:C139"/>
    <mergeCell ref="D231:E231"/>
    <mergeCell ref="B51:F51"/>
    <mergeCell ref="C59:F59"/>
    <mergeCell ref="B207:C207"/>
    <mergeCell ref="B19:F19"/>
    <mergeCell ref="B257:C257"/>
    <mergeCell ref="D230:E230"/>
    <mergeCell ref="D271:F271"/>
    <mergeCell ref="B68:F68"/>
    <mergeCell ref="D232:E232"/>
    <mergeCell ref="C192:F192"/>
    <mergeCell ref="B213:C213"/>
    <mergeCell ref="C222:F222"/>
    <mergeCell ref="C130:F130"/>
    <mergeCell ref="D139:F139"/>
    <mergeCell ref="D209:F209"/>
    <mergeCell ref="B27:C27"/>
    <mergeCell ref="B140:C140"/>
    <mergeCell ref="D258:E258"/>
    <mergeCell ref="D214:F214"/>
    <mergeCell ref="B70:F70"/>
    <mergeCell ref="B219:F219"/>
    <mergeCell ref="B43:F43"/>
    <mergeCell ref="D137:F137"/>
    <mergeCell ref="C239:F239"/>
    <mergeCell ref="D211:F211"/>
    <mergeCell ref="B231:C231"/>
    <mergeCell ref="B132:C132"/>
    <mergeCell ref="B53:C53"/>
    <mergeCell ref="C216:F216"/>
    <mergeCell ref="D53:E53"/>
    <mergeCell ref="B148:F148"/>
    <mergeCell ref="B161:F178"/>
    <mergeCell ref="B29:C29"/>
    <mergeCell ref="D132:F132"/>
    <mergeCell ref="B230:C230"/>
    <mergeCell ref="B21:C21"/>
    <mergeCell ref="B248:C248"/>
    <mergeCell ref="C78:F78"/>
    <mergeCell ref="D257:E257"/>
    <mergeCell ref="D273:F273"/>
    <mergeCell ref="B235:C235"/>
    <mergeCell ref="B253:F253"/>
    <mergeCell ref="C6:F6"/>
    <mergeCell ref="B179:F179"/>
    <mergeCell ref="D133:F133"/>
    <mergeCell ref="D207:F207"/>
    <mergeCell ref="C184:F184"/>
    <mergeCell ref="C250:F250"/>
    <mergeCell ref="D235:E235"/>
    <mergeCell ref="B246:C246"/>
    <mergeCell ref="D56:E56"/>
    <mergeCell ref="B211:C211"/>
    <mergeCell ref="B255:C255"/>
    <mergeCell ref="D255:E255"/>
    <mergeCell ref="B55:C55"/>
    <mergeCell ref="B24:C24"/>
    <mergeCell ref="B33:C33"/>
    <mergeCell ref="D208:F208"/>
    <mergeCell ref="D226:E226"/>
    <mergeCell ref="B277:F277"/>
    <mergeCell ref="B271:C271"/>
    <mergeCell ref="B232:C232"/>
    <mergeCell ref="B22:C22"/>
    <mergeCell ref="B31:C31"/>
    <mergeCell ref="B247:C247"/>
    <mergeCell ref="C37:F37"/>
    <mergeCell ref="B58:F58"/>
    <mergeCell ref="D229:E229"/>
    <mergeCell ref="E244:F244"/>
    <mergeCell ref="D212:F212"/>
    <mergeCell ref="E246:F246"/>
    <mergeCell ref="B32:C32"/>
    <mergeCell ref="B26:C26"/>
    <mergeCell ref="B212:C212"/>
    <mergeCell ref="B206:C206"/>
    <mergeCell ref="B35:C35"/>
    <mergeCell ref="D228:E228"/>
    <mergeCell ref="B138:C138"/>
    <mergeCell ref="B242:F242"/>
    <mergeCell ref="B209:C209"/>
    <mergeCell ref="E248:F248"/>
    <mergeCell ref="B25:C25"/>
    <mergeCell ref="E247:F247"/>
  </mergeCells>
  <phoneticPr fontId="27"/>
  <hyperlinks>
    <hyperlink ref="F2" location="'目次'!A1" display="▲ 目次へ戻る" xr:uid="{00000000-0004-0000-0E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72:B76 B151:B159"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pageSetUpPr fitToPage="1"/>
  </sheetPr>
  <dimension ref="B1:F78"/>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3096</v>
      </c>
      <c r="C1" s="118"/>
      <c r="D1" s="118"/>
      <c r="E1" s="118"/>
      <c r="F1" s="118"/>
    </row>
    <row r="2" spans="2:6" ht="24" customHeight="1" x14ac:dyDescent="0.3">
      <c r="B2" s="141" t="s">
        <v>3097</v>
      </c>
      <c r="C2" s="113"/>
      <c r="D2" s="113"/>
      <c r="E2" s="113"/>
      <c r="F2" s="4" t="s">
        <v>38</v>
      </c>
    </row>
    <row r="3" spans="2:6" ht="12" customHeight="1" x14ac:dyDescent="0.3"/>
    <row r="4" spans="2:6" ht="27" customHeight="1" x14ac:dyDescent="0.3">
      <c r="B4" s="128" t="s">
        <v>3098</v>
      </c>
      <c r="C4" s="124"/>
      <c r="D4" s="124"/>
      <c r="E4" s="124"/>
      <c r="F4" s="124"/>
    </row>
    <row r="5" spans="2:6" ht="4.95" customHeight="1" x14ac:dyDescent="0.3"/>
    <row r="6" spans="2:6" ht="22.05" customHeight="1" x14ac:dyDescent="0.3">
      <c r="B6" s="144" t="s">
        <v>2690</v>
      </c>
      <c r="C6" s="145"/>
      <c r="D6" s="144" t="s">
        <v>75</v>
      </c>
      <c r="E6" s="145"/>
      <c r="F6" s="7" t="s">
        <v>3099</v>
      </c>
    </row>
    <row r="7" spans="2:6" ht="19.95" customHeight="1" x14ac:dyDescent="0.3">
      <c r="B7" s="149" t="s">
        <v>3100</v>
      </c>
      <c r="C7" s="137"/>
      <c r="D7" s="130" t="s">
        <v>3101</v>
      </c>
      <c r="E7" s="111"/>
      <c r="F7" s="10" t="s">
        <v>3102</v>
      </c>
    </row>
    <row r="8" spans="2:6" ht="19.95" customHeight="1" x14ac:dyDescent="0.3">
      <c r="B8" s="149" t="s">
        <v>3103</v>
      </c>
      <c r="C8" s="137"/>
      <c r="D8" s="132" t="s">
        <v>3104</v>
      </c>
      <c r="E8" s="133"/>
      <c r="F8" s="13" t="s">
        <v>3105</v>
      </c>
    </row>
    <row r="9" spans="2:6" ht="19.95" customHeight="1" x14ac:dyDescent="0.3">
      <c r="B9" s="149" t="s">
        <v>3106</v>
      </c>
      <c r="C9" s="137"/>
      <c r="D9" s="130" t="s">
        <v>3107</v>
      </c>
      <c r="E9" s="111"/>
      <c r="F9" s="10" t="s">
        <v>3108</v>
      </c>
    </row>
    <row r="10" spans="2:6" ht="19.95" customHeight="1" x14ac:dyDescent="0.3">
      <c r="B10" s="149" t="s">
        <v>3109</v>
      </c>
      <c r="C10" s="137"/>
      <c r="D10" s="132" t="s">
        <v>3110</v>
      </c>
      <c r="E10" s="133"/>
      <c r="F10" s="13" t="s">
        <v>3111</v>
      </c>
    </row>
    <row r="11" spans="2:6" ht="19.95" customHeight="1" x14ac:dyDescent="0.3">
      <c r="B11" s="149" t="s">
        <v>3112</v>
      </c>
      <c r="C11" s="137"/>
      <c r="D11" s="130" t="s">
        <v>3113</v>
      </c>
      <c r="E11" s="111"/>
      <c r="F11" s="10" t="s">
        <v>3114</v>
      </c>
    </row>
    <row r="12" spans="2:6" ht="6" customHeight="1" x14ac:dyDescent="0.3"/>
    <row r="13" spans="2:6" ht="12" customHeight="1" x14ac:dyDescent="0.3"/>
    <row r="14" spans="2:6" ht="27" customHeight="1" x14ac:dyDescent="0.3">
      <c r="B14" s="128" t="s">
        <v>3115</v>
      </c>
      <c r="C14" s="124"/>
      <c r="D14" s="124"/>
      <c r="E14" s="124"/>
      <c r="F14" s="124"/>
    </row>
    <row r="15" spans="2:6" ht="4.95" customHeight="1" x14ac:dyDescent="0.3"/>
    <row r="16" spans="2:6" ht="16.95" customHeight="1" x14ac:dyDescent="0.3">
      <c r="C16" s="170" t="s">
        <v>3116</v>
      </c>
      <c r="D16" s="113"/>
      <c r="E16" s="113"/>
      <c r="F16" s="113"/>
    </row>
    <row r="17" spans="2:6" ht="17.25" customHeight="1" x14ac:dyDescent="0.3">
      <c r="C17" s="39" t="s">
        <v>3117</v>
      </c>
      <c r="D17" s="40"/>
      <c r="E17" s="40"/>
      <c r="F17" s="41"/>
    </row>
    <row r="18" spans="2:6" ht="17.25" customHeight="1" x14ac:dyDescent="0.3">
      <c r="C18" s="42" t="s">
        <v>3118</v>
      </c>
      <c r="D18" s="43"/>
      <c r="E18" s="43"/>
      <c r="F18" s="44"/>
    </row>
    <row r="19" spans="2:6" ht="17.25" customHeight="1" x14ac:dyDescent="0.3">
      <c r="C19" s="42" t="s">
        <v>3119</v>
      </c>
      <c r="D19" s="43"/>
      <c r="E19" s="43"/>
      <c r="F19" s="44"/>
    </row>
    <row r="20" spans="2:6" ht="17.25" customHeight="1" x14ac:dyDescent="0.3">
      <c r="C20" s="45" t="s">
        <v>3120</v>
      </c>
      <c r="D20" s="46"/>
      <c r="E20" s="46"/>
      <c r="F20" s="47"/>
    </row>
    <row r="21" spans="2:6" ht="4.95" customHeight="1" x14ac:dyDescent="0.3"/>
    <row r="22" spans="2:6" ht="22.05" customHeight="1" x14ac:dyDescent="0.3">
      <c r="B22" s="144" t="s">
        <v>487</v>
      </c>
      <c r="C22" s="145"/>
      <c r="D22" s="144" t="s">
        <v>53</v>
      </c>
      <c r="E22" s="171"/>
      <c r="F22" s="145"/>
    </row>
    <row r="23" spans="2:6" ht="19.95" customHeight="1" x14ac:dyDescent="0.3">
      <c r="B23" s="149" t="s">
        <v>3118</v>
      </c>
      <c r="C23" s="137"/>
      <c r="D23" s="130" t="s">
        <v>3121</v>
      </c>
      <c r="E23" s="110"/>
      <c r="F23" s="111"/>
    </row>
    <row r="24" spans="2:6" ht="19.95" customHeight="1" x14ac:dyDescent="0.3">
      <c r="B24" s="149" t="s">
        <v>3122</v>
      </c>
      <c r="C24" s="137"/>
      <c r="D24" s="132" t="s">
        <v>3123</v>
      </c>
      <c r="E24" s="169"/>
      <c r="F24" s="133"/>
    </row>
    <row r="25" spans="2:6" ht="19.95" customHeight="1" x14ac:dyDescent="0.3">
      <c r="B25" s="149" t="s">
        <v>3124</v>
      </c>
      <c r="C25" s="137"/>
      <c r="D25" s="130" t="s">
        <v>3125</v>
      </c>
      <c r="E25" s="110"/>
      <c r="F25" s="111"/>
    </row>
    <row r="26" spans="2:6" ht="6" customHeight="1" x14ac:dyDescent="0.3"/>
    <row r="27" spans="2:6" ht="12" customHeight="1" x14ac:dyDescent="0.3"/>
    <row r="28" spans="2:6" ht="27" customHeight="1" x14ac:dyDescent="0.3">
      <c r="B28" s="128" t="s">
        <v>3126</v>
      </c>
      <c r="C28" s="124"/>
      <c r="D28" s="124"/>
      <c r="E28" s="124"/>
      <c r="F28" s="124"/>
    </row>
    <row r="29" spans="2:6" ht="4.95" customHeight="1" x14ac:dyDescent="0.3"/>
    <row r="30" spans="2:6" ht="16.95" customHeight="1" x14ac:dyDescent="0.3">
      <c r="C30" s="170" t="s">
        <v>3127</v>
      </c>
      <c r="D30" s="113"/>
      <c r="E30" s="113"/>
      <c r="F30" s="113"/>
    </row>
    <row r="31" spans="2:6" ht="17.25" customHeight="1" x14ac:dyDescent="0.3">
      <c r="C31" s="48" t="s">
        <v>3128</v>
      </c>
      <c r="D31" s="49"/>
      <c r="E31" s="49"/>
      <c r="F31" s="50"/>
    </row>
    <row r="32" spans="2:6" ht="4.95" customHeight="1" x14ac:dyDescent="0.3"/>
    <row r="33" spans="2:6" ht="16.95" customHeight="1" x14ac:dyDescent="0.3">
      <c r="C33" s="170" t="s">
        <v>2718</v>
      </c>
      <c r="D33" s="113"/>
      <c r="E33" s="113"/>
      <c r="F33" s="113"/>
    </row>
    <row r="34" spans="2:6" ht="17.25" customHeight="1" x14ac:dyDescent="0.3">
      <c r="C34" s="39" t="s">
        <v>2719</v>
      </c>
      <c r="D34" s="40"/>
      <c r="E34" s="40"/>
      <c r="F34" s="41"/>
    </row>
    <row r="35" spans="2:6" ht="17.25" customHeight="1" x14ac:dyDescent="0.3">
      <c r="C35" s="42" t="s">
        <v>3129</v>
      </c>
      <c r="D35" s="43"/>
      <c r="E35" s="43"/>
      <c r="F35" s="44"/>
    </row>
    <row r="36" spans="2:6" ht="17.25" customHeight="1" x14ac:dyDescent="0.3">
      <c r="C36" s="45" t="s">
        <v>3130</v>
      </c>
      <c r="D36" s="46"/>
      <c r="E36" s="46"/>
      <c r="F36" s="47"/>
    </row>
    <row r="37" spans="2:6" ht="4.95" customHeight="1" x14ac:dyDescent="0.3"/>
    <row r="38" spans="2:6" ht="19.350000000000001" customHeight="1" x14ac:dyDescent="0.3">
      <c r="B38" s="129" t="s">
        <v>3131</v>
      </c>
      <c r="C38" s="113"/>
      <c r="D38" s="113"/>
      <c r="E38" s="113"/>
      <c r="F38" s="113"/>
    </row>
    <row r="39" spans="2:6" ht="12" customHeight="1" x14ac:dyDescent="0.3"/>
    <row r="40" spans="2:6" ht="27" customHeight="1" x14ac:dyDescent="0.3">
      <c r="B40" s="128" t="s">
        <v>3132</v>
      </c>
      <c r="C40" s="124"/>
      <c r="D40" s="124"/>
      <c r="E40" s="124"/>
      <c r="F40" s="124"/>
    </row>
    <row r="41" spans="2:6" ht="4.95" customHeight="1" x14ac:dyDescent="0.3"/>
    <row r="42" spans="2:6" ht="16.95" customHeight="1" x14ac:dyDescent="0.3">
      <c r="C42" s="170" t="s">
        <v>3133</v>
      </c>
      <c r="D42" s="113"/>
      <c r="E42" s="113"/>
      <c r="F42" s="113"/>
    </row>
    <row r="43" spans="2:6" ht="17.25" customHeight="1" x14ac:dyDescent="0.3">
      <c r="C43" s="39" t="s">
        <v>3134</v>
      </c>
      <c r="D43" s="40"/>
      <c r="E43" s="40"/>
      <c r="F43" s="41"/>
    </row>
    <row r="44" spans="2:6" ht="17.25" customHeight="1" x14ac:dyDescent="0.3">
      <c r="C44" s="42" t="s">
        <v>3135</v>
      </c>
      <c r="D44" s="43"/>
      <c r="E44" s="43"/>
      <c r="F44" s="44"/>
    </row>
    <row r="45" spans="2:6" ht="17.25" customHeight="1" x14ac:dyDescent="0.3">
      <c r="C45" s="42" t="s">
        <v>3136</v>
      </c>
      <c r="D45" s="43"/>
      <c r="E45" s="43"/>
      <c r="F45" s="44"/>
    </row>
    <row r="46" spans="2:6" ht="17.25" customHeight="1" x14ac:dyDescent="0.3">
      <c r="C46" s="45" t="s">
        <v>3137</v>
      </c>
      <c r="D46" s="46"/>
      <c r="E46" s="46"/>
      <c r="F46" s="47"/>
    </row>
    <row r="47" spans="2:6" ht="4.95" customHeight="1" x14ac:dyDescent="0.3"/>
    <row r="48" spans="2:6" ht="15" customHeight="1" x14ac:dyDescent="0.3">
      <c r="B48" s="158" t="s">
        <v>3138</v>
      </c>
      <c r="C48" s="159"/>
      <c r="D48" s="159"/>
      <c r="E48" s="159"/>
      <c r="F48" s="160"/>
    </row>
    <row r="49" spans="2:6" ht="15" customHeight="1" x14ac:dyDescent="0.3">
      <c r="B49" s="161"/>
      <c r="C49" s="113"/>
      <c r="D49" s="113"/>
      <c r="E49" s="113"/>
      <c r="F49" s="162"/>
    </row>
    <row r="50" spans="2:6" ht="15" customHeight="1" x14ac:dyDescent="0.3">
      <c r="B50" s="161"/>
      <c r="C50" s="113"/>
      <c r="D50" s="113"/>
      <c r="E50" s="113"/>
      <c r="F50" s="162"/>
    </row>
    <row r="51" spans="2:6" ht="15" customHeight="1" x14ac:dyDescent="0.3">
      <c r="B51" s="161"/>
      <c r="C51" s="113"/>
      <c r="D51" s="113"/>
      <c r="E51" s="113"/>
      <c r="F51" s="162"/>
    </row>
    <row r="52" spans="2:6" ht="15" customHeight="1" x14ac:dyDescent="0.3">
      <c r="B52" s="161"/>
      <c r="C52" s="113"/>
      <c r="D52" s="113"/>
      <c r="E52" s="113"/>
      <c r="F52" s="162"/>
    </row>
    <row r="53" spans="2:6" ht="15" customHeight="1" x14ac:dyDescent="0.3">
      <c r="B53" s="161"/>
      <c r="C53" s="113"/>
      <c r="D53" s="113"/>
      <c r="E53" s="113"/>
      <c r="F53" s="162"/>
    </row>
    <row r="54" spans="2:6" ht="15" customHeight="1" x14ac:dyDescent="0.3">
      <c r="B54" s="161"/>
      <c r="C54" s="113"/>
      <c r="D54" s="113"/>
      <c r="E54" s="113"/>
      <c r="F54" s="162"/>
    </row>
    <row r="55" spans="2:6" ht="15" customHeight="1" x14ac:dyDescent="0.3">
      <c r="B55" s="161"/>
      <c r="C55" s="113"/>
      <c r="D55" s="113"/>
      <c r="E55" s="113"/>
      <c r="F55" s="162"/>
    </row>
    <row r="56" spans="2:6" ht="15" customHeight="1" x14ac:dyDescent="0.3">
      <c r="B56" s="161"/>
      <c r="C56" s="113"/>
      <c r="D56" s="113"/>
      <c r="E56" s="113"/>
      <c r="F56" s="162"/>
    </row>
    <row r="57" spans="2:6" ht="15" customHeight="1" x14ac:dyDescent="0.3">
      <c r="B57" s="161"/>
      <c r="C57" s="113"/>
      <c r="D57" s="113"/>
      <c r="E57" s="113"/>
      <c r="F57" s="162"/>
    </row>
    <row r="58" spans="2:6" ht="15" customHeight="1" x14ac:dyDescent="0.3">
      <c r="B58" s="161"/>
      <c r="C58" s="113"/>
      <c r="D58" s="113"/>
      <c r="E58" s="113"/>
      <c r="F58" s="162"/>
    </row>
    <row r="59" spans="2:6" ht="15" customHeight="1" x14ac:dyDescent="0.3">
      <c r="B59" s="161"/>
      <c r="C59" s="113"/>
      <c r="D59" s="113"/>
      <c r="E59" s="113"/>
      <c r="F59" s="162"/>
    </row>
    <row r="60" spans="2:6" ht="15" customHeight="1" x14ac:dyDescent="0.3">
      <c r="B60" s="161"/>
      <c r="C60" s="113"/>
      <c r="D60" s="113"/>
      <c r="E60" s="113"/>
      <c r="F60" s="162"/>
    </row>
    <row r="61" spans="2:6" ht="15" customHeight="1" x14ac:dyDescent="0.3">
      <c r="B61" s="163"/>
      <c r="C61" s="164"/>
      <c r="D61" s="164"/>
      <c r="E61" s="164"/>
      <c r="F61" s="165"/>
    </row>
    <row r="62" spans="2:6" ht="19.95" customHeight="1" x14ac:dyDescent="0.3">
      <c r="B62" s="151" t="s">
        <v>3139</v>
      </c>
      <c r="C62" s="113"/>
      <c r="D62" s="113"/>
      <c r="E62" s="113"/>
      <c r="F62" s="113"/>
    </row>
    <row r="63" spans="2:6" ht="6" customHeight="1" x14ac:dyDescent="0.3"/>
    <row r="64" spans="2:6" ht="12" customHeight="1" x14ac:dyDescent="0.3"/>
    <row r="65" spans="2:6" ht="27" customHeight="1" x14ac:dyDescent="0.3">
      <c r="B65" s="128" t="s">
        <v>3140</v>
      </c>
      <c r="C65" s="124"/>
      <c r="D65" s="124"/>
      <c r="E65" s="124"/>
      <c r="F65" s="124"/>
    </row>
    <row r="66" spans="2:6" ht="4.95" customHeight="1" x14ac:dyDescent="0.3"/>
    <row r="67" spans="2:6" ht="19.350000000000001" customHeight="1" x14ac:dyDescent="0.3">
      <c r="B67" s="5" t="s">
        <v>40</v>
      </c>
      <c r="C67" s="129" t="s">
        <v>3141</v>
      </c>
      <c r="D67" s="113"/>
      <c r="E67" s="113"/>
      <c r="F67" s="113"/>
    </row>
    <row r="68" spans="2:6" ht="19.350000000000001" customHeight="1" x14ac:dyDescent="0.3">
      <c r="B68" s="5" t="s">
        <v>40</v>
      </c>
      <c r="C68" s="129" t="s">
        <v>3142</v>
      </c>
      <c r="D68" s="113"/>
      <c r="E68" s="113"/>
      <c r="F68" s="113"/>
    </row>
    <row r="69" spans="2:6" ht="19.350000000000001" customHeight="1" x14ac:dyDescent="0.3">
      <c r="B69" s="5" t="s">
        <v>40</v>
      </c>
      <c r="C69" s="129" t="s">
        <v>3143</v>
      </c>
      <c r="D69" s="113"/>
      <c r="E69" s="113"/>
      <c r="F69" s="113"/>
    </row>
    <row r="70" spans="2:6" ht="19.350000000000001" customHeight="1" x14ac:dyDescent="0.3">
      <c r="B70" s="5" t="s">
        <v>40</v>
      </c>
      <c r="C70" s="129" t="s">
        <v>3144</v>
      </c>
      <c r="D70" s="113"/>
      <c r="E70" s="113"/>
      <c r="F70" s="113"/>
    </row>
    <row r="71" spans="2:6" ht="12" customHeight="1" x14ac:dyDescent="0.3"/>
    <row r="72" spans="2:6" ht="27" customHeight="1" x14ac:dyDescent="0.3">
      <c r="B72" s="128" t="s">
        <v>3145</v>
      </c>
      <c r="C72" s="124"/>
      <c r="D72" s="124"/>
      <c r="E72" s="124"/>
      <c r="F72" s="124"/>
    </row>
    <row r="73" spans="2:6" ht="4.95" customHeight="1" x14ac:dyDescent="0.3"/>
    <row r="74" spans="2:6" ht="22.05" customHeight="1" x14ac:dyDescent="0.3">
      <c r="B74" s="144" t="s">
        <v>244</v>
      </c>
      <c r="C74" s="145"/>
      <c r="D74" s="144" t="s">
        <v>487</v>
      </c>
      <c r="E74" s="145"/>
      <c r="F74" s="7" t="s">
        <v>3146</v>
      </c>
    </row>
    <row r="75" spans="2:6" ht="19.95" customHeight="1" x14ac:dyDescent="0.3">
      <c r="B75" s="174" t="s">
        <v>3147</v>
      </c>
      <c r="C75" s="111"/>
      <c r="D75" s="149" t="s">
        <v>3148</v>
      </c>
      <c r="E75" s="137"/>
      <c r="F75" s="10" t="s">
        <v>3149</v>
      </c>
    </row>
    <row r="76" spans="2:6" ht="19.95" customHeight="1" x14ac:dyDescent="0.3">
      <c r="B76" s="173" t="s">
        <v>3150</v>
      </c>
      <c r="C76" s="133"/>
      <c r="D76" s="149" t="s">
        <v>3151</v>
      </c>
      <c r="E76" s="137"/>
      <c r="F76" s="13" t="s">
        <v>3152</v>
      </c>
    </row>
    <row r="77" spans="2:6" ht="19.95" customHeight="1" x14ac:dyDescent="0.3">
      <c r="B77" s="174" t="s">
        <v>3153</v>
      </c>
      <c r="C77" s="111"/>
      <c r="D77" s="149" t="s">
        <v>3046</v>
      </c>
      <c r="E77" s="137"/>
      <c r="F77" s="10" t="s">
        <v>3154</v>
      </c>
    </row>
    <row r="78" spans="2:6" ht="6" customHeight="1" x14ac:dyDescent="0.3"/>
  </sheetData>
  <mergeCells count="47">
    <mergeCell ref="B74:C74"/>
    <mergeCell ref="D74:E74"/>
    <mergeCell ref="B76:C76"/>
    <mergeCell ref="D22:F22"/>
    <mergeCell ref="B75:C75"/>
    <mergeCell ref="B1:F1"/>
    <mergeCell ref="B14:F14"/>
    <mergeCell ref="D25:F25"/>
    <mergeCell ref="B8:C8"/>
    <mergeCell ref="C42:F42"/>
    <mergeCell ref="D24:F24"/>
    <mergeCell ref="D7:E7"/>
    <mergeCell ref="B38:F38"/>
    <mergeCell ref="D23:F23"/>
    <mergeCell ref="B28:F28"/>
    <mergeCell ref="B10:C10"/>
    <mergeCell ref="C16:F16"/>
    <mergeCell ref="B2:E2"/>
    <mergeCell ref="B9:C9"/>
    <mergeCell ref="D9:E9"/>
    <mergeCell ref="B40:F40"/>
    <mergeCell ref="B72:F72"/>
    <mergeCell ref="B22:C22"/>
    <mergeCell ref="C67:F67"/>
    <mergeCell ref="B77:C77"/>
    <mergeCell ref="D6:E6"/>
    <mergeCell ref="D77:E77"/>
    <mergeCell ref="B11:C11"/>
    <mergeCell ref="C69:F69"/>
    <mergeCell ref="D11:E11"/>
    <mergeCell ref="D76:E76"/>
    <mergeCell ref="B23:C23"/>
    <mergeCell ref="C30:F30"/>
    <mergeCell ref="C68:F68"/>
    <mergeCell ref="C33:F33"/>
    <mergeCell ref="D75:E75"/>
    <mergeCell ref="B48:F61"/>
    <mergeCell ref="B4:F4"/>
    <mergeCell ref="C70:F70"/>
    <mergeCell ref="D10:E10"/>
    <mergeCell ref="B7:C7"/>
    <mergeCell ref="B25:C25"/>
    <mergeCell ref="B62:F62"/>
    <mergeCell ref="D8:E8"/>
    <mergeCell ref="B65:F65"/>
    <mergeCell ref="B6:C6"/>
    <mergeCell ref="B24:C24"/>
  </mergeCells>
  <phoneticPr fontId="27"/>
  <hyperlinks>
    <hyperlink ref="F2" location="'目次'!A1" display="▲ 目次へ戻る" xr:uid="{00000000-0004-0000-0F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6A6A6"/>
    <pageSetUpPr fitToPage="1"/>
  </sheetPr>
  <dimension ref="B1:F190"/>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3155</v>
      </c>
      <c r="C1" s="118"/>
      <c r="D1" s="118"/>
      <c r="E1" s="118"/>
      <c r="F1" s="118"/>
    </row>
    <row r="2" spans="2:6" ht="24" customHeight="1" x14ac:dyDescent="0.3">
      <c r="B2" s="141" t="s">
        <v>3156</v>
      </c>
      <c r="C2" s="113"/>
      <c r="D2" s="113"/>
      <c r="E2" s="113"/>
      <c r="F2" s="4" t="s">
        <v>38</v>
      </c>
    </row>
    <row r="3" spans="2:6" ht="12" customHeight="1" x14ac:dyDescent="0.3"/>
    <row r="4" spans="2:6" ht="27" customHeight="1" x14ac:dyDescent="0.3">
      <c r="B4" s="128" t="s">
        <v>3157</v>
      </c>
      <c r="C4" s="124"/>
      <c r="D4" s="124"/>
      <c r="E4" s="124"/>
      <c r="F4" s="124"/>
    </row>
    <row r="5" spans="2:6" ht="4.95" customHeight="1" x14ac:dyDescent="0.3"/>
    <row r="6" spans="2:6" ht="22.05" customHeight="1" x14ac:dyDescent="0.3">
      <c r="B6" s="144" t="s">
        <v>1715</v>
      </c>
      <c r="C6" s="145"/>
      <c r="D6" s="144" t="s">
        <v>159</v>
      </c>
      <c r="E6" s="145"/>
      <c r="F6" s="7" t="s">
        <v>3158</v>
      </c>
    </row>
    <row r="7" spans="2:6" ht="33.75" customHeight="1" x14ac:dyDescent="0.3">
      <c r="B7" s="174" t="s">
        <v>3159</v>
      </c>
      <c r="C7" s="111"/>
      <c r="D7" s="130" t="s">
        <v>3160</v>
      </c>
      <c r="E7" s="111"/>
      <c r="F7" s="10" t="s">
        <v>3161</v>
      </c>
    </row>
    <row r="8" spans="2:6" ht="48.15" customHeight="1" x14ac:dyDescent="0.3">
      <c r="B8" s="173" t="s">
        <v>3162</v>
      </c>
      <c r="C8" s="133"/>
      <c r="D8" s="132" t="s">
        <v>3163</v>
      </c>
      <c r="E8" s="133"/>
      <c r="F8" s="13" t="s">
        <v>3164</v>
      </c>
    </row>
    <row r="9" spans="2:6" ht="6" customHeight="1" x14ac:dyDescent="0.3"/>
    <row r="10" spans="2:6" ht="12" customHeight="1" x14ac:dyDescent="0.3"/>
    <row r="11" spans="2:6" ht="27" customHeight="1" x14ac:dyDescent="0.3">
      <c r="B11" s="128" t="s">
        <v>3165</v>
      </c>
      <c r="C11" s="124"/>
      <c r="D11" s="124"/>
      <c r="E11" s="124"/>
      <c r="F11" s="124"/>
    </row>
    <row r="12" spans="2:6" ht="4.95" customHeight="1" x14ac:dyDescent="0.3"/>
    <row r="13" spans="2:6" ht="22.05" customHeight="1" x14ac:dyDescent="0.3">
      <c r="B13" s="7" t="s">
        <v>73</v>
      </c>
      <c r="C13" s="7" t="s">
        <v>159</v>
      </c>
      <c r="D13" s="7" t="s">
        <v>160</v>
      </c>
      <c r="E13" s="7" t="s">
        <v>161</v>
      </c>
      <c r="F13" s="7" t="s">
        <v>162</v>
      </c>
    </row>
    <row r="14" spans="2:6" ht="33.75" customHeight="1" x14ac:dyDescent="0.3">
      <c r="B14" s="8" t="s">
        <v>77</v>
      </c>
      <c r="C14" s="14" t="s">
        <v>3166</v>
      </c>
      <c r="D14" s="10" t="s">
        <v>3167</v>
      </c>
      <c r="E14" s="10" t="s">
        <v>3168</v>
      </c>
      <c r="F14" s="10" t="s">
        <v>3169</v>
      </c>
    </row>
    <row r="15" spans="2:6" ht="33.75" customHeight="1" x14ac:dyDescent="0.3">
      <c r="B15" s="11" t="s">
        <v>81</v>
      </c>
      <c r="C15" s="15" t="s">
        <v>3170</v>
      </c>
      <c r="D15" s="13" t="s">
        <v>3171</v>
      </c>
      <c r="E15" s="13"/>
      <c r="F15" s="13"/>
    </row>
    <row r="16" spans="2:6" ht="33.75" customHeight="1" x14ac:dyDescent="0.3">
      <c r="B16" s="8" t="s">
        <v>85</v>
      </c>
      <c r="C16" s="14" t="s">
        <v>3172</v>
      </c>
      <c r="D16" s="10" t="s">
        <v>3173</v>
      </c>
      <c r="E16" s="10" t="s">
        <v>3174</v>
      </c>
      <c r="F16" s="10" t="s">
        <v>3175</v>
      </c>
    </row>
    <row r="17" spans="2:6" ht="48.15" customHeight="1" x14ac:dyDescent="0.3">
      <c r="B17" s="11" t="s">
        <v>88</v>
      </c>
      <c r="C17" s="15" t="s">
        <v>3176</v>
      </c>
      <c r="D17" s="13" t="s">
        <v>3177</v>
      </c>
      <c r="E17" s="13" t="s">
        <v>3178</v>
      </c>
      <c r="F17" s="13" t="s">
        <v>3179</v>
      </c>
    </row>
    <row r="18" spans="2:6" ht="19.95" customHeight="1" x14ac:dyDescent="0.3">
      <c r="B18" s="8" t="s">
        <v>91</v>
      </c>
      <c r="C18" s="14" t="s">
        <v>3180</v>
      </c>
      <c r="D18" s="10" t="s">
        <v>3181</v>
      </c>
      <c r="E18" s="10" t="s">
        <v>3182</v>
      </c>
      <c r="F18" s="10" t="s">
        <v>3183</v>
      </c>
    </row>
    <row r="19" spans="2:6" ht="76.95" customHeight="1" x14ac:dyDescent="0.3">
      <c r="B19" s="11" t="s">
        <v>94</v>
      </c>
      <c r="C19" s="15" t="s">
        <v>3184</v>
      </c>
      <c r="D19" s="13" t="s">
        <v>3185</v>
      </c>
      <c r="E19" s="23" t="s">
        <v>3186</v>
      </c>
      <c r="F19" s="13" t="s">
        <v>3187</v>
      </c>
    </row>
    <row r="20" spans="2:6" ht="33.75" customHeight="1" x14ac:dyDescent="0.3">
      <c r="B20" s="8" t="s">
        <v>97</v>
      </c>
      <c r="C20" s="14" t="s">
        <v>3188</v>
      </c>
      <c r="D20" s="10" t="s">
        <v>3189</v>
      </c>
      <c r="E20" s="10"/>
      <c r="F20" s="10"/>
    </row>
    <row r="21" spans="2:6" ht="33.75" customHeight="1" x14ac:dyDescent="0.3">
      <c r="B21" s="11" t="s">
        <v>100</v>
      </c>
      <c r="C21" s="15" t="s">
        <v>3190</v>
      </c>
      <c r="D21" s="13" t="s">
        <v>3191</v>
      </c>
      <c r="E21" s="13" t="s">
        <v>3192</v>
      </c>
      <c r="F21" s="13" t="s">
        <v>3193</v>
      </c>
    </row>
    <row r="22" spans="2:6" ht="48.15" customHeight="1" x14ac:dyDescent="0.3">
      <c r="B22" s="8" t="s">
        <v>103</v>
      </c>
      <c r="C22" s="14" t="s">
        <v>3194</v>
      </c>
      <c r="D22" s="10" t="s">
        <v>3195</v>
      </c>
      <c r="E22" s="23" t="s">
        <v>3196</v>
      </c>
      <c r="F22" s="10" t="s">
        <v>3197</v>
      </c>
    </row>
    <row r="23" spans="2:6" ht="19.95" customHeight="1" x14ac:dyDescent="0.3">
      <c r="B23" s="11" t="s">
        <v>106</v>
      </c>
      <c r="C23" s="15" t="s">
        <v>3198</v>
      </c>
      <c r="D23" s="13" t="s">
        <v>3199</v>
      </c>
      <c r="E23" s="13"/>
      <c r="F23" s="13" t="s">
        <v>3200</v>
      </c>
    </row>
    <row r="24" spans="2:6" ht="33.75" customHeight="1" x14ac:dyDescent="0.3">
      <c r="B24" s="8" t="s">
        <v>109</v>
      </c>
      <c r="C24" s="14" t="s">
        <v>3201</v>
      </c>
      <c r="D24" s="10" t="s">
        <v>3202</v>
      </c>
      <c r="E24" s="23" t="s">
        <v>3203</v>
      </c>
      <c r="F24" s="10" t="s">
        <v>3204</v>
      </c>
    </row>
    <row r="25" spans="2:6" ht="33.75" customHeight="1" x14ac:dyDescent="0.3">
      <c r="B25" s="11" t="s">
        <v>113</v>
      </c>
      <c r="C25" s="15" t="s">
        <v>3205</v>
      </c>
      <c r="D25" s="13" t="s">
        <v>3206</v>
      </c>
      <c r="E25" s="23" t="s">
        <v>3207</v>
      </c>
      <c r="F25" s="13" t="s">
        <v>3208</v>
      </c>
    </row>
    <row r="26" spans="2:6" ht="48.15" customHeight="1" x14ac:dyDescent="0.3">
      <c r="B26" s="8" t="s">
        <v>117</v>
      </c>
      <c r="C26" s="14" t="s">
        <v>3209</v>
      </c>
      <c r="D26" s="10" t="s">
        <v>3210</v>
      </c>
      <c r="E26" s="10" t="s">
        <v>3211</v>
      </c>
      <c r="F26" s="10" t="s">
        <v>3212</v>
      </c>
    </row>
    <row r="27" spans="2:6" ht="6" customHeight="1" x14ac:dyDescent="0.3"/>
    <row r="28" spans="2:6" ht="15" customHeight="1" x14ac:dyDescent="0.3">
      <c r="B28" s="158" t="s">
        <v>3213</v>
      </c>
      <c r="C28" s="159"/>
      <c r="D28" s="159"/>
      <c r="E28" s="159"/>
      <c r="F28" s="160"/>
    </row>
    <row r="29" spans="2:6" ht="15" customHeight="1" x14ac:dyDescent="0.3">
      <c r="B29" s="161"/>
      <c r="C29" s="113"/>
      <c r="D29" s="113"/>
      <c r="E29" s="113"/>
      <c r="F29" s="162"/>
    </row>
    <row r="30" spans="2:6" ht="15" customHeight="1" x14ac:dyDescent="0.3">
      <c r="B30" s="161"/>
      <c r="C30" s="113"/>
      <c r="D30" s="113"/>
      <c r="E30" s="113"/>
      <c r="F30" s="162"/>
    </row>
    <row r="31" spans="2:6" ht="15" customHeight="1" x14ac:dyDescent="0.3">
      <c r="B31" s="161"/>
      <c r="C31" s="113"/>
      <c r="D31" s="113"/>
      <c r="E31" s="113"/>
      <c r="F31" s="162"/>
    </row>
    <row r="32" spans="2:6" ht="15" customHeight="1" x14ac:dyDescent="0.3">
      <c r="B32" s="161"/>
      <c r="C32" s="113"/>
      <c r="D32" s="113"/>
      <c r="E32" s="113"/>
      <c r="F32" s="162"/>
    </row>
    <row r="33" spans="2:6" ht="15" customHeight="1" x14ac:dyDescent="0.3">
      <c r="B33" s="161"/>
      <c r="C33" s="113"/>
      <c r="D33" s="113"/>
      <c r="E33" s="113"/>
      <c r="F33" s="162"/>
    </row>
    <row r="34" spans="2:6" ht="15" customHeight="1" x14ac:dyDescent="0.3">
      <c r="B34" s="161"/>
      <c r="C34" s="113"/>
      <c r="D34" s="113"/>
      <c r="E34" s="113"/>
      <c r="F34" s="162"/>
    </row>
    <row r="35" spans="2:6" ht="15" customHeight="1" x14ac:dyDescent="0.3">
      <c r="B35" s="161"/>
      <c r="C35" s="113"/>
      <c r="D35" s="113"/>
      <c r="E35" s="113"/>
      <c r="F35" s="162"/>
    </row>
    <row r="36" spans="2:6" ht="15" customHeight="1" x14ac:dyDescent="0.3">
      <c r="B36" s="161"/>
      <c r="C36" s="113"/>
      <c r="D36" s="113"/>
      <c r="E36" s="113"/>
      <c r="F36" s="162"/>
    </row>
    <row r="37" spans="2:6" ht="15" customHeight="1" x14ac:dyDescent="0.3">
      <c r="B37" s="161"/>
      <c r="C37" s="113"/>
      <c r="D37" s="113"/>
      <c r="E37" s="113"/>
      <c r="F37" s="162"/>
    </row>
    <row r="38" spans="2:6" ht="15" customHeight="1" x14ac:dyDescent="0.3">
      <c r="B38" s="161"/>
      <c r="C38" s="113"/>
      <c r="D38" s="113"/>
      <c r="E38" s="113"/>
      <c r="F38" s="162"/>
    </row>
    <row r="39" spans="2:6" ht="15" customHeight="1" x14ac:dyDescent="0.3">
      <c r="B39" s="161"/>
      <c r="C39" s="113"/>
      <c r="D39" s="113"/>
      <c r="E39" s="113"/>
      <c r="F39" s="162"/>
    </row>
    <row r="40" spans="2:6" ht="15" customHeight="1" x14ac:dyDescent="0.3">
      <c r="B40" s="161"/>
      <c r="C40" s="113"/>
      <c r="D40" s="113"/>
      <c r="E40" s="113"/>
      <c r="F40" s="162"/>
    </row>
    <row r="41" spans="2:6" ht="15" customHeight="1" x14ac:dyDescent="0.3">
      <c r="B41" s="161"/>
      <c r="C41" s="113"/>
      <c r="D41" s="113"/>
      <c r="E41" s="113"/>
      <c r="F41" s="162"/>
    </row>
    <row r="42" spans="2:6" ht="15" customHeight="1" x14ac:dyDescent="0.3">
      <c r="B42" s="161"/>
      <c r="C42" s="113"/>
      <c r="D42" s="113"/>
      <c r="E42" s="113"/>
      <c r="F42" s="162"/>
    </row>
    <row r="43" spans="2:6" ht="15" customHeight="1" x14ac:dyDescent="0.3">
      <c r="B43" s="161"/>
      <c r="C43" s="113"/>
      <c r="D43" s="113"/>
      <c r="E43" s="113"/>
      <c r="F43" s="162"/>
    </row>
    <row r="44" spans="2:6" ht="15" customHeight="1" x14ac:dyDescent="0.3">
      <c r="B44" s="161"/>
      <c r="C44" s="113"/>
      <c r="D44" s="113"/>
      <c r="E44" s="113"/>
      <c r="F44" s="162"/>
    </row>
    <row r="45" spans="2:6" ht="15" customHeight="1" x14ac:dyDescent="0.3">
      <c r="B45" s="161"/>
      <c r="C45" s="113"/>
      <c r="D45" s="113"/>
      <c r="E45" s="113"/>
      <c r="F45" s="162"/>
    </row>
    <row r="46" spans="2:6" ht="15" customHeight="1" x14ac:dyDescent="0.3">
      <c r="B46" s="161"/>
      <c r="C46" s="113"/>
      <c r="D46" s="113"/>
      <c r="E46" s="113"/>
      <c r="F46" s="162"/>
    </row>
    <row r="47" spans="2:6" ht="15" customHeight="1" x14ac:dyDescent="0.3">
      <c r="B47" s="163"/>
      <c r="C47" s="164"/>
      <c r="D47" s="164"/>
      <c r="E47" s="164"/>
      <c r="F47" s="165"/>
    </row>
    <row r="48" spans="2:6" ht="19.95" customHeight="1" x14ac:dyDescent="0.3">
      <c r="B48" s="151" t="s">
        <v>3214</v>
      </c>
      <c r="C48" s="113"/>
      <c r="D48" s="113"/>
      <c r="E48" s="113"/>
      <c r="F48" s="113"/>
    </row>
    <row r="49" spans="2:6" ht="6" customHeight="1" x14ac:dyDescent="0.3"/>
    <row r="50" spans="2:6" ht="15" customHeight="1" x14ac:dyDescent="0.3">
      <c r="B50" s="158" t="s">
        <v>3215</v>
      </c>
      <c r="C50" s="159"/>
      <c r="D50" s="159"/>
      <c r="E50" s="159"/>
      <c r="F50" s="160"/>
    </row>
    <row r="51" spans="2:6" ht="15" customHeight="1" x14ac:dyDescent="0.3">
      <c r="B51" s="161"/>
      <c r="C51" s="113"/>
      <c r="D51" s="113"/>
      <c r="E51" s="113"/>
      <c r="F51" s="162"/>
    </row>
    <row r="52" spans="2:6" ht="15" customHeight="1" x14ac:dyDescent="0.3">
      <c r="B52" s="161"/>
      <c r="C52" s="113"/>
      <c r="D52" s="113"/>
      <c r="E52" s="113"/>
      <c r="F52" s="162"/>
    </row>
    <row r="53" spans="2:6" ht="15" customHeight="1" x14ac:dyDescent="0.3">
      <c r="B53" s="161"/>
      <c r="C53" s="113"/>
      <c r="D53" s="113"/>
      <c r="E53" s="113"/>
      <c r="F53" s="162"/>
    </row>
    <row r="54" spans="2:6" ht="15" customHeight="1" x14ac:dyDescent="0.3">
      <c r="B54" s="161"/>
      <c r="C54" s="113"/>
      <c r="D54" s="113"/>
      <c r="E54" s="113"/>
      <c r="F54" s="162"/>
    </row>
    <row r="55" spans="2:6" ht="15" customHeight="1" x14ac:dyDescent="0.3">
      <c r="B55" s="161"/>
      <c r="C55" s="113"/>
      <c r="D55" s="113"/>
      <c r="E55" s="113"/>
      <c r="F55" s="162"/>
    </row>
    <row r="56" spans="2:6" ht="15" customHeight="1" x14ac:dyDescent="0.3">
      <c r="B56" s="161"/>
      <c r="C56" s="113"/>
      <c r="D56" s="113"/>
      <c r="E56" s="113"/>
      <c r="F56" s="162"/>
    </row>
    <row r="57" spans="2:6" ht="15" customHeight="1" x14ac:dyDescent="0.3">
      <c r="B57" s="161"/>
      <c r="C57" s="113"/>
      <c r="D57" s="113"/>
      <c r="E57" s="113"/>
      <c r="F57" s="162"/>
    </row>
    <row r="58" spans="2:6" ht="15" customHeight="1" x14ac:dyDescent="0.3">
      <c r="B58" s="161"/>
      <c r="C58" s="113"/>
      <c r="D58" s="113"/>
      <c r="E58" s="113"/>
      <c r="F58" s="162"/>
    </row>
    <row r="59" spans="2:6" ht="15" customHeight="1" x14ac:dyDescent="0.3">
      <c r="B59" s="161"/>
      <c r="C59" s="113"/>
      <c r="D59" s="113"/>
      <c r="E59" s="113"/>
      <c r="F59" s="162"/>
    </row>
    <row r="60" spans="2:6" ht="15" customHeight="1" x14ac:dyDescent="0.3">
      <c r="B60" s="161"/>
      <c r="C60" s="113"/>
      <c r="D60" s="113"/>
      <c r="E60" s="113"/>
      <c r="F60" s="162"/>
    </row>
    <row r="61" spans="2:6" ht="15" customHeight="1" x14ac:dyDescent="0.3">
      <c r="B61" s="161"/>
      <c r="C61" s="113"/>
      <c r="D61" s="113"/>
      <c r="E61" s="113"/>
      <c r="F61" s="162"/>
    </row>
    <row r="62" spans="2:6" ht="15" customHeight="1" x14ac:dyDescent="0.3">
      <c r="B62" s="161"/>
      <c r="C62" s="113"/>
      <c r="D62" s="113"/>
      <c r="E62" s="113"/>
      <c r="F62" s="162"/>
    </row>
    <row r="63" spans="2:6" ht="15" customHeight="1" x14ac:dyDescent="0.3">
      <c r="B63" s="161"/>
      <c r="C63" s="113"/>
      <c r="D63" s="113"/>
      <c r="E63" s="113"/>
      <c r="F63" s="162"/>
    </row>
    <row r="64" spans="2:6" ht="15" customHeight="1" x14ac:dyDescent="0.3">
      <c r="B64" s="161"/>
      <c r="C64" s="113"/>
      <c r="D64" s="113"/>
      <c r="E64" s="113"/>
      <c r="F64" s="162"/>
    </row>
    <row r="65" spans="2:6" ht="15" customHeight="1" x14ac:dyDescent="0.3">
      <c r="B65" s="161"/>
      <c r="C65" s="113"/>
      <c r="D65" s="113"/>
      <c r="E65" s="113"/>
      <c r="F65" s="162"/>
    </row>
    <row r="66" spans="2:6" ht="15" customHeight="1" x14ac:dyDescent="0.3">
      <c r="B66" s="161"/>
      <c r="C66" s="113"/>
      <c r="D66" s="113"/>
      <c r="E66" s="113"/>
      <c r="F66" s="162"/>
    </row>
    <row r="67" spans="2:6" ht="15" customHeight="1" x14ac:dyDescent="0.3">
      <c r="B67" s="161"/>
      <c r="C67" s="113"/>
      <c r="D67" s="113"/>
      <c r="E67" s="113"/>
      <c r="F67" s="162"/>
    </row>
    <row r="68" spans="2:6" ht="15" customHeight="1" x14ac:dyDescent="0.3">
      <c r="B68" s="161"/>
      <c r="C68" s="113"/>
      <c r="D68" s="113"/>
      <c r="E68" s="113"/>
      <c r="F68" s="162"/>
    </row>
    <row r="69" spans="2:6" ht="15" customHeight="1" x14ac:dyDescent="0.3">
      <c r="B69" s="161"/>
      <c r="C69" s="113"/>
      <c r="D69" s="113"/>
      <c r="E69" s="113"/>
      <c r="F69" s="162"/>
    </row>
    <row r="70" spans="2:6" ht="15" customHeight="1" x14ac:dyDescent="0.3">
      <c r="B70" s="161"/>
      <c r="C70" s="113"/>
      <c r="D70" s="113"/>
      <c r="E70" s="113"/>
      <c r="F70" s="162"/>
    </row>
    <row r="71" spans="2:6" ht="15" customHeight="1" x14ac:dyDescent="0.3">
      <c r="B71" s="163"/>
      <c r="C71" s="164"/>
      <c r="D71" s="164"/>
      <c r="E71" s="164"/>
      <c r="F71" s="165"/>
    </row>
    <row r="72" spans="2:6" ht="19.95" customHeight="1" x14ac:dyDescent="0.3">
      <c r="B72" s="151" t="s">
        <v>3216</v>
      </c>
      <c r="C72" s="113"/>
      <c r="D72" s="113"/>
      <c r="E72" s="113"/>
      <c r="F72" s="113"/>
    </row>
    <row r="73" spans="2:6" ht="6" customHeight="1" x14ac:dyDescent="0.3"/>
    <row r="74" spans="2:6" ht="7.05" customHeight="1" x14ac:dyDescent="0.3"/>
    <row r="75" spans="2:6" ht="22.95" customHeight="1" x14ac:dyDescent="0.3">
      <c r="B75" s="156" t="s">
        <v>3217</v>
      </c>
      <c r="C75" s="157"/>
      <c r="D75" s="157"/>
      <c r="E75" s="157"/>
      <c r="F75" s="157"/>
    </row>
    <row r="76" spans="2:6" ht="4.05" customHeight="1" x14ac:dyDescent="0.3"/>
    <row r="77" spans="2:6" ht="22.05" customHeight="1" x14ac:dyDescent="0.3">
      <c r="B77" s="144" t="s">
        <v>3218</v>
      </c>
      <c r="C77" s="145"/>
      <c r="D77" s="7" t="s">
        <v>3219</v>
      </c>
      <c r="E77" s="144" t="s">
        <v>3220</v>
      </c>
      <c r="F77" s="145"/>
    </row>
    <row r="78" spans="2:6" ht="19.95" customHeight="1" x14ac:dyDescent="0.3">
      <c r="B78" s="180" t="s">
        <v>2263</v>
      </c>
      <c r="C78" s="137"/>
      <c r="D78" s="10" t="s">
        <v>3221</v>
      </c>
      <c r="E78" s="130" t="s">
        <v>3222</v>
      </c>
      <c r="F78" s="111"/>
    </row>
    <row r="79" spans="2:6" ht="48.15" customHeight="1" x14ac:dyDescent="0.3">
      <c r="B79" s="180" t="s">
        <v>3223</v>
      </c>
      <c r="C79" s="137"/>
      <c r="D79" s="13" t="s">
        <v>3221</v>
      </c>
      <c r="E79" s="132" t="s">
        <v>3224</v>
      </c>
      <c r="F79" s="133"/>
    </row>
    <row r="80" spans="2:6" ht="48.15" customHeight="1" x14ac:dyDescent="0.3">
      <c r="B80" s="180" t="s">
        <v>3225</v>
      </c>
      <c r="C80" s="137"/>
      <c r="D80" s="10" t="s">
        <v>3226</v>
      </c>
      <c r="E80" s="130" t="s">
        <v>3227</v>
      </c>
      <c r="F80" s="111"/>
    </row>
    <row r="81" spans="2:6" ht="33.75" customHeight="1" x14ac:dyDescent="0.3">
      <c r="B81" s="180" t="s">
        <v>2271</v>
      </c>
      <c r="C81" s="137"/>
      <c r="D81" s="13" t="s">
        <v>3226</v>
      </c>
      <c r="E81" s="132" t="s">
        <v>3228</v>
      </c>
      <c r="F81" s="133"/>
    </row>
    <row r="82" spans="2:6" ht="19.95" customHeight="1" x14ac:dyDescent="0.3">
      <c r="B82" s="180" t="s">
        <v>2282</v>
      </c>
      <c r="C82" s="137"/>
      <c r="D82" s="10" t="s">
        <v>3229</v>
      </c>
      <c r="E82" s="130" t="s">
        <v>3230</v>
      </c>
      <c r="F82" s="111"/>
    </row>
    <row r="83" spans="2:6" ht="6" customHeight="1" x14ac:dyDescent="0.3"/>
    <row r="84" spans="2:6" ht="33.75" customHeight="1" x14ac:dyDescent="0.3">
      <c r="B84" s="37" t="s">
        <v>66</v>
      </c>
      <c r="C84" s="152" t="s">
        <v>3231</v>
      </c>
      <c r="D84" s="153"/>
      <c r="E84" s="153"/>
      <c r="F84" s="105"/>
    </row>
    <row r="85" spans="2:6" ht="4.95" customHeight="1" x14ac:dyDescent="0.3"/>
    <row r="86" spans="2:6" ht="12" customHeight="1" x14ac:dyDescent="0.3"/>
    <row r="87" spans="2:6" ht="27" customHeight="1" x14ac:dyDescent="0.3">
      <c r="B87" s="128" t="s">
        <v>3232</v>
      </c>
      <c r="C87" s="124"/>
      <c r="D87" s="124"/>
      <c r="E87" s="124"/>
      <c r="F87" s="124"/>
    </row>
    <row r="88" spans="2:6" ht="4.95" customHeight="1" x14ac:dyDescent="0.3"/>
    <row r="89" spans="2:6" ht="33.75" customHeight="1" x14ac:dyDescent="0.3">
      <c r="B89" s="129" t="s">
        <v>3233</v>
      </c>
      <c r="C89" s="113"/>
      <c r="D89" s="113"/>
      <c r="E89" s="113"/>
      <c r="F89" s="113"/>
    </row>
    <row r="90" spans="2:6" ht="22.05" customHeight="1" x14ac:dyDescent="0.3">
      <c r="B90" s="7" t="s">
        <v>73</v>
      </c>
      <c r="C90" s="7" t="s">
        <v>159</v>
      </c>
      <c r="D90" s="7" t="s">
        <v>160</v>
      </c>
      <c r="E90" s="7" t="s">
        <v>161</v>
      </c>
      <c r="F90" s="7" t="s">
        <v>162</v>
      </c>
    </row>
    <row r="91" spans="2:6" ht="33.75" customHeight="1" x14ac:dyDescent="0.3">
      <c r="B91" s="8" t="s">
        <v>77</v>
      </c>
      <c r="C91" s="14" t="s">
        <v>3234</v>
      </c>
      <c r="D91" s="10" t="s">
        <v>3235</v>
      </c>
      <c r="E91" s="10"/>
      <c r="F91" s="10" t="s">
        <v>3183</v>
      </c>
    </row>
    <row r="92" spans="2:6" ht="33.75" customHeight="1" x14ac:dyDescent="0.3">
      <c r="B92" s="11" t="s">
        <v>81</v>
      </c>
      <c r="C92" s="15" t="s">
        <v>3236</v>
      </c>
      <c r="D92" s="13" t="s">
        <v>3237</v>
      </c>
      <c r="E92" s="13"/>
      <c r="F92" s="13" t="s">
        <v>3238</v>
      </c>
    </row>
    <row r="93" spans="2:6" ht="48.15" customHeight="1" x14ac:dyDescent="0.3">
      <c r="B93" s="8" t="s">
        <v>85</v>
      </c>
      <c r="C93" s="14" t="s">
        <v>3239</v>
      </c>
      <c r="D93" s="10" t="s">
        <v>3240</v>
      </c>
      <c r="E93" s="23" t="s">
        <v>3241</v>
      </c>
      <c r="F93" s="10" t="s">
        <v>3242</v>
      </c>
    </row>
    <row r="94" spans="2:6" ht="48.15" customHeight="1" x14ac:dyDescent="0.3">
      <c r="B94" s="11" t="s">
        <v>88</v>
      </c>
      <c r="C94" s="15" t="s">
        <v>3243</v>
      </c>
      <c r="D94" s="13" t="s">
        <v>3244</v>
      </c>
      <c r="E94" s="23" t="s">
        <v>3203</v>
      </c>
      <c r="F94" s="13" t="s">
        <v>3245</v>
      </c>
    </row>
    <row r="95" spans="2:6" ht="19.95" customHeight="1" x14ac:dyDescent="0.3">
      <c r="B95" s="8" t="s">
        <v>91</v>
      </c>
      <c r="C95" s="14" t="s">
        <v>3246</v>
      </c>
      <c r="D95" s="10" t="s">
        <v>3199</v>
      </c>
      <c r="E95" s="10"/>
      <c r="F95" s="10" t="s">
        <v>3247</v>
      </c>
    </row>
    <row r="96" spans="2:6" ht="19.95" customHeight="1" x14ac:dyDescent="0.3">
      <c r="B96" s="11" t="s">
        <v>94</v>
      </c>
      <c r="C96" s="15" t="s">
        <v>3248</v>
      </c>
      <c r="D96" s="13" t="s">
        <v>3249</v>
      </c>
      <c r="E96" s="13"/>
      <c r="F96" s="13"/>
    </row>
    <row r="97" spans="3:6" ht="6" customHeight="1" x14ac:dyDescent="0.3"/>
    <row r="98" spans="3:6" ht="16.95" customHeight="1" x14ac:dyDescent="0.3">
      <c r="C98" s="170" t="s">
        <v>3250</v>
      </c>
      <c r="D98" s="113"/>
      <c r="E98" s="113"/>
      <c r="F98" s="113"/>
    </row>
    <row r="99" spans="3:6" ht="17.25" customHeight="1" x14ac:dyDescent="0.3">
      <c r="C99" s="39" t="s">
        <v>3251</v>
      </c>
      <c r="D99" s="40"/>
      <c r="E99" s="40"/>
      <c r="F99" s="41"/>
    </row>
    <row r="100" spans="3:6" ht="17.25" customHeight="1" x14ac:dyDescent="0.3">
      <c r="C100" s="42" t="s">
        <v>3252</v>
      </c>
      <c r="D100" s="43"/>
      <c r="E100" s="43"/>
      <c r="F100" s="44"/>
    </row>
    <row r="101" spans="3:6" ht="17.25" customHeight="1" x14ac:dyDescent="0.3">
      <c r="C101" s="42" t="s">
        <v>3253</v>
      </c>
      <c r="D101" s="43"/>
      <c r="E101" s="43"/>
      <c r="F101" s="44"/>
    </row>
    <row r="102" spans="3:6" ht="17.25" customHeight="1" x14ac:dyDescent="0.3">
      <c r="C102" s="42" t="s">
        <v>3254</v>
      </c>
      <c r="D102" s="43"/>
      <c r="E102" s="43"/>
      <c r="F102" s="44"/>
    </row>
    <row r="103" spans="3:6" ht="17.25" customHeight="1" x14ac:dyDescent="0.3">
      <c r="C103" s="42" t="s">
        <v>3255</v>
      </c>
      <c r="D103" s="43"/>
      <c r="E103" s="43"/>
      <c r="F103" s="44"/>
    </row>
    <row r="104" spans="3:6" ht="17.25" customHeight="1" x14ac:dyDescent="0.3">
      <c r="C104" s="42" t="s">
        <v>3256</v>
      </c>
      <c r="D104" s="43"/>
      <c r="E104" s="43"/>
      <c r="F104" s="44"/>
    </row>
    <row r="105" spans="3:6" ht="17.25" customHeight="1" x14ac:dyDescent="0.3">
      <c r="C105" s="42" t="s">
        <v>3257</v>
      </c>
      <c r="D105" s="43"/>
      <c r="E105" s="43"/>
      <c r="F105" s="44"/>
    </row>
    <row r="106" spans="3:6" ht="17.25" customHeight="1" x14ac:dyDescent="0.3">
      <c r="C106" s="42" t="s">
        <v>3258</v>
      </c>
      <c r="D106" s="43"/>
      <c r="E106" s="43"/>
      <c r="F106" s="44"/>
    </row>
    <row r="107" spans="3:6" ht="17.25" customHeight="1" x14ac:dyDescent="0.3">
      <c r="C107" s="42" t="s">
        <v>3259</v>
      </c>
      <c r="D107" s="43"/>
      <c r="E107" s="43"/>
      <c r="F107" s="44"/>
    </row>
    <row r="108" spans="3:6" ht="17.25" customHeight="1" x14ac:dyDescent="0.3">
      <c r="C108" s="42" t="s">
        <v>3260</v>
      </c>
      <c r="D108" s="43"/>
      <c r="E108" s="43"/>
      <c r="F108" s="44"/>
    </row>
    <row r="109" spans="3:6" ht="17.25" customHeight="1" x14ac:dyDescent="0.3">
      <c r="C109" s="42" t="s">
        <v>3261</v>
      </c>
      <c r="D109" s="43"/>
      <c r="E109" s="43"/>
      <c r="F109" s="44"/>
    </row>
    <row r="110" spans="3:6" ht="17.25" customHeight="1" x14ac:dyDescent="0.3">
      <c r="C110" s="42" t="s">
        <v>3262</v>
      </c>
      <c r="D110" s="43"/>
      <c r="E110" s="43"/>
      <c r="F110" s="44"/>
    </row>
    <row r="111" spans="3:6" ht="17.25" customHeight="1" x14ac:dyDescent="0.3">
      <c r="C111" s="42" t="s">
        <v>3263</v>
      </c>
      <c r="D111" s="43"/>
      <c r="E111" s="43"/>
      <c r="F111" s="44"/>
    </row>
    <row r="112" spans="3:6" ht="17.25" customHeight="1" x14ac:dyDescent="0.3">
      <c r="C112" s="42" t="s">
        <v>3264</v>
      </c>
      <c r="D112" s="43"/>
      <c r="E112" s="43"/>
      <c r="F112" s="44"/>
    </row>
    <row r="113" spans="2:6" ht="17.25" customHeight="1" x14ac:dyDescent="0.3">
      <c r="C113" s="42" t="s">
        <v>3265</v>
      </c>
      <c r="D113" s="43"/>
      <c r="E113" s="43"/>
      <c r="F113" s="44"/>
    </row>
    <row r="114" spans="2:6" ht="17.25" customHeight="1" x14ac:dyDescent="0.3">
      <c r="C114" s="42" t="s">
        <v>3266</v>
      </c>
      <c r="D114" s="43"/>
      <c r="E114" s="43"/>
      <c r="F114" s="44"/>
    </row>
    <row r="115" spans="2:6" ht="17.25" customHeight="1" x14ac:dyDescent="0.3">
      <c r="C115" s="42" t="s">
        <v>3267</v>
      </c>
      <c r="D115" s="43"/>
      <c r="E115" s="43"/>
      <c r="F115" s="44"/>
    </row>
    <row r="116" spans="2:6" ht="17.25" customHeight="1" x14ac:dyDescent="0.3">
      <c r="C116" s="42" t="s">
        <v>3268</v>
      </c>
      <c r="D116" s="43"/>
      <c r="E116" s="43"/>
      <c r="F116" s="44"/>
    </row>
    <row r="117" spans="2:6" ht="17.25" customHeight="1" x14ac:dyDescent="0.3">
      <c r="C117" s="42" t="s">
        <v>3269</v>
      </c>
      <c r="D117" s="43"/>
      <c r="E117" s="43"/>
      <c r="F117" s="44"/>
    </row>
    <row r="118" spans="2:6" ht="17.25" customHeight="1" x14ac:dyDescent="0.3">
      <c r="C118" s="42" t="s">
        <v>3270</v>
      </c>
      <c r="D118" s="43"/>
      <c r="E118" s="43"/>
      <c r="F118" s="44"/>
    </row>
    <row r="119" spans="2:6" ht="17.25" customHeight="1" x14ac:dyDescent="0.3">
      <c r="C119" s="45" t="s">
        <v>3271</v>
      </c>
      <c r="D119" s="46"/>
      <c r="E119" s="46"/>
      <c r="F119" s="47"/>
    </row>
    <row r="120" spans="2:6" ht="4.95" customHeight="1" x14ac:dyDescent="0.3"/>
    <row r="121" spans="2:6" ht="22.05" customHeight="1" x14ac:dyDescent="0.3">
      <c r="B121" s="144" t="s">
        <v>1463</v>
      </c>
      <c r="C121" s="145"/>
      <c r="D121" s="144" t="s">
        <v>53</v>
      </c>
      <c r="E121" s="171"/>
      <c r="F121" s="145"/>
    </row>
    <row r="122" spans="2:6" ht="19.95" customHeight="1" x14ac:dyDescent="0.3">
      <c r="B122" s="149" t="s">
        <v>3272</v>
      </c>
      <c r="C122" s="137"/>
      <c r="D122" s="130" t="s">
        <v>3273</v>
      </c>
      <c r="E122" s="110"/>
      <c r="F122" s="111"/>
    </row>
    <row r="123" spans="2:6" ht="33.75" customHeight="1" x14ac:dyDescent="0.3">
      <c r="B123" s="149" t="s">
        <v>3274</v>
      </c>
      <c r="C123" s="137"/>
      <c r="D123" s="132" t="s">
        <v>3275</v>
      </c>
      <c r="E123" s="169"/>
      <c r="F123" s="133"/>
    </row>
    <row r="124" spans="2:6" ht="19.95" customHeight="1" x14ac:dyDescent="0.3">
      <c r="B124" s="149" t="s">
        <v>3276</v>
      </c>
      <c r="C124" s="137"/>
      <c r="D124" s="130" t="s">
        <v>3277</v>
      </c>
      <c r="E124" s="110"/>
      <c r="F124" s="111"/>
    </row>
    <row r="125" spans="2:6" ht="19.95" customHeight="1" x14ac:dyDescent="0.3">
      <c r="B125" s="149" t="s">
        <v>3278</v>
      </c>
      <c r="C125" s="137"/>
      <c r="D125" s="132" t="s">
        <v>3279</v>
      </c>
      <c r="E125" s="169"/>
      <c r="F125" s="133"/>
    </row>
    <row r="126" spans="2:6" ht="33.75" customHeight="1" x14ac:dyDescent="0.3">
      <c r="B126" s="149" t="s">
        <v>3280</v>
      </c>
      <c r="C126" s="137"/>
      <c r="D126" s="130" t="s">
        <v>3281</v>
      </c>
      <c r="E126" s="110"/>
      <c r="F126" s="111"/>
    </row>
    <row r="127" spans="2:6" ht="6" customHeight="1" x14ac:dyDescent="0.3"/>
    <row r="128" spans="2:6" ht="33.75" customHeight="1" x14ac:dyDescent="0.3">
      <c r="B128" s="22" t="s">
        <v>62</v>
      </c>
      <c r="C128" s="152" t="s">
        <v>3282</v>
      </c>
      <c r="D128" s="153"/>
      <c r="E128" s="153"/>
      <c r="F128" s="105"/>
    </row>
    <row r="129" spans="2:6" ht="4.95" customHeight="1" x14ac:dyDescent="0.3"/>
    <row r="130" spans="2:6" ht="15" customHeight="1" x14ac:dyDescent="0.3">
      <c r="B130" s="158" t="s">
        <v>3283</v>
      </c>
      <c r="C130" s="159"/>
      <c r="D130" s="159"/>
      <c r="E130" s="159"/>
      <c r="F130" s="160"/>
    </row>
    <row r="131" spans="2:6" ht="15" customHeight="1" x14ac:dyDescent="0.3">
      <c r="B131" s="161"/>
      <c r="C131" s="113"/>
      <c r="D131" s="113"/>
      <c r="E131" s="113"/>
      <c r="F131" s="162"/>
    </row>
    <row r="132" spans="2:6" ht="15" customHeight="1" x14ac:dyDescent="0.3">
      <c r="B132" s="161"/>
      <c r="C132" s="113"/>
      <c r="D132" s="113"/>
      <c r="E132" s="113"/>
      <c r="F132" s="162"/>
    </row>
    <row r="133" spans="2:6" ht="15" customHeight="1" x14ac:dyDescent="0.3">
      <c r="B133" s="161"/>
      <c r="C133" s="113"/>
      <c r="D133" s="113"/>
      <c r="E133" s="113"/>
      <c r="F133" s="162"/>
    </row>
    <row r="134" spans="2:6" ht="15" customHeight="1" x14ac:dyDescent="0.3">
      <c r="B134" s="161"/>
      <c r="C134" s="113"/>
      <c r="D134" s="113"/>
      <c r="E134" s="113"/>
      <c r="F134" s="162"/>
    </row>
    <row r="135" spans="2:6" ht="15" customHeight="1" x14ac:dyDescent="0.3">
      <c r="B135" s="161"/>
      <c r="C135" s="113"/>
      <c r="D135" s="113"/>
      <c r="E135" s="113"/>
      <c r="F135" s="162"/>
    </row>
    <row r="136" spans="2:6" ht="15" customHeight="1" x14ac:dyDescent="0.3">
      <c r="B136" s="161"/>
      <c r="C136" s="113"/>
      <c r="D136" s="113"/>
      <c r="E136" s="113"/>
      <c r="F136" s="162"/>
    </row>
    <row r="137" spans="2:6" ht="15" customHeight="1" x14ac:dyDescent="0.3">
      <c r="B137" s="161"/>
      <c r="C137" s="113"/>
      <c r="D137" s="113"/>
      <c r="E137" s="113"/>
      <c r="F137" s="162"/>
    </row>
    <row r="138" spans="2:6" ht="15" customHeight="1" x14ac:dyDescent="0.3">
      <c r="B138" s="161"/>
      <c r="C138" s="113"/>
      <c r="D138" s="113"/>
      <c r="E138" s="113"/>
      <c r="F138" s="162"/>
    </row>
    <row r="139" spans="2:6" ht="15" customHeight="1" x14ac:dyDescent="0.3">
      <c r="B139" s="161"/>
      <c r="C139" s="113"/>
      <c r="D139" s="113"/>
      <c r="E139" s="113"/>
      <c r="F139" s="162"/>
    </row>
    <row r="140" spans="2:6" ht="15" customHeight="1" x14ac:dyDescent="0.3">
      <c r="B140" s="161"/>
      <c r="C140" s="113"/>
      <c r="D140" s="113"/>
      <c r="E140" s="113"/>
      <c r="F140" s="162"/>
    </row>
    <row r="141" spans="2:6" ht="15" customHeight="1" x14ac:dyDescent="0.3">
      <c r="B141" s="161"/>
      <c r="C141" s="113"/>
      <c r="D141" s="113"/>
      <c r="E141" s="113"/>
      <c r="F141" s="162"/>
    </row>
    <row r="142" spans="2:6" ht="15" customHeight="1" x14ac:dyDescent="0.3">
      <c r="B142" s="161"/>
      <c r="C142" s="113"/>
      <c r="D142" s="113"/>
      <c r="E142" s="113"/>
      <c r="F142" s="162"/>
    </row>
    <row r="143" spans="2:6" ht="15" customHeight="1" x14ac:dyDescent="0.3">
      <c r="B143" s="161"/>
      <c r="C143" s="113"/>
      <c r="D143" s="113"/>
      <c r="E143" s="113"/>
      <c r="F143" s="162"/>
    </row>
    <row r="144" spans="2:6" ht="15" customHeight="1" x14ac:dyDescent="0.3">
      <c r="B144" s="161"/>
      <c r="C144" s="113"/>
      <c r="D144" s="113"/>
      <c r="E144" s="113"/>
      <c r="F144" s="162"/>
    </row>
    <row r="145" spans="2:6" ht="15" customHeight="1" x14ac:dyDescent="0.3">
      <c r="B145" s="161"/>
      <c r="C145" s="113"/>
      <c r="D145" s="113"/>
      <c r="E145" s="113"/>
      <c r="F145" s="162"/>
    </row>
    <row r="146" spans="2:6" ht="15" customHeight="1" x14ac:dyDescent="0.3">
      <c r="B146" s="161"/>
      <c r="C146" s="113"/>
      <c r="D146" s="113"/>
      <c r="E146" s="113"/>
      <c r="F146" s="162"/>
    </row>
    <row r="147" spans="2:6" ht="15" customHeight="1" x14ac:dyDescent="0.3">
      <c r="B147" s="163"/>
      <c r="C147" s="164"/>
      <c r="D147" s="164"/>
      <c r="E147" s="164"/>
      <c r="F147" s="165"/>
    </row>
    <row r="148" spans="2:6" ht="19.95" customHeight="1" x14ac:dyDescent="0.3">
      <c r="B148" s="151" t="s">
        <v>3284</v>
      </c>
      <c r="C148" s="113"/>
      <c r="D148" s="113"/>
      <c r="E148" s="113"/>
      <c r="F148" s="113"/>
    </row>
    <row r="149" spans="2:6" ht="6" customHeight="1" x14ac:dyDescent="0.3"/>
    <row r="150" spans="2:6" ht="12" customHeight="1" x14ac:dyDescent="0.3"/>
    <row r="151" spans="2:6" ht="27" customHeight="1" x14ac:dyDescent="0.3">
      <c r="B151" s="128" t="s">
        <v>3285</v>
      </c>
      <c r="C151" s="124"/>
      <c r="D151" s="124"/>
      <c r="E151" s="124"/>
      <c r="F151" s="124"/>
    </row>
    <row r="152" spans="2:6" ht="4.95" customHeight="1" x14ac:dyDescent="0.3"/>
    <row r="153" spans="2:6" ht="19.350000000000001" customHeight="1" x14ac:dyDescent="0.3">
      <c r="B153" s="129" t="s">
        <v>3286</v>
      </c>
      <c r="C153" s="113"/>
      <c r="D153" s="113"/>
      <c r="E153" s="113"/>
      <c r="F153" s="113"/>
    </row>
    <row r="154" spans="2:6" ht="22.05" customHeight="1" x14ac:dyDescent="0.3">
      <c r="B154" s="7" t="s">
        <v>73</v>
      </c>
      <c r="C154" s="7" t="s">
        <v>159</v>
      </c>
      <c r="D154" s="7" t="s">
        <v>160</v>
      </c>
      <c r="E154" s="7" t="s">
        <v>161</v>
      </c>
      <c r="F154" s="7" t="s">
        <v>162</v>
      </c>
    </row>
    <row r="155" spans="2:6" ht="19.95" customHeight="1" x14ac:dyDescent="0.3">
      <c r="B155" s="8" t="s">
        <v>77</v>
      </c>
      <c r="C155" s="14" t="s">
        <v>3287</v>
      </c>
      <c r="D155" s="10" t="s">
        <v>3288</v>
      </c>
      <c r="E155" s="10"/>
      <c r="F155" s="10" t="s">
        <v>3289</v>
      </c>
    </row>
    <row r="156" spans="2:6" ht="19.95" customHeight="1" x14ac:dyDescent="0.3">
      <c r="B156" s="11" t="s">
        <v>81</v>
      </c>
      <c r="C156" s="15" t="s">
        <v>3290</v>
      </c>
      <c r="D156" s="13" t="s">
        <v>3291</v>
      </c>
      <c r="E156" s="13"/>
      <c r="F156" s="13"/>
    </row>
    <row r="157" spans="2:6" ht="33.75" customHeight="1" x14ac:dyDescent="0.3">
      <c r="B157" s="8" t="s">
        <v>85</v>
      </c>
      <c r="C157" s="14" t="s">
        <v>3292</v>
      </c>
      <c r="D157" s="10" t="s">
        <v>3293</v>
      </c>
      <c r="E157" s="10"/>
      <c r="F157" s="10"/>
    </row>
    <row r="158" spans="2:6" ht="33.75" customHeight="1" x14ac:dyDescent="0.3">
      <c r="B158" s="11" t="s">
        <v>88</v>
      </c>
      <c r="C158" s="15" t="s">
        <v>3294</v>
      </c>
      <c r="D158" s="13" t="s">
        <v>3199</v>
      </c>
      <c r="E158" s="13"/>
      <c r="F158" s="13" t="s">
        <v>3295</v>
      </c>
    </row>
    <row r="159" spans="2:6" ht="6" customHeight="1" x14ac:dyDescent="0.3"/>
    <row r="160" spans="2:6" ht="22.05" customHeight="1" x14ac:dyDescent="0.3">
      <c r="B160" s="16" t="s">
        <v>64</v>
      </c>
      <c r="C160" s="152" t="s">
        <v>3296</v>
      </c>
      <c r="D160" s="153"/>
      <c r="E160" s="153"/>
      <c r="F160" s="105"/>
    </row>
    <row r="161" spans="2:6" ht="4.95" customHeight="1" x14ac:dyDescent="0.3"/>
    <row r="162" spans="2:6" ht="22.05" customHeight="1" x14ac:dyDescent="0.3">
      <c r="B162" s="37" t="s">
        <v>66</v>
      </c>
      <c r="C162" s="152" t="s">
        <v>3297</v>
      </c>
      <c r="D162" s="153"/>
      <c r="E162" s="153"/>
      <c r="F162" s="105"/>
    </row>
    <row r="163" spans="2:6" ht="4.95" customHeight="1" x14ac:dyDescent="0.3"/>
    <row r="164" spans="2:6" ht="12" customHeight="1" x14ac:dyDescent="0.3"/>
    <row r="165" spans="2:6" ht="27" customHeight="1" x14ac:dyDescent="0.3">
      <c r="B165" s="128" t="s">
        <v>3298</v>
      </c>
      <c r="C165" s="124"/>
      <c r="D165" s="124"/>
      <c r="E165" s="124"/>
      <c r="F165" s="124"/>
    </row>
    <row r="166" spans="2:6" ht="4.95" customHeight="1" x14ac:dyDescent="0.3"/>
    <row r="167" spans="2:6" ht="19.350000000000001" customHeight="1" x14ac:dyDescent="0.3">
      <c r="B167" s="129" t="s">
        <v>3299</v>
      </c>
      <c r="C167" s="113"/>
      <c r="D167" s="113"/>
      <c r="E167" s="113"/>
      <c r="F167" s="113"/>
    </row>
    <row r="168" spans="2:6" ht="22.05" customHeight="1" x14ac:dyDescent="0.3">
      <c r="B168" s="144" t="s">
        <v>1715</v>
      </c>
      <c r="C168" s="145"/>
      <c r="D168" s="144" t="s">
        <v>159</v>
      </c>
      <c r="E168" s="145"/>
      <c r="F168" s="7" t="s">
        <v>3300</v>
      </c>
    </row>
    <row r="169" spans="2:6" ht="33.75" customHeight="1" x14ac:dyDescent="0.3">
      <c r="B169" s="174" t="s">
        <v>3301</v>
      </c>
      <c r="C169" s="111"/>
      <c r="D169" s="130" t="s">
        <v>3302</v>
      </c>
      <c r="E169" s="111"/>
      <c r="F169" s="10" t="s">
        <v>3303</v>
      </c>
    </row>
    <row r="170" spans="2:6" ht="19.95" customHeight="1" x14ac:dyDescent="0.3">
      <c r="B170" s="173" t="s">
        <v>3304</v>
      </c>
      <c r="C170" s="133"/>
      <c r="D170" s="132" t="s">
        <v>3305</v>
      </c>
      <c r="E170" s="133"/>
      <c r="F170" s="13" t="s">
        <v>3306</v>
      </c>
    </row>
    <row r="171" spans="2:6" ht="33.75" customHeight="1" x14ac:dyDescent="0.3">
      <c r="B171" s="174" t="s">
        <v>3307</v>
      </c>
      <c r="C171" s="111"/>
      <c r="D171" s="130" t="s">
        <v>3308</v>
      </c>
      <c r="E171" s="111"/>
      <c r="F171" s="10" t="s">
        <v>3309</v>
      </c>
    </row>
    <row r="172" spans="2:6" ht="6" customHeight="1" x14ac:dyDescent="0.3"/>
    <row r="173" spans="2:6" ht="7.05" customHeight="1" x14ac:dyDescent="0.3"/>
    <row r="174" spans="2:6" ht="22.95" customHeight="1" x14ac:dyDescent="0.3">
      <c r="B174" s="156" t="s">
        <v>3310</v>
      </c>
      <c r="C174" s="157"/>
      <c r="D174" s="157"/>
      <c r="E174" s="157"/>
      <c r="F174" s="157"/>
    </row>
    <row r="175" spans="2:6" ht="4.05" customHeight="1" x14ac:dyDescent="0.3"/>
    <row r="176" spans="2:6" ht="22.05" customHeight="1" x14ac:dyDescent="0.3">
      <c r="B176" s="7" t="s">
        <v>73</v>
      </c>
      <c r="C176" s="7" t="s">
        <v>159</v>
      </c>
      <c r="D176" s="7" t="s">
        <v>160</v>
      </c>
      <c r="E176" s="7" t="s">
        <v>161</v>
      </c>
      <c r="F176" s="7" t="s">
        <v>162</v>
      </c>
    </row>
    <row r="177" spans="2:6" ht="33.75" customHeight="1" x14ac:dyDescent="0.3">
      <c r="B177" s="8" t="s">
        <v>77</v>
      </c>
      <c r="C177" s="14" t="s">
        <v>3311</v>
      </c>
      <c r="D177" s="10" t="s">
        <v>3312</v>
      </c>
      <c r="E177" s="10"/>
      <c r="F177" s="10"/>
    </row>
    <row r="178" spans="2:6" ht="33.75" customHeight="1" x14ac:dyDescent="0.3">
      <c r="B178" s="11" t="s">
        <v>81</v>
      </c>
      <c r="C178" s="15" t="s">
        <v>3313</v>
      </c>
      <c r="D178" s="13" t="s">
        <v>3314</v>
      </c>
      <c r="E178" s="13"/>
      <c r="F178" s="13" t="s">
        <v>3315</v>
      </c>
    </row>
    <row r="179" spans="2:6" ht="33.75" customHeight="1" x14ac:dyDescent="0.3">
      <c r="B179" s="8" t="s">
        <v>85</v>
      </c>
      <c r="C179" s="14" t="s">
        <v>3316</v>
      </c>
      <c r="D179" s="10" t="s">
        <v>3317</v>
      </c>
      <c r="E179" s="10"/>
      <c r="F179" s="10"/>
    </row>
    <row r="180" spans="2:6" ht="33.75" customHeight="1" x14ac:dyDescent="0.3">
      <c r="B180" s="11" t="s">
        <v>88</v>
      </c>
      <c r="C180" s="15" t="s">
        <v>3294</v>
      </c>
      <c r="D180" s="13" t="s">
        <v>3318</v>
      </c>
      <c r="E180" s="13"/>
      <c r="F180" s="13" t="s">
        <v>3319</v>
      </c>
    </row>
    <row r="181" spans="2:6" ht="6" customHeight="1" x14ac:dyDescent="0.3"/>
    <row r="182" spans="2:6" ht="22.05" customHeight="1" x14ac:dyDescent="0.3">
      <c r="B182" s="144" t="s">
        <v>3320</v>
      </c>
      <c r="C182" s="145"/>
      <c r="D182" s="144" t="s">
        <v>53</v>
      </c>
      <c r="E182" s="171"/>
      <c r="F182" s="145"/>
    </row>
    <row r="183" spans="2:6" ht="19.95" customHeight="1" x14ac:dyDescent="0.3">
      <c r="B183" s="149" t="s">
        <v>3321</v>
      </c>
      <c r="C183" s="137"/>
      <c r="D183" s="130" t="s">
        <v>3322</v>
      </c>
      <c r="E183" s="110"/>
      <c r="F183" s="111"/>
    </row>
    <row r="184" spans="2:6" ht="19.95" customHeight="1" x14ac:dyDescent="0.3">
      <c r="B184" s="149" t="s">
        <v>3323</v>
      </c>
      <c r="C184" s="137"/>
      <c r="D184" s="132" t="s">
        <v>3324</v>
      </c>
      <c r="E184" s="169"/>
      <c r="F184" s="133"/>
    </row>
    <row r="185" spans="2:6" ht="19.95" customHeight="1" x14ac:dyDescent="0.3">
      <c r="B185" s="149" t="s">
        <v>3325</v>
      </c>
      <c r="C185" s="137"/>
      <c r="D185" s="130" t="s">
        <v>3326</v>
      </c>
      <c r="E185" s="110"/>
      <c r="F185" s="111"/>
    </row>
    <row r="186" spans="2:6" ht="19.95" customHeight="1" x14ac:dyDescent="0.3">
      <c r="B186" s="149" t="s">
        <v>3327</v>
      </c>
      <c r="C186" s="137"/>
      <c r="D186" s="132" t="s">
        <v>3328</v>
      </c>
      <c r="E186" s="169"/>
      <c r="F186" s="133"/>
    </row>
    <row r="187" spans="2:6" ht="33.75" customHeight="1" x14ac:dyDescent="0.3">
      <c r="B187" s="149" t="s">
        <v>3329</v>
      </c>
      <c r="C187" s="137"/>
      <c r="D187" s="130" t="s">
        <v>3330</v>
      </c>
      <c r="E187" s="110"/>
      <c r="F187" s="111"/>
    </row>
    <row r="188" spans="2:6" ht="19.95" customHeight="1" x14ac:dyDescent="0.3">
      <c r="B188" s="149" t="s">
        <v>3331</v>
      </c>
      <c r="C188" s="137"/>
      <c r="D188" s="132" t="s">
        <v>3332</v>
      </c>
      <c r="E188" s="169"/>
      <c r="F188" s="133"/>
    </row>
    <row r="189" spans="2:6" ht="33.75" customHeight="1" x14ac:dyDescent="0.3">
      <c r="B189" s="149" t="s">
        <v>3333</v>
      </c>
      <c r="C189" s="137"/>
      <c r="D189" s="130" t="s">
        <v>3334</v>
      </c>
      <c r="E189" s="110"/>
      <c r="F189" s="111"/>
    </row>
    <row r="190" spans="2:6" ht="6" customHeight="1" x14ac:dyDescent="0.3"/>
  </sheetData>
  <mergeCells count="77">
    <mergeCell ref="B189:C189"/>
    <mergeCell ref="E81:F81"/>
    <mergeCell ref="D124:F124"/>
    <mergeCell ref="B188:C188"/>
    <mergeCell ref="B126:C126"/>
    <mergeCell ref="D126:F126"/>
    <mergeCell ref="B165:F165"/>
    <mergeCell ref="E82:F82"/>
    <mergeCell ref="D125:F125"/>
    <mergeCell ref="B151:F151"/>
    <mergeCell ref="B130:F147"/>
    <mergeCell ref="B89:F89"/>
    <mergeCell ref="B123:C123"/>
    <mergeCell ref="B153:F153"/>
    <mergeCell ref="B1:F1"/>
    <mergeCell ref="B50:F71"/>
    <mergeCell ref="C160:F160"/>
    <mergeCell ref="E78:F78"/>
    <mergeCell ref="D121:F121"/>
    <mergeCell ref="B82:C82"/>
    <mergeCell ref="E77:F77"/>
    <mergeCell ref="B87:F87"/>
    <mergeCell ref="C128:F128"/>
    <mergeCell ref="E80:F80"/>
    <mergeCell ref="D123:F123"/>
    <mergeCell ref="B2:E2"/>
    <mergeCell ref="C84:F84"/>
    <mergeCell ref="B124:C124"/>
    <mergeCell ref="B8:C8"/>
    <mergeCell ref="D8:E8"/>
    <mergeCell ref="B4:F4"/>
    <mergeCell ref="B75:F75"/>
    <mergeCell ref="B125:C125"/>
    <mergeCell ref="B7:C7"/>
    <mergeCell ref="B185:C185"/>
    <mergeCell ref="B81:C81"/>
    <mergeCell ref="B121:C121"/>
    <mergeCell ref="B122:C122"/>
    <mergeCell ref="B184:C184"/>
    <mergeCell ref="D170:E170"/>
    <mergeCell ref="B48:F48"/>
    <mergeCell ref="D122:F122"/>
    <mergeCell ref="D184:F184"/>
    <mergeCell ref="B170:C170"/>
    <mergeCell ref="B171:C171"/>
    <mergeCell ref="D171:E171"/>
    <mergeCell ref="B6:C6"/>
    <mergeCell ref="B80:C80"/>
    <mergeCell ref="B169:C169"/>
    <mergeCell ref="D169:E169"/>
    <mergeCell ref="B79:C79"/>
    <mergeCell ref="B28:F47"/>
    <mergeCell ref="B148:F148"/>
    <mergeCell ref="D188:F188"/>
    <mergeCell ref="B186:C186"/>
    <mergeCell ref="C162:F162"/>
    <mergeCell ref="B168:C168"/>
    <mergeCell ref="D168:E168"/>
    <mergeCell ref="D182:F182"/>
    <mergeCell ref="B187:C187"/>
    <mergeCell ref="D187:F187"/>
    <mergeCell ref="D189:F189"/>
    <mergeCell ref="E79:F79"/>
    <mergeCell ref="B77:C77"/>
    <mergeCell ref="D6:E6"/>
    <mergeCell ref="B11:F11"/>
    <mergeCell ref="B182:C182"/>
    <mergeCell ref="B78:C78"/>
    <mergeCell ref="D7:E7"/>
    <mergeCell ref="B174:F174"/>
    <mergeCell ref="B183:C183"/>
    <mergeCell ref="D186:F186"/>
    <mergeCell ref="D183:F183"/>
    <mergeCell ref="D185:F185"/>
    <mergeCell ref="B72:F72"/>
    <mergeCell ref="B167:F167"/>
    <mergeCell ref="C98:F98"/>
  </mergeCells>
  <phoneticPr fontId="27"/>
  <hyperlinks>
    <hyperlink ref="F2" location="'目次'!A1" display="▲ 目次へ戻る" xr:uid="{00000000-0004-0000-10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14:B26 B91:B96 B155:B158 B177:B180"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pageSetUpPr fitToPage="1"/>
  </sheetPr>
  <dimension ref="B1:F169"/>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3335</v>
      </c>
      <c r="C1" s="118"/>
      <c r="D1" s="118"/>
      <c r="E1" s="118"/>
      <c r="F1" s="118"/>
    </row>
    <row r="2" spans="2:6" ht="24" customHeight="1" x14ac:dyDescent="0.3">
      <c r="B2" s="141" t="s">
        <v>3336</v>
      </c>
      <c r="C2" s="113"/>
      <c r="D2" s="113"/>
      <c r="E2" s="113"/>
      <c r="F2" s="4" t="s">
        <v>38</v>
      </c>
    </row>
    <row r="3" spans="2:6" ht="12" customHeight="1" x14ac:dyDescent="0.3"/>
    <row r="4" spans="2:6" ht="27" customHeight="1" x14ac:dyDescent="0.3">
      <c r="B4" s="128" t="s">
        <v>3337</v>
      </c>
      <c r="C4" s="124"/>
      <c r="D4" s="124"/>
      <c r="E4" s="124"/>
      <c r="F4" s="124"/>
    </row>
    <row r="5" spans="2:6" ht="4.95" customHeight="1" x14ac:dyDescent="0.3"/>
    <row r="6" spans="2:6" ht="22.05" customHeight="1" x14ac:dyDescent="0.3">
      <c r="B6" s="144" t="s">
        <v>3338</v>
      </c>
      <c r="C6" s="145"/>
      <c r="D6" s="144" t="s">
        <v>75</v>
      </c>
      <c r="E6" s="145"/>
      <c r="F6" s="7" t="s">
        <v>3339</v>
      </c>
    </row>
    <row r="7" spans="2:6" ht="19.95" customHeight="1" x14ac:dyDescent="0.3">
      <c r="B7" s="174" t="s">
        <v>3340</v>
      </c>
      <c r="C7" s="111"/>
      <c r="D7" s="130" t="s">
        <v>3341</v>
      </c>
      <c r="E7" s="111"/>
      <c r="F7" s="10" t="s">
        <v>131</v>
      </c>
    </row>
    <row r="8" spans="2:6" ht="19.95" customHeight="1" x14ac:dyDescent="0.3">
      <c r="B8" s="173" t="s">
        <v>3342</v>
      </c>
      <c r="C8" s="133"/>
      <c r="D8" s="132" t="s">
        <v>3343</v>
      </c>
      <c r="E8" s="133"/>
      <c r="F8" s="13" t="s">
        <v>3344</v>
      </c>
    </row>
    <row r="9" spans="2:6" ht="19.95" customHeight="1" x14ac:dyDescent="0.3">
      <c r="B9" s="174" t="s">
        <v>3345</v>
      </c>
      <c r="C9" s="111"/>
      <c r="D9" s="130" t="s">
        <v>3346</v>
      </c>
      <c r="E9" s="111"/>
      <c r="F9" s="10" t="s">
        <v>3347</v>
      </c>
    </row>
    <row r="10" spans="2:6" ht="19.95" customHeight="1" x14ac:dyDescent="0.3">
      <c r="B10" s="173" t="s">
        <v>3348</v>
      </c>
      <c r="C10" s="133"/>
      <c r="D10" s="132" t="s">
        <v>3349</v>
      </c>
      <c r="E10" s="133"/>
      <c r="F10" s="13" t="s">
        <v>137</v>
      </c>
    </row>
    <row r="11" spans="2:6" ht="6" customHeight="1" x14ac:dyDescent="0.3"/>
    <row r="12" spans="2:6" ht="22.05" customHeight="1" x14ac:dyDescent="0.3">
      <c r="B12" s="16" t="s">
        <v>64</v>
      </c>
      <c r="C12" s="152" t="s">
        <v>3350</v>
      </c>
      <c r="D12" s="153"/>
      <c r="E12" s="153"/>
      <c r="F12" s="105"/>
    </row>
    <row r="13" spans="2:6" ht="4.95" customHeight="1" x14ac:dyDescent="0.3"/>
    <row r="14" spans="2:6" ht="12" customHeight="1" x14ac:dyDescent="0.3"/>
    <row r="15" spans="2:6" ht="27" customHeight="1" x14ac:dyDescent="0.3">
      <c r="B15" s="128" t="s">
        <v>3351</v>
      </c>
      <c r="C15" s="124"/>
      <c r="D15" s="124"/>
      <c r="E15" s="124"/>
      <c r="F15" s="124"/>
    </row>
    <row r="16" spans="2:6" ht="4.95" customHeight="1" x14ac:dyDescent="0.3"/>
    <row r="17" spans="2:6" ht="19.350000000000001" customHeight="1" x14ac:dyDescent="0.3">
      <c r="B17" s="129" t="s">
        <v>3352</v>
      </c>
      <c r="C17" s="113"/>
      <c r="D17" s="113"/>
      <c r="E17" s="113"/>
      <c r="F17" s="113"/>
    </row>
    <row r="18" spans="2:6" ht="22.05" customHeight="1" x14ac:dyDescent="0.3">
      <c r="B18" s="144" t="s">
        <v>3353</v>
      </c>
      <c r="C18" s="145"/>
      <c r="D18" s="7" t="s">
        <v>3354</v>
      </c>
      <c r="E18" s="144" t="s">
        <v>53</v>
      </c>
      <c r="F18" s="145"/>
    </row>
    <row r="19" spans="2:6" ht="19.95" customHeight="1" x14ac:dyDescent="0.3">
      <c r="B19" s="174" t="s">
        <v>3355</v>
      </c>
      <c r="C19" s="111"/>
      <c r="D19" s="54" t="s">
        <v>3356</v>
      </c>
      <c r="E19" s="130" t="s">
        <v>3357</v>
      </c>
      <c r="F19" s="111"/>
    </row>
    <row r="20" spans="2:6" ht="19.95" customHeight="1" x14ac:dyDescent="0.3">
      <c r="B20" s="173" t="s">
        <v>3358</v>
      </c>
      <c r="C20" s="133"/>
      <c r="D20" s="54" t="s">
        <v>3359</v>
      </c>
      <c r="E20" s="132" t="s">
        <v>3360</v>
      </c>
      <c r="F20" s="133"/>
    </row>
    <row r="21" spans="2:6" ht="19.95" customHeight="1" x14ac:dyDescent="0.3">
      <c r="B21" s="174" t="s">
        <v>3361</v>
      </c>
      <c r="C21" s="111"/>
      <c r="D21" s="54" t="s">
        <v>3362</v>
      </c>
      <c r="E21" s="130" t="s">
        <v>3363</v>
      </c>
      <c r="F21" s="111"/>
    </row>
    <row r="22" spans="2:6" ht="19.95" customHeight="1" x14ac:dyDescent="0.3">
      <c r="B22" s="173" t="s">
        <v>3364</v>
      </c>
      <c r="C22" s="133"/>
      <c r="D22" s="54" t="s">
        <v>3365</v>
      </c>
      <c r="E22" s="132" t="s">
        <v>3366</v>
      </c>
      <c r="F22" s="133"/>
    </row>
    <row r="23" spans="2:6" ht="19.95" customHeight="1" x14ac:dyDescent="0.3">
      <c r="B23" s="174" t="s">
        <v>3367</v>
      </c>
      <c r="C23" s="111"/>
      <c r="D23" s="54" t="s">
        <v>3368</v>
      </c>
      <c r="E23" s="130" t="s">
        <v>3369</v>
      </c>
      <c r="F23" s="111"/>
    </row>
    <row r="24" spans="2:6" ht="19.95" customHeight="1" x14ac:dyDescent="0.3">
      <c r="B24" s="173" t="s">
        <v>3370</v>
      </c>
      <c r="C24" s="133"/>
      <c r="D24" s="54" t="s">
        <v>3371</v>
      </c>
      <c r="E24" s="132" t="s">
        <v>3372</v>
      </c>
      <c r="F24" s="133"/>
    </row>
    <row r="25" spans="2:6" ht="6" customHeight="1" x14ac:dyDescent="0.3"/>
    <row r="26" spans="2:6" ht="22.05" customHeight="1" x14ac:dyDescent="0.3">
      <c r="B26" s="37" t="s">
        <v>66</v>
      </c>
      <c r="C26" s="152" t="s">
        <v>3373</v>
      </c>
      <c r="D26" s="153"/>
      <c r="E26" s="153"/>
      <c r="F26" s="105"/>
    </row>
    <row r="27" spans="2:6" ht="4.95" customHeight="1" x14ac:dyDescent="0.3"/>
    <row r="28" spans="2:6" ht="12" customHeight="1" x14ac:dyDescent="0.3"/>
    <row r="29" spans="2:6" ht="27" customHeight="1" x14ac:dyDescent="0.3">
      <c r="B29" s="128" t="s">
        <v>3374</v>
      </c>
      <c r="C29" s="124"/>
      <c r="D29" s="124"/>
      <c r="E29" s="124"/>
      <c r="F29" s="124"/>
    </row>
    <row r="30" spans="2:6" ht="4.95" customHeight="1" x14ac:dyDescent="0.3"/>
    <row r="31" spans="2:6" ht="22.05" customHeight="1" x14ac:dyDescent="0.3">
      <c r="B31" s="144" t="s">
        <v>369</v>
      </c>
      <c r="C31" s="145"/>
      <c r="D31" s="7" t="s">
        <v>3375</v>
      </c>
      <c r="E31" s="144" t="s">
        <v>3376</v>
      </c>
      <c r="F31" s="145"/>
    </row>
    <row r="32" spans="2:6" ht="19.95" customHeight="1" x14ac:dyDescent="0.3">
      <c r="B32" s="174" t="s">
        <v>3377</v>
      </c>
      <c r="C32" s="111"/>
      <c r="D32" s="54" t="s">
        <v>3378</v>
      </c>
      <c r="E32" s="149" t="s">
        <v>2301</v>
      </c>
      <c r="F32" s="137"/>
    </row>
    <row r="33" spans="2:6" ht="19.95" customHeight="1" x14ac:dyDescent="0.3">
      <c r="B33" s="173" t="s">
        <v>3379</v>
      </c>
      <c r="C33" s="133"/>
      <c r="D33" s="54" t="s">
        <v>3380</v>
      </c>
      <c r="E33" s="149" t="s">
        <v>3381</v>
      </c>
      <c r="F33" s="137"/>
    </row>
    <row r="34" spans="2:6" ht="19.95" customHeight="1" x14ac:dyDescent="0.3">
      <c r="B34" s="174" t="s">
        <v>3382</v>
      </c>
      <c r="C34" s="111"/>
      <c r="D34" s="54" t="s">
        <v>3383</v>
      </c>
      <c r="E34" s="149" t="s">
        <v>3381</v>
      </c>
      <c r="F34" s="137"/>
    </row>
    <row r="35" spans="2:6" ht="19.95" customHeight="1" x14ac:dyDescent="0.3">
      <c r="B35" s="173" t="s">
        <v>360</v>
      </c>
      <c r="C35" s="133"/>
      <c r="D35" s="54" t="s">
        <v>3384</v>
      </c>
      <c r="E35" s="149" t="s">
        <v>3385</v>
      </c>
      <c r="F35" s="137"/>
    </row>
    <row r="36" spans="2:6" ht="19.95" customHeight="1" x14ac:dyDescent="0.3">
      <c r="B36" s="174" t="s">
        <v>3386</v>
      </c>
      <c r="C36" s="111"/>
      <c r="D36" s="54" t="s">
        <v>3387</v>
      </c>
      <c r="E36" s="149" t="s">
        <v>3388</v>
      </c>
      <c r="F36" s="137"/>
    </row>
    <row r="37" spans="2:6" ht="19.95" customHeight="1" x14ac:dyDescent="0.3">
      <c r="B37" s="173" t="s">
        <v>3389</v>
      </c>
      <c r="C37" s="133"/>
      <c r="D37" s="54" t="s">
        <v>3390</v>
      </c>
      <c r="E37" s="149" t="s">
        <v>3388</v>
      </c>
      <c r="F37" s="137"/>
    </row>
    <row r="38" spans="2:6" ht="19.95" customHeight="1" x14ac:dyDescent="0.3">
      <c r="B38" s="174" t="s">
        <v>3391</v>
      </c>
      <c r="C38" s="111"/>
      <c r="D38" s="54" t="s">
        <v>3392</v>
      </c>
      <c r="E38" s="149" t="s">
        <v>3393</v>
      </c>
      <c r="F38" s="137"/>
    </row>
    <row r="39" spans="2:6" ht="19.95" customHeight="1" x14ac:dyDescent="0.3">
      <c r="B39" s="173" t="s">
        <v>3394</v>
      </c>
      <c r="C39" s="133"/>
      <c r="D39" s="54" t="s">
        <v>3395</v>
      </c>
      <c r="E39" s="149" t="s">
        <v>3388</v>
      </c>
      <c r="F39" s="137"/>
    </row>
    <row r="40" spans="2:6" ht="6" customHeight="1" x14ac:dyDescent="0.3"/>
    <row r="41" spans="2:6" ht="12" customHeight="1" x14ac:dyDescent="0.3"/>
    <row r="42" spans="2:6" ht="27" customHeight="1" x14ac:dyDescent="0.3">
      <c r="B42" s="128" t="s">
        <v>3396</v>
      </c>
      <c r="C42" s="124"/>
      <c r="D42" s="124"/>
      <c r="E42" s="124"/>
      <c r="F42" s="124"/>
    </row>
    <row r="43" spans="2:6" ht="4.95" customHeight="1" x14ac:dyDescent="0.3"/>
    <row r="44" spans="2:6" ht="19.350000000000001" customHeight="1" x14ac:dyDescent="0.3">
      <c r="B44" s="129" t="s">
        <v>3397</v>
      </c>
      <c r="C44" s="113"/>
      <c r="D44" s="113"/>
      <c r="E44" s="113"/>
      <c r="F44" s="113"/>
    </row>
    <row r="45" spans="2:6" ht="22.05" customHeight="1" x14ac:dyDescent="0.3">
      <c r="B45" s="144" t="s">
        <v>369</v>
      </c>
      <c r="C45" s="145"/>
      <c r="D45" s="7" t="s">
        <v>3398</v>
      </c>
      <c r="E45" s="144" t="s">
        <v>772</v>
      </c>
      <c r="F45" s="145"/>
    </row>
    <row r="46" spans="2:6" ht="19.95" customHeight="1" x14ac:dyDescent="0.3">
      <c r="B46" s="174" t="s">
        <v>2122</v>
      </c>
      <c r="C46" s="111"/>
      <c r="D46" s="54" t="s">
        <v>3399</v>
      </c>
      <c r="E46" s="130" t="s">
        <v>3400</v>
      </c>
      <c r="F46" s="111"/>
    </row>
    <row r="47" spans="2:6" ht="19.95" customHeight="1" x14ac:dyDescent="0.3">
      <c r="B47" s="173" t="s">
        <v>3401</v>
      </c>
      <c r="C47" s="133"/>
      <c r="D47" s="54" t="s">
        <v>3402</v>
      </c>
      <c r="E47" s="132" t="s">
        <v>2126</v>
      </c>
      <c r="F47" s="133"/>
    </row>
    <row r="48" spans="2:6" ht="19.95" customHeight="1" x14ac:dyDescent="0.3">
      <c r="B48" s="174" t="s">
        <v>3403</v>
      </c>
      <c r="C48" s="111"/>
      <c r="D48" s="54" t="s">
        <v>3404</v>
      </c>
      <c r="E48" s="130" t="s">
        <v>3405</v>
      </c>
      <c r="F48" s="111"/>
    </row>
    <row r="49" spans="2:6" ht="19.95" customHeight="1" x14ac:dyDescent="0.3">
      <c r="B49" s="173" t="s">
        <v>3406</v>
      </c>
      <c r="C49" s="133"/>
      <c r="D49" s="54" t="s">
        <v>3407</v>
      </c>
      <c r="E49" s="132" t="s">
        <v>3408</v>
      </c>
      <c r="F49" s="133"/>
    </row>
    <row r="50" spans="2:6" ht="19.95" customHeight="1" x14ac:dyDescent="0.3">
      <c r="B50" s="174" t="s">
        <v>3409</v>
      </c>
      <c r="C50" s="111"/>
      <c r="D50" s="54" t="s">
        <v>3410</v>
      </c>
      <c r="E50" s="130" t="s">
        <v>3411</v>
      </c>
      <c r="F50" s="111"/>
    </row>
    <row r="51" spans="2:6" ht="19.95" customHeight="1" x14ac:dyDescent="0.3">
      <c r="B51" s="173" t="s">
        <v>3412</v>
      </c>
      <c r="C51" s="133"/>
      <c r="D51" s="54" t="s">
        <v>3413</v>
      </c>
      <c r="E51" s="132" t="s">
        <v>3414</v>
      </c>
      <c r="F51" s="133"/>
    </row>
    <row r="52" spans="2:6" ht="19.95" customHeight="1" x14ac:dyDescent="0.3">
      <c r="B52" s="174" t="s">
        <v>3415</v>
      </c>
      <c r="C52" s="111"/>
      <c r="D52" s="54" t="s">
        <v>3416</v>
      </c>
      <c r="E52" s="130" t="s">
        <v>3417</v>
      </c>
      <c r="F52" s="111"/>
    </row>
    <row r="53" spans="2:6" ht="19.95" customHeight="1" x14ac:dyDescent="0.3">
      <c r="B53" s="173" t="s">
        <v>2146</v>
      </c>
      <c r="C53" s="133"/>
      <c r="D53" s="54" t="s">
        <v>3418</v>
      </c>
      <c r="E53" s="132" t="s">
        <v>3419</v>
      </c>
      <c r="F53" s="133"/>
    </row>
    <row r="54" spans="2:6" ht="62.55" customHeight="1" x14ac:dyDescent="0.3">
      <c r="B54" s="174" t="s">
        <v>3332</v>
      </c>
      <c r="C54" s="111"/>
      <c r="D54" s="54" t="s">
        <v>3420</v>
      </c>
      <c r="E54" s="130" t="s">
        <v>3421</v>
      </c>
      <c r="F54" s="111"/>
    </row>
    <row r="55" spans="2:6" ht="33.75" customHeight="1" x14ac:dyDescent="0.3">
      <c r="B55" s="173" t="s">
        <v>3422</v>
      </c>
      <c r="C55" s="133"/>
      <c r="D55" s="54" t="s">
        <v>3423</v>
      </c>
      <c r="E55" s="132" t="s">
        <v>3424</v>
      </c>
      <c r="F55" s="133"/>
    </row>
    <row r="56" spans="2:6" ht="6" customHeight="1" x14ac:dyDescent="0.3"/>
    <row r="57" spans="2:6" ht="7.05" customHeight="1" x14ac:dyDescent="0.3"/>
    <row r="58" spans="2:6" ht="22.95" customHeight="1" x14ac:dyDescent="0.3">
      <c r="B58" s="156" t="s">
        <v>3425</v>
      </c>
      <c r="C58" s="157"/>
      <c r="D58" s="157"/>
      <c r="E58" s="157"/>
      <c r="F58" s="157"/>
    </row>
    <row r="59" spans="2:6" ht="4.05" customHeight="1" x14ac:dyDescent="0.3"/>
    <row r="60" spans="2:6" ht="19.350000000000001" customHeight="1" x14ac:dyDescent="0.3">
      <c r="B60" s="182" t="s">
        <v>3426</v>
      </c>
      <c r="C60" s="113"/>
      <c r="D60" s="113"/>
      <c r="E60" s="113"/>
      <c r="F60" s="113"/>
    </row>
    <row r="61" spans="2:6" ht="19.350000000000001" customHeight="1" x14ac:dyDescent="0.3">
      <c r="B61" s="5" t="s">
        <v>40</v>
      </c>
      <c r="C61" s="129" t="s">
        <v>3427</v>
      </c>
      <c r="D61" s="113"/>
      <c r="E61" s="113"/>
      <c r="F61" s="113"/>
    </row>
    <row r="62" spans="2:6" ht="19.350000000000001" customHeight="1" x14ac:dyDescent="0.3">
      <c r="B62" s="5" t="s">
        <v>40</v>
      </c>
      <c r="C62" s="129" t="s">
        <v>3428</v>
      </c>
      <c r="D62" s="113"/>
      <c r="E62" s="113"/>
      <c r="F62" s="113"/>
    </row>
    <row r="63" spans="2:6" ht="19.350000000000001" customHeight="1" x14ac:dyDescent="0.3">
      <c r="B63" s="5" t="s">
        <v>40</v>
      </c>
      <c r="C63" s="129" t="s">
        <v>3429</v>
      </c>
      <c r="D63" s="113"/>
      <c r="E63" s="113"/>
      <c r="F63" s="113"/>
    </row>
    <row r="64" spans="2:6" ht="19.350000000000001" customHeight="1" x14ac:dyDescent="0.3">
      <c r="B64" s="5" t="s">
        <v>40</v>
      </c>
      <c r="C64" s="129" t="s">
        <v>3430</v>
      </c>
      <c r="D64" s="113"/>
      <c r="E64" s="113"/>
      <c r="F64" s="113"/>
    </row>
    <row r="65" spans="2:6" ht="19.350000000000001" customHeight="1" x14ac:dyDescent="0.3">
      <c r="B65" s="5" t="s">
        <v>40</v>
      </c>
      <c r="C65" s="129" t="s">
        <v>3431</v>
      </c>
      <c r="D65" s="113"/>
      <c r="E65" s="113"/>
      <c r="F65" s="113"/>
    </row>
    <row r="66" spans="2:6" ht="33.75" customHeight="1" x14ac:dyDescent="0.3">
      <c r="B66" s="37" t="s">
        <v>66</v>
      </c>
      <c r="C66" s="152" t="s">
        <v>3432</v>
      </c>
      <c r="D66" s="153"/>
      <c r="E66" s="153"/>
      <c r="F66" s="105"/>
    </row>
    <row r="67" spans="2:6" ht="4.95" customHeight="1" x14ac:dyDescent="0.3"/>
    <row r="68" spans="2:6" ht="22.05" customHeight="1" x14ac:dyDescent="0.3">
      <c r="B68" s="22" t="s">
        <v>62</v>
      </c>
      <c r="C68" s="152" t="s">
        <v>3433</v>
      </c>
      <c r="D68" s="153"/>
      <c r="E68" s="153"/>
      <c r="F68" s="105"/>
    </row>
    <row r="69" spans="2:6" ht="4.95" customHeight="1" x14ac:dyDescent="0.3"/>
    <row r="70" spans="2:6" ht="12" customHeight="1" x14ac:dyDescent="0.3"/>
    <row r="71" spans="2:6" ht="27" customHeight="1" x14ac:dyDescent="0.3">
      <c r="B71" s="128" t="s">
        <v>3434</v>
      </c>
      <c r="C71" s="124"/>
      <c r="D71" s="124"/>
      <c r="E71" s="124"/>
      <c r="F71" s="124"/>
    </row>
    <row r="72" spans="2:6" ht="4.95" customHeight="1" x14ac:dyDescent="0.3"/>
    <row r="73" spans="2:6" ht="22.05" customHeight="1" x14ac:dyDescent="0.3">
      <c r="B73" s="144" t="s">
        <v>369</v>
      </c>
      <c r="C73" s="145"/>
      <c r="D73" s="7" t="s">
        <v>3435</v>
      </c>
      <c r="E73" s="144" t="s">
        <v>772</v>
      </c>
      <c r="F73" s="145"/>
    </row>
    <row r="74" spans="2:6" ht="19.95" customHeight="1" x14ac:dyDescent="0.3">
      <c r="B74" s="174" t="s">
        <v>3436</v>
      </c>
      <c r="C74" s="111"/>
      <c r="D74" s="54" t="s">
        <v>3437</v>
      </c>
      <c r="E74" s="130" t="s">
        <v>3438</v>
      </c>
      <c r="F74" s="111"/>
    </row>
    <row r="75" spans="2:6" ht="19.95" customHeight="1" x14ac:dyDescent="0.3">
      <c r="B75" s="173" t="s">
        <v>3439</v>
      </c>
      <c r="C75" s="133"/>
      <c r="D75" s="54" t="s">
        <v>3440</v>
      </c>
      <c r="E75" s="132" t="s">
        <v>3441</v>
      </c>
      <c r="F75" s="133"/>
    </row>
    <row r="76" spans="2:6" ht="19.95" customHeight="1" x14ac:dyDescent="0.3">
      <c r="B76" s="174" t="s">
        <v>3332</v>
      </c>
      <c r="C76" s="111"/>
      <c r="D76" s="54" t="s">
        <v>3442</v>
      </c>
      <c r="E76" s="130" t="s">
        <v>3443</v>
      </c>
      <c r="F76" s="111"/>
    </row>
    <row r="77" spans="2:6" ht="19.95" customHeight="1" x14ac:dyDescent="0.3">
      <c r="B77" s="173" t="s">
        <v>3444</v>
      </c>
      <c r="C77" s="133"/>
      <c r="D77" s="54" t="s">
        <v>3445</v>
      </c>
      <c r="E77" s="132"/>
      <c r="F77" s="133"/>
    </row>
    <row r="78" spans="2:6" ht="33.75" customHeight="1" x14ac:dyDescent="0.3">
      <c r="B78" s="174" t="s">
        <v>3446</v>
      </c>
      <c r="C78" s="111"/>
      <c r="D78" s="54" t="s">
        <v>3447</v>
      </c>
      <c r="E78" s="130"/>
      <c r="F78" s="111"/>
    </row>
    <row r="79" spans="2:6" ht="19.95" customHeight="1" x14ac:dyDescent="0.3">
      <c r="B79" s="173" t="s">
        <v>3415</v>
      </c>
      <c r="C79" s="133"/>
      <c r="D79" s="54" t="s">
        <v>3448</v>
      </c>
      <c r="E79" s="132"/>
      <c r="F79" s="133"/>
    </row>
    <row r="80" spans="2:6" ht="19.95" customHeight="1" x14ac:dyDescent="0.3">
      <c r="B80" s="174" t="s">
        <v>3449</v>
      </c>
      <c r="C80" s="111"/>
      <c r="D80" s="54" t="s">
        <v>3450</v>
      </c>
      <c r="E80" s="130" t="s">
        <v>3451</v>
      </c>
      <c r="F80" s="111"/>
    </row>
    <row r="81" spans="2:6" ht="6" customHeight="1" x14ac:dyDescent="0.3"/>
    <row r="82" spans="2:6" ht="22.05" customHeight="1" x14ac:dyDescent="0.3">
      <c r="B82" s="22" t="s">
        <v>62</v>
      </c>
      <c r="C82" s="152" t="s">
        <v>3452</v>
      </c>
      <c r="D82" s="153"/>
      <c r="E82" s="153"/>
      <c r="F82" s="105"/>
    </row>
    <row r="83" spans="2:6" ht="4.95" customHeight="1" x14ac:dyDescent="0.3"/>
    <row r="84" spans="2:6" ht="12" customHeight="1" x14ac:dyDescent="0.3"/>
    <row r="85" spans="2:6" ht="27" customHeight="1" x14ac:dyDescent="0.3">
      <c r="B85" s="128" t="s">
        <v>3453</v>
      </c>
      <c r="C85" s="124"/>
      <c r="D85" s="124"/>
      <c r="E85" s="124"/>
      <c r="F85" s="124"/>
    </row>
    <row r="86" spans="2:6" ht="4.95" customHeight="1" x14ac:dyDescent="0.3"/>
    <row r="87" spans="2:6" ht="22.05" customHeight="1" x14ac:dyDescent="0.3">
      <c r="B87" s="7" t="s">
        <v>73</v>
      </c>
      <c r="C87" s="7" t="s">
        <v>159</v>
      </c>
      <c r="D87" s="7" t="s">
        <v>160</v>
      </c>
      <c r="E87" s="7" t="s">
        <v>161</v>
      </c>
      <c r="F87" s="7" t="s">
        <v>162</v>
      </c>
    </row>
    <row r="88" spans="2:6" ht="33.75" customHeight="1" x14ac:dyDescent="0.3">
      <c r="B88" s="8" t="s">
        <v>77</v>
      </c>
      <c r="C88" s="14" t="s">
        <v>3454</v>
      </c>
      <c r="D88" s="10" t="s">
        <v>3455</v>
      </c>
      <c r="E88" s="10"/>
      <c r="F88" s="10"/>
    </row>
    <row r="89" spans="2:6" ht="33.75" customHeight="1" x14ac:dyDescent="0.3">
      <c r="B89" s="11" t="s">
        <v>81</v>
      </c>
      <c r="C89" s="15" t="s">
        <v>3456</v>
      </c>
      <c r="D89" s="13" t="s">
        <v>3457</v>
      </c>
      <c r="E89" s="13"/>
      <c r="F89" s="13"/>
    </row>
    <row r="90" spans="2:6" ht="33.75" customHeight="1" x14ac:dyDescent="0.3">
      <c r="B90" s="8" t="s">
        <v>85</v>
      </c>
      <c r="C90" s="14" t="s">
        <v>3458</v>
      </c>
      <c r="D90" s="10" t="s">
        <v>3459</v>
      </c>
      <c r="E90" s="10"/>
      <c r="F90" s="10" t="s">
        <v>3460</v>
      </c>
    </row>
    <row r="91" spans="2:6" ht="33.75" customHeight="1" x14ac:dyDescent="0.3">
      <c r="B91" s="11" t="s">
        <v>88</v>
      </c>
      <c r="C91" s="15" t="s">
        <v>3461</v>
      </c>
      <c r="D91" s="13" t="s">
        <v>3462</v>
      </c>
      <c r="E91" s="13"/>
      <c r="F91" s="13" t="s">
        <v>3463</v>
      </c>
    </row>
    <row r="92" spans="2:6" ht="33.75" customHeight="1" x14ac:dyDescent="0.3">
      <c r="B92" s="8" t="s">
        <v>91</v>
      </c>
      <c r="C92" s="14" t="s">
        <v>3464</v>
      </c>
      <c r="D92" s="10" t="s">
        <v>3465</v>
      </c>
      <c r="E92" s="10"/>
      <c r="F92" s="10"/>
    </row>
    <row r="93" spans="2:6" ht="19.95" customHeight="1" x14ac:dyDescent="0.3">
      <c r="B93" s="11" t="s">
        <v>94</v>
      </c>
      <c r="C93" s="15" t="s">
        <v>3466</v>
      </c>
      <c r="D93" s="13" t="s">
        <v>3467</v>
      </c>
      <c r="E93" s="13"/>
      <c r="F93" s="13"/>
    </row>
    <row r="94" spans="2:6" ht="33.75" customHeight="1" x14ac:dyDescent="0.3">
      <c r="B94" s="8" t="s">
        <v>97</v>
      </c>
      <c r="C94" s="14" t="s">
        <v>3468</v>
      </c>
      <c r="D94" s="10" t="s">
        <v>3469</v>
      </c>
      <c r="E94" s="10"/>
      <c r="F94" s="10"/>
    </row>
    <row r="95" spans="2:6" ht="6" customHeight="1" x14ac:dyDescent="0.3"/>
    <row r="96" spans="2:6" ht="12" customHeight="1" x14ac:dyDescent="0.3"/>
    <row r="97" spans="2:6" ht="27" customHeight="1" x14ac:dyDescent="0.3">
      <c r="B97" s="128" t="s">
        <v>3470</v>
      </c>
      <c r="C97" s="124"/>
      <c r="D97" s="124"/>
      <c r="E97" s="124"/>
      <c r="F97" s="124"/>
    </row>
    <row r="98" spans="2:6" ht="4.95" customHeight="1" x14ac:dyDescent="0.3"/>
    <row r="99" spans="2:6" ht="22.05" customHeight="1" x14ac:dyDescent="0.3">
      <c r="B99" s="7" t="s">
        <v>73</v>
      </c>
      <c r="C99" s="7" t="s">
        <v>159</v>
      </c>
      <c r="D99" s="7" t="s">
        <v>160</v>
      </c>
      <c r="E99" s="7" t="s">
        <v>161</v>
      </c>
      <c r="F99" s="7" t="s">
        <v>162</v>
      </c>
    </row>
    <row r="100" spans="2:6" ht="33.75" customHeight="1" x14ac:dyDescent="0.3">
      <c r="B100" s="8" t="s">
        <v>77</v>
      </c>
      <c r="C100" s="14" t="s">
        <v>3471</v>
      </c>
      <c r="D100" s="10" t="s">
        <v>3472</v>
      </c>
      <c r="E100" s="10"/>
      <c r="F100" s="10"/>
    </row>
    <row r="101" spans="2:6" ht="19.95" customHeight="1" x14ac:dyDescent="0.3">
      <c r="B101" s="11" t="s">
        <v>81</v>
      </c>
      <c r="C101" s="15" t="s">
        <v>3473</v>
      </c>
      <c r="D101" s="13" t="s">
        <v>3474</v>
      </c>
      <c r="E101" s="13"/>
      <c r="F101" s="13"/>
    </row>
    <row r="102" spans="2:6" ht="33.75" customHeight="1" x14ac:dyDescent="0.3">
      <c r="B102" s="8" t="s">
        <v>85</v>
      </c>
      <c r="C102" s="14" t="s">
        <v>3475</v>
      </c>
      <c r="D102" s="10" t="s">
        <v>3476</v>
      </c>
      <c r="E102" s="10"/>
      <c r="F102" s="10"/>
    </row>
    <row r="103" spans="2:6" ht="19.95" customHeight="1" x14ac:dyDescent="0.3">
      <c r="B103" s="11" t="s">
        <v>88</v>
      </c>
      <c r="C103" s="15" t="s">
        <v>3477</v>
      </c>
      <c r="D103" s="13" t="s">
        <v>3478</v>
      </c>
      <c r="E103" s="13"/>
      <c r="F103" s="13"/>
    </row>
    <row r="104" spans="2:6" ht="33.75" customHeight="1" x14ac:dyDescent="0.3">
      <c r="B104" s="8" t="s">
        <v>91</v>
      </c>
      <c r="C104" s="14" t="s">
        <v>3479</v>
      </c>
      <c r="D104" s="10" t="s">
        <v>3480</v>
      </c>
      <c r="E104" s="10"/>
      <c r="F104" s="10" t="s">
        <v>3481</v>
      </c>
    </row>
    <row r="105" spans="2:6" ht="19.95" customHeight="1" x14ac:dyDescent="0.3">
      <c r="B105" s="11" t="s">
        <v>94</v>
      </c>
      <c r="C105" s="15" t="s">
        <v>3482</v>
      </c>
      <c r="D105" s="13" t="s">
        <v>3483</v>
      </c>
      <c r="E105" s="13"/>
      <c r="F105" s="13"/>
    </row>
    <row r="106" spans="2:6" ht="6" customHeight="1" x14ac:dyDescent="0.3"/>
    <row r="107" spans="2:6" ht="22.05" customHeight="1" x14ac:dyDescent="0.3">
      <c r="B107" s="22" t="s">
        <v>62</v>
      </c>
      <c r="C107" s="152" t="s">
        <v>3484</v>
      </c>
      <c r="D107" s="153"/>
      <c r="E107" s="153"/>
      <c r="F107" s="105"/>
    </row>
    <row r="108" spans="2:6" ht="4.95" customHeight="1" x14ac:dyDescent="0.3"/>
    <row r="109" spans="2:6" ht="12" customHeight="1" x14ac:dyDescent="0.3"/>
    <row r="110" spans="2:6" ht="27" customHeight="1" x14ac:dyDescent="0.3">
      <c r="B110" s="128" t="s">
        <v>3485</v>
      </c>
      <c r="C110" s="124"/>
      <c r="D110" s="124"/>
      <c r="E110" s="124"/>
      <c r="F110" s="124"/>
    </row>
    <row r="111" spans="2:6" ht="4.95" customHeight="1" x14ac:dyDescent="0.3"/>
    <row r="112" spans="2:6" ht="33.75" customHeight="1" x14ac:dyDescent="0.3">
      <c r="B112" s="129" t="s">
        <v>3486</v>
      </c>
      <c r="C112" s="113"/>
      <c r="D112" s="113"/>
      <c r="E112" s="113"/>
      <c r="F112" s="113"/>
    </row>
    <row r="113" spans="2:6" ht="22.05" customHeight="1" x14ac:dyDescent="0.3">
      <c r="B113" s="7" t="s">
        <v>73</v>
      </c>
      <c r="C113" s="7" t="s">
        <v>159</v>
      </c>
      <c r="D113" s="7" t="s">
        <v>160</v>
      </c>
      <c r="E113" s="7" t="s">
        <v>161</v>
      </c>
      <c r="F113" s="7" t="s">
        <v>162</v>
      </c>
    </row>
    <row r="114" spans="2:6" ht="33.75" customHeight="1" x14ac:dyDescent="0.3">
      <c r="B114" s="8" t="s">
        <v>77</v>
      </c>
      <c r="C114" s="14" t="s">
        <v>3487</v>
      </c>
      <c r="D114" s="10" t="s">
        <v>3488</v>
      </c>
      <c r="E114" s="10" t="s">
        <v>3489</v>
      </c>
      <c r="F114" s="10" t="s">
        <v>3490</v>
      </c>
    </row>
    <row r="115" spans="2:6" ht="33.75" customHeight="1" x14ac:dyDescent="0.3">
      <c r="B115" s="11" t="s">
        <v>81</v>
      </c>
      <c r="C115" s="15" t="s">
        <v>3491</v>
      </c>
      <c r="D115" s="13" t="s">
        <v>3492</v>
      </c>
      <c r="E115" s="13" t="s">
        <v>3493</v>
      </c>
      <c r="F115" s="13" t="s">
        <v>3494</v>
      </c>
    </row>
    <row r="116" spans="2:6" ht="19.95" customHeight="1" x14ac:dyDescent="0.3">
      <c r="B116" s="8" t="s">
        <v>85</v>
      </c>
      <c r="C116" s="14" t="s">
        <v>3495</v>
      </c>
      <c r="D116" s="10" t="s">
        <v>3496</v>
      </c>
      <c r="E116" s="10" t="s">
        <v>3370</v>
      </c>
      <c r="F116" s="10" t="s">
        <v>3497</v>
      </c>
    </row>
    <row r="117" spans="2:6" ht="19.95" customHeight="1" x14ac:dyDescent="0.3">
      <c r="B117" s="11" t="s">
        <v>88</v>
      </c>
      <c r="C117" s="15" t="s">
        <v>3498</v>
      </c>
      <c r="D117" s="13" t="s">
        <v>3499</v>
      </c>
      <c r="E117" s="13"/>
      <c r="F117" s="13" t="s">
        <v>3500</v>
      </c>
    </row>
    <row r="118" spans="2:6" ht="33.75" customHeight="1" x14ac:dyDescent="0.3">
      <c r="B118" s="8" t="s">
        <v>91</v>
      </c>
      <c r="C118" s="14" t="s">
        <v>3501</v>
      </c>
      <c r="D118" s="10" t="s">
        <v>3502</v>
      </c>
      <c r="E118" s="10"/>
      <c r="F118" s="10" t="s">
        <v>3503</v>
      </c>
    </row>
    <row r="119" spans="2:6" ht="6" customHeight="1" x14ac:dyDescent="0.3"/>
    <row r="120" spans="2:6" ht="22.05" customHeight="1" x14ac:dyDescent="0.3">
      <c r="B120" s="144" t="s">
        <v>369</v>
      </c>
      <c r="C120" s="145"/>
      <c r="D120" s="7" t="s">
        <v>3504</v>
      </c>
      <c r="E120" s="144" t="s">
        <v>3505</v>
      </c>
      <c r="F120" s="145"/>
    </row>
    <row r="121" spans="2:6" ht="19.95" customHeight="1" x14ac:dyDescent="0.3">
      <c r="B121" s="174" t="s">
        <v>3506</v>
      </c>
      <c r="C121" s="111"/>
      <c r="D121" s="54" t="s">
        <v>3507</v>
      </c>
      <c r="E121" s="130" t="s">
        <v>3508</v>
      </c>
      <c r="F121" s="111"/>
    </row>
    <row r="122" spans="2:6" ht="48.15" customHeight="1" x14ac:dyDescent="0.3">
      <c r="B122" s="173" t="s">
        <v>3509</v>
      </c>
      <c r="C122" s="133"/>
      <c r="D122" s="54" t="s">
        <v>3510</v>
      </c>
      <c r="E122" s="132" t="s">
        <v>3511</v>
      </c>
      <c r="F122" s="133"/>
    </row>
    <row r="123" spans="2:6" ht="48.15" customHeight="1" x14ac:dyDescent="0.3">
      <c r="B123" s="174" t="s">
        <v>3512</v>
      </c>
      <c r="C123" s="111"/>
      <c r="D123" s="54" t="s">
        <v>3513</v>
      </c>
      <c r="E123" s="130" t="s">
        <v>3514</v>
      </c>
      <c r="F123" s="111"/>
    </row>
    <row r="124" spans="2:6" ht="19.95" customHeight="1" x14ac:dyDescent="0.3">
      <c r="B124" s="173" t="s">
        <v>3415</v>
      </c>
      <c r="C124" s="133"/>
      <c r="D124" s="54" t="s">
        <v>3515</v>
      </c>
      <c r="E124" s="132" t="s">
        <v>3516</v>
      </c>
      <c r="F124" s="133"/>
    </row>
    <row r="125" spans="2:6" ht="19.95" customHeight="1" x14ac:dyDescent="0.3">
      <c r="B125" s="174" t="s">
        <v>2150</v>
      </c>
      <c r="C125" s="111"/>
      <c r="D125" s="54" t="s">
        <v>3517</v>
      </c>
      <c r="E125" s="130" t="s">
        <v>3518</v>
      </c>
      <c r="F125" s="111"/>
    </row>
    <row r="126" spans="2:6" ht="6" customHeight="1" x14ac:dyDescent="0.3"/>
    <row r="127" spans="2:6" ht="12" customHeight="1" x14ac:dyDescent="0.3"/>
    <row r="128" spans="2:6" ht="27" customHeight="1" x14ac:dyDescent="0.3">
      <c r="B128" s="128" t="s">
        <v>3519</v>
      </c>
      <c r="C128" s="124"/>
      <c r="D128" s="124"/>
      <c r="E128" s="124"/>
      <c r="F128" s="124"/>
    </row>
    <row r="129" spans="2:6" ht="4.95" customHeight="1" x14ac:dyDescent="0.3"/>
    <row r="130" spans="2:6" ht="22.05" customHeight="1" x14ac:dyDescent="0.3">
      <c r="B130" s="7" t="s">
        <v>73</v>
      </c>
      <c r="C130" s="7" t="s">
        <v>159</v>
      </c>
      <c r="D130" s="7" t="s">
        <v>160</v>
      </c>
      <c r="E130" s="7" t="s">
        <v>161</v>
      </c>
      <c r="F130" s="7" t="s">
        <v>162</v>
      </c>
    </row>
    <row r="131" spans="2:6" ht="19.95" customHeight="1" x14ac:dyDescent="0.3">
      <c r="B131" s="8" t="s">
        <v>77</v>
      </c>
      <c r="C131" s="14" t="s">
        <v>3454</v>
      </c>
      <c r="D131" s="10" t="s">
        <v>3520</v>
      </c>
      <c r="E131" s="10"/>
      <c r="F131" s="10"/>
    </row>
    <row r="132" spans="2:6" ht="33.75" customHeight="1" x14ac:dyDescent="0.3">
      <c r="B132" s="11" t="s">
        <v>81</v>
      </c>
      <c r="C132" s="15" t="s">
        <v>3521</v>
      </c>
      <c r="D132" s="13" t="s">
        <v>3522</v>
      </c>
      <c r="E132" s="13"/>
      <c r="F132" s="13"/>
    </row>
    <row r="133" spans="2:6" ht="33.75" customHeight="1" x14ac:dyDescent="0.3">
      <c r="B133" s="8" t="s">
        <v>85</v>
      </c>
      <c r="C133" s="14" t="s">
        <v>3523</v>
      </c>
      <c r="D133" s="10" t="s">
        <v>3524</v>
      </c>
      <c r="E133" s="10" t="s">
        <v>3525</v>
      </c>
      <c r="F133" s="10" t="s">
        <v>3526</v>
      </c>
    </row>
    <row r="134" spans="2:6" ht="6" customHeight="1" x14ac:dyDescent="0.3"/>
    <row r="135" spans="2:6" ht="12" customHeight="1" x14ac:dyDescent="0.3"/>
    <row r="136" spans="2:6" ht="27" customHeight="1" x14ac:dyDescent="0.3">
      <c r="B136" s="128" t="s">
        <v>3527</v>
      </c>
      <c r="C136" s="124"/>
      <c r="D136" s="124"/>
      <c r="E136" s="124"/>
      <c r="F136" s="124"/>
    </row>
    <row r="137" spans="2:6" ht="4.95" customHeight="1" x14ac:dyDescent="0.3"/>
    <row r="138" spans="2:6" ht="22.05" customHeight="1" x14ac:dyDescent="0.3">
      <c r="B138" s="144" t="s">
        <v>3528</v>
      </c>
      <c r="C138" s="145"/>
      <c r="D138" s="144" t="s">
        <v>3529</v>
      </c>
      <c r="E138" s="145"/>
      <c r="F138" s="7" t="s">
        <v>3530</v>
      </c>
    </row>
    <row r="139" spans="2:6" ht="19.95" customHeight="1" x14ac:dyDescent="0.3">
      <c r="B139" s="174" t="s">
        <v>3531</v>
      </c>
      <c r="C139" s="111"/>
      <c r="D139" s="130" t="s">
        <v>3532</v>
      </c>
      <c r="E139" s="111"/>
      <c r="F139" s="10" t="s">
        <v>3533</v>
      </c>
    </row>
    <row r="140" spans="2:6" ht="19.95" customHeight="1" x14ac:dyDescent="0.3">
      <c r="B140" s="173" t="s">
        <v>3534</v>
      </c>
      <c r="C140" s="133"/>
      <c r="D140" s="132" t="s">
        <v>3535</v>
      </c>
      <c r="E140" s="133"/>
      <c r="F140" s="13" t="s">
        <v>3536</v>
      </c>
    </row>
    <row r="141" spans="2:6" ht="19.95" customHeight="1" x14ac:dyDescent="0.3">
      <c r="B141" s="174" t="s">
        <v>3537</v>
      </c>
      <c r="C141" s="111"/>
      <c r="D141" s="130" t="s">
        <v>3538</v>
      </c>
      <c r="E141" s="111"/>
      <c r="F141" s="10" t="s">
        <v>3539</v>
      </c>
    </row>
    <row r="142" spans="2:6" ht="19.95" customHeight="1" x14ac:dyDescent="0.3">
      <c r="B142" s="173" t="s">
        <v>3540</v>
      </c>
      <c r="C142" s="133"/>
      <c r="D142" s="132" t="s">
        <v>3541</v>
      </c>
      <c r="E142" s="133"/>
      <c r="F142" s="13" t="s">
        <v>3533</v>
      </c>
    </row>
    <row r="143" spans="2:6" ht="19.95" customHeight="1" x14ac:dyDescent="0.3">
      <c r="B143" s="174" t="s">
        <v>3542</v>
      </c>
      <c r="C143" s="111"/>
      <c r="D143" s="130" t="s">
        <v>3543</v>
      </c>
      <c r="E143" s="111"/>
      <c r="F143" s="10" t="s">
        <v>3544</v>
      </c>
    </row>
    <row r="144" spans="2:6" ht="19.95" customHeight="1" x14ac:dyDescent="0.3">
      <c r="B144" s="173" t="s">
        <v>3545</v>
      </c>
      <c r="C144" s="133"/>
      <c r="D144" s="132" t="s">
        <v>3546</v>
      </c>
      <c r="E144" s="133"/>
      <c r="F144" s="13" t="s">
        <v>130</v>
      </c>
    </row>
    <row r="145" spans="2:6" ht="19.95" customHeight="1" x14ac:dyDescent="0.3">
      <c r="B145" s="174" t="s">
        <v>3547</v>
      </c>
      <c r="C145" s="111"/>
      <c r="D145" s="130" t="s">
        <v>3548</v>
      </c>
      <c r="E145" s="111"/>
      <c r="F145" s="10" t="s">
        <v>3549</v>
      </c>
    </row>
    <row r="146" spans="2:6" ht="19.95" customHeight="1" x14ac:dyDescent="0.3">
      <c r="B146" s="173" t="s">
        <v>3550</v>
      </c>
      <c r="C146" s="133"/>
      <c r="D146" s="132" t="s">
        <v>3551</v>
      </c>
      <c r="E146" s="133"/>
      <c r="F146" s="13"/>
    </row>
    <row r="147" spans="2:6" ht="19.95" customHeight="1" x14ac:dyDescent="0.3">
      <c r="B147" s="174" t="s">
        <v>3552</v>
      </c>
      <c r="C147" s="111"/>
      <c r="D147" s="130" t="s">
        <v>3553</v>
      </c>
      <c r="E147" s="111"/>
      <c r="F147" s="10" t="s">
        <v>117</v>
      </c>
    </row>
    <row r="148" spans="2:6" ht="6" customHeight="1" x14ac:dyDescent="0.3"/>
    <row r="149" spans="2:6" ht="7.05" customHeight="1" x14ac:dyDescent="0.3"/>
    <row r="150" spans="2:6" ht="22.95" customHeight="1" x14ac:dyDescent="0.3">
      <c r="B150" s="156" t="s">
        <v>3554</v>
      </c>
      <c r="C150" s="157"/>
      <c r="D150" s="157"/>
      <c r="E150" s="157"/>
      <c r="F150" s="157"/>
    </row>
    <row r="151" spans="2:6" ht="4.05" customHeight="1" x14ac:dyDescent="0.3"/>
    <row r="152" spans="2:6" ht="19.350000000000001" customHeight="1" x14ac:dyDescent="0.3">
      <c r="B152" s="129" t="s">
        <v>3555</v>
      </c>
      <c r="C152" s="113"/>
      <c r="D152" s="113"/>
      <c r="E152" s="113"/>
      <c r="F152" s="113"/>
    </row>
    <row r="153" spans="2:6" ht="19.350000000000001" customHeight="1" x14ac:dyDescent="0.3">
      <c r="B153" s="5" t="s">
        <v>40</v>
      </c>
      <c r="C153" s="129" t="s">
        <v>3556</v>
      </c>
      <c r="D153" s="113"/>
      <c r="E153" s="113"/>
      <c r="F153" s="113"/>
    </row>
    <row r="154" spans="2:6" ht="33.75" customHeight="1" x14ac:dyDescent="0.3">
      <c r="B154" s="5" t="s">
        <v>40</v>
      </c>
      <c r="C154" s="129" t="s">
        <v>3557</v>
      </c>
      <c r="D154" s="113"/>
      <c r="E154" s="113"/>
      <c r="F154" s="113"/>
    </row>
    <row r="155" spans="2:6" ht="19.350000000000001" customHeight="1" x14ac:dyDescent="0.3">
      <c r="B155" s="5" t="s">
        <v>40</v>
      </c>
      <c r="C155" s="129" t="s">
        <v>3558</v>
      </c>
      <c r="D155" s="113"/>
      <c r="E155" s="113"/>
      <c r="F155" s="113"/>
    </row>
    <row r="156" spans="2:6" ht="7.05" customHeight="1" x14ac:dyDescent="0.3"/>
    <row r="157" spans="2:6" ht="22.95" customHeight="1" x14ac:dyDescent="0.3">
      <c r="B157" s="156" t="s">
        <v>3559</v>
      </c>
      <c r="C157" s="157"/>
      <c r="D157" s="157"/>
      <c r="E157" s="157"/>
      <c r="F157" s="157"/>
    </row>
    <row r="158" spans="2:6" ht="4.05" customHeight="1" x14ac:dyDescent="0.3"/>
    <row r="159" spans="2:6" ht="22.05" customHeight="1" x14ac:dyDescent="0.3">
      <c r="B159" s="7" t="s">
        <v>73</v>
      </c>
      <c r="C159" s="144" t="s">
        <v>285</v>
      </c>
      <c r="D159" s="171"/>
      <c r="E159" s="145"/>
      <c r="F159" s="7" t="s">
        <v>1787</v>
      </c>
    </row>
    <row r="160" spans="2:6" ht="19.95" customHeight="1" x14ac:dyDescent="0.3">
      <c r="B160" s="8" t="s">
        <v>77</v>
      </c>
      <c r="C160" s="130" t="s">
        <v>3560</v>
      </c>
      <c r="D160" s="110"/>
      <c r="E160" s="111"/>
      <c r="F160" s="53" t="s">
        <v>291</v>
      </c>
    </row>
    <row r="161" spans="2:6" ht="19.95" customHeight="1" x14ac:dyDescent="0.3">
      <c r="B161" s="11" t="s">
        <v>81</v>
      </c>
      <c r="C161" s="132" t="s">
        <v>3561</v>
      </c>
      <c r="D161" s="169"/>
      <c r="E161" s="133"/>
      <c r="F161" s="53" t="s">
        <v>291</v>
      </c>
    </row>
    <row r="162" spans="2:6" ht="19.95" customHeight="1" x14ac:dyDescent="0.3">
      <c r="B162" s="8" t="s">
        <v>85</v>
      </c>
      <c r="C162" s="130" t="s">
        <v>3562</v>
      </c>
      <c r="D162" s="110"/>
      <c r="E162" s="111"/>
      <c r="F162" s="53" t="s">
        <v>291</v>
      </c>
    </row>
    <row r="163" spans="2:6" ht="19.95" customHeight="1" x14ac:dyDescent="0.3">
      <c r="B163" s="11" t="s">
        <v>88</v>
      </c>
      <c r="C163" s="132" t="s">
        <v>3563</v>
      </c>
      <c r="D163" s="169"/>
      <c r="E163" s="133"/>
      <c r="F163" s="53" t="s">
        <v>291</v>
      </c>
    </row>
    <row r="164" spans="2:6" ht="19.95" customHeight="1" x14ac:dyDescent="0.3">
      <c r="B164" s="8" t="s">
        <v>91</v>
      </c>
      <c r="C164" s="130" t="s">
        <v>3564</v>
      </c>
      <c r="D164" s="110"/>
      <c r="E164" s="111"/>
      <c r="F164" s="53" t="s">
        <v>291</v>
      </c>
    </row>
    <row r="165" spans="2:6" ht="19.95" customHeight="1" x14ac:dyDescent="0.3">
      <c r="B165" s="11" t="s">
        <v>94</v>
      </c>
      <c r="C165" s="132" t="s">
        <v>3565</v>
      </c>
      <c r="D165" s="169"/>
      <c r="E165" s="133"/>
      <c r="F165" s="53" t="s">
        <v>291</v>
      </c>
    </row>
    <row r="166" spans="2:6" ht="19.95" customHeight="1" x14ac:dyDescent="0.3">
      <c r="B166" s="8" t="s">
        <v>97</v>
      </c>
      <c r="C166" s="130" t="s">
        <v>3566</v>
      </c>
      <c r="D166" s="110"/>
      <c r="E166" s="111"/>
      <c r="F166" s="53" t="s">
        <v>291</v>
      </c>
    </row>
    <row r="167" spans="2:6" ht="19.95" customHeight="1" x14ac:dyDescent="0.3">
      <c r="B167" s="11" t="s">
        <v>100</v>
      </c>
      <c r="C167" s="132" t="s">
        <v>3567</v>
      </c>
      <c r="D167" s="169"/>
      <c r="E167" s="133"/>
      <c r="F167" s="53" t="s">
        <v>291</v>
      </c>
    </row>
    <row r="168" spans="2:6" ht="19.95" customHeight="1" x14ac:dyDescent="0.3">
      <c r="B168" s="8" t="s">
        <v>103</v>
      </c>
      <c r="C168" s="130" t="s">
        <v>3568</v>
      </c>
      <c r="D168" s="110"/>
      <c r="E168" s="111"/>
      <c r="F168" s="53" t="s">
        <v>291</v>
      </c>
    </row>
    <row r="169" spans="2:6" ht="6" customHeight="1" x14ac:dyDescent="0.3"/>
  </sheetData>
  <mergeCells count="156">
    <mergeCell ref="C166:E166"/>
    <mergeCell ref="C160:E160"/>
    <mergeCell ref="D8:E8"/>
    <mergeCell ref="B74:C74"/>
    <mergeCell ref="B139:C139"/>
    <mergeCell ref="B123:C123"/>
    <mergeCell ref="B36:C36"/>
    <mergeCell ref="E37:F37"/>
    <mergeCell ref="B50:C50"/>
    <mergeCell ref="E47:F47"/>
    <mergeCell ref="E21:F21"/>
    <mergeCell ref="C164:E164"/>
    <mergeCell ref="E33:F33"/>
    <mergeCell ref="B46:C46"/>
    <mergeCell ref="B39:C39"/>
    <mergeCell ref="E35:F35"/>
    <mergeCell ref="B97:F97"/>
    <mergeCell ref="B48:C48"/>
    <mergeCell ref="C154:F154"/>
    <mergeCell ref="E19:F19"/>
    <mergeCell ref="B23:C23"/>
    <mergeCell ref="B145:C145"/>
    <mergeCell ref="D145:E145"/>
    <mergeCell ref="E74:F74"/>
    <mergeCell ref="B73:C73"/>
    <mergeCell ref="B29:F29"/>
    <mergeCell ref="B147:C147"/>
    <mergeCell ref="D147:E147"/>
    <mergeCell ref="B112:F112"/>
    <mergeCell ref="E45:F45"/>
    <mergeCell ref="B1:F1"/>
    <mergeCell ref="E78:F78"/>
    <mergeCell ref="E31:F31"/>
    <mergeCell ref="E77:F77"/>
    <mergeCell ref="E46:F46"/>
    <mergeCell ref="B19:C19"/>
    <mergeCell ref="B34:C34"/>
    <mergeCell ref="E80:F80"/>
    <mergeCell ref="B146:C146"/>
    <mergeCell ref="B128:F128"/>
    <mergeCell ref="D146:E146"/>
    <mergeCell ref="B2:E2"/>
    <mergeCell ref="C65:F65"/>
    <mergeCell ref="B9:C9"/>
    <mergeCell ref="B143:C143"/>
    <mergeCell ref="D143:E143"/>
    <mergeCell ref="E54:F54"/>
    <mergeCell ref="E32:F32"/>
    <mergeCell ref="B124:C124"/>
    <mergeCell ref="E125:F125"/>
    <mergeCell ref="B20:C20"/>
    <mergeCell ref="C12:F12"/>
    <mergeCell ref="B76:C76"/>
    <mergeCell ref="B45:C45"/>
    <mergeCell ref="C163:E163"/>
    <mergeCell ref="B122:C122"/>
    <mergeCell ref="E123:F123"/>
    <mergeCell ref="E39:F39"/>
    <mergeCell ref="C66:F66"/>
    <mergeCell ref="C155:F155"/>
    <mergeCell ref="B52:C52"/>
    <mergeCell ref="E20:F20"/>
    <mergeCell ref="D139:E139"/>
    <mergeCell ref="B152:F152"/>
    <mergeCell ref="B120:C120"/>
    <mergeCell ref="B136:F136"/>
    <mergeCell ref="C68:F68"/>
    <mergeCell ref="C162:E162"/>
    <mergeCell ref="B110:F110"/>
    <mergeCell ref="B75:C75"/>
    <mergeCell ref="B47:C47"/>
    <mergeCell ref="E24:F24"/>
    <mergeCell ref="B4:F4"/>
    <mergeCell ref="E50:F50"/>
    <mergeCell ref="D144:E144"/>
    <mergeCell ref="E121:F121"/>
    <mergeCell ref="B54:C54"/>
    <mergeCell ref="B125:C125"/>
    <mergeCell ref="B7:C7"/>
    <mergeCell ref="B121:C121"/>
    <mergeCell ref="C82:F82"/>
    <mergeCell ref="E52:F52"/>
    <mergeCell ref="B8:C8"/>
    <mergeCell ref="B10:C10"/>
    <mergeCell ref="C168:E168"/>
    <mergeCell ref="B138:C138"/>
    <mergeCell ref="D10:E10"/>
    <mergeCell ref="D138:E138"/>
    <mergeCell ref="E55:F55"/>
    <mergeCell ref="E122:F122"/>
    <mergeCell ref="C167:E167"/>
    <mergeCell ref="B18:C18"/>
    <mergeCell ref="E48:F48"/>
    <mergeCell ref="B140:C140"/>
    <mergeCell ref="D140:E140"/>
    <mergeCell ref="E38:F38"/>
    <mergeCell ref="C159:E159"/>
    <mergeCell ref="B17:F17"/>
    <mergeCell ref="B53:C53"/>
    <mergeCell ref="C161:E161"/>
    <mergeCell ref="B37:C37"/>
    <mergeCell ref="E124:F124"/>
    <mergeCell ref="E120:F120"/>
    <mergeCell ref="E76:F76"/>
    <mergeCell ref="B142:C142"/>
    <mergeCell ref="B80:C80"/>
    <mergeCell ref="D142:E142"/>
    <mergeCell ref="B85:F85"/>
    <mergeCell ref="B157:F157"/>
    <mergeCell ref="E34:F34"/>
    <mergeCell ref="B44:F44"/>
    <mergeCell ref="C165:E165"/>
    <mergeCell ref="B38:C38"/>
    <mergeCell ref="C64:F64"/>
    <mergeCell ref="D7:E7"/>
    <mergeCell ref="B78:C78"/>
    <mergeCell ref="C26:F26"/>
    <mergeCell ref="E49:F49"/>
    <mergeCell ref="E36:F36"/>
    <mergeCell ref="C63:F63"/>
    <mergeCell ref="B49:C49"/>
    <mergeCell ref="B55:C55"/>
    <mergeCell ref="B24:C24"/>
    <mergeCell ref="B33:C33"/>
    <mergeCell ref="B15:F15"/>
    <mergeCell ref="B51:C51"/>
    <mergeCell ref="E75:F75"/>
    <mergeCell ref="E22:F22"/>
    <mergeCell ref="B32:C32"/>
    <mergeCell ref="E53:F53"/>
    <mergeCell ref="B35:C35"/>
    <mergeCell ref="D9:E9"/>
    <mergeCell ref="D6:E6"/>
    <mergeCell ref="E73:F73"/>
    <mergeCell ref="B21:C21"/>
    <mergeCell ref="E51:F51"/>
    <mergeCell ref="B42:F42"/>
    <mergeCell ref="B60:F60"/>
    <mergeCell ref="C62:F62"/>
    <mergeCell ref="D141:E141"/>
    <mergeCell ref="C107:F107"/>
    <mergeCell ref="B6:C6"/>
    <mergeCell ref="B79:C79"/>
    <mergeCell ref="E18:F18"/>
    <mergeCell ref="C61:F61"/>
    <mergeCell ref="C153:F153"/>
    <mergeCell ref="B141:C141"/>
    <mergeCell ref="B22:C22"/>
    <mergeCell ref="E23:F23"/>
    <mergeCell ref="B31:C31"/>
    <mergeCell ref="B71:F71"/>
    <mergeCell ref="B58:F58"/>
    <mergeCell ref="E79:F79"/>
    <mergeCell ref="B77:C77"/>
    <mergeCell ref="B144:C144"/>
    <mergeCell ref="B150:F150"/>
  </mergeCells>
  <phoneticPr fontId="27"/>
  <dataValidations count="1">
    <dataValidation type="list" allowBlank="1" error="リストから選択してください" prompt="リストから選択" sqref="F160 F161 F162 F163 F164 F165 F166 F167 F168" xr:uid="{00000000-0002-0000-1100-000000000000}">
      <formula1>"未,済"</formula1>
    </dataValidation>
  </dataValidations>
  <hyperlinks>
    <hyperlink ref="F2" location="'目次'!A1" display="▲ 目次へ戻る" xr:uid="{00000000-0004-0000-11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E32 E38 B88:B94 B100:B105 B114:B118 B131:B133 F144 F147 B160:B168"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pageSetUpPr fitToPage="1"/>
  </sheetPr>
  <dimension ref="B1:X2482"/>
  <sheetViews>
    <sheetView showGridLines="0" zoomScaleNormal="100" workbookViewId="0">
      <pane xSplit="2" ySplit="5" topLeftCell="C6" activePane="bottomRight" state="frozen"/>
      <selection pane="topRight"/>
      <selection pane="bottomLeft"/>
      <selection pane="bottomRight"/>
    </sheetView>
  </sheetViews>
  <sheetFormatPr defaultRowHeight="15" x14ac:dyDescent="0.3"/>
  <cols>
    <col min="1" max="1" width="1.6328125" customWidth="1"/>
    <col min="2" max="2" width="16" customWidth="1"/>
    <col min="3" max="3" width="11" customWidth="1"/>
    <col min="4" max="4" width="21" customWidth="1"/>
    <col min="5" max="5" width="15" customWidth="1"/>
    <col min="6" max="6" width="19" customWidth="1"/>
    <col min="7" max="7" width="16" customWidth="1"/>
    <col min="8" max="8" width="11" customWidth="1"/>
    <col min="9" max="9" width="10" customWidth="1"/>
    <col min="10" max="10" width="34" customWidth="1"/>
    <col min="11" max="11" width="9" customWidth="1"/>
    <col min="12" max="12" width="12" customWidth="1"/>
    <col min="13" max="13" width="13" customWidth="1"/>
    <col min="14" max="14" width="12" customWidth="1"/>
    <col min="15" max="15" width="50" customWidth="1"/>
    <col min="16" max="18" width="11" customWidth="1"/>
    <col min="19" max="19" width="23" customWidth="1"/>
    <col min="20" max="20" width="16" customWidth="1"/>
    <col min="21" max="22" width="11" customWidth="1"/>
    <col min="23" max="23" width="10" customWidth="1"/>
    <col min="24" max="24" width="11" customWidth="1"/>
  </cols>
  <sheetData>
    <row r="1" spans="2:24" ht="37.950000000000003" customHeight="1" x14ac:dyDescent="0.3">
      <c r="B1" s="138" t="s">
        <v>3569</v>
      </c>
      <c r="C1" s="113"/>
      <c r="D1" s="113"/>
      <c r="E1" s="113"/>
      <c r="F1" s="113"/>
      <c r="G1" s="113"/>
      <c r="H1" s="113"/>
      <c r="I1" s="113"/>
      <c r="J1" s="113"/>
      <c r="K1" s="113"/>
      <c r="L1" s="113"/>
      <c r="M1" s="113"/>
      <c r="N1" s="113"/>
      <c r="O1" s="113"/>
      <c r="P1" s="113"/>
      <c r="Q1" s="113"/>
      <c r="R1" s="113"/>
      <c r="S1" s="113"/>
      <c r="T1" s="113"/>
      <c r="U1" s="113"/>
      <c r="V1" s="113"/>
      <c r="W1" s="113"/>
      <c r="X1" s="113"/>
    </row>
    <row r="2" spans="2:24" ht="24" customHeight="1" x14ac:dyDescent="0.3">
      <c r="B2" s="141" t="s">
        <v>3570</v>
      </c>
      <c r="C2" s="113"/>
      <c r="D2" s="113"/>
      <c r="E2" s="113"/>
      <c r="F2" s="113"/>
      <c r="G2" s="113"/>
      <c r="H2" s="113"/>
      <c r="I2" s="113"/>
      <c r="J2" s="113"/>
      <c r="K2" s="113"/>
      <c r="L2" s="113"/>
      <c r="M2" s="113"/>
      <c r="N2" s="113"/>
      <c r="O2" s="113"/>
      <c r="P2" s="113"/>
      <c r="Q2" s="113"/>
      <c r="R2" s="113"/>
      <c r="S2" s="113"/>
      <c r="T2" s="113"/>
      <c r="U2" s="183" t="s">
        <v>38</v>
      </c>
      <c r="V2" s="113"/>
      <c r="W2" s="113"/>
      <c r="X2" s="113"/>
    </row>
    <row r="3" spans="2:24" ht="6" customHeight="1" x14ac:dyDescent="0.3"/>
    <row r="4" spans="2:24" ht="6" customHeight="1" x14ac:dyDescent="0.3"/>
    <row r="5" spans="2:24" ht="22.05" customHeight="1" x14ac:dyDescent="0.3">
      <c r="B5" s="55" t="s">
        <v>2263</v>
      </c>
      <c r="C5" s="55" t="s">
        <v>2266</v>
      </c>
      <c r="D5" s="55" t="s">
        <v>2269</v>
      </c>
      <c r="E5" s="55" t="s">
        <v>2271</v>
      </c>
      <c r="F5" s="55" t="s">
        <v>2273</v>
      </c>
      <c r="G5" s="55" t="s">
        <v>2276</v>
      </c>
      <c r="H5" s="55" t="s">
        <v>2279</v>
      </c>
      <c r="I5" s="55" t="s">
        <v>2282</v>
      </c>
      <c r="J5" s="55" t="s">
        <v>2285</v>
      </c>
      <c r="K5" s="55" t="s">
        <v>3571</v>
      </c>
      <c r="L5" s="55" t="s">
        <v>3572</v>
      </c>
      <c r="M5" s="55" t="s">
        <v>3573</v>
      </c>
      <c r="N5" s="55" t="s">
        <v>3574</v>
      </c>
      <c r="O5" s="55" t="s">
        <v>2294</v>
      </c>
      <c r="P5" s="55" t="s">
        <v>2055</v>
      </c>
      <c r="Q5" s="55" t="s">
        <v>2299</v>
      </c>
      <c r="R5" s="55" t="s">
        <v>2302</v>
      </c>
      <c r="S5" s="56" t="s">
        <v>3355</v>
      </c>
      <c r="T5" s="56" t="s">
        <v>3358</v>
      </c>
      <c r="U5" s="56" t="s">
        <v>3361</v>
      </c>
      <c r="V5" s="56" t="s">
        <v>3364</v>
      </c>
      <c r="W5" s="56" t="s">
        <v>3367</v>
      </c>
      <c r="X5" s="56" t="s">
        <v>3370</v>
      </c>
    </row>
    <row r="6" spans="2:24" ht="14.4" x14ac:dyDescent="0.3">
      <c r="B6" s="57">
        <v>1790816400180</v>
      </c>
      <c r="C6" s="58">
        <v>186</v>
      </c>
      <c r="D6" s="59" t="s">
        <v>1383</v>
      </c>
      <c r="E6" s="59" t="s">
        <v>1577</v>
      </c>
      <c r="F6" s="59" t="s">
        <v>2275</v>
      </c>
      <c r="G6" s="59" t="s">
        <v>3575</v>
      </c>
      <c r="H6" s="59" t="s">
        <v>2281</v>
      </c>
      <c r="I6" s="59" t="b">
        <v>1</v>
      </c>
      <c r="J6" s="59"/>
      <c r="K6" s="58">
        <v>1561</v>
      </c>
      <c r="L6" s="58">
        <v>463</v>
      </c>
      <c r="M6" s="59">
        <v>1</v>
      </c>
      <c r="N6" s="59">
        <v>1</v>
      </c>
      <c r="O6" s="59" t="s">
        <v>3576</v>
      </c>
      <c r="P6" s="58">
        <v>183</v>
      </c>
      <c r="Q6" s="59">
        <v>0</v>
      </c>
      <c r="R6" s="59">
        <v>58</v>
      </c>
      <c r="S6" s="60">
        <f>tblJTL[[#This Row],[timeStamp]]/86400000+DATE(1970,1,1)+TIME(9,0,0)</f>
        <v>46296.416668749996</v>
      </c>
      <c r="T6" s="57">
        <f>tblJTL[[#This Row],[timeStamp]]+tblJTL[[#This Row],[elapsed]]</f>
        <v>1790816400366</v>
      </c>
      <c r="U6" s="61">
        <f>(tblJTL[[#This Row],[timeStamp]]-'17_分析サンプル'!$E$18)/1000</f>
        <v>0</v>
      </c>
      <c r="V6" s="57">
        <f>INT(tblJTL[[#This Row],[経過秒]]/60)</f>
        <v>0</v>
      </c>
      <c r="W6" s="57">
        <f>IF(OR(tblJTL[[#This Row],[success]]=FALSE,tblJTL[[#This Row],[success]]="false"),1,0)</f>
        <v>0</v>
      </c>
      <c r="X6" s="57">
        <f>IF(AND(tblJTL[[#This Row],[経過秒]]&gt;='17_分析サンプル'!$E$11,tblJTL[[#This Row],[経過秒]]&lt;'17_分析サンプル'!$E$12),1,0)</f>
        <v>0</v>
      </c>
    </row>
    <row r="7" spans="2:24" ht="14.4" x14ac:dyDescent="0.3">
      <c r="B7" s="57">
        <v>1790816402070</v>
      </c>
      <c r="C7" s="58">
        <v>157</v>
      </c>
      <c r="D7" s="59" t="s">
        <v>1658</v>
      </c>
      <c r="E7" s="59" t="s">
        <v>1577</v>
      </c>
      <c r="F7" s="59" t="s">
        <v>2275</v>
      </c>
      <c r="G7" s="59" t="s">
        <v>3577</v>
      </c>
      <c r="H7" s="59" t="s">
        <v>2281</v>
      </c>
      <c r="I7" s="59" t="b">
        <v>1</v>
      </c>
      <c r="J7" s="59"/>
      <c r="K7" s="58">
        <v>1900</v>
      </c>
      <c r="L7" s="58">
        <v>1342</v>
      </c>
      <c r="M7" s="59">
        <v>1</v>
      </c>
      <c r="N7" s="59">
        <v>1</v>
      </c>
      <c r="O7" s="59" t="s">
        <v>3578</v>
      </c>
      <c r="P7" s="58">
        <v>149</v>
      </c>
      <c r="Q7" s="59">
        <v>0</v>
      </c>
      <c r="R7" s="59">
        <v>65</v>
      </c>
      <c r="S7" s="60">
        <f>tblJTL[[#This Row],[timeStamp]]/86400000+DATE(1970,1,1)+TIME(9,0,0)</f>
        <v>46296.416690625003</v>
      </c>
      <c r="T7" s="57">
        <f>tblJTL[[#This Row],[timeStamp]]+tblJTL[[#This Row],[elapsed]]</f>
        <v>1790816402227</v>
      </c>
      <c r="U7" s="61">
        <f>(tblJTL[[#This Row],[timeStamp]]-'17_分析サンプル'!$E$18)/1000</f>
        <v>1.89</v>
      </c>
      <c r="V7" s="57">
        <f>INT(tblJTL[[#This Row],[経過秒]]/60)</f>
        <v>0</v>
      </c>
      <c r="W7" s="57">
        <f>IF(OR(tblJTL[[#This Row],[success]]=FALSE,tblJTL[[#This Row],[success]]="false"),1,0)</f>
        <v>0</v>
      </c>
      <c r="X7" s="57">
        <f>IF(AND(tblJTL[[#This Row],[経過秒]]&gt;='17_分析サンプル'!$E$11,tblJTL[[#This Row],[経過秒]]&lt;'17_分析サンプル'!$E$12),1,0)</f>
        <v>0</v>
      </c>
    </row>
    <row r="8" spans="2:24" ht="14.4" x14ac:dyDescent="0.3">
      <c r="B8" s="57">
        <v>1790816403475</v>
      </c>
      <c r="C8" s="58">
        <v>312</v>
      </c>
      <c r="D8" s="59" t="s">
        <v>1677</v>
      </c>
      <c r="E8" s="59" t="s">
        <v>3579</v>
      </c>
      <c r="F8" s="59" t="s">
        <v>3580</v>
      </c>
      <c r="G8" s="59" t="s">
        <v>3577</v>
      </c>
      <c r="H8" s="59" t="s">
        <v>2281</v>
      </c>
      <c r="I8" s="59" t="b">
        <v>1</v>
      </c>
      <c r="J8" s="59"/>
      <c r="K8" s="58">
        <v>414</v>
      </c>
      <c r="L8" s="58">
        <v>1478</v>
      </c>
      <c r="M8" s="59">
        <v>1</v>
      </c>
      <c r="N8" s="59">
        <v>1</v>
      </c>
      <c r="O8" s="59" t="s">
        <v>3581</v>
      </c>
      <c r="P8" s="58">
        <v>305</v>
      </c>
      <c r="Q8" s="59">
        <v>0</v>
      </c>
      <c r="R8" s="59">
        <v>0</v>
      </c>
      <c r="S8" s="60">
        <f>tblJTL[[#This Row],[timeStamp]]/86400000+DATE(1970,1,1)+TIME(9,0,0)</f>
        <v>46296.416706886579</v>
      </c>
      <c r="T8" s="57">
        <f>tblJTL[[#This Row],[timeStamp]]+tblJTL[[#This Row],[elapsed]]</f>
        <v>1790816403787</v>
      </c>
      <c r="U8" s="61">
        <f>(tblJTL[[#This Row],[timeStamp]]-'17_分析サンプル'!$E$18)/1000</f>
        <v>3.2949999999999999</v>
      </c>
      <c r="V8" s="57">
        <f>INT(tblJTL[[#This Row],[経過秒]]/60)</f>
        <v>0</v>
      </c>
      <c r="W8" s="57">
        <f>IF(OR(tblJTL[[#This Row],[success]]=FALSE,tblJTL[[#This Row],[success]]="false"),1,0)</f>
        <v>0</v>
      </c>
      <c r="X8" s="57">
        <f>IF(AND(tblJTL[[#This Row],[経過秒]]&gt;='17_分析サンプル'!$E$11,tblJTL[[#This Row],[経過秒]]&lt;'17_分析サンプル'!$E$12),1,0)</f>
        <v>0</v>
      </c>
    </row>
    <row r="9" spans="2:24" ht="14.4" x14ac:dyDescent="0.3">
      <c r="B9" s="57">
        <v>1790816404942</v>
      </c>
      <c r="C9" s="58">
        <v>169</v>
      </c>
      <c r="D9" s="59" t="s">
        <v>1658</v>
      </c>
      <c r="E9" s="59" t="s">
        <v>1577</v>
      </c>
      <c r="F9" s="59" t="s">
        <v>2275</v>
      </c>
      <c r="G9" s="59" t="s">
        <v>3577</v>
      </c>
      <c r="H9" s="59" t="s">
        <v>2281</v>
      </c>
      <c r="I9" s="59" t="b">
        <v>1</v>
      </c>
      <c r="J9" s="59"/>
      <c r="K9" s="58">
        <v>1879</v>
      </c>
      <c r="L9" s="58">
        <v>1342</v>
      </c>
      <c r="M9" s="59">
        <v>1</v>
      </c>
      <c r="N9" s="59">
        <v>1</v>
      </c>
      <c r="O9" s="59" t="s">
        <v>3578</v>
      </c>
      <c r="P9" s="58">
        <v>165</v>
      </c>
      <c r="Q9" s="59">
        <v>0</v>
      </c>
      <c r="R9" s="59">
        <v>0</v>
      </c>
      <c r="S9" s="60">
        <f>tblJTL[[#This Row],[timeStamp]]/86400000+DATE(1970,1,1)+TIME(9,0,0)</f>
        <v>46296.416723865739</v>
      </c>
      <c r="T9" s="57">
        <f>tblJTL[[#This Row],[timeStamp]]+tblJTL[[#This Row],[elapsed]]</f>
        <v>1790816405111</v>
      </c>
      <c r="U9" s="61">
        <f>(tblJTL[[#This Row],[timeStamp]]-'17_分析サンプル'!$E$18)/1000</f>
        <v>4.7619999999999996</v>
      </c>
      <c r="V9" s="57">
        <f>INT(tblJTL[[#This Row],[経過秒]]/60)</f>
        <v>0</v>
      </c>
      <c r="W9" s="57">
        <f>IF(OR(tblJTL[[#This Row],[success]]=FALSE,tblJTL[[#This Row],[success]]="false"),1,0)</f>
        <v>0</v>
      </c>
      <c r="X9" s="57">
        <f>IF(AND(tblJTL[[#This Row],[経過秒]]&gt;='17_分析サンプル'!$E$11,tblJTL[[#This Row],[経過秒]]&lt;'17_分析サンプル'!$E$12),1,0)</f>
        <v>0</v>
      </c>
    </row>
    <row r="10" spans="2:24" ht="14.4" x14ac:dyDescent="0.3">
      <c r="B10" s="57">
        <v>1790816406494</v>
      </c>
      <c r="C10" s="58">
        <v>379</v>
      </c>
      <c r="D10" s="59" t="s">
        <v>1677</v>
      </c>
      <c r="E10" s="59" t="s">
        <v>3579</v>
      </c>
      <c r="F10" s="59" t="s">
        <v>3580</v>
      </c>
      <c r="G10" s="59" t="s">
        <v>3577</v>
      </c>
      <c r="H10" s="59" t="s">
        <v>2281</v>
      </c>
      <c r="I10" s="59" t="b">
        <v>1</v>
      </c>
      <c r="J10" s="59"/>
      <c r="K10" s="58">
        <v>438</v>
      </c>
      <c r="L10" s="58">
        <v>1478</v>
      </c>
      <c r="M10" s="59">
        <v>1</v>
      </c>
      <c r="N10" s="59">
        <v>1</v>
      </c>
      <c r="O10" s="59" t="s">
        <v>3581</v>
      </c>
      <c r="P10" s="58">
        <v>371</v>
      </c>
      <c r="Q10" s="59">
        <v>0</v>
      </c>
      <c r="R10" s="59">
        <v>0</v>
      </c>
      <c r="S10" s="60">
        <f>tblJTL[[#This Row],[timeStamp]]/86400000+DATE(1970,1,1)+TIME(9,0,0)</f>
        <v>46296.416741828703</v>
      </c>
      <c r="T10" s="57">
        <f>tblJTL[[#This Row],[timeStamp]]+tblJTL[[#This Row],[elapsed]]</f>
        <v>1790816406873</v>
      </c>
      <c r="U10" s="61">
        <f>(tblJTL[[#This Row],[timeStamp]]-'17_分析サンプル'!$E$18)/1000</f>
        <v>6.3140000000000001</v>
      </c>
      <c r="V10" s="57">
        <f>INT(tblJTL[[#This Row],[経過秒]]/60)</f>
        <v>0</v>
      </c>
      <c r="W10" s="57">
        <f>IF(OR(tblJTL[[#This Row],[success]]=FALSE,tblJTL[[#This Row],[success]]="false"),1,0)</f>
        <v>0</v>
      </c>
      <c r="X10" s="57">
        <f>IF(AND(tblJTL[[#This Row],[経過秒]]&gt;='17_分析サンプル'!$E$11,tblJTL[[#This Row],[経過秒]]&lt;'17_分析サンプル'!$E$12),1,0)</f>
        <v>0</v>
      </c>
    </row>
    <row r="11" spans="2:24" ht="14.4" x14ac:dyDescent="0.3">
      <c r="B11" s="57">
        <v>1790816408654</v>
      </c>
      <c r="C11" s="58">
        <v>135</v>
      </c>
      <c r="D11" s="59" t="s">
        <v>1658</v>
      </c>
      <c r="E11" s="59" t="s">
        <v>1577</v>
      </c>
      <c r="F11" s="59" t="s">
        <v>2275</v>
      </c>
      <c r="G11" s="59" t="s">
        <v>3577</v>
      </c>
      <c r="H11" s="59" t="s">
        <v>2281</v>
      </c>
      <c r="I11" s="59" t="b">
        <v>1</v>
      </c>
      <c r="J11" s="59"/>
      <c r="K11" s="58">
        <v>1823</v>
      </c>
      <c r="L11" s="58">
        <v>1342</v>
      </c>
      <c r="M11" s="59">
        <v>2</v>
      </c>
      <c r="N11" s="59">
        <v>2</v>
      </c>
      <c r="O11" s="59" t="s">
        <v>3578</v>
      </c>
      <c r="P11" s="58">
        <v>127</v>
      </c>
      <c r="Q11" s="59">
        <v>0</v>
      </c>
      <c r="R11" s="59">
        <v>0</v>
      </c>
      <c r="S11" s="60">
        <f>tblJTL[[#This Row],[timeStamp]]/86400000+DATE(1970,1,1)+TIME(9,0,0)</f>
        <v>46296.416766828705</v>
      </c>
      <c r="T11" s="57">
        <f>tblJTL[[#This Row],[timeStamp]]+tblJTL[[#This Row],[elapsed]]</f>
        <v>1790816408789</v>
      </c>
      <c r="U11" s="61">
        <f>(tblJTL[[#This Row],[timeStamp]]-'17_分析サンプル'!$E$18)/1000</f>
        <v>8.4740000000000002</v>
      </c>
      <c r="V11" s="57">
        <f>INT(tblJTL[[#This Row],[経過秒]]/60)</f>
        <v>0</v>
      </c>
      <c r="W11" s="57">
        <f>IF(OR(tblJTL[[#This Row],[success]]=FALSE,tblJTL[[#This Row],[success]]="false"),1,0)</f>
        <v>0</v>
      </c>
      <c r="X11" s="57">
        <f>IF(AND(tblJTL[[#This Row],[経過秒]]&gt;='17_分析サンプル'!$E$11,tblJTL[[#This Row],[経過秒]]&lt;'17_分析サンプル'!$E$12),1,0)</f>
        <v>0</v>
      </c>
    </row>
    <row r="12" spans="2:24" ht="14.4" x14ac:dyDescent="0.3">
      <c r="B12" s="57">
        <v>1790816408853</v>
      </c>
      <c r="C12" s="58">
        <v>130</v>
      </c>
      <c r="D12" s="59" t="s">
        <v>1658</v>
      </c>
      <c r="E12" s="59" t="s">
        <v>1577</v>
      </c>
      <c r="F12" s="59" t="s">
        <v>2275</v>
      </c>
      <c r="G12" s="59" t="s">
        <v>3582</v>
      </c>
      <c r="H12" s="59" t="s">
        <v>2281</v>
      </c>
      <c r="I12" s="59" t="b">
        <v>1</v>
      </c>
      <c r="J12" s="59"/>
      <c r="K12" s="58">
        <v>1866</v>
      </c>
      <c r="L12" s="58">
        <v>1342</v>
      </c>
      <c r="M12" s="59">
        <v>2</v>
      </c>
      <c r="N12" s="59">
        <v>2</v>
      </c>
      <c r="O12" s="59" t="s">
        <v>3578</v>
      </c>
      <c r="P12" s="58">
        <v>122</v>
      </c>
      <c r="Q12" s="59">
        <v>0</v>
      </c>
      <c r="R12" s="59">
        <v>52</v>
      </c>
      <c r="S12" s="60">
        <f>tblJTL[[#This Row],[timeStamp]]/86400000+DATE(1970,1,1)+TIME(9,0,0)</f>
        <v>46296.416769131945</v>
      </c>
      <c r="T12" s="57">
        <f>tblJTL[[#This Row],[timeStamp]]+tblJTL[[#This Row],[elapsed]]</f>
        <v>1790816408983</v>
      </c>
      <c r="U12" s="61">
        <f>(tblJTL[[#This Row],[timeStamp]]-'17_分析サンプル'!$E$18)/1000</f>
        <v>8.673</v>
      </c>
      <c r="V12" s="57">
        <f>INT(tblJTL[[#This Row],[経過秒]]/60)</f>
        <v>0</v>
      </c>
      <c r="W12" s="57">
        <f>IF(OR(tblJTL[[#This Row],[success]]=FALSE,tblJTL[[#This Row],[success]]="false"),1,0)</f>
        <v>0</v>
      </c>
      <c r="X12" s="57">
        <f>IF(AND(tblJTL[[#This Row],[経過秒]]&gt;='17_分析サンプル'!$E$11,tblJTL[[#This Row],[経過秒]]&lt;'17_分析サンプル'!$E$12),1,0)</f>
        <v>0</v>
      </c>
    </row>
    <row r="13" spans="2:24" ht="14.4" x14ac:dyDescent="0.3">
      <c r="B13" s="57">
        <v>1790816410099</v>
      </c>
      <c r="C13" s="58">
        <v>223</v>
      </c>
      <c r="D13" s="59" t="s">
        <v>1677</v>
      </c>
      <c r="E13" s="59" t="s">
        <v>3579</v>
      </c>
      <c r="F13" s="59" t="s">
        <v>3580</v>
      </c>
      <c r="G13" s="59" t="s">
        <v>3582</v>
      </c>
      <c r="H13" s="59" t="s">
        <v>2281</v>
      </c>
      <c r="I13" s="59" t="b">
        <v>1</v>
      </c>
      <c r="J13" s="59"/>
      <c r="K13" s="58">
        <v>431</v>
      </c>
      <c r="L13" s="58">
        <v>1478</v>
      </c>
      <c r="M13" s="59">
        <v>2</v>
      </c>
      <c r="N13" s="59">
        <v>2</v>
      </c>
      <c r="O13" s="59" t="s">
        <v>3581</v>
      </c>
      <c r="P13" s="58">
        <v>220</v>
      </c>
      <c r="Q13" s="59">
        <v>0</v>
      </c>
      <c r="R13" s="59">
        <v>0</v>
      </c>
      <c r="S13" s="60">
        <f>tblJTL[[#This Row],[timeStamp]]/86400000+DATE(1970,1,1)+TIME(9,0,0)</f>
        <v>46296.416783553243</v>
      </c>
      <c r="T13" s="57">
        <f>tblJTL[[#This Row],[timeStamp]]+tblJTL[[#This Row],[elapsed]]</f>
        <v>1790816410322</v>
      </c>
      <c r="U13" s="61">
        <f>(tblJTL[[#This Row],[timeStamp]]-'17_分析サンプル'!$E$18)/1000</f>
        <v>9.9190000000000005</v>
      </c>
      <c r="V13" s="57">
        <f>INT(tblJTL[[#This Row],[経過秒]]/60)</f>
        <v>0</v>
      </c>
      <c r="W13" s="57">
        <f>IF(OR(tblJTL[[#This Row],[success]]=FALSE,tblJTL[[#This Row],[success]]="false"),1,0)</f>
        <v>0</v>
      </c>
      <c r="X13" s="57">
        <f>IF(AND(tblJTL[[#This Row],[経過秒]]&gt;='17_分析サンプル'!$E$11,tblJTL[[#This Row],[経過秒]]&lt;'17_分析サンプル'!$E$12),1,0)</f>
        <v>0</v>
      </c>
    </row>
    <row r="14" spans="2:24" ht="14.4" x14ac:dyDescent="0.3">
      <c r="B14" s="57">
        <v>1790816410887</v>
      </c>
      <c r="C14" s="58">
        <v>211</v>
      </c>
      <c r="D14" s="59" t="s">
        <v>1677</v>
      </c>
      <c r="E14" s="59" t="s">
        <v>3579</v>
      </c>
      <c r="F14" s="59" t="s">
        <v>3580</v>
      </c>
      <c r="G14" s="59" t="s">
        <v>3577</v>
      </c>
      <c r="H14" s="59" t="s">
        <v>2281</v>
      </c>
      <c r="I14" s="59" t="b">
        <v>1</v>
      </c>
      <c r="J14" s="59"/>
      <c r="K14" s="58">
        <v>433</v>
      </c>
      <c r="L14" s="58">
        <v>1478</v>
      </c>
      <c r="M14" s="59">
        <v>2</v>
      </c>
      <c r="N14" s="59">
        <v>2</v>
      </c>
      <c r="O14" s="59" t="s">
        <v>3581</v>
      </c>
      <c r="P14" s="58">
        <v>206</v>
      </c>
      <c r="Q14" s="59">
        <v>0</v>
      </c>
      <c r="R14" s="59">
        <v>0</v>
      </c>
      <c r="S14" s="60">
        <f>tblJTL[[#This Row],[timeStamp]]/86400000+DATE(1970,1,1)+TIME(9,0,0)</f>
        <v>46296.416792673612</v>
      </c>
      <c r="T14" s="57">
        <f>tblJTL[[#This Row],[timeStamp]]+tblJTL[[#This Row],[elapsed]]</f>
        <v>1790816411098</v>
      </c>
      <c r="U14" s="61">
        <f>(tblJTL[[#This Row],[timeStamp]]-'17_分析サンプル'!$E$18)/1000</f>
        <v>10.707000000000001</v>
      </c>
      <c r="V14" s="57">
        <f>INT(tblJTL[[#This Row],[経過秒]]/60)</f>
        <v>0</v>
      </c>
      <c r="W14" s="57">
        <f>IF(OR(tblJTL[[#This Row],[success]]=FALSE,tblJTL[[#This Row],[success]]="false"),1,0)</f>
        <v>0</v>
      </c>
      <c r="X14" s="57">
        <f>IF(AND(tblJTL[[#This Row],[経過秒]]&gt;='17_分析サンプル'!$E$11,tblJTL[[#This Row],[経過秒]]&lt;'17_分析サンプル'!$E$12),1,0)</f>
        <v>0</v>
      </c>
    </row>
    <row r="15" spans="2:24" ht="14.4" x14ac:dyDescent="0.3">
      <c r="B15" s="57">
        <v>1790816412468</v>
      </c>
      <c r="C15" s="58">
        <v>82</v>
      </c>
      <c r="D15" s="59" t="s">
        <v>1658</v>
      </c>
      <c r="E15" s="59" t="s">
        <v>1577</v>
      </c>
      <c r="F15" s="59" t="s">
        <v>2275</v>
      </c>
      <c r="G15" s="59" t="s">
        <v>3577</v>
      </c>
      <c r="H15" s="59" t="s">
        <v>2281</v>
      </c>
      <c r="I15" s="59" t="b">
        <v>1</v>
      </c>
      <c r="J15" s="59"/>
      <c r="K15" s="58">
        <v>1827</v>
      </c>
      <c r="L15" s="58">
        <v>1342</v>
      </c>
      <c r="M15" s="59">
        <v>2</v>
      </c>
      <c r="N15" s="59">
        <v>2</v>
      </c>
      <c r="O15" s="59" t="s">
        <v>3578</v>
      </c>
      <c r="P15" s="58">
        <v>76</v>
      </c>
      <c r="Q15" s="59">
        <v>0</v>
      </c>
      <c r="R15" s="59">
        <v>0</v>
      </c>
      <c r="S15" s="60">
        <f>tblJTL[[#This Row],[timeStamp]]/86400000+DATE(1970,1,1)+TIME(9,0,0)</f>
        <v>46296.416810972223</v>
      </c>
      <c r="T15" s="57">
        <f>tblJTL[[#This Row],[timeStamp]]+tblJTL[[#This Row],[elapsed]]</f>
        <v>1790816412550</v>
      </c>
      <c r="U15" s="61">
        <f>(tblJTL[[#This Row],[timeStamp]]-'17_分析サンプル'!$E$18)/1000</f>
        <v>12.288</v>
      </c>
      <c r="V15" s="57">
        <f>INT(tblJTL[[#This Row],[経過秒]]/60)</f>
        <v>0</v>
      </c>
      <c r="W15" s="57">
        <f>IF(OR(tblJTL[[#This Row],[success]]=FALSE,tblJTL[[#This Row],[success]]="false"),1,0)</f>
        <v>0</v>
      </c>
      <c r="X15" s="57">
        <f>IF(AND(tblJTL[[#This Row],[経過秒]]&gt;='17_分析サンプル'!$E$11,tblJTL[[#This Row],[経過秒]]&lt;'17_分析サンプル'!$E$12),1,0)</f>
        <v>0</v>
      </c>
    </row>
    <row r="16" spans="2:24" ht="14.4" x14ac:dyDescent="0.3">
      <c r="B16" s="57">
        <v>1790816413019</v>
      </c>
      <c r="C16" s="58">
        <v>137</v>
      </c>
      <c r="D16" s="59" t="s">
        <v>1658</v>
      </c>
      <c r="E16" s="59" t="s">
        <v>1577</v>
      </c>
      <c r="F16" s="59" t="s">
        <v>2275</v>
      </c>
      <c r="G16" s="59" t="s">
        <v>3582</v>
      </c>
      <c r="H16" s="59" t="s">
        <v>2281</v>
      </c>
      <c r="I16" s="59" t="b">
        <v>1</v>
      </c>
      <c r="J16" s="59"/>
      <c r="K16" s="58">
        <v>1855</v>
      </c>
      <c r="L16" s="58">
        <v>1342</v>
      </c>
      <c r="M16" s="59">
        <v>3</v>
      </c>
      <c r="N16" s="59">
        <v>3</v>
      </c>
      <c r="O16" s="59" t="s">
        <v>3578</v>
      </c>
      <c r="P16" s="58">
        <v>132</v>
      </c>
      <c r="Q16" s="59">
        <v>0</v>
      </c>
      <c r="R16" s="59">
        <v>0</v>
      </c>
      <c r="S16" s="60">
        <f>tblJTL[[#This Row],[timeStamp]]/86400000+DATE(1970,1,1)+TIME(9,0,0)</f>
        <v>46296.416817349542</v>
      </c>
      <c r="T16" s="57">
        <f>tblJTL[[#This Row],[timeStamp]]+tblJTL[[#This Row],[elapsed]]</f>
        <v>1790816413156</v>
      </c>
      <c r="U16" s="61">
        <f>(tblJTL[[#This Row],[timeStamp]]-'17_分析サンプル'!$E$18)/1000</f>
        <v>12.839</v>
      </c>
      <c r="V16" s="57">
        <f>INT(tblJTL[[#This Row],[経過秒]]/60)</f>
        <v>0</v>
      </c>
      <c r="W16" s="57">
        <f>IF(OR(tblJTL[[#This Row],[success]]=FALSE,tblJTL[[#This Row],[success]]="false"),1,0)</f>
        <v>0</v>
      </c>
      <c r="X16" s="57">
        <f>IF(AND(tblJTL[[#This Row],[経過秒]]&gt;='17_分析サンプル'!$E$11,tblJTL[[#This Row],[経過秒]]&lt;'17_分析サンプル'!$E$12),1,0)</f>
        <v>0</v>
      </c>
    </row>
    <row r="17" spans="2:24" ht="14.4" x14ac:dyDescent="0.3">
      <c r="B17" s="57">
        <v>1790816414832</v>
      </c>
      <c r="C17" s="58">
        <v>316</v>
      </c>
      <c r="D17" s="59" t="s">
        <v>1677</v>
      </c>
      <c r="E17" s="59" t="s">
        <v>3579</v>
      </c>
      <c r="F17" s="59" t="s">
        <v>3580</v>
      </c>
      <c r="G17" s="59" t="s">
        <v>3577</v>
      </c>
      <c r="H17" s="59" t="s">
        <v>2281</v>
      </c>
      <c r="I17" s="59" t="b">
        <v>1</v>
      </c>
      <c r="J17" s="59"/>
      <c r="K17" s="58">
        <v>413</v>
      </c>
      <c r="L17" s="58">
        <v>1478</v>
      </c>
      <c r="M17" s="59">
        <v>3</v>
      </c>
      <c r="N17" s="59">
        <v>3</v>
      </c>
      <c r="O17" s="59" t="s">
        <v>3581</v>
      </c>
      <c r="P17" s="58">
        <v>309</v>
      </c>
      <c r="Q17" s="59">
        <v>0</v>
      </c>
      <c r="R17" s="59">
        <v>0</v>
      </c>
      <c r="S17" s="60">
        <f>tblJTL[[#This Row],[timeStamp]]/86400000+DATE(1970,1,1)+TIME(9,0,0)</f>
        <v>46296.416838333331</v>
      </c>
      <c r="T17" s="57">
        <f>tblJTL[[#This Row],[timeStamp]]+tblJTL[[#This Row],[elapsed]]</f>
        <v>1790816415148</v>
      </c>
      <c r="U17" s="61">
        <f>(tblJTL[[#This Row],[timeStamp]]-'17_分析サンプル'!$E$18)/1000</f>
        <v>14.651999999999999</v>
      </c>
      <c r="V17" s="57">
        <f>INT(tblJTL[[#This Row],[経過秒]]/60)</f>
        <v>0</v>
      </c>
      <c r="W17" s="57">
        <f>IF(OR(tblJTL[[#This Row],[success]]=FALSE,tblJTL[[#This Row],[success]]="false"),1,0)</f>
        <v>0</v>
      </c>
      <c r="X17" s="57">
        <f>IF(AND(tblJTL[[#This Row],[経過秒]]&gt;='17_分析サンプル'!$E$11,tblJTL[[#This Row],[経過秒]]&lt;'17_分析サンプル'!$E$12),1,0)</f>
        <v>0</v>
      </c>
    </row>
    <row r="18" spans="2:24" ht="14.4" x14ac:dyDescent="0.3">
      <c r="B18" s="57">
        <v>1790816415308</v>
      </c>
      <c r="C18" s="58">
        <v>140</v>
      </c>
      <c r="D18" s="59" t="s">
        <v>1658</v>
      </c>
      <c r="E18" s="59" t="s">
        <v>1577</v>
      </c>
      <c r="F18" s="59" t="s">
        <v>2275</v>
      </c>
      <c r="G18" s="59" t="s">
        <v>2278</v>
      </c>
      <c r="H18" s="59" t="s">
        <v>2281</v>
      </c>
      <c r="I18" s="59" t="b">
        <v>1</v>
      </c>
      <c r="J18" s="59"/>
      <c r="K18" s="58">
        <v>1873</v>
      </c>
      <c r="L18" s="58">
        <v>1342</v>
      </c>
      <c r="M18" s="59">
        <v>3</v>
      </c>
      <c r="N18" s="59">
        <v>3</v>
      </c>
      <c r="O18" s="59" t="s">
        <v>3578</v>
      </c>
      <c r="P18" s="58">
        <v>133</v>
      </c>
      <c r="Q18" s="59">
        <v>0</v>
      </c>
      <c r="R18" s="59">
        <v>42</v>
      </c>
      <c r="S18" s="60">
        <f>tblJTL[[#This Row],[timeStamp]]/86400000+DATE(1970,1,1)+TIME(9,0,0)</f>
        <v>46296.416843842591</v>
      </c>
      <c r="T18" s="57">
        <f>tblJTL[[#This Row],[timeStamp]]+tblJTL[[#This Row],[elapsed]]</f>
        <v>1790816415448</v>
      </c>
      <c r="U18" s="61">
        <f>(tblJTL[[#This Row],[timeStamp]]-'17_分析サンプル'!$E$18)/1000</f>
        <v>15.128</v>
      </c>
      <c r="V18" s="57">
        <f>INT(tblJTL[[#This Row],[経過秒]]/60)</f>
        <v>0</v>
      </c>
      <c r="W18" s="57">
        <f>IF(OR(tblJTL[[#This Row],[success]]=FALSE,tblJTL[[#This Row],[success]]="false"),1,0)</f>
        <v>0</v>
      </c>
      <c r="X18" s="57">
        <f>IF(AND(tblJTL[[#This Row],[経過秒]]&gt;='17_分析サンプル'!$E$11,tblJTL[[#This Row],[経過秒]]&lt;'17_分析サンプル'!$E$12),1,0)</f>
        <v>0</v>
      </c>
    </row>
    <row r="19" spans="2:24" ht="14.4" x14ac:dyDescent="0.3">
      <c r="B19" s="57">
        <v>1790816415304</v>
      </c>
      <c r="C19" s="58">
        <v>296</v>
      </c>
      <c r="D19" s="59" t="s">
        <v>1677</v>
      </c>
      <c r="E19" s="59" t="s">
        <v>3579</v>
      </c>
      <c r="F19" s="59" t="s">
        <v>3580</v>
      </c>
      <c r="G19" s="59" t="s">
        <v>3582</v>
      </c>
      <c r="H19" s="59" t="s">
        <v>2281</v>
      </c>
      <c r="I19" s="59" t="b">
        <v>1</v>
      </c>
      <c r="J19" s="59"/>
      <c r="K19" s="58">
        <v>440</v>
      </c>
      <c r="L19" s="58">
        <v>1478</v>
      </c>
      <c r="M19" s="59">
        <v>3</v>
      </c>
      <c r="N19" s="59">
        <v>3</v>
      </c>
      <c r="O19" s="59" t="s">
        <v>3581</v>
      </c>
      <c r="P19" s="58">
        <v>292</v>
      </c>
      <c r="Q19" s="59">
        <v>0</v>
      </c>
      <c r="R19" s="59">
        <v>0</v>
      </c>
      <c r="S19" s="60">
        <f>tblJTL[[#This Row],[timeStamp]]/86400000+DATE(1970,1,1)+TIME(9,0,0)</f>
        <v>46296.416843796294</v>
      </c>
      <c r="T19" s="57">
        <f>tblJTL[[#This Row],[timeStamp]]+tblJTL[[#This Row],[elapsed]]</f>
        <v>1790816415600</v>
      </c>
      <c r="U19" s="61">
        <f>(tblJTL[[#This Row],[timeStamp]]-'17_分析サンプル'!$E$18)/1000</f>
        <v>15.124000000000001</v>
      </c>
      <c r="V19" s="57">
        <f>INT(tblJTL[[#This Row],[経過秒]]/60)</f>
        <v>0</v>
      </c>
      <c r="W19" s="57">
        <f>IF(OR(tblJTL[[#This Row],[success]]=FALSE,tblJTL[[#This Row],[success]]="false"),1,0)</f>
        <v>0</v>
      </c>
      <c r="X19" s="57">
        <f>IF(AND(tblJTL[[#This Row],[経過秒]]&gt;='17_分析サンプル'!$E$11,tblJTL[[#This Row],[経過秒]]&lt;'17_分析サンプル'!$E$12),1,0)</f>
        <v>0</v>
      </c>
    </row>
    <row r="20" spans="2:24" ht="14.4" x14ac:dyDescent="0.3">
      <c r="B20" s="57">
        <v>1790816416821</v>
      </c>
      <c r="C20" s="58">
        <v>280</v>
      </c>
      <c r="D20" s="59" t="s">
        <v>1677</v>
      </c>
      <c r="E20" s="59" t="s">
        <v>3579</v>
      </c>
      <c r="F20" s="59" t="s">
        <v>3580</v>
      </c>
      <c r="G20" s="59" t="s">
        <v>2278</v>
      </c>
      <c r="H20" s="59" t="s">
        <v>2281</v>
      </c>
      <c r="I20" s="59" t="b">
        <v>1</v>
      </c>
      <c r="J20" s="59"/>
      <c r="K20" s="58">
        <v>436</v>
      </c>
      <c r="L20" s="58">
        <v>1478</v>
      </c>
      <c r="M20" s="59">
        <v>3</v>
      </c>
      <c r="N20" s="59">
        <v>3</v>
      </c>
      <c r="O20" s="59" t="s">
        <v>3581</v>
      </c>
      <c r="P20" s="58">
        <v>273</v>
      </c>
      <c r="Q20" s="59">
        <v>0</v>
      </c>
      <c r="R20" s="59">
        <v>0</v>
      </c>
      <c r="S20" s="60">
        <f>tblJTL[[#This Row],[timeStamp]]/86400000+DATE(1970,1,1)+TIME(9,0,0)</f>
        <v>46296.41686135417</v>
      </c>
      <c r="T20" s="57">
        <f>tblJTL[[#This Row],[timeStamp]]+tblJTL[[#This Row],[elapsed]]</f>
        <v>1790816417101</v>
      </c>
      <c r="U20" s="61">
        <f>(tblJTL[[#This Row],[timeStamp]]-'17_分析サンプル'!$E$18)/1000</f>
        <v>16.640999999999998</v>
      </c>
      <c r="V20" s="57">
        <f>INT(tblJTL[[#This Row],[経過秒]]/60)</f>
        <v>0</v>
      </c>
      <c r="W20" s="57">
        <f>IF(OR(tblJTL[[#This Row],[success]]=FALSE,tblJTL[[#This Row],[success]]="false"),1,0)</f>
        <v>0</v>
      </c>
      <c r="X20" s="57">
        <f>IF(AND(tblJTL[[#This Row],[経過秒]]&gt;='17_分析サンプル'!$E$11,tblJTL[[#This Row],[経過秒]]&lt;'17_分析サンプル'!$E$12),1,0)</f>
        <v>0</v>
      </c>
    </row>
    <row r="21" spans="2:24" ht="14.4" x14ac:dyDescent="0.3">
      <c r="B21" s="57">
        <v>1790816417378</v>
      </c>
      <c r="C21" s="58">
        <v>105</v>
      </c>
      <c r="D21" s="59" t="s">
        <v>1658</v>
      </c>
      <c r="E21" s="59" t="s">
        <v>1577</v>
      </c>
      <c r="F21" s="59" t="s">
        <v>2275</v>
      </c>
      <c r="G21" s="59" t="s">
        <v>3582</v>
      </c>
      <c r="H21" s="59" t="s">
        <v>2281</v>
      </c>
      <c r="I21" s="59" t="b">
        <v>1</v>
      </c>
      <c r="J21" s="59"/>
      <c r="K21" s="58">
        <v>1866</v>
      </c>
      <c r="L21" s="58">
        <v>1342</v>
      </c>
      <c r="M21" s="59">
        <v>3</v>
      </c>
      <c r="N21" s="59">
        <v>3</v>
      </c>
      <c r="O21" s="59" t="s">
        <v>3578</v>
      </c>
      <c r="P21" s="58">
        <v>99</v>
      </c>
      <c r="Q21" s="59">
        <v>0</v>
      </c>
      <c r="R21" s="59">
        <v>0</v>
      </c>
      <c r="S21" s="60">
        <f>tblJTL[[#This Row],[timeStamp]]/86400000+DATE(1970,1,1)+TIME(9,0,0)</f>
        <v>46296.41686780093</v>
      </c>
      <c r="T21" s="57">
        <f>tblJTL[[#This Row],[timeStamp]]+tblJTL[[#This Row],[elapsed]]</f>
        <v>1790816417483</v>
      </c>
      <c r="U21" s="61">
        <f>(tblJTL[[#This Row],[timeStamp]]-'17_分析サンプル'!$E$18)/1000</f>
        <v>17.198</v>
      </c>
      <c r="V21" s="57">
        <f>INT(tblJTL[[#This Row],[経過秒]]/60)</f>
        <v>0</v>
      </c>
      <c r="W21" s="57">
        <f>IF(OR(tblJTL[[#This Row],[success]]=FALSE,tblJTL[[#This Row],[success]]="false"),1,0)</f>
        <v>0</v>
      </c>
      <c r="X21" s="57">
        <f>IF(AND(tblJTL[[#This Row],[経過秒]]&gt;='17_分析サンプル'!$E$11,tblJTL[[#This Row],[経過秒]]&lt;'17_分析サンプル'!$E$12),1,0)</f>
        <v>0</v>
      </c>
    </row>
    <row r="22" spans="2:24" ht="14.4" x14ac:dyDescent="0.3">
      <c r="B22" s="57">
        <v>1790816417977</v>
      </c>
      <c r="C22" s="58">
        <v>101</v>
      </c>
      <c r="D22" s="59" t="s">
        <v>1658</v>
      </c>
      <c r="E22" s="59" t="s">
        <v>1577</v>
      </c>
      <c r="F22" s="59" t="s">
        <v>2275</v>
      </c>
      <c r="G22" s="59" t="s">
        <v>3577</v>
      </c>
      <c r="H22" s="59" t="s">
        <v>2281</v>
      </c>
      <c r="I22" s="59" t="b">
        <v>1</v>
      </c>
      <c r="J22" s="59"/>
      <c r="K22" s="58">
        <v>1842</v>
      </c>
      <c r="L22" s="58">
        <v>1342</v>
      </c>
      <c r="M22" s="59">
        <v>3</v>
      </c>
      <c r="N22" s="59">
        <v>3</v>
      </c>
      <c r="O22" s="59" t="s">
        <v>3578</v>
      </c>
      <c r="P22" s="58">
        <v>95</v>
      </c>
      <c r="Q22" s="59">
        <v>0</v>
      </c>
      <c r="R22" s="59">
        <v>0</v>
      </c>
      <c r="S22" s="60">
        <f>tblJTL[[#This Row],[timeStamp]]/86400000+DATE(1970,1,1)+TIME(9,0,0)</f>
        <v>46296.416874733797</v>
      </c>
      <c r="T22" s="57">
        <f>tblJTL[[#This Row],[timeStamp]]+tblJTL[[#This Row],[elapsed]]</f>
        <v>1790816418078</v>
      </c>
      <c r="U22" s="61">
        <f>(tblJTL[[#This Row],[timeStamp]]-'17_分析サンプル'!$E$18)/1000</f>
        <v>17.797000000000001</v>
      </c>
      <c r="V22" s="57">
        <f>INT(tblJTL[[#This Row],[経過秒]]/60)</f>
        <v>0</v>
      </c>
      <c r="W22" s="57">
        <f>IF(OR(tblJTL[[#This Row],[success]]=FALSE,tblJTL[[#This Row],[success]]="false"),1,0)</f>
        <v>0</v>
      </c>
      <c r="X22" s="57">
        <f>IF(AND(tblJTL[[#This Row],[経過秒]]&gt;='17_分析サンプル'!$E$11,tblJTL[[#This Row],[経過秒]]&lt;'17_分析サンプル'!$E$12),1,0)</f>
        <v>0</v>
      </c>
    </row>
    <row r="23" spans="2:24" ht="14.4" x14ac:dyDescent="0.3">
      <c r="B23" s="57">
        <v>1790816418555</v>
      </c>
      <c r="C23" s="58">
        <v>247</v>
      </c>
      <c r="D23" s="59" t="s">
        <v>1677</v>
      </c>
      <c r="E23" s="59" t="s">
        <v>3579</v>
      </c>
      <c r="F23" s="59" t="s">
        <v>3580</v>
      </c>
      <c r="G23" s="59" t="s">
        <v>3582</v>
      </c>
      <c r="H23" s="59" t="s">
        <v>2281</v>
      </c>
      <c r="I23" s="59" t="b">
        <v>1</v>
      </c>
      <c r="J23" s="59"/>
      <c r="K23" s="58">
        <v>424</v>
      </c>
      <c r="L23" s="58">
        <v>1478</v>
      </c>
      <c r="M23" s="59">
        <v>3</v>
      </c>
      <c r="N23" s="59">
        <v>3</v>
      </c>
      <c r="O23" s="59" t="s">
        <v>3581</v>
      </c>
      <c r="P23" s="58">
        <v>240</v>
      </c>
      <c r="Q23" s="59">
        <v>0</v>
      </c>
      <c r="R23" s="59">
        <v>0</v>
      </c>
      <c r="S23" s="60">
        <f>tblJTL[[#This Row],[timeStamp]]/86400000+DATE(1970,1,1)+TIME(9,0,0)</f>
        <v>46296.416881423611</v>
      </c>
      <c r="T23" s="57">
        <f>tblJTL[[#This Row],[timeStamp]]+tblJTL[[#This Row],[elapsed]]</f>
        <v>1790816418802</v>
      </c>
      <c r="U23" s="61">
        <f>(tblJTL[[#This Row],[timeStamp]]-'17_分析サンプル'!$E$18)/1000</f>
        <v>18.375</v>
      </c>
      <c r="V23" s="57">
        <f>INT(tblJTL[[#This Row],[経過秒]]/60)</f>
        <v>0</v>
      </c>
      <c r="W23" s="57">
        <f>IF(OR(tblJTL[[#This Row],[success]]=FALSE,tblJTL[[#This Row],[success]]="false"),1,0)</f>
        <v>0</v>
      </c>
      <c r="X23" s="57">
        <f>IF(AND(tblJTL[[#This Row],[経過秒]]&gt;='17_分析サンプル'!$E$11,tblJTL[[#This Row],[経過秒]]&lt;'17_分析サンプル'!$E$12),1,0)</f>
        <v>0</v>
      </c>
    </row>
    <row r="24" spans="2:24" ht="14.4" x14ac:dyDescent="0.3">
      <c r="B24" s="57">
        <v>1790816419647</v>
      </c>
      <c r="C24" s="58">
        <v>266</v>
      </c>
      <c r="D24" s="59" t="s">
        <v>1677</v>
      </c>
      <c r="E24" s="59" t="s">
        <v>3579</v>
      </c>
      <c r="F24" s="59" t="s">
        <v>3580</v>
      </c>
      <c r="G24" s="59" t="s">
        <v>3577</v>
      </c>
      <c r="H24" s="59" t="s">
        <v>2281</v>
      </c>
      <c r="I24" s="59" t="b">
        <v>1</v>
      </c>
      <c r="J24" s="59"/>
      <c r="K24" s="58">
        <v>425</v>
      </c>
      <c r="L24" s="58">
        <v>1478</v>
      </c>
      <c r="M24" s="59">
        <v>4</v>
      </c>
      <c r="N24" s="59">
        <v>4</v>
      </c>
      <c r="O24" s="59" t="s">
        <v>3581</v>
      </c>
      <c r="P24" s="58">
        <v>259</v>
      </c>
      <c r="Q24" s="59">
        <v>0</v>
      </c>
      <c r="R24" s="59">
        <v>0</v>
      </c>
      <c r="S24" s="60">
        <f>tblJTL[[#This Row],[timeStamp]]/86400000+DATE(1970,1,1)+TIME(9,0,0)</f>
        <v>46296.416894062495</v>
      </c>
      <c r="T24" s="57">
        <f>tblJTL[[#This Row],[timeStamp]]+tblJTL[[#This Row],[elapsed]]</f>
        <v>1790816419913</v>
      </c>
      <c r="U24" s="61">
        <f>(tblJTL[[#This Row],[timeStamp]]-'17_分析サンプル'!$E$18)/1000</f>
        <v>19.466999999999999</v>
      </c>
      <c r="V24" s="57">
        <f>INT(tblJTL[[#This Row],[経過秒]]/60)</f>
        <v>0</v>
      </c>
      <c r="W24" s="57">
        <f>IF(OR(tblJTL[[#This Row],[success]]=FALSE,tblJTL[[#This Row],[success]]="false"),1,0)</f>
        <v>0</v>
      </c>
      <c r="X24" s="57">
        <f>IF(AND(tblJTL[[#This Row],[経過秒]]&gt;='17_分析サンプル'!$E$11,tblJTL[[#This Row],[経過秒]]&lt;'17_分析サンプル'!$E$12),1,0)</f>
        <v>0</v>
      </c>
    </row>
    <row r="25" spans="2:24" ht="14.4" x14ac:dyDescent="0.3">
      <c r="B25" s="57">
        <v>1790816419870</v>
      </c>
      <c r="C25" s="58">
        <v>114</v>
      </c>
      <c r="D25" s="59" t="s">
        <v>1658</v>
      </c>
      <c r="E25" s="59" t="s">
        <v>1577</v>
      </c>
      <c r="F25" s="59" t="s">
        <v>2275</v>
      </c>
      <c r="G25" s="59" t="s">
        <v>2278</v>
      </c>
      <c r="H25" s="59" t="s">
        <v>2281</v>
      </c>
      <c r="I25" s="59" t="b">
        <v>1</v>
      </c>
      <c r="J25" s="59"/>
      <c r="K25" s="58">
        <v>1853</v>
      </c>
      <c r="L25" s="58">
        <v>1342</v>
      </c>
      <c r="M25" s="59">
        <v>4</v>
      </c>
      <c r="N25" s="59">
        <v>4</v>
      </c>
      <c r="O25" s="59" t="s">
        <v>3578</v>
      </c>
      <c r="P25" s="58">
        <v>110</v>
      </c>
      <c r="Q25" s="59">
        <v>0</v>
      </c>
      <c r="R25" s="59">
        <v>0</v>
      </c>
      <c r="S25" s="60">
        <f>tblJTL[[#This Row],[timeStamp]]/86400000+DATE(1970,1,1)+TIME(9,0,0)</f>
        <v>46296.416896643517</v>
      </c>
      <c r="T25" s="57">
        <f>tblJTL[[#This Row],[timeStamp]]+tblJTL[[#This Row],[elapsed]]</f>
        <v>1790816419984</v>
      </c>
      <c r="U25" s="61">
        <f>(tblJTL[[#This Row],[timeStamp]]-'17_分析サンプル'!$E$18)/1000</f>
        <v>19.690000000000001</v>
      </c>
      <c r="V25" s="57">
        <f>INT(tblJTL[[#This Row],[経過秒]]/60)</f>
        <v>0</v>
      </c>
      <c r="W25" s="57">
        <f>IF(OR(tblJTL[[#This Row],[success]]=FALSE,tblJTL[[#This Row],[success]]="false"),1,0)</f>
        <v>0</v>
      </c>
      <c r="X25" s="57">
        <f>IF(AND(tblJTL[[#This Row],[経過秒]]&gt;='17_分析サンプル'!$E$11,tblJTL[[#This Row],[経過秒]]&lt;'17_分析サンプル'!$E$12),1,0)</f>
        <v>0</v>
      </c>
    </row>
    <row r="26" spans="2:24" ht="14.4" x14ac:dyDescent="0.3">
      <c r="B26" s="57">
        <v>1790816421074</v>
      </c>
      <c r="C26" s="58">
        <v>187</v>
      </c>
      <c r="D26" s="59" t="s">
        <v>1658</v>
      </c>
      <c r="E26" s="59" t="s">
        <v>1577</v>
      </c>
      <c r="F26" s="59" t="s">
        <v>2275</v>
      </c>
      <c r="G26" s="59" t="s">
        <v>3583</v>
      </c>
      <c r="H26" s="59" t="s">
        <v>2281</v>
      </c>
      <c r="I26" s="59" t="b">
        <v>1</v>
      </c>
      <c r="J26" s="59"/>
      <c r="K26" s="58">
        <v>1846</v>
      </c>
      <c r="L26" s="58">
        <v>1342</v>
      </c>
      <c r="M26" s="59">
        <v>4</v>
      </c>
      <c r="N26" s="59">
        <v>4</v>
      </c>
      <c r="O26" s="59" t="s">
        <v>3578</v>
      </c>
      <c r="P26" s="58">
        <v>184</v>
      </c>
      <c r="Q26" s="59">
        <v>0</v>
      </c>
      <c r="R26" s="59">
        <v>68</v>
      </c>
      <c r="S26" s="60">
        <f>tblJTL[[#This Row],[timeStamp]]/86400000+DATE(1970,1,1)+TIME(9,0,0)</f>
        <v>46296.4169105787</v>
      </c>
      <c r="T26" s="57">
        <f>tblJTL[[#This Row],[timeStamp]]+tblJTL[[#This Row],[elapsed]]</f>
        <v>1790816421261</v>
      </c>
      <c r="U26" s="61">
        <f>(tblJTL[[#This Row],[timeStamp]]-'17_分析サンプル'!$E$18)/1000</f>
        <v>20.893999999999998</v>
      </c>
      <c r="V26" s="57">
        <f>INT(tblJTL[[#This Row],[経過秒]]/60)</f>
        <v>0</v>
      </c>
      <c r="W26" s="57">
        <f>IF(OR(tblJTL[[#This Row],[success]]=FALSE,tblJTL[[#This Row],[success]]="false"),1,0)</f>
        <v>0</v>
      </c>
      <c r="X26" s="57">
        <f>IF(AND(tblJTL[[#This Row],[経過秒]]&gt;='17_分析サンプル'!$E$11,tblJTL[[#This Row],[経過秒]]&lt;'17_分析サンプル'!$E$12),1,0)</f>
        <v>0</v>
      </c>
    </row>
    <row r="27" spans="2:24" ht="14.4" x14ac:dyDescent="0.3">
      <c r="B27" s="57">
        <v>1790816421743</v>
      </c>
      <c r="C27" s="58">
        <v>172</v>
      </c>
      <c r="D27" s="59" t="s">
        <v>1658</v>
      </c>
      <c r="E27" s="59" t="s">
        <v>1577</v>
      </c>
      <c r="F27" s="59" t="s">
        <v>2275</v>
      </c>
      <c r="G27" s="59" t="s">
        <v>3582</v>
      </c>
      <c r="H27" s="59" t="s">
        <v>2281</v>
      </c>
      <c r="I27" s="59" t="b">
        <v>1</v>
      </c>
      <c r="J27" s="59"/>
      <c r="K27" s="58">
        <v>1888</v>
      </c>
      <c r="L27" s="58">
        <v>1342</v>
      </c>
      <c r="M27" s="59">
        <v>4</v>
      </c>
      <c r="N27" s="59">
        <v>4</v>
      </c>
      <c r="O27" s="59" t="s">
        <v>3578</v>
      </c>
      <c r="P27" s="58">
        <v>169</v>
      </c>
      <c r="Q27" s="59">
        <v>0</v>
      </c>
      <c r="R27" s="59">
        <v>0</v>
      </c>
      <c r="S27" s="60">
        <f>tblJTL[[#This Row],[timeStamp]]/86400000+DATE(1970,1,1)+TIME(9,0,0)</f>
        <v>46296.41691832176</v>
      </c>
      <c r="T27" s="57">
        <f>tblJTL[[#This Row],[timeStamp]]+tblJTL[[#This Row],[elapsed]]</f>
        <v>1790816421915</v>
      </c>
      <c r="U27" s="61">
        <f>(tblJTL[[#This Row],[timeStamp]]-'17_分析サンプル'!$E$18)/1000</f>
        <v>21.562999999999999</v>
      </c>
      <c r="V27" s="57">
        <f>INT(tblJTL[[#This Row],[経過秒]]/60)</f>
        <v>0</v>
      </c>
      <c r="W27" s="57">
        <f>IF(OR(tblJTL[[#This Row],[success]]=FALSE,tblJTL[[#This Row],[success]]="false"),1,0)</f>
        <v>0</v>
      </c>
      <c r="X27" s="57">
        <f>IF(AND(tblJTL[[#This Row],[経過秒]]&gt;='17_分析サンプル'!$E$11,tblJTL[[#This Row],[経過秒]]&lt;'17_分析サンプル'!$E$12),1,0)</f>
        <v>0</v>
      </c>
    </row>
    <row r="28" spans="2:24" ht="14.4" x14ac:dyDescent="0.3">
      <c r="B28" s="57">
        <v>1790816422043</v>
      </c>
      <c r="C28" s="58">
        <v>78</v>
      </c>
      <c r="D28" s="59" t="s">
        <v>1658</v>
      </c>
      <c r="E28" s="59" t="s">
        <v>1577</v>
      </c>
      <c r="F28" s="59" t="s">
        <v>2275</v>
      </c>
      <c r="G28" s="59" t="s">
        <v>3577</v>
      </c>
      <c r="H28" s="59" t="s">
        <v>2281</v>
      </c>
      <c r="I28" s="59" t="b">
        <v>1</v>
      </c>
      <c r="J28" s="59"/>
      <c r="K28" s="58">
        <v>1887</v>
      </c>
      <c r="L28" s="58">
        <v>1342</v>
      </c>
      <c r="M28" s="59">
        <v>4</v>
      </c>
      <c r="N28" s="59">
        <v>4</v>
      </c>
      <c r="O28" s="59" t="s">
        <v>3578</v>
      </c>
      <c r="P28" s="58">
        <v>73</v>
      </c>
      <c r="Q28" s="59">
        <v>0</v>
      </c>
      <c r="R28" s="59">
        <v>0</v>
      </c>
      <c r="S28" s="60">
        <f>tblJTL[[#This Row],[timeStamp]]/86400000+DATE(1970,1,1)+TIME(9,0,0)</f>
        <v>46296.416921793978</v>
      </c>
      <c r="T28" s="57">
        <f>tblJTL[[#This Row],[timeStamp]]+tblJTL[[#This Row],[elapsed]]</f>
        <v>1790816422121</v>
      </c>
      <c r="U28" s="61">
        <f>(tblJTL[[#This Row],[timeStamp]]-'17_分析サンプル'!$E$18)/1000</f>
        <v>21.863</v>
      </c>
      <c r="V28" s="57">
        <f>INT(tblJTL[[#This Row],[経過秒]]/60)</f>
        <v>0</v>
      </c>
      <c r="W28" s="57">
        <f>IF(OR(tblJTL[[#This Row],[success]]=FALSE,tblJTL[[#This Row],[success]]="false"),1,0)</f>
        <v>0</v>
      </c>
      <c r="X28" s="57">
        <f>IF(AND(tblJTL[[#This Row],[経過秒]]&gt;='17_分析サンプル'!$E$11,tblJTL[[#This Row],[経過秒]]&lt;'17_分析サンプル'!$E$12),1,0)</f>
        <v>0</v>
      </c>
    </row>
    <row r="29" spans="2:24" ht="14.4" x14ac:dyDescent="0.3">
      <c r="B29" s="57">
        <v>1790816422298</v>
      </c>
      <c r="C29" s="58">
        <v>317</v>
      </c>
      <c r="D29" s="59" t="s">
        <v>1677</v>
      </c>
      <c r="E29" s="59" t="s">
        <v>3579</v>
      </c>
      <c r="F29" s="59" t="s">
        <v>3580</v>
      </c>
      <c r="G29" s="59" t="s">
        <v>2278</v>
      </c>
      <c r="H29" s="59" t="s">
        <v>2281</v>
      </c>
      <c r="I29" s="59" t="b">
        <v>1</v>
      </c>
      <c r="J29" s="59"/>
      <c r="K29" s="58">
        <v>429</v>
      </c>
      <c r="L29" s="58">
        <v>1478</v>
      </c>
      <c r="M29" s="59">
        <v>4</v>
      </c>
      <c r="N29" s="59">
        <v>4</v>
      </c>
      <c r="O29" s="59" t="s">
        <v>3581</v>
      </c>
      <c r="P29" s="58">
        <v>311</v>
      </c>
      <c r="Q29" s="59">
        <v>0</v>
      </c>
      <c r="R29" s="59">
        <v>0</v>
      </c>
      <c r="S29" s="60">
        <f>tblJTL[[#This Row],[timeStamp]]/86400000+DATE(1970,1,1)+TIME(9,0,0)</f>
        <v>46296.416924745368</v>
      </c>
      <c r="T29" s="57">
        <f>tblJTL[[#This Row],[timeStamp]]+tblJTL[[#This Row],[elapsed]]</f>
        <v>1790816422615</v>
      </c>
      <c r="U29" s="61">
        <f>(tblJTL[[#This Row],[timeStamp]]-'17_分析サンプル'!$E$18)/1000</f>
        <v>22.117999999999999</v>
      </c>
      <c r="V29" s="57">
        <f>INT(tblJTL[[#This Row],[経過秒]]/60)</f>
        <v>0</v>
      </c>
      <c r="W29" s="57">
        <f>IF(OR(tblJTL[[#This Row],[success]]=FALSE,tblJTL[[#This Row],[success]]="false"),1,0)</f>
        <v>0</v>
      </c>
      <c r="X29" s="57">
        <f>IF(AND(tblJTL[[#This Row],[経過秒]]&gt;='17_分析サンプル'!$E$11,tblJTL[[#This Row],[経過秒]]&lt;'17_分析サンプル'!$E$12),1,0)</f>
        <v>0</v>
      </c>
    </row>
    <row r="30" spans="2:24" ht="14.4" x14ac:dyDescent="0.3">
      <c r="B30" s="57">
        <v>1790816423232</v>
      </c>
      <c r="C30" s="58">
        <v>204</v>
      </c>
      <c r="D30" s="59" t="s">
        <v>1677</v>
      </c>
      <c r="E30" s="59" t="s">
        <v>3579</v>
      </c>
      <c r="F30" s="59" t="s">
        <v>3580</v>
      </c>
      <c r="G30" s="59" t="s">
        <v>3582</v>
      </c>
      <c r="H30" s="59" t="s">
        <v>2281</v>
      </c>
      <c r="I30" s="59" t="b">
        <v>1</v>
      </c>
      <c r="J30" s="59"/>
      <c r="K30" s="58">
        <v>434</v>
      </c>
      <c r="L30" s="58">
        <v>1478</v>
      </c>
      <c r="M30" s="59">
        <v>4</v>
      </c>
      <c r="N30" s="59">
        <v>4</v>
      </c>
      <c r="O30" s="59" t="s">
        <v>3581</v>
      </c>
      <c r="P30" s="58">
        <v>202</v>
      </c>
      <c r="Q30" s="59">
        <v>0</v>
      </c>
      <c r="R30" s="59">
        <v>0</v>
      </c>
      <c r="S30" s="60">
        <f>tblJTL[[#This Row],[timeStamp]]/86400000+DATE(1970,1,1)+TIME(9,0,0)</f>
        <v>46296.416935555557</v>
      </c>
      <c r="T30" s="57">
        <f>tblJTL[[#This Row],[timeStamp]]+tblJTL[[#This Row],[elapsed]]</f>
        <v>1790816423436</v>
      </c>
      <c r="U30" s="61">
        <f>(tblJTL[[#This Row],[timeStamp]]-'17_分析サンプル'!$E$18)/1000</f>
        <v>23.052</v>
      </c>
      <c r="V30" s="57">
        <f>INT(tblJTL[[#This Row],[経過秒]]/60)</f>
        <v>0</v>
      </c>
      <c r="W30" s="57">
        <f>IF(OR(tblJTL[[#This Row],[success]]=FALSE,tblJTL[[#This Row],[success]]="false"),1,0)</f>
        <v>0</v>
      </c>
      <c r="X30" s="57">
        <f>IF(AND(tblJTL[[#This Row],[経過秒]]&gt;='17_分析サンプル'!$E$11,tblJTL[[#This Row],[経過秒]]&lt;'17_分析サンプル'!$E$12),1,0)</f>
        <v>0</v>
      </c>
    </row>
    <row r="31" spans="2:24" ht="14.4" x14ac:dyDescent="0.3">
      <c r="B31" s="57">
        <v>1790816423388</v>
      </c>
      <c r="C31" s="58">
        <v>257</v>
      </c>
      <c r="D31" s="59" t="s">
        <v>1677</v>
      </c>
      <c r="E31" s="59" t="s">
        <v>3579</v>
      </c>
      <c r="F31" s="59" t="s">
        <v>3580</v>
      </c>
      <c r="G31" s="59" t="s">
        <v>3583</v>
      </c>
      <c r="H31" s="59" t="s">
        <v>2281</v>
      </c>
      <c r="I31" s="59" t="b">
        <v>1</v>
      </c>
      <c r="J31" s="59"/>
      <c r="K31" s="58">
        <v>435</v>
      </c>
      <c r="L31" s="58">
        <v>1478</v>
      </c>
      <c r="M31" s="59">
        <v>4</v>
      </c>
      <c r="N31" s="59">
        <v>4</v>
      </c>
      <c r="O31" s="59" t="s">
        <v>3581</v>
      </c>
      <c r="P31" s="58">
        <v>249</v>
      </c>
      <c r="Q31" s="59">
        <v>0</v>
      </c>
      <c r="R31" s="59">
        <v>0</v>
      </c>
      <c r="S31" s="60">
        <f>tblJTL[[#This Row],[timeStamp]]/86400000+DATE(1970,1,1)+TIME(9,0,0)</f>
        <v>46296.416937361108</v>
      </c>
      <c r="T31" s="57">
        <f>tblJTL[[#This Row],[timeStamp]]+tblJTL[[#This Row],[elapsed]]</f>
        <v>1790816423645</v>
      </c>
      <c r="U31" s="61">
        <f>(tblJTL[[#This Row],[timeStamp]]-'17_分析サンプル'!$E$18)/1000</f>
        <v>23.207999999999998</v>
      </c>
      <c r="V31" s="57">
        <f>INT(tblJTL[[#This Row],[経過秒]]/60)</f>
        <v>0</v>
      </c>
      <c r="W31" s="57">
        <f>IF(OR(tblJTL[[#This Row],[success]]=FALSE,tblJTL[[#This Row],[success]]="false"),1,0)</f>
        <v>0</v>
      </c>
      <c r="X31" s="57">
        <f>IF(AND(tblJTL[[#This Row],[経過秒]]&gt;='17_分析サンプル'!$E$11,tblJTL[[#This Row],[経過秒]]&lt;'17_分析サンプル'!$E$12),1,0)</f>
        <v>0</v>
      </c>
    </row>
    <row r="32" spans="2:24" ht="14.4" x14ac:dyDescent="0.3">
      <c r="B32" s="57">
        <v>1790816424588</v>
      </c>
      <c r="C32" s="58">
        <v>278</v>
      </c>
      <c r="D32" s="59" t="s">
        <v>1677</v>
      </c>
      <c r="E32" s="59" t="s">
        <v>3579</v>
      </c>
      <c r="F32" s="59" t="s">
        <v>3580</v>
      </c>
      <c r="G32" s="59" t="s">
        <v>3577</v>
      </c>
      <c r="H32" s="59" t="s">
        <v>2281</v>
      </c>
      <c r="I32" s="59" t="b">
        <v>1</v>
      </c>
      <c r="J32" s="59"/>
      <c r="K32" s="58">
        <v>418</v>
      </c>
      <c r="L32" s="58">
        <v>1478</v>
      </c>
      <c r="M32" s="59">
        <v>4</v>
      </c>
      <c r="N32" s="59">
        <v>4</v>
      </c>
      <c r="O32" s="59" t="s">
        <v>3581</v>
      </c>
      <c r="P32" s="58">
        <v>275</v>
      </c>
      <c r="Q32" s="59">
        <v>0</v>
      </c>
      <c r="R32" s="59">
        <v>0</v>
      </c>
      <c r="S32" s="60">
        <f>tblJTL[[#This Row],[timeStamp]]/86400000+DATE(1970,1,1)+TIME(9,0,0)</f>
        <v>46296.416951250001</v>
      </c>
      <c r="T32" s="57">
        <f>tblJTL[[#This Row],[timeStamp]]+tblJTL[[#This Row],[elapsed]]</f>
        <v>1790816424866</v>
      </c>
      <c r="U32" s="61">
        <f>(tblJTL[[#This Row],[timeStamp]]-'17_分析サンプル'!$E$18)/1000</f>
        <v>24.408000000000001</v>
      </c>
      <c r="V32" s="57">
        <f>INT(tblJTL[[#This Row],[経過秒]]/60)</f>
        <v>0</v>
      </c>
      <c r="W32" s="57">
        <f>IF(OR(tblJTL[[#This Row],[success]]=FALSE,tblJTL[[#This Row],[success]]="false"),1,0)</f>
        <v>0</v>
      </c>
      <c r="X32" s="57">
        <f>IF(AND(tblJTL[[#This Row],[経過秒]]&gt;='17_分析サンプル'!$E$11,tblJTL[[#This Row],[経過秒]]&lt;'17_分析サンプル'!$E$12),1,0)</f>
        <v>0</v>
      </c>
    </row>
    <row r="33" spans="2:24" ht="14.4" x14ac:dyDescent="0.3">
      <c r="B33" s="57">
        <v>1790816424764</v>
      </c>
      <c r="C33" s="58">
        <v>149</v>
      </c>
      <c r="D33" s="59" t="s">
        <v>1658</v>
      </c>
      <c r="E33" s="59" t="s">
        <v>1577</v>
      </c>
      <c r="F33" s="59" t="s">
        <v>2275</v>
      </c>
      <c r="G33" s="59" t="s">
        <v>2278</v>
      </c>
      <c r="H33" s="59" t="s">
        <v>2281</v>
      </c>
      <c r="I33" s="59" t="b">
        <v>1</v>
      </c>
      <c r="J33" s="59"/>
      <c r="K33" s="58">
        <v>1858</v>
      </c>
      <c r="L33" s="58">
        <v>1342</v>
      </c>
      <c r="M33" s="59">
        <v>5</v>
      </c>
      <c r="N33" s="59">
        <v>5</v>
      </c>
      <c r="O33" s="59" t="s">
        <v>3578</v>
      </c>
      <c r="P33" s="58">
        <v>145</v>
      </c>
      <c r="Q33" s="59">
        <v>0</v>
      </c>
      <c r="R33" s="59">
        <v>0</v>
      </c>
      <c r="S33" s="60">
        <f>tblJTL[[#This Row],[timeStamp]]/86400000+DATE(1970,1,1)+TIME(9,0,0)</f>
        <v>46296.416953287036</v>
      </c>
      <c r="T33" s="57">
        <f>tblJTL[[#This Row],[timeStamp]]+tblJTL[[#This Row],[elapsed]]</f>
        <v>1790816424913</v>
      </c>
      <c r="U33" s="61">
        <f>(tblJTL[[#This Row],[timeStamp]]-'17_分析サンプル'!$E$18)/1000</f>
        <v>24.584</v>
      </c>
      <c r="V33" s="57">
        <f>INT(tblJTL[[#This Row],[経過秒]]/60)</f>
        <v>0</v>
      </c>
      <c r="W33" s="57">
        <f>IF(OR(tblJTL[[#This Row],[success]]=FALSE,tblJTL[[#This Row],[success]]="false"),1,0)</f>
        <v>0</v>
      </c>
      <c r="X33" s="57">
        <f>IF(AND(tblJTL[[#This Row],[経過秒]]&gt;='17_分析サンプル'!$E$11,tblJTL[[#This Row],[経過秒]]&lt;'17_分析サンプル'!$E$12),1,0)</f>
        <v>0</v>
      </c>
    </row>
    <row r="34" spans="2:24" ht="14.4" x14ac:dyDescent="0.3">
      <c r="B34" s="57">
        <v>1790816425359</v>
      </c>
      <c r="C34" s="58">
        <v>106</v>
      </c>
      <c r="D34" s="59" t="s">
        <v>1658</v>
      </c>
      <c r="E34" s="59" t="s">
        <v>1577</v>
      </c>
      <c r="F34" s="59" t="s">
        <v>2275</v>
      </c>
      <c r="G34" s="59" t="s">
        <v>3583</v>
      </c>
      <c r="H34" s="59" t="s">
        <v>2281</v>
      </c>
      <c r="I34" s="59" t="b">
        <v>1</v>
      </c>
      <c r="J34" s="59"/>
      <c r="K34" s="58">
        <v>1850</v>
      </c>
      <c r="L34" s="58">
        <v>1342</v>
      </c>
      <c r="M34" s="59">
        <v>5</v>
      </c>
      <c r="N34" s="59">
        <v>5</v>
      </c>
      <c r="O34" s="59" t="s">
        <v>3578</v>
      </c>
      <c r="P34" s="58">
        <v>98</v>
      </c>
      <c r="Q34" s="59">
        <v>0</v>
      </c>
      <c r="R34" s="59">
        <v>0</v>
      </c>
      <c r="S34" s="60">
        <f>tblJTL[[#This Row],[timeStamp]]/86400000+DATE(1970,1,1)+TIME(9,0,0)</f>
        <v>46296.416960173607</v>
      </c>
      <c r="T34" s="57">
        <f>tblJTL[[#This Row],[timeStamp]]+tblJTL[[#This Row],[elapsed]]</f>
        <v>1790816425465</v>
      </c>
      <c r="U34" s="61">
        <f>(tblJTL[[#This Row],[timeStamp]]-'17_分析サンプル'!$E$18)/1000</f>
        <v>25.178999999999998</v>
      </c>
      <c r="V34" s="57">
        <f>INT(tblJTL[[#This Row],[経過秒]]/60)</f>
        <v>0</v>
      </c>
      <c r="W34" s="57">
        <f>IF(OR(tblJTL[[#This Row],[success]]=FALSE,tblJTL[[#This Row],[success]]="false"),1,0)</f>
        <v>0</v>
      </c>
      <c r="X34" s="57">
        <f>IF(AND(tblJTL[[#This Row],[経過秒]]&gt;='17_分析サンプル'!$E$11,tblJTL[[#This Row],[経過秒]]&lt;'17_分析サンプル'!$E$12),1,0)</f>
        <v>0</v>
      </c>
    </row>
    <row r="35" spans="2:24" ht="14.4" x14ac:dyDescent="0.3">
      <c r="B35" s="57">
        <v>1790816425817</v>
      </c>
      <c r="C35" s="58">
        <v>92</v>
      </c>
      <c r="D35" s="59" t="s">
        <v>1658</v>
      </c>
      <c r="E35" s="59" t="s">
        <v>1577</v>
      </c>
      <c r="F35" s="59" t="s">
        <v>2275</v>
      </c>
      <c r="G35" s="59" t="s">
        <v>3582</v>
      </c>
      <c r="H35" s="59" t="s">
        <v>2281</v>
      </c>
      <c r="I35" s="59" t="b">
        <v>1</v>
      </c>
      <c r="J35" s="59"/>
      <c r="K35" s="58">
        <v>1896</v>
      </c>
      <c r="L35" s="58">
        <v>1342</v>
      </c>
      <c r="M35" s="59">
        <v>5</v>
      </c>
      <c r="N35" s="59">
        <v>5</v>
      </c>
      <c r="O35" s="59" t="s">
        <v>3578</v>
      </c>
      <c r="P35" s="58">
        <v>85</v>
      </c>
      <c r="Q35" s="59">
        <v>0</v>
      </c>
      <c r="R35" s="59">
        <v>0</v>
      </c>
      <c r="S35" s="60">
        <f>tblJTL[[#This Row],[timeStamp]]/86400000+DATE(1970,1,1)+TIME(9,0,0)</f>
        <v>46296.416965474535</v>
      </c>
      <c r="T35" s="57">
        <f>tblJTL[[#This Row],[timeStamp]]+tblJTL[[#This Row],[elapsed]]</f>
        <v>1790816425909</v>
      </c>
      <c r="U35" s="61">
        <f>(tblJTL[[#This Row],[timeStamp]]-'17_分析サンプル'!$E$18)/1000</f>
        <v>25.637</v>
      </c>
      <c r="V35" s="57">
        <f>INT(tblJTL[[#This Row],[経過秒]]/60)</f>
        <v>0</v>
      </c>
      <c r="W35" s="57">
        <f>IF(OR(tblJTL[[#This Row],[success]]=FALSE,tblJTL[[#This Row],[success]]="false"),1,0)</f>
        <v>0</v>
      </c>
      <c r="X35" s="57">
        <f>IF(AND(tblJTL[[#This Row],[経過秒]]&gt;='17_分析サンプル'!$E$11,tblJTL[[#This Row],[経過秒]]&lt;'17_分析サンプル'!$E$12),1,0)</f>
        <v>0</v>
      </c>
    </row>
    <row r="36" spans="2:24" ht="14.4" x14ac:dyDescent="0.3">
      <c r="B36" s="57">
        <v>1790816426049</v>
      </c>
      <c r="C36" s="58">
        <v>118</v>
      </c>
      <c r="D36" s="59" t="s">
        <v>1658</v>
      </c>
      <c r="E36" s="59" t="s">
        <v>1577</v>
      </c>
      <c r="F36" s="59" t="s">
        <v>2275</v>
      </c>
      <c r="G36" s="59" t="s">
        <v>3577</v>
      </c>
      <c r="H36" s="59" t="s">
        <v>2281</v>
      </c>
      <c r="I36" s="59" t="b">
        <v>1</v>
      </c>
      <c r="J36" s="59"/>
      <c r="K36" s="58">
        <v>1862</v>
      </c>
      <c r="L36" s="58">
        <v>1342</v>
      </c>
      <c r="M36" s="59">
        <v>5</v>
      </c>
      <c r="N36" s="59">
        <v>5</v>
      </c>
      <c r="O36" s="59" t="s">
        <v>3578</v>
      </c>
      <c r="P36" s="58">
        <v>113</v>
      </c>
      <c r="Q36" s="59">
        <v>0</v>
      </c>
      <c r="R36" s="59">
        <v>0</v>
      </c>
      <c r="S36" s="60">
        <f>tblJTL[[#This Row],[timeStamp]]/86400000+DATE(1970,1,1)+TIME(9,0,0)</f>
        <v>46296.416968159727</v>
      </c>
      <c r="T36" s="57">
        <f>tblJTL[[#This Row],[timeStamp]]+tblJTL[[#This Row],[elapsed]]</f>
        <v>1790816426167</v>
      </c>
      <c r="U36" s="61">
        <f>(tblJTL[[#This Row],[timeStamp]]-'17_分析サンプル'!$E$18)/1000</f>
        <v>25.869</v>
      </c>
      <c r="V36" s="57">
        <f>INT(tblJTL[[#This Row],[経過秒]]/60)</f>
        <v>0</v>
      </c>
      <c r="W36" s="57">
        <f>IF(OR(tblJTL[[#This Row],[success]]=FALSE,tblJTL[[#This Row],[success]]="false"),1,0)</f>
        <v>0</v>
      </c>
      <c r="X36" s="57">
        <f>IF(AND(tblJTL[[#This Row],[経過秒]]&gt;='17_分析サンプル'!$E$11,tblJTL[[#This Row],[経過秒]]&lt;'17_分析サンプル'!$E$12),1,0)</f>
        <v>0</v>
      </c>
    </row>
    <row r="37" spans="2:24" ht="14.4" x14ac:dyDescent="0.3">
      <c r="B37" s="57">
        <v>1790816426469</v>
      </c>
      <c r="C37" s="58">
        <v>146</v>
      </c>
      <c r="D37" s="59" t="s">
        <v>1658</v>
      </c>
      <c r="E37" s="59" t="s">
        <v>1577</v>
      </c>
      <c r="F37" s="59" t="s">
        <v>2275</v>
      </c>
      <c r="G37" s="59" t="s">
        <v>3584</v>
      </c>
      <c r="H37" s="59" t="s">
        <v>2281</v>
      </c>
      <c r="I37" s="59" t="b">
        <v>1</v>
      </c>
      <c r="J37" s="59"/>
      <c r="K37" s="58">
        <v>1894</v>
      </c>
      <c r="L37" s="58">
        <v>1342</v>
      </c>
      <c r="M37" s="59">
        <v>5</v>
      </c>
      <c r="N37" s="59">
        <v>5</v>
      </c>
      <c r="O37" s="59" t="s">
        <v>3578</v>
      </c>
      <c r="P37" s="58">
        <v>139</v>
      </c>
      <c r="Q37" s="59">
        <v>0</v>
      </c>
      <c r="R37" s="59">
        <v>43</v>
      </c>
      <c r="S37" s="60">
        <f>tblJTL[[#This Row],[timeStamp]]/86400000+DATE(1970,1,1)+TIME(9,0,0)</f>
        <v>46296.416973020838</v>
      </c>
      <c r="T37" s="57">
        <f>tblJTL[[#This Row],[timeStamp]]+tblJTL[[#This Row],[elapsed]]</f>
        <v>1790816426615</v>
      </c>
      <c r="U37" s="61">
        <f>(tblJTL[[#This Row],[timeStamp]]-'17_分析サンプル'!$E$18)/1000</f>
        <v>26.289000000000001</v>
      </c>
      <c r="V37" s="57">
        <f>INT(tblJTL[[#This Row],[経過秒]]/60)</f>
        <v>0</v>
      </c>
      <c r="W37" s="57">
        <f>IF(OR(tblJTL[[#This Row],[success]]=FALSE,tblJTL[[#This Row],[success]]="false"),1,0)</f>
        <v>0</v>
      </c>
      <c r="X37" s="57">
        <f>IF(AND(tblJTL[[#This Row],[経過秒]]&gt;='17_分析サンプル'!$E$11,tblJTL[[#This Row],[経過秒]]&lt;'17_分析サンプル'!$E$12),1,0)</f>
        <v>0</v>
      </c>
    </row>
    <row r="38" spans="2:24" ht="14.4" x14ac:dyDescent="0.3">
      <c r="B38" s="57">
        <v>1790816426961</v>
      </c>
      <c r="C38" s="58">
        <v>168</v>
      </c>
      <c r="D38" s="59" t="s">
        <v>1677</v>
      </c>
      <c r="E38" s="59" t="s">
        <v>3579</v>
      </c>
      <c r="F38" s="59" t="s">
        <v>3580</v>
      </c>
      <c r="G38" s="59" t="s">
        <v>3583</v>
      </c>
      <c r="H38" s="59" t="s">
        <v>2281</v>
      </c>
      <c r="I38" s="59" t="b">
        <v>1</v>
      </c>
      <c r="J38" s="59"/>
      <c r="K38" s="58">
        <v>436</v>
      </c>
      <c r="L38" s="58">
        <v>1478</v>
      </c>
      <c r="M38" s="59">
        <v>5</v>
      </c>
      <c r="N38" s="59">
        <v>5</v>
      </c>
      <c r="O38" s="59" t="s">
        <v>3581</v>
      </c>
      <c r="P38" s="58">
        <v>166</v>
      </c>
      <c r="Q38" s="59">
        <v>0</v>
      </c>
      <c r="R38" s="59">
        <v>0</v>
      </c>
      <c r="S38" s="60">
        <f>tblJTL[[#This Row],[timeStamp]]/86400000+DATE(1970,1,1)+TIME(9,0,0)</f>
        <v>46296.416978715279</v>
      </c>
      <c r="T38" s="57">
        <f>tblJTL[[#This Row],[timeStamp]]+tblJTL[[#This Row],[elapsed]]</f>
        <v>1790816427129</v>
      </c>
      <c r="U38" s="61">
        <f>(tblJTL[[#This Row],[timeStamp]]-'17_分析サンプル'!$E$18)/1000</f>
        <v>26.780999999999999</v>
      </c>
      <c r="V38" s="57">
        <f>INT(tblJTL[[#This Row],[経過秒]]/60)</f>
        <v>0</v>
      </c>
      <c r="W38" s="57">
        <f>IF(OR(tblJTL[[#This Row],[success]]=FALSE,tblJTL[[#This Row],[success]]="false"),1,0)</f>
        <v>0</v>
      </c>
      <c r="X38" s="57">
        <f>IF(AND(tblJTL[[#This Row],[経過秒]]&gt;='17_分析サンプル'!$E$11,tblJTL[[#This Row],[経過秒]]&lt;'17_分析サンプル'!$E$12),1,0)</f>
        <v>0</v>
      </c>
    </row>
    <row r="39" spans="2:24" ht="14.4" x14ac:dyDescent="0.3">
      <c r="B39" s="57">
        <v>1790816427324</v>
      </c>
      <c r="C39" s="58">
        <v>383</v>
      </c>
      <c r="D39" s="59" t="s">
        <v>1677</v>
      </c>
      <c r="E39" s="59" t="s">
        <v>3579</v>
      </c>
      <c r="F39" s="59" t="s">
        <v>3580</v>
      </c>
      <c r="G39" s="59" t="s">
        <v>3582</v>
      </c>
      <c r="H39" s="59" t="s">
        <v>2281</v>
      </c>
      <c r="I39" s="59" t="b">
        <v>1</v>
      </c>
      <c r="J39" s="59"/>
      <c r="K39" s="58">
        <v>432</v>
      </c>
      <c r="L39" s="58">
        <v>1478</v>
      </c>
      <c r="M39" s="59">
        <v>5</v>
      </c>
      <c r="N39" s="59">
        <v>5</v>
      </c>
      <c r="O39" s="59" t="s">
        <v>3581</v>
      </c>
      <c r="P39" s="58">
        <v>377</v>
      </c>
      <c r="Q39" s="59">
        <v>0</v>
      </c>
      <c r="R39" s="59">
        <v>0</v>
      </c>
      <c r="S39" s="60">
        <f>tblJTL[[#This Row],[timeStamp]]/86400000+DATE(1970,1,1)+TIME(9,0,0)</f>
        <v>46296.416982916664</v>
      </c>
      <c r="T39" s="57">
        <f>tblJTL[[#This Row],[timeStamp]]+tblJTL[[#This Row],[elapsed]]</f>
        <v>1790816427707</v>
      </c>
      <c r="U39" s="61">
        <f>(tblJTL[[#This Row],[timeStamp]]-'17_分析サンプル'!$E$18)/1000</f>
        <v>27.143999999999998</v>
      </c>
      <c r="V39" s="57">
        <f>INT(tblJTL[[#This Row],[経過秒]]/60)</f>
        <v>0</v>
      </c>
      <c r="W39" s="57">
        <f>IF(OR(tblJTL[[#This Row],[success]]=FALSE,tblJTL[[#This Row],[success]]="false"),1,0)</f>
        <v>0</v>
      </c>
      <c r="X39" s="57">
        <f>IF(AND(tblJTL[[#This Row],[経過秒]]&gt;='17_分析サンプル'!$E$11,tblJTL[[#This Row],[経過秒]]&lt;'17_分析サンプル'!$E$12),1,0)</f>
        <v>0</v>
      </c>
    </row>
    <row r="40" spans="2:24" ht="14.4" x14ac:dyDescent="0.3">
      <c r="B40" s="57">
        <v>1790816427734</v>
      </c>
      <c r="C40" s="58">
        <v>314</v>
      </c>
      <c r="D40" s="59" t="s">
        <v>1677</v>
      </c>
      <c r="E40" s="59" t="s">
        <v>3579</v>
      </c>
      <c r="F40" s="59" t="s">
        <v>3580</v>
      </c>
      <c r="G40" s="59" t="s">
        <v>2278</v>
      </c>
      <c r="H40" s="59" t="s">
        <v>2281</v>
      </c>
      <c r="I40" s="59" t="b">
        <v>1</v>
      </c>
      <c r="J40" s="59"/>
      <c r="K40" s="58">
        <v>420</v>
      </c>
      <c r="L40" s="58">
        <v>1478</v>
      </c>
      <c r="M40" s="59">
        <v>5</v>
      </c>
      <c r="N40" s="59">
        <v>5</v>
      </c>
      <c r="O40" s="59" t="s">
        <v>3581</v>
      </c>
      <c r="P40" s="58">
        <v>306</v>
      </c>
      <c r="Q40" s="59">
        <v>0</v>
      </c>
      <c r="R40" s="59">
        <v>0</v>
      </c>
      <c r="S40" s="60">
        <f>tblJTL[[#This Row],[timeStamp]]/86400000+DATE(1970,1,1)+TIME(9,0,0)</f>
        <v>46296.416987662036</v>
      </c>
      <c r="T40" s="57">
        <f>tblJTL[[#This Row],[timeStamp]]+tblJTL[[#This Row],[elapsed]]</f>
        <v>1790816428048</v>
      </c>
      <c r="U40" s="61">
        <f>(tblJTL[[#This Row],[timeStamp]]-'17_分析サンプル'!$E$18)/1000</f>
        <v>27.553999999999998</v>
      </c>
      <c r="V40" s="57">
        <f>INT(tblJTL[[#This Row],[経過秒]]/60)</f>
        <v>0</v>
      </c>
      <c r="W40" s="57">
        <f>IF(OR(tblJTL[[#This Row],[success]]=FALSE,tblJTL[[#This Row],[success]]="false"),1,0)</f>
        <v>0</v>
      </c>
      <c r="X40" s="57">
        <f>IF(AND(tblJTL[[#This Row],[経過秒]]&gt;='17_分析サンプル'!$E$11,tblJTL[[#This Row],[経過秒]]&lt;'17_分析サンプル'!$E$12),1,0)</f>
        <v>0</v>
      </c>
    </row>
    <row r="41" spans="2:24" ht="14.4" x14ac:dyDescent="0.3">
      <c r="B41" s="57">
        <v>1790816428592</v>
      </c>
      <c r="C41" s="58">
        <v>79</v>
      </c>
      <c r="D41" s="59" t="s">
        <v>1658</v>
      </c>
      <c r="E41" s="59" t="s">
        <v>1577</v>
      </c>
      <c r="F41" s="59" t="s">
        <v>2275</v>
      </c>
      <c r="G41" s="59" t="s">
        <v>3583</v>
      </c>
      <c r="H41" s="59" t="s">
        <v>2281</v>
      </c>
      <c r="I41" s="59" t="b">
        <v>1</v>
      </c>
      <c r="J41" s="59"/>
      <c r="K41" s="58">
        <v>1825</v>
      </c>
      <c r="L41" s="58">
        <v>1342</v>
      </c>
      <c r="M41" s="59">
        <v>5</v>
      </c>
      <c r="N41" s="59">
        <v>5</v>
      </c>
      <c r="O41" s="59" t="s">
        <v>3578</v>
      </c>
      <c r="P41" s="58">
        <v>71</v>
      </c>
      <c r="Q41" s="59">
        <v>0</v>
      </c>
      <c r="R41" s="59">
        <v>0</v>
      </c>
      <c r="S41" s="60">
        <f>tblJTL[[#This Row],[timeStamp]]/86400000+DATE(1970,1,1)+TIME(9,0,0)</f>
        <v>46296.416997592591</v>
      </c>
      <c r="T41" s="57">
        <f>tblJTL[[#This Row],[timeStamp]]+tblJTL[[#This Row],[elapsed]]</f>
        <v>1790816428671</v>
      </c>
      <c r="U41" s="61">
        <f>(tblJTL[[#This Row],[timeStamp]]-'17_分析サンプル'!$E$18)/1000</f>
        <v>28.411999999999999</v>
      </c>
      <c r="V41" s="57">
        <f>INT(tblJTL[[#This Row],[経過秒]]/60)</f>
        <v>0</v>
      </c>
      <c r="W41" s="57">
        <f>IF(OR(tblJTL[[#This Row],[success]]=FALSE,tblJTL[[#This Row],[success]]="false"),1,0)</f>
        <v>0</v>
      </c>
      <c r="X41" s="57">
        <f>IF(AND(tblJTL[[#This Row],[経過秒]]&gt;='17_分析サンプル'!$E$11,tblJTL[[#This Row],[経過秒]]&lt;'17_分析サンプル'!$E$12),1,0)</f>
        <v>0</v>
      </c>
    </row>
    <row r="42" spans="2:24" ht="14.4" x14ac:dyDescent="0.3">
      <c r="B42" s="57">
        <v>1790816429162</v>
      </c>
      <c r="C42" s="58">
        <v>257</v>
      </c>
      <c r="D42" s="59" t="s">
        <v>1677</v>
      </c>
      <c r="E42" s="59" t="s">
        <v>3579</v>
      </c>
      <c r="F42" s="59" t="s">
        <v>3580</v>
      </c>
      <c r="G42" s="59" t="s">
        <v>3577</v>
      </c>
      <c r="H42" s="59" t="s">
        <v>2281</v>
      </c>
      <c r="I42" s="59" t="b">
        <v>1</v>
      </c>
      <c r="J42" s="59"/>
      <c r="K42" s="58">
        <v>421</v>
      </c>
      <c r="L42" s="58">
        <v>1478</v>
      </c>
      <c r="M42" s="59">
        <v>5</v>
      </c>
      <c r="N42" s="59">
        <v>5</v>
      </c>
      <c r="O42" s="59" t="s">
        <v>3581</v>
      </c>
      <c r="P42" s="58">
        <v>249</v>
      </c>
      <c r="Q42" s="59">
        <v>0</v>
      </c>
      <c r="R42" s="59">
        <v>0</v>
      </c>
      <c r="S42" s="60">
        <f>tblJTL[[#This Row],[timeStamp]]/86400000+DATE(1970,1,1)+TIME(9,0,0)</f>
        <v>46296.417004189818</v>
      </c>
      <c r="T42" s="57">
        <f>tblJTL[[#This Row],[timeStamp]]+tblJTL[[#This Row],[elapsed]]</f>
        <v>1790816429419</v>
      </c>
      <c r="U42" s="61">
        <f>(tblJTL[[#This Row],[timeStamp]]-'17_分析サンプル'!$E$18)/1000</f>
        <v>28.981999999999999</v>
      </c>
      <c r="V42" s="57">
        <f>INT(tblJTL[[#This Row],[経過秒]]/60)</f>
        <v>0</v>
      </c>
      <c r="W42" s="57">
        <f>IF(OR(tblJTL[[#This Row],[success]]=FALSE,tblJTL[[#This Row],[success]]="false"),1,0)</f>
        <v>0</v>
      </c>
      <c r="X42" s="57">
        <f>IF(AND(tblJTL[[#This Row],[経過秒]]&gt;='17_分析サンプル'!$E$11,tblJTL[[#This Row],[経過秒]]&lt;'17_分析サンプル'!$E$12),1,0)</f>
        <v>0</v>
      </c>
    </row>
    <row r="43" spans="2:24" ht="14.4" x14ac:dyDescent="0.3">
      <c r="B43" s="57">
        <v>1790816429460</v>
      </c>
      <c r="C43" s="58">
        <v>174</v>
      </c>
      <c r="D43" s="59" t="s">
        <v>1677</v>
      </c>
      <c r="E43" s="59" t="s">
        <v>3579</v>
      </c>
      <c r="F43" s="59" t="s">
        <v>3580</v>
      </c>
      <c r="G43" s="59" t="s">
        <v>3584</v>
      </c>
      <c r="H43" s="59" t="s">
        <v>2281</v>
      </c>
      <c r="I43" s="59" t="b">
        <v>1</v>
      </c>
      <c r="J43" s="59"/>
      <c r="K43" s="58">
        <v>429</v>
      </c>
      <c r="L43" s="58">
        <v>1478</v>
      </c>
      <c r="M43" s="59">
        <v>5</v>
      </c>
      <c r="N43" s="59">
        <v>5</v>
      </c>
      <c r="O43" s="59" t="s">
        <v>3581</v>
      </c>
      <c r="P43" s="58">
        <v>169</v>
      </c>
      <c r="Q43" s="59">
        <v>0</v>
      </c>
      <c r="R43" s="59">
        <v>0</v>
      </c>
      <c r="S43" s="60">
        <f>tblJTL[[#This Row],[timeStamp]]/86400000+DATE(1970,1,1)+TIME(9,0,0)</f>
        <v>46296.417007638884</v>
      </c>
      <c r="T43" s="57">
        <f>tblJTL[[#This Row],[timeStamp]]+tblJTL[[#This Row],[elapsed]]</f>
        <v>1790816429634</v>
      </c>
      <c r="U43" s="61">
        <f>(tblJTL[[#This Row],[timeStamp]]-'17_分析サンプル'!$E$18)/1000</f>
        <v>29.28</v>
      </c>
      <c r="V43" s="57">
        <f>INT(tblJTL[[#This Row],[経過秒]]/60)</f>
        <v>0</v>
      </c>
      <c r="W43" s="57">
        <f>IF(OR(tblJTL[[#This Row],[success]]=FALSE,tblJTL[[#This Row],[success]]="false"),1,0)</f>
        <v>0</v>
      </c>
      <c r="X43" s="57">
        <f>IF(AND(tblJTL[[#This Row],[経過秒]]&gt;='17_分析サンプル'!$E$11,tblJTL[[#This Row],[経過秒]]&lt;'17_分析サンプル'!$E$12),1,0)</f>
        <v>0</v>
      </c>
    </row>
    <row r="44" spans="2:24" ht="14.4" x14ac:dyDescent="0.3">
      <c r="B44" s="57">
        <v>1790816429821</v>
      </c>
      <c r="C44" s="58">
        <v>188</v>
      </c>
      <c r="D44" s="59" t="s">
        <v>1677</v>
      </c>
      <c r="E44" s="59" t="s">
        <v>3579</v>
      </c>
      <c r="F44" s="59" t="s">
        <v>3580</v>
      </c>
      <c r="G44" s="59" t="s">
        <v>3583</v>
      </c>
      <c r="H44" s="59" t="s">
        <v>2281</v>
      </c>
      <c r="I44" s="59" t="b">
        <v>1</v>
      </c>
      <c r="J44" s="59"/>
      <c r="K44" s="58">
        <v>419</v>
      </c>
      <c r="L44" s="58">
        <v>1478</v>
      </c>
      <c r="M44" s="59">
        <v>5</v>
      </c>
      <c r="N44" s="59">
        <v>5</v>
      </c>
      <c r="O44" s="59" t="s">
        <v>3581</v>
      </c>
      <c r="P44" s="58">
        <v>184</v>
      </c>
      <c r="Q44" s="59">
        <v>0</v>
      </c>
      <c r="R44" s="59">
        <v>0</v>
      </c>
      <c r="S44" s="60">
        <f>tblJTL[[#This Row],[timeStamp]]/86400000+DATE(1970,1,1)+TIME(9,0,0)</f>
        <v>46296.417011817131</v>
      </c>
      <c r="T44" s="57">
        <f>tblJTL[[#This Row],[timeStamp]]+tblJTL[[#This Row],[elapsed]]</f>
        <v>1790816430009</v>
      </c>
      <c r="U44" s="61">
        <f>(tblJTL[[#This Row],[timeStamp]]-'17_分析サンプル'!$E$18)/1000</f>
        <v>29.640999999999998</v>
      </c>
      <c r="V44" s="57">
        <f>INT(tblJTL[[#This Row],[経過秒]]/60)</f>
        <v>0</v>
      </c>
      <c r="W44" s="57">
        <f>IF(OR(tblJTL[[#This Row],[success]]=FALSE,tblJTL[[#This Row],[success]]="false"),1,0)</f>
        <v>0</v>
      </c>
      <c r="X44" s="57">
        <f>IF(AND(tblJTL[[#This Row],[経過秒]]&gt;='17_分析サンプル'!$E$11,tblJTL[[#This Row],[経過秒]]&lt;'17_分析サンプル'!$E$12),1,0)</f>
        <v>0</v>
      </c>
    </row>
    <row r="45" spans="2:24" ht="14.4" x14ac:dyDescent="0.3">
      <c r="B45" s="57">
        <v>1790816430042</v>
      </c>
      <c r="C45" s="58">
        <v>149</v>
      </c>
      <c r="D45" s="59" t="s">
        <v>1658</v>
      </c>
      <c r="E45" s="59" t="s">
        <v>1577</v>
      </c>
      <c r="F45" s="59" t="s">
        <v>2275</v>
      </c>
      <c r="G45" s="59" t="s">
        <v>3582</v>
      </c>
      <c r="H45" s="59" t="s">
        <v>2281</v>
      </c>
      <c r="I45" s="59" t="b">
        <v>1</v>
      </c>
      <c r="J45" s="59"/>
      <c r="K45" s="58">
        <v>1862</v>
      </c>
      <c r="L45" s="58">
        <v>1342</v>
      </c>
      <c r="M45" s="59">
        <v>5</v>
      </c>
      <c r="N45" s="59">
        <v>5</v>
      </c>
      <c r="O45" s="59" t="s">
        <v>3578</v>
      </c>
      <c r="P45" s="58">
        <v>144</v>
      </c>
      <c r="Q45" s="59">
        <v>0</v>
      </c>
      <c r="R45" s="59">
        <v>0</v>
      </c>
      <c r="S45" s="60">
        <f>tblJTL[[#This Row],[timeStamp]]/86400000+DATE(1970,1,1)+TIME(9,0,0)</f>
        <v>46296.417014375002</v>
      </c>
      <c r="T45" s="57">
        <f>tblJTL[[#This Row],[timeStamp]]+tblJTL[[#This Row],[elapsed]]</f>
        <v>1790816430191</v>
      </c>
      <c r="U45" s="61">
        <f>(tblJTL[[#This Row],[timeStamp]]-'17_分析サンプル'!$E$18)/1000</f>
        <v>29.861999999999998</v>
      </c>
      <c r="V45" s="57">
        <f>INT(tblJTL[[#This Row],[経過秒]]/60)</f>
        <v>0</v>
      </c>
      <c r="W45" s="57">
        <f>IF(OR(tblJTL[[#This Row],[success]]=FALSE,tblJTL[[#This Row],[success]]="false"),1,0)</f>
        <v>0</v>
      </c>
      <c r="X45" s="57">
        <f>IF(AND(tblJTL[[#This Row],[経過秒]]&gt;='17_分析サンプル'!$E$11,tblJTL[[#This Row],[経過秒]]&lt;'17_分析サンプル'!$E$12),1,0)</f>
        <v>0</v>
      </c>
    </row>
    <row r="46" spans="2:24" ht="14.4" x14ac:dyDescent="0.3">
      <c r="B46" s="57">
        <v>1790816430316</v>
      </c>
      <c r="C46" s="58">
        <v>96</v>
      </c>
      <c r="D46" s="59" t="s">
        <v>1658</v>
      </c>
      <c r="E46" s="59" t="s">
        <v>1577</v>
      </c>
      <c r="F46" s="59" t="s">
        <v>2275</v>
      </c>
      <c r="G46" s="59" t="s">
        <v>2278</v>
      </c>
      <c r="H46" s="59" t="s">
        <v>2281</v>
      </c>
      <c r="I46" s="59" t="b">
        <v>1</v>
      </c>
      <c r="J46" s="59"/>
      <c r="K46" s="58">
        <v>1892</v>
      </c>
      <c r="L46" s="58">
        <v>1342</v>
      </c>
      <c r="M46" s="59">
        <v>5</v>
      </c>
      <c r="N46" s="59">
        <v>5</v>
      </c>
      <c r="O46" s="59" t="s">
        <v>3578</v>
      </c>
      <c r="P46" s="58">
        <v>91</v>
      </c>
      <c r="Q46" s="59">
        <v>0</v>
      </c>
      <c r="R46" s="59">
        <v>0</v>
      </c>
      <c r="S46" s="60">
        <f>tblJTL[[#This Row],[timeStamp]]/86400000+DATE(1970,1,1)+TIME(9,0,0)</f>
        <v>46296.417017546293</v>
      </c>
      <c r="T46" s="57">
        <f>tblJTL[[#This Row],[timeStamp]]+tblJTL[[#This Row],[elapsed]]</f>
        <v>1790816430412</v>
      </c>
      <c r="U46" s="61">
        <f>(tblJTL[[#This Row],[timeStamp]]-'17_分析サンプル'!$E$18)/1000</f>
        <v>30.135999999999999</v>
      </c>
      <c r="V46" s="57">
        <f>INT(tblJTL[[#This Row],[経過秒]]/60)</f>
        <v>0</v>
      </c>
      <c r="W46" s="57">
        <f>IF(OR(tblJTL[[#This Row],[success]]=FALSE,tblJTL[[#This Row],[success]]="false"),1,0)</f>
        <v>0</v>
      </c>
      <c r="X46" s="57">
        <f>IF(AND(tblJTL[[#This Row],[経過秒]]&gt;='17_分析サンプル'!$E$11,tblJTL[[#This Row],[経過秒]]&lt;'17_分析サンプル'!$E$12),1,0)</f>
        <v>0</v>
      </c>
    </row>
    <row r="47" spans="2:24" ht="14.4" x14ac:dyDescent="0.3">
      <c r="B47" s="57">
        <v>1790816431421</v>
      </c>
      <c r="C47" s="58">
        <v>137</v>
      </c>
      <c r="D47" s="59" t="s">
        <v>1658</v>
      </c>
      <c r="E47" s="59" t="s">
        <v>1577</v>
      </c>
      <c r="F47" s="59" t="s">
        <v>2275</v>
      </c>
      <c r="G47" s="59" t="s">
        <v>3584</v>
      </c>
      <c r="H47" s="59" t="s">
        <v>2281</v>
      </c>
      <c r="I47" s="59" t="b">
        <v>1</v>
      </c>
      <c r="J47" s="59"/>
      <c r="K47" s="58">
        <v>1897</v>
      </c>
      <c r="L47" s="58">
        <v>1342</v>
      </c>
      <c r="M47" s="59">
        <v>6</v>
      </c>
      <c r="N47" s="59">
        <v>6</v>
      </c>
      <c r="O47" s="59" t="s">
        <v>3578</v>
      </c>
      <c r="P47" s="58">
        <v>134</v>
      </c>
      <c r="Q47" s="59">
        <v>0</v>
      </c>
      <c r="R47" s="59">
        <v>0</v>
      </c>
      <c r="S47" s="60">
        <f>tblJTL[[#This Row],[timeStamp]]/86400000+DATE(1970,1,1)+TIME(9,0,0)</f>
        <v>46296.417030335651</v>
      </c>
      <c r="T47" s="57">
        <f>tblJTL[[#This Row],[timeStamp]]+tblJTL[[#This Row],[elapsed]]</f>
        <v>1790816431558</v>
      </c>
      <c r="U47" s="61">
        <f>(tblJTL[[#This Row],[timeStamp]]-'17_分析サンプル'!$E$18)/1000</f>
        <v>31.241</v>
      </c>
      <c r="V47" s="57">
        <f>INT(tblJTL[[#This Row],[経過秒]]/60)</f>
        <v>0</v>
      </c>
      <c r="W47" s="57">
        <f>IF(OR(tblJTL[[#This Row],[success]]=FALSE,tblJTL[[#This Row],[success]]="false"),1,0)</f>
        <v>0</v>
      </c>
      <c r="X47" s="57">
        <f>IF(AND(tblJTL[[#This Row],[経過秒]]&gt;='17_分析サンプル'!$E$11,tblJTL[[#This Row],[経過秒]]&lt;'17_分析サンプル'!$E$12),1,0)</f>
        <v>0</v>
      </c>
    </row>
    <row r="48" spans="2:24" ht="14.4" x14ac:dyDescent="0.3">
      <c r="B48" s="57">
        <v>1790816431725</v>
      </c>
      <c r="C48" s="58">
        <v>138</v>
      </c>
      <c r="D48" s="59" t="s">
        <v>1658</v>
      </c>
      <c r="E48" s="59" t="s">
        <v>1577</v>
      </c>
      <c r="F48" s="59" t="s">
        <v>2275</v>
      </c>
      <c r="G48" s="59" t="s">
        <v>3577</v>
      </c>
      <c r="H48" s="59" t="s">
        <v>2281</v>
      </c>
      <c r="I48" s="59" t="b">
        <v>1</v>
      </c>
      <c r="J48" s="59"/>
      <c r="K48" s="58">
        <v>1879</v>
      </c>
      <c r="L48" s="58">
        <v>1342</v>
      </c>
      <c r="M48" s="59">
        <v>6</v>
      </c>
      <c r="N48" s="59">
        <v>6</v>
      </c>
      <c r="O48" s="59" t="s">
        <v>3578</v>
      </c>
      <c r="P48" s="58">
        <v>132</v>
      </c>
      <c r="Q48" s="59">
        <v>0</v>
      </c>
      <c r="R48" s="59">
        <v>0</v>
      </c>
      <c r="S48" s="60">
        <f>tblJTL[[#This Row],[timeStamp]]/86400000+DATE(1970,1,1)+TIME(9,0,0)</f>
        <v>46296.417033854166</v>
      </c>
      <c r="T48" s="57">
        <f>tblJTL[[#This Row],[timeStamp]]+tblJTL[[#This Row],[elapsed]]</f>
        <v>1790816431863</v>
      </c>
      <c r="U48" s="61">
        <f>(tblJTL[[#This Row],[timeStamp]]-'17_分析サンプル'!$E$18)/1000</f>
        <v>31.545000000000002</v>
      </c>
      <c r="V48" s="57">
        <f>INT(tblJTL[[#This Row],[経過秒]]/60)</f>
        <v>0</v>
      </c>
      <c r="W48" s="57">
        <f>IF(OR(tblJTL[[#This Row],[success]]=FALSE,tblJTL[[#This Row],[success]]="false"),1,0)</f>
        <v>0</v>
      </c>
      <c r="X48" s="57">
        <f>IF(AND(tblJTL[[#This Row],[経過秒]]&gt;='17_分析サンプル'!$E$11,tblJTL[[#This Row],[経過秒]]&lt;'17_分析サンプル'!$E$12),1,0)</f>
        <v>0</v>
      </c>
    </row>
    <row r="49" spans="2:24" ht="14.4" x14ac:dyDescent="0.3">
      <c r="B49" s="57">
        <v>1790816432690</v>
      </c>
      <c r="C49" s="58">
        <v>154</v>
      </c>
      <c r="D49" s="59" t="s">
        <v>1658</v>
      </c>
      <c r="E49" s="59" t="s">
        <v>1577</v>
      </c>
      <c r="F49" s="59" t="s">
        <v>2275</v>
      </c>
      <c r="G49" s="59" t="s">
        <v>3583</v>
      </c>
      <c r="H49" s="59" t="s">
        <v>2281</v>
      </c>
      <c r="I49" s="59" t="b">
        <v>1</v>
      </c>
      <c r="J49" s="59"/>
      <c r="K49" s="58">
        <v>1858</v>
      </c>
      <c r="L49" s="58">
        <v>1342</v>
      </c>
      <c r="M49" s="59">
        <v>6</v>
      </c>
      <c r="N49" s="59">
        <v>6</v>
      </c>
      <c r="O49" s="59" t="s">
        <v>3578</v>
      </c>
      <c r="P49" s="58">
        <v>146</v>
      </c>
      <c r="Q49" s="59">
        <v>0</v>
      </c>
      <c r="R49" s="59">
        <v>0</v>
      </c>
      <c r="S49" s="60">
        <f>tblJTL[[#This Row],[timeStamp]]/86400000+DATE(1970,1,1)+TIME(9,0,0)</f>
        <v>46296.417045023147</v>
      </c>
      <c r="T49" s="57">
        <f>tblJTL[[#This Row],[timeStamp]]+tblJTL[[#This Row],[elapsed]]</f>
        <v>1790816432844</v>
      </c>
      <c r="U49" s="61">
        <f>(tblJTL[[#This Row],[timeStamp]]-'17_分析サンプル'!$E$18)/1000</f>
        <v>32.51</v>
      </c>
      <c r="V49" s="57">
        <f>INT(tblJTL[[#This Row],[経過秒]]/60)</f>
        <v>0</v>
      </c>
      <c r="W49" s="57">
        <f>IF(OR(tblJTL[[#This Row],[success]]=FALSE,tblJTL[[#This Row],[success]]="false"),1,0)</f>
        <v>0</v>
      </c>
      <c r="X49" s="57">
        <f>IF(AND(tblJTL[[#This Row],[経過秒]]&gt;='17_分析サンプル'!$E$11,tblJTL[[#This Row],[経過秒]]&lt;'17_分析サンプル'!$E$12),1,0)</f>
        <v>0</v>
      </c>
    </row>
    <row r="50" spans="2:24" ht="14.4" x14ac:dyDescent="0.3">
      <c r="B50" s="57">
        <v>1790816432859</v>
      </c>
      <c r="C50" s="58">
        <v>201</v>
      </c>
      <c r="D50" s="59" t="s">
        <v>1658</v>
      </c>
      <c r="E50" s="59" t="s">
        <v>1577</v>
      </c>
      <c r="F50" s="59" t="s">
        <v>2275</v>
      </c>
      <c r="G50" s="59" t="s">
        <v>3585</v>
      </c>
      <c r="H50" s="59" t="s">
        <v>2281</v>
      </c>
      <c r="I50" s="59" t="b">
        <v>1</v>
      </c>
      <c r="J50" s="59"/>
      <c r="K50" s="58">
        <v>1827</v>
      </c>
      <c r="L50" s="58">
        <v>1342</v>
      </c>
      <c r="M50" s="59">
        <v>6</v>
      </c>
      <c r="N50" s="59">
        <v>6</v>
      </c>
      <c r="O50" s="59" t="s">
        <v>3578</v>
      </c>
      <c r="P50" s="58">
        <v>199</v>
      </c>
      <c r="Q50" s="59">
        <v>0</v>
      </c>
      <c r="R50" s="59">
        <v>50</v>
      </c>
      <c r="S50" s="60">
        <f>tblJTL[[#This Row],[timeStamp]]/86400000+DATE(1970,1,1)+TIME(9,0,0)</f>
        <v>46296.417046979172</v>
      </c>
      <c r="T50" s="57">
        <f>tblJTL[[#This Row],[timeStamp]]+tblJTL[[#This Row],[elapsed]]</f>
        <v>1790816433060</v>
      </c>
      <c r="U50" s="61">
        <f>(tblJTL[[#This Row],[timeStamp]]-'17_分析サンプル'!$E$18)/1000</f>
        <v>32.679000000000002</v>
      </c>
      <c r="V50" s="57">
        <f>INT(tblJTL[[#This Row],[経過秒]]/60)</f>
        <v>0</v>
      </c>
      <c r="W50" s="57">
        <f>IF(OR(tblJTL[[#This Row],[success]]=FALSE,tblJTL[[#This Row],[success]]="false"),1,0)</f>
        <v>0</v>
      </c>
      <c r="X50" s="57">
        <f>IF(AND(tblJTL[[#This Row],[経過秒]]&gt;='17_分析サンプル'!$E$11,tblJTL[[#This Row],[経過秒]]&lt;'17_分析サンプル'!$E$12),1,0)</f>
        <v>0</v>
      </c>
    </row>
    <row r="51" spans="2:24" ht="14.4" x14ac:dyDescent="0.3">
      <c r="B51" s="57">
        <v>1790816433069</v>
      </c>
      <c r="C51" s="58">
        <v>247</v>
      </c>
      <c r="D51" s="59" t="s">
        <v>1677</v>
      </c>
      <c r="E51" s="59" t="s">
        <v>3579</v>
      </c>
      <c r="F51" s="59" t="s">
        <v>3580</v>
      </c>
      <c r="G51" s="59" t="s">
        <v>3582</v>
      </c>
      <c r="H51" s="59" t="s">
        <v>2281</v>
      </c>
      <c r="I51" s="59" t="b">
        <v>1</v>
      </c>
      <c r="J51" s="59"/>
      <c r="K51" s="58">
        <v>438</v>
      </c>
      <c r="L51" s="58">
        <v>1478</v>
      </c>
      <c r="M51" s="59">
        <v>6</v>
      </c>
      <c r="N51" s="59">
        <v>6</v>
      </c>
      <c r="O51" s="59" t="s">
        <v>3581</v>
      </c>
      <c r="P51" s="58">
        <v>245</v>
      </c>
      <c r="Q51" s="59">
        <v>0</v>
      </c>
      <c r="R51" s="59">
        <v>0</v>
      </c>
      <c r="S51" s="60">
        <f>tblJTL[[#This Row],[timeStamp]]/86400000+DATE(1970,1,1)+TIME(9,0,0)</f>
        <v>46296.41704940972</v>
      </c>
      <c r="T51" s="57">
        <f>tblJTL[[#This Row],[timeStamp]]+tblJTL[[#This Row],[elapsed]]</f>
        <v>1790816433316</v>
      </c>
      <c r="U51" s="61">
        <f>(tblJTL[[#This Row],[timeStamp]]-'17_分析サンプル'!$E$18)/1000</f>
        <v>32.889000000000003</v>
      </c>
      <c r="V51" s="57">
        <f>INT(tblJTL[[#This Row],[経過秒]]/60)</f>
        <v>0</v>
      </c>
      <c r="W51" s="57">
        <f>IF(OR(tblJTL[[#This Row],[success]]=FALSE,tblJTL[[#This Row],[success]]="false"),1,0)</f>
        <v>0</v>
      </c>
      <c r="X51" s="57">
        <f>IF(AND(tblJTL[[#This Row],[経過秒]]&gt;='17_分析サンプル'!$E$11,tblJTL[[#This Row],[経過秒]]&lt;'17_分析サンプル'!$E$12),1,0)</f>
        <v>0</v>
      </c>
    </row>
    <row r="52" spans="2:24" ht="14.4" x14ac:dyDescent="0.3">
      <c r="B52" s="57">
        <v>1790816433333</v>
      </c>
      <c r="C52" s="58">
        <v>154</v>
      </c>
      <c r="D52" s="59" t="s">
        <v>1677</v>
      </c>
      <c r="E52" s="59" t="s">
        <v>3579</v>
      </c>
      <c r="F52" s="59" t="s">
        <v>3580</v>
      </c>
      <c r="G52" s="59" t="s">
        <v>2278</v>
      </c>
      <c r="H52" s="59" t="s">
        <v>2281</v>
      </c>
      <c r="I52" s="59" t="b">
        <v>1</v>
      </c>
      <c r="J52" s="59"/>
      <c r="K52" s="58">
        <v>428</v>
      </c>
      <c r="L52" s="58">
        <v>1478</v>
      </c>
      <c r="M52" s="59">
        <v>6</v>
      </c>
      <c r="N52" s="59">
        <v>6</v>
      </c>
      <c r="O52" s="59" t="s">
        <v>3581</v>
      </c>
      <c r="P52" s="58">
        <v>148</v>
      </c>
      <c r="Q52" s="59">
        <v>0</v>
      </c>
      <c r="R52" s="59">
        <v>0</v>
      </c>
      <c r="S52" s="60">
        <f>tblJTL[[#This Row],[timeStamp]]/86400000+DATE(1970,1,1)+TIME(9,0,0)</f>
        <v>46296.417052465273</v>
      </c>
      <c r="T52" s="57">
        <f>tblJTL[[#This Row],[timeStamp]]+tblJTL[[#This Row],[elapsed]]</f>
        <v>1790816433487</v>
      </c>
      <c r="U52" s="61">
        <f>(tblJTL[[#This Row],[timeStamp]]-'17_分析サンプル'!$E$18)/1000</f>
        <v>33.152999999999999</v>
      </c>
      <c r="V52" s="57">
        <f>INT(tblJTL[[#This Row],[経過秒]]/60)</f>
        <v>0</v>
      </c>
      <c r="W52" s="57">
        <f>IF(OR(tblJTL[[#This Row],[success]]=FALSE,tblJTL[[#This Row],[success]]="false"),1,0)</f>
        <v>0</v>
      </c>
      <c r="X52" s="57">
        <f>IF(AND(tblJTL[[#This Row],[経過秒]]&gt;='17_分析サンプル'!$E$11,tblJTL[[#This Row],[経過秒]]&lt;'17_分析サンプル'!$E$12),1,0)</f>
        <v>0</v>
      </c>
    </row>
    <row r="53" spans="2:24" ht="14.4" x14ac:dyDescent="0.3">
      <c r="B53" s="57">
        <v>1790816433607</v>
      </c>
      <c r="C53" s="58">
        <v>305</v>
      </c>
      <c r="D53" s="59" t="s">
        <v>1677</v>
      </c>
      <c r="E53" s="59" t="s">
        <v>3579</v>
      </c>
      <c r="F53" s="59" t="s">
        <v>3580</v>
      </c>
      <c r="G53" s="59" t="s">
        <v>3577</v>
      </c>
      <c r="H53" s="59" t="s">
        <v>2281</v>
      </c>
      <c r="I53" s="59" t="b">
        <v>1</v>
      </c>
      <c r="J53" s="59"/>
      <c r="K53" s="58">
        <v>418</v>
      </c>
      <c r="L53" s="58">
        <v>1478</v>
      </c>
      <c r="M53" s="59">
        <v>6</v>
      </c>
      <c r="N53" s="59">
        <v>6</v>
      </c>
      <c r="O53" s="59" t="s">
        <v>3581</v>
      </c>
      <c r="P53" s="58">
        <v>299</v>
      </c>
      <c r="Q53" s="59">
        <v>0</v>
      </c>
      <c r="R53" s="59">
        <v>0</v>
      </c>
      <c r="S53" s="60">
        <f>tblJTL[[#This Row],[timeStamp]]/86400000+DATE(1970,1,1)+TIME(9,0,0)</f>
        <v>46296.417055636572</v>
      </c>
      <c r="T53" s="57">
        <f>tblJTL[[#This Row],[timeStamp]]+tblJTL[[#This Row],[elapsed]]</f>
        <v>1790816433912</v>
      </c>
      <c r="U53" s="61">
        <f>(tblJTL[[#This Row],[timeStamp]]-'17_分析サンプル'!$E$18)/1000</f>
        <v>33.427</v>
      </c>
      <c r="V53" s="57">
        <f>INT(tblJTL[[#This Row],[経過秒]]/60)</f>
        <v>0</v>
      </c>
      <c r="W53" s="57">
        <f>IF(OR(tblJTL[[#This Row],[success]]=FALSE,tblJTL[[#This Row],[success]]="false"),1,0)</f>
        <v>0</v>
      </c>
      <c r="X53" s="57">
        <f>IF(AND(tblJTL[[#This Row],[経過秒]]&gt;='17_分析サンプル'!$E$11,tblJTL[[#This Row],[経過秒]]&lt;'17_分析サンプル'!$E$12),1,0)</f>
        <v>0</v>
      </c>
    </row>
    <row r="54" spans="2:24" ht="14.4" x14ac:dyDescent="0.3">
      <c r="B54" s="57">
        <v>1790816433794</v>
      </c>
      <c r="C54" s="58">
        <v>151</v>
      </c>
      <c r="D54" s="59" t="s">
        <v>1677</v>
      </c>
      <c r="E54" s="59" t="s">
        <v>3579</v>
      </c>
      <c r="F54" s="59" t="s">
        <v>3580</v>
      </c>
      <c r="G54" s="59" t="s">
        <v>3584</v>
      </c>
      <c r="H54" s="59" t="s">
        <v>2281</v>
      </c>
      <c r="I54" s="59" t="b">
        <v>1</v>
      </c>
      <c r="J54" s="59"/>
      <c r="K54" s="58">
        <v>423</v>
      </c>
      <c r="L54" s="58">
        <v>1478</v>
      </c>
      <c r="M54" s="59">
        <v>6</v>
      </c>
      <c r="N54" s="59">
        <v>6</v>
      </c>
      <c r="O54" s="59" t="s">
        <v>3581</v>
      </c>
      <c r="P54" s="58">
        <v>145</v>
      </c>
      <c r="Q54" s="59">
        <v>0</v>
      </c>
      <c r="R54" s="59">
        <v>0</v>
      </c>
      <c r="S54" s="60">
        <f>tblJTL[[#This Row],[timeStamp]]/86400000+DATE(1970,1,1)+TIME(9,0,0)</f>
        <v>46296.417057800922</v>
      </c>
      <c r="T54" s="57">
        <f>tblJTL[[#This Row],[timeStamp]]+tblJTL[[#This Row],[elapsed]]</f>
        <v>1790816433945</v>
      </c>
      <c r="U54" s="61">
        <f>(tblJTL[[#This Row],[timeStamp]]-'17_分析サンプル'!$E$18)/1000</f>
        <v>33.613999999999997</v>
      </c>
      <c r="V54" s="57">
        <f>INT(tblJTL[[#This Row],[経過秒]]/60)</f>
        <v>0</v>
      </c>
      <c r="W54" s="57">
        <f>IF(OR(tblJTL[[#This Row],[success]]=FALSE,tblJTL[[#This Row],[success]]="false"),1,0)</f>
        <v>0</v>
      </c>
      <c r="X54" s="57">
        <f>IF(AND(tblJTL[[#This Row],[経過秒]]&gt;='17_分析サンプル'!$E$11,tblJTL[[#This Row],[経過秒]]&lt;'17_分析サンプル'!$E$12),1,0)</f>
        <v>0</v>
      </c>
    </row>
    <row r="55" spans="2:24" ht="14.4" x14ac:dyDescent="0.3">
      <c r="B55" s="57">
        <v>1790816434852</v>
      </c>
      <c r="C55" s="58">
        <v>236</v>
      </c>
      <c r="D55" s="59" t="s">
        <v>1677</v>
      </c>
      <c r="E55" s="59" t="s">
        <v>3579</v>
      </c>
      <c r="F55" s="59" t="s">
        <v>3580</v>
      </c>
      <c r="G55" s="59" t="s">
        <v>3583</v>
      </c>
      <c r="H55" s="59" t="s">
        <v>2281</v>
      </c>
      <c r="I55" s="59" t="b">
        <v>1</v>
      </c>
      <c r="J55" s="59"/>
      <c r="K55" s="58">
        <v>438</v>
      </c>
      <c r="L55" s="58">
        <v>1478</v>
      </c>
      <c r="M55" s="59">
        <v>6</v>
      </c>
      <c r="N55" s="59">
        <v>6</v>
      </c>
      <c r="O55" s="59" t="s">
        <v>3581</v>
      </c>
      <c r="P55" s="58">
        <v>233</v>
      </c>
      <c r="Q55" s="59">
        <v>0</v>
      </c>
      <c r="R55" s="59">
        <v>0</v>
      </c>
      <c r="S55" s="60">
        <f>tblJTL[[#This Row],[timeStamp]]/86400000+DATE(1970,1,1)+TIME(9,0,0)</f>
        <v>46296.4170700463</v>
      </c>
      <c r="T55" s="57">
        <f>tblJTL[[#This Row],[timeStamp]]+tblJTL[[#This Row],[elapsed]]</f>
        <v>1790816435088</v>
      </c>
      <c r="U55" s="61">
        <f>(tblJTL[[#This Row],[timeStamp]]-'17_分析サンプル'!$E$18)/1000</f>
        <v>34.671999999999997</v>
      </c>
      <c r="V55" s="57">
        <f>INT(tblJTL[[#This Row],[経過秒]]/60)</f>
        <v>0</v>
      </c>
      <c r="W55" s="57">
        <f>IF(OR(tblJTL[[#This Row],[success]]=FALSE,tblJTL[[#This Row],[success]]="false"),1,0)</f>
        <v>0</v>
      </c>
      <c r="X55" s="57">
        <f>IF(AND(tblJTL[[#This Row],[経過秒]]&gt;='17_分析サンプル'!$E$11,tblJTL[[#This Row],[経過秒]]&lt;'17_分析サンプル'!$E$12),1,0)</f>
        <v>0</v>
      </c>
    </row>
    <row r="56" spans="2:24" ht="14.4" x14ac:dyDescent="0.3">
      <c r="B56" s="57">
        <v>1790816435203</v>
      </c>
      <c r="C56" s="58">
        <v>87</v>
      </c>
      <c r="D56" s="59" t="s">
        <v>1658</v>
      </c>
      <c r="E56" s="59" t="s">
        <v>1577</v>
      </c>
      <c r="F56" s="59" t="s">
        <v>2275</v>
      </c>
      <c r="G56" s="59" t="s">
        <v>3577</v>
      </c>
      <c r="H56" s="59" t="s">
        <v>2281</v>
      </c>
      <c r="I56" s="59" t="b">
        <v>1</v>
      </c>
      <c r="J56" s="59"/>
      <c r="K56" s="58">
        <v>1876</v>
      </c>
      <c r="L56" s="58">
        <v>1342</v>
      </c>
      <c r="M56" s="59">
        <v>6</v>
      </c>
      <c r="N56" s="59">
        <v>6</v>
      </c>
      <c r="O56" s="59" t="s">
        <v>3578</v>
      </c>
      <c r="P56" s="58">
        <v>82</v>
      </c>
      <c r="Q56" s="59">
        <v>0</v>
      </c>
      <c r="R56" s="59">
        <v>0</v>
      </c>
      <c r="S56" s="60">
        <f>tblJTL[[#This Row],[timeStamp]]/86400000+DATE(1970,1,1)+TIME(9,0,0)</f>
        <v>46296.417074108795</v>
      </c>
      <c r="T56" s="57">
        <f>tblJTL[[#This Row],[timeStamp]]+tblJTL[[#This Row],[elapsed]]</f>
        <v>1790816435290</v>
      </c>
      <c r="U56" s="61">
        <f>(tblJTL[[#This Row],[timeStamp]]-'17_分析サンプル'!$E$18)/1000</f>
        <v>35.023000000000003</v>
      </c>
      <c r="V56" s="57">
        <f>INT(tblJTL[[#This Row],[経過秒]]/60)</f>
        <v>0</v>
      </c>
      <c r="W56" s="57">
        <f>IF(OR(tblJTL[[#This Row],[success]]=FALSE,tblJTL[[#This Row],[success]]="false"),1,0)</f>
        <v>0</v>
      </c>
      <c r="X56" s="57">
        <f>IF(AND(tblJTL[[#This Row],[経過秒]]&gt;='17_分析サンプル'!$E$11,tblJTL[[#This Row],[経過秒]]&lt;'17_分析サンプル'!$E$12),1,0)</f>
        <v>0</v>
      </c>
    </row>
    <row r="57" spans="2:24" ht="14.4" x14ac:dyDescent="0.3">
      <c r="B57" s="57">
        <v>1790816435378</v>
      </c>
      <c r="C57" s="58">
        <v>94</v>
      </c>
      <c r="D57" s="59" t="s">
        <v>1658</v>
      </c>
      <c r="E57" s="59" t="s">
        <v>1577</v>
      </c>
      <c r="F57" s="59" t="s">
        <v>2275</v>
      </c>
      <c r="G57" s="59" t="s">
        <v>3582</v>
      </c>
      <c r="H57" s="59" t="s">
        <v>2281</v>
      </c>
      <c r="I57" s="59" t="b">
        <v>1</v>
      </c>
      <c r="J57" s="59"/>
      <c r="K57" s="58">
        <v>1834</v>
      </c>
      <c r="L57" s="58">
        <v>1342</v>
      </c>
      <c r="M57" s="59">
        <v>6</v>
      </c>
      <c r="N57" s="59">
        <v>6</v>
      </c>
      <c r="O57" s="59" t="s">
        <v>3578</v>
      </c>
      <c r="P57" s="58">
        <v>86</v>
      </c>
      <c r="Q57" s="59">
        <v>0</v>
      </c>
      <c r="R57" s="59">
        <v>0</v>
      </c>
      <c r="S57" s="60">
        <f>tblJTL[[#This Row],[timeStamp]]/86400000+DATE(1970,1,1)+TIME(9,0,0)</f>
        <v>46296.417076134254</v>
      </c>
      <c r="T57" s="57">
        <f>tblJTL[[#This Row],[timeStamp]]+tblJTL[[#This Row],[elapsed]]</f>
        <v>1790816435472</v>
      </c>
      <c r="U57" s="61">
        <f>(tblJTL[[#This Row],[timeStamp]]-'17_分析サンプル'!$E$18)/1000</f>
        <v>35.198</v>
      </c>
      <c r="V57" s="57">
        <f>INT(tblJTL[[#This Row],[経過秒]]/60)</f>
        <v>0</v>
      </c>
      <c r="W57" s="57">
        <f>IF(OR(tblJTL[[#This Row],[success]]=FALSE,tblJTL[[#This Row],[success]]="false"),1,0)</f>
        <v>0</v>
      </c>
      <c r="X57" s="57">
        <f>IF(AND(tblJTL[[#This Row],[経過秒]]&gt;='17_分析サンプル'!$E$11,tblJTL[[#This Row],[経過秒]]&lt;'17_分析サンプル'!$E$12),1,0)</f>
        <v>0</v>
      </c>
    </row>
    <row r="58" spans="2:24" ht="14.4" x14ac:dyDescent="0.3">
      <c r="B58" s="57">
        <v>1790816435839</v>
      </c>
      <c r="C58" s="58">
        <v>278</v>
      </c>
      <c r="D58" s="59" t="s">
        <v>1677</v>
      </c>
      <c r="E58" s="59" t="s">
        <v>3579</v>
      </c>
      <c r="F58" s="59" t="s">
        <v>3580</v>
      </c>
      <c r="G58" s="59" t="s">
        <v>3585</v>
      </c>
      <c r="H58" s="59" t="s">
        <v>2281</v>
      </c>
      <c r="I58" s="59" t="b">
        <v>1</v>
      </c>
      <c r="J58" s="59"/>
      <c r="K58" s="58">
        <v>411</v>
      </c>
      <c r="L58" s="58">
        <v>1478</v>
      </c>
      <c r="M58" s="59">
        <v>6</v>
      </c>
      <c r="N58" s="59">
        <v>6</v>
      </c>
      <c r="O58" s="59" t="s">
        <v>3581</v>
      </c>
      <c r="P58" s="58">
        <v>273</v>
      </c>
      <c r="Q58" s="59">
        <v>0</v>
      </c>
      <c r="R58" s="59">
        <v>0</v>
      </c>
      <c r="S58" s="60">
        <f>tblJTL[[#This Row],[timeStamp]]/86400000+DATE(1970,1,1)+TIME(9,0,0)</f>
        <v>46296.417081469903</v>
      </c>
      <c r="T58" s="57">
        <f>tblJTL[[#This Row],[timeStamp]]+tblJTL[[#This Row],[elapsed]]</f>
        <v>1790816436117</v>
      </c>
      <c r="U58" s="61">
        <f>(tblJTL[[#This Row],[timeStamp]]-'17_分析サンプル'!$E$18)/1000</f>
        <v>35.658999999999999</v>
      </c>
      <c r="V58" s="57">
        <f>INT(tblJTL[[#This Row],[経過秒]]/60)</f>
        <v>0</v>
      </c>
      <c r="W58" s="57">
        <f>IF(OR(tblJTL[[#This Row],[success]]=FALSE,tblJTL[[#This Row],[success]]="false"),1,0)</f>
        <v>0</v>
      </c>
      <c r="X58" s="57">
        <f>IF(AND(tblJTL[[#This Row],[経過秒]]&gt;='17_分析サンプル'!$E$11,tblJTL[[#This Row],[経過秒]]&lt;'17_分析サンプル'!$E$12),1,0)</f>
        <v>0</v>
      </c>
    </row>
    <row r="59" spans="2:24" ht="14.4" x14ac:dyDescent="0.3">
      <c r="B59" s="57">
        <v>1790816436359</v>
      </c>
      <c r="C59" s="58">
        <v>172</v>
      </c>
      <c r="D59" s="59" t="s">
        <v>1658</v>
      </c>
      <c r="E59" s="59" t="s">
        <v>1577</v>
      </c>
      <c r="F59" s="59" t="s">
        <v>2275</v>
      </c>
      <c r="G59" s="59" t="s">
        <v>2278</v>
      </c>
      <c r="H59" s="59" t="s">
        <v>2281</v>
      </c>
      <c r="I59" s="59" t="b">
        <v>1</v>
      </c>
      <c r="J59" s="59"/>
      <c r="K59" s="58">
        <v>1824</v>
      </c>
      <c r="L59" s="58">
        <v>1342</v>
      </c>
      <c r="M59" s="59">
        <v>6</v>
      </c>
      <c r="N59" s="59">
        <v>6</v>
      </c>
      <c r="O59" s="59" t="s">
        <v>3578</v>
      </c>
      <c r="P59" s="58">
        <v>168</v>
      </c>
      <c r="Q59" s="59">
        <v>0</v>
      </c>
      <c r="R59" s="59">
        <v>0</v>
      </c>
      <c r="S59" s="60">
        <f>tblJTL[[#This Row],[timeStamp]]/86400000+DATE(1970,1,1)+TIME(9,0,0)</f>
        <v>46296.417087488429</v>
      </c>
      <c r="T59" s="57">
        <f>tblJTL[[#This Row],[timeStamp]]+tblJTL[[#This Row],[elapsed]]</f>
        <v>1790816436531</v>
      </c>
      <c r="U59" s="61">
        <f>(tblJTL[[#This Row],[timeStamp]]-'17_分析サンプル'!$E$18)/1000</f>
        <v>36.179000000000002</v>
      </c>
      <c r="V59" s="57">
        <f>INT(tblJTL[[#This Row],[経過秒]]/60)</f>
        <v>0</v>
      </c>
      <c r="W59" s="57">
        <f>IF(OR(tblJTL[[#This Row],[success]]=FALSE,tblJTL[[#This Row],[success]]="false"),1,0)</f>
        <v>0</v>
      </c>
      <c r="X59" s="57">
        <f>IF(AND(tblJTL[[#This Row],[経過秒]]&gt;='17_分析サンプル'!$E$11,tblJTL[[#This Row],[経過秒]]&lt;'17_分析サンプル'!$E$12),1,0)</f>
        <v>0</v>
      </c>
    </row>
    <row r="60" spans="2:24" ht="14.4" x14ac:dyDescent="0.3">
      <c r="B60" s="57">
        <v>1790816436856</v>
      </c>
      <c r="C60" s="58">
        <v>169</v>
      </c>
      <c r="D60" s="59" t="s">
        <v>1658</v>
      </c>
      <c r="E60" s="59" t="s">
        <v>1577</v>
      </c>
      <c r="F60" s="59" t="s">
        <v>2275</v>
      </c>
      <c r="G60" s="59" t="s">
        <v>3584</v>
      </c>
      <c r="H60" s="59" t="s">
        <v>2281</v>
      </c>
      <c r="I60" s="59" t="b">
        <v>1</v>
      </c>
      <c r="J60" s="59"/>
      <c r="K60" s="58">
        <v>1878</v>
      </c>
      <c r="L60" s="58">
        <v>1342</v>
      </c>
      <c r="M60" s="59">
        <v>7</v>
      </c>
      <c r="N60" s="59">
        <v>7</v>
      </c>
      <c r="O60" s="59" t="s">
        <v>3578</v>
      </c>
      <c r="P60" s="58">
        <v>166</v>
      </c>
      <c r="Q60" s="59">
        <v>0</v>
      </c>
      <c r="R60" s="59">
        <v>0</v>
      </c>
      <c r="S60" s="60">
        <f>tblJTL[[#This Row],[timeStamp]]/86400000+DATE(1970,1,1)+TIME(9,0,0)</f>
        <v>46296.417093240743</v>
      </c>
      <c r="T60" s="57">
        <f>tblJTL[[#This Row],[timeStamp]]+tblJTL[[#This Row],[elapsed]]</f>
        <v>1790816437025</v>
      </c>
      <c r="U60" s="61">
        <f>(tblJTL[[#This Row],[timeStamp]]-'17_分析サンプル'!$E$18)/1000</f>
        <v>36.676000000000002</v>
      </c>
      <c r="V60" s="57">
        <f>INT(tblJTL[[#This Row],[経過秒]]/60)</f>
        <v>0</v>
      </c>
      <c r="W60" s="57">
        <f>IF(OR(tblJTL[[#This Row],[success]]=FALSE,tblJTL[[#This Row],[success]]="false"),1,0)</f>
        <v>0</v>
      </c>
      <c r="X60" s="57">
        <f>IF(AND(tblJTL[[#This Row],[経過秒]]&gt;='17_分析サンプル'!$E$11,tblJTL[[#This Row],[経過秒]]&lt;'17_分析サンプル'!$E$12),1,0)</f>
        <v>0</v>
      </c>
    </row>
    <row r="61" spans="2:24" ht="14.4" x14ac:dyDescent="0.3">
      <c r="B61" s="57">
        <v>1790816437280</v>
      </c>
      <c r="C61" s="58">
        <v>101</v>
      </c>
      <c r="D61" s="59" t="s">
        <v>1658</v>
      </c>
      <c r="E61" s="59" t="s">
        <v>1577</v>
      </c>
      <c r="F61" s="59" t="s">
        <v>2275</v>
      </c>
      <c r="G61" s="59" t="s">
        <v>3583</v>
      </c>
      <c r="H61" s="59" t="s">
        <v>2281</v>
      </c>
      <c r="I61" s="59" t="b">
        <v>1</v>
      </c>
      <c r="J61" s="59"/>
      <c r="K61" s="58">
        <v>1898</v>
      </c>
      <c r="L61" s="58">
        <v>1342</v>
      </c>
      <c r="M61" s="59">
        <v>7</v>
      </c>
      <c r="N61" s="59">
        <v>7</v>
      </c>
      <c r="O61" s="59" t="s">
        <v>3578</v>
      </c>
      <c r="P61" s="58">
        <v>93</v>
      </c>
      <c r="Q61" s="59">
        <v>0</v>
      </c>
      <c r="R61" s="59">
        <v>0</v>
      </c>
      <c r="S61" s="60">
        <f>tblJTL[[#This Row],[timeStamp]]/86400000+DATE(1970,1,1)+TIME(9,0,0)</f>
        <v>46296.417098148144</v>
      </c>
      <c r="T61" s="57">
        <f>tblJTL[[#This Row],[timeStamp]]+tblJTL[[#This Row],[elapsed]]</f>
        <v>1790816437381</v>
      </c>
      <c r="U61" s="61">
        <f>(tblJTL[[#This Row],[timeStamp]]-'17_分析サンプル'!$E$18)/1000</f>
        <v>37.1</v>
      </c>
      <c r="V61" s="57">
        <f>INT(tblJTL[[#This Row],[経過秒]]/60)</f>
        <v>0</v>
      </c>
      <c r="W61" s="57">
        <f>IF(OR(tblJTL[[#This Row],[success]]=FALSE,tblJTL[[#This Row],[success]]="false"),1,0)</f>
        <v>0</v>
      </c>
      <c r="X61" s="57">
        <f>IF(AND(tblJTL[[#This Row],[経過秒]]&gt;='17_分析サンプル'!$E$11,tblJTL[[#This Row],[経過秒]]&lt;'17_分析サンプル'!$E$12),1,0)</f>
        <v>0</v>
      </c>
    </row>
    <row r="62" spans="2:24" ht="14.4" x14ac:dyDescent="0.3">
      <c r="B62" s="57">
        <v>1790816437484</v>
      </c>
      <c r="C62" s="58">
        <v>208</v>
      </c>
      <c r="D62" s="59" t="s">
        <v>1677</v>
      </c>
      <c r="E62" s="59" t="s">
        <v>3579</v>
      </c>
      <c r="F62" s="59" t="s">
        <v>3580</v>
      </c>
      <c r="G62" s="59" t="s">
        <v>3582</v>
      </c>
      <c r="H62" s="59" t="s">
        <v>2281</v>
      </c>
      <c r="I62" s="59" t="b">
        <v>1</v>
      </c>
      <c r="J62" s="59"/>
      <c r="K62" s="58">
        <v>431</v>
      </c>
      <c r="L62" s="58">
        <v>1478</v>
      </c>
      <c r="M62" s="59">
        <v>7</v>
      </c>
      <c r="N62" s="59">
        <v>7</v>
      </c>
      <c r="O62" s="59" t="s">
        <v>3581</v>
      </c>
      <c r="P62" s="58">
        <v>203</v>
      </c>
      <c r="Q62" s="59">
        <v>0</v>
      </c>
      <c r="R62" s="59">
        <v>0</v>
      </c>
      <c r="S62" s="60">
        <f>tblJTL[[#This Row],[timeStamp]]/86400000+DATE(1970,1,1)+TIME(9,0,0)</f>
        <v>46296.417100509258</v>
      </c>
      <c r="T62" s="57">
        <f>tblJTL[[#This Row],[timeStamp]]+tblJTL[[#This Row],[elapsed]]</f>
        <v>1790816437692</v>
      </c>
      <c r="U62" s="61">
        <f>(tblJTL[[#This Row],[timeStamp]]-'17_分析サンプル'!$E$18)/1000</f>
        <v>37.304000000000002</v>
      </c>
      <c r="V62" s="57">
        <f>INT(tblJTL[[#This Row],[経過秒]]/60)</f>
        <v>0</v>
      </c>
      <c r="W62" s="57">
        <f>IF(OR(tblJTL[[#This Row],[success]]=FALSE,tblJTL[[#This Row],[success]]="false"),1,0)</f>
        <v>0</v>
      </c>
      <c r="X62" s="57">
        <f>IF(AND(tblJTL[[#This Row],[経過秒]]&gt;='17_分析サンプル'!$E$11,tblJTL[[#This Row],[経過秒]]&lt;'17_分析サンプル'!$E$12),1,0)</f>
        <v>0</v>
      </c>
    </row>
    <row r="63" spans="2:24" ht="14.4" x14ac:dyDescent="0.3">
      <c r="B63" s="57">
        <v>1790816437820</v>
      </c>
      <c r="C63" s="58">
        <v>134</v>
      </c>
      <c r="D63" s="59" t="s">
        <v>1677</v>
      </c>
      <c r="E63" s="59" t="s">
        <v>3579</v>
      </c>
      <c r="F63" s="59" t="s">
        <v>3580</v>
      </c>
      <c r="G63" s="59" t="s">
        <v>3577</v>
      </c>
      <c r="H63" s="59" t="s">
        <v>2281</v>
      </c>
      <c r="I63" s="59" t="b">
        <v>1</v>
      </c>
      <c r="J63" s="59"/>
      <c r="K63" s="58">
        <v>417</v>
      </c>
      <c r="L63" s="58">
        <v>1478</v>
      </c>
      <c r="M63" s="59">
        <v>7</v>
      </c>
      <c r="N63" s="59">
        <v>7</v>
      </c>
      <c r="O63" s="59" t="s">
        <v>3581</v>
      </c>
      <c r="P63" s="58">
        <v>128</v>
      </c>
      <c r="Q63" s="59">
        <v>0</v>
      </c>
      <c r="R63" s="59">
        <v>0</v>
      </c>
      <c r="S63" s="60">
        <f>tblJTL[[#This Row],[timeStamp]]/86400000+DATE(1970,1,1)+TIME(9,0,0)</f>
        <v>46296.417104398148</v>
      </c>
      <c r="T63" s="57">
        <f>tblJTL[[#This Row],[timeStamp]]+tblJTL[[#This Row],[elapsed]]</f>
        <v>1790816437954</v>
      </c>
      <c r="U63" s="61">
        <f>(tblJTL[[#This Row],[timeStamp]]-'17_分析サンプル'!$E$18)/1000</f>
        <v>37.64</v>
      </c>
      <c r="V63" s="57">
        <f>INT(tblJTL[[#This Row],[経過秒]]/60)</f>
        <v>0</v>
      </c>
      <c r="W63" s="57">
        <f>IF(OR(tblJTL[[#This Row],[success]]=FALSE,tblJTL[[#This Row],[success]]="false"),1,0)</f>
        <v>0</v>
      </c>
      <c r="X63" s="57">
        <f>IF(AND(tblJTL[[#This Row],[経過秒]]&gt;='17_分析サンプル'!$E$11,tblJTL[[#This Row],[経過秒]]&lt;'17_分析サンプル'!$E$12),1,0)</f>
        <v>0</v>
      </c>
    </row>
    <row r="64" spans="2:24" ht="14.4" x14ac:dyDescent="0.3">
      <c r="B64" s="57">
        <v>1790816437950</v>
      </c>
      <c r="C64" s="58">
        <v>88</v>
      </c>
      <c r="D64" s="59" t="s">
        <v>1658</v>
      </c>
      <c r="E64" s="59" t="s">
        <v>1577</v>
      </c>
      <c r="F64" s="59" t="s">
        <v>2275</v>
      </c>
      <c r="G64" s="59" t="s">
        <v>3585</v>
      </c>
      <c r="H64" s="59" t="s">
        <v>2281</v>
      </c>
      <c r="I64" s="59" t="b">
        <v>1</v>
      </c>
      <c r="J64" s="59"/>
      <c r="K64" s="58">
        <v>1842</v>
      </c>
      <c r="L64" s="58">
        <v>1342</v>
      </c>
      <c r="M64" s="59">
        <v>7</v>
      </c>
      <c r="N64" s="59">
        <v>7</v>
      </c>
      <c r="O64" s="59" t="s">
        <v>3578</v>
      </c>
      <c r="P64" s="58">
        <v>82</v>
      </c>
      <c r="Q64" s="59">
        <v>0</v>
      </c>
      <c r="R64" s="59">
        <v>0</v>
      </c>
      <c r="S64" s="60">
        <f>tblJTL[[#This Row],[timeStamp]]/86400000+DATE(1970,1,1)+TIME(9,0,0)</f>
        <v>46296.417105902779</v>
      </c>
      <c r="T64" s="57">
        <f>tblJTL[[#This Row],[timeStamp]]+tblJTL[[#This Row],[elapsed]]</f>
        <v>1790816438038</v>
      </c>
      <c r="U64" s="61">
        <f>(tblJTL[[#This Row],[timeStamp]]-'17_分析サンプル'!$E$18)/1000</f>
        <v>37.770000000000003</v>
      </c>
      <c r="V64" s="57">
        <f>INT(tblJTL[[#This Row],[経過秒]]/60)</f>
        <v>0</v>
      </c>
      <c r="W64" s="57">
        <f>IF(OR(tblJTL[[#This Row],[success]]=FALSE,tblJTL[[#This Row],[success]]="false"),1,0)</f>
        <v>0</v>
      </c>
      <c r="X64" s="57">
        <f>IF(AND(tblJTL[[#This Row],[経過秒]]&gt;='17_分析サンプル'!$E$11,tblJTL[[#This Row],[経過秒]]&lt;'17_分析サンプル'!$E$12),1,0)</f>
        <v>0</v>
      </c>
    </row>
    <row r="65" spans="2:24" ht="14.4" x14ac:dyDescent="0.3">
      <c r="B65" s="57">
        <v>1790816438624</v>
      </c>
      <c r="C65" s="58">
        <v>175</v>
      </c>
      <c r="D65" s="59" t="s">
        <v>1677</v>
      </c>
      <c r="E65" s="59" t="s">
        <v>3579</v>
      </c>
      <c r="F65" s="59" t="s">
        <v>3580</v>
      </c>
      <c r="G65" s="59" t="s">
        <v>3583</v>
      </c>
      <c r="H65" s="59" t="s">
        <v>2281</v>
      </c>
      <c r="I65" s="59" t="b">
        <v>1</v>
      </c>
      <c r="J65" s="59"/>
      <c r="K65" s="58">
        <v>426</v>
      </c>
      <c r="L65" s="58">
        <v>1478</v>
      </c>
      <c r="M65" s="59">
        <v>7</v>
      </c>
      <c r="N65" s="59">
        <v>7</v>
      </c>
      <c r="O65" s="59" t="s">
        <v>3581</v>
      </c>
      <c r="P65" s="58">
        <v>168</v>
      </c>
      <c r="Q65" s="59">
        <v>0</v>
      </c>
      <c r="R65" s="59">
        <v>0</v>
      </c>
      <c r="S65" s="60">
        <f>tblJTL[[#This Row],[timeStamp]]/86400000+DATE(1970,1,1)+TIME(9,0,0)</f>
        <v>46296.417113703705</v>
      </c>
      <c r="T65" s="57">
        <f>tblJTL[[#This Row],[timeStamp]]+tblJTL[[#This Row],[elapsed]]</f>
        <v>1790816438799</v>
      </c>
      <c r="U65" s="61">
        <f>(tblJTL[[#This Row],[timeStamp]]-'17_分析サンプル'!$E$18)/1000</f>
        <v>38.444000000000003</v>
      </c>
      <c r="V65" s="57">
        <f>INT(tblJTL[[#This Row],[経過秒]]/60)</f>
        <v>0</v>
      </c>
      <c r="W65" s="57">
        <f>IF(OR(tblJTL[[#This Row],[success]]=FALSE,tblJTL[[#This Row],[success]]="false"),1,0)</f>
        <v>0</v>
      </c>
      <c r="X65" s="57">
        <f>IF(AND(tblJTL[[#This Row],[経過秒]]&gt;='17_分析サンプル'!$E$11,tblJTL[[#This Row],[経過秒]]&lt;'17_分析サンプル'!$E$12),1,0)</f>
        <v>0</v>
      </c>
    </row>
    <row r="66" spans="2:24" ht="14.4" x14ac:dyDescent="0.3">
      <c r="B66" s="57">
        <v>1790816439157</v>
      </c>
      <c r="C66" s="58">
        <v>200</v>
      </c>
      <c r="D66" s="59" t="s">
        <v>1677</v>
      </c>
      <c r="E66" s="59" t="s">
        <v>3579</v>
      </c>
      <c r="F66" s="59" t="s">
        <v>3580</v>
      </c>
      <c r="G66" s="59" t="s">
        <v>3584</v>
      </c>
      <c r="H66" s="59" t="s">
        <v>2281</v>
      </c>
      <c r="I66" s="59" t="b">
        <v>1</v>
      </c>
      <c r="J66" s="59"/>
      <c r="K66" s="58">
        <v>424</v>
      </c>
      <c r="L66" s="58">
        <v>1478</v>
      </c>
      <c r="M66" s="59">
        <v>7</v>
      </c>
      <c r="N66" s="59">
        <v>7</v>
      </c>
      <c r="O66" s="59" t="s">
        <v>3581</v>
      </c>
      <c r="P66" s="58">
        <v>192</v>
      </c>
      <c r="Q66" s="59">
        <v>0</v>
      </c>
      <c r="R66" s="59">
        <v>0</v>
      </c>
      <c r="S66" s="60">
        <f>tblJTL[[#This Row],[timeStamp]]/86400000+DATE(1970,1,1)+TIME(9,0,0)</f>
        <v>46296.417119872684</v>
      </c>
      <c r="T66" s="57">
        <f>tblJTL[[#This Row],[timeStamp]]+tblJTL[[#This Row],[elapsed]]</f>
        <v>1790816439357</v>
      </c>
      <c r="U66" s="61">
        <f>(tblJTL[[#This Row],[timeStamp]]-'17_分析サンプル'!$E$18)/1000</f>
        <v>38.976999999999997</v>
      </c>
      <c r="V66" s="57">
        <f>INT(tblJTL[[#This Row],[経過秒]]/60)</f>
        <v>0</v>
      </c>
      <c r="W66" s="57">
        <f>IF(OR(tblJTL[[#This Row],[success]]=FALSE,tblJTL[[#This Row],[success]]="false"),1,0)</f>
        <v>0</v>
      </c>
      <c r="X66" s="57">
        <f>IF(AND(tblJTL[[#This Row],[経過秒]]&gt;='17_分析サンプル'!$E$11,tblJTL[[#This Row],[経過秒]]&lt;'17_分析サンプル'!$E$12),1,0)</f>
        <v>0</v>
      </c>
    </row>
    <row r="67" spans="2:24" ht="14.4" x14ac:dyDescent="0.3">
      <c r="B67" s="57">
        <v>1790816439158</v>
      </c>
      <c r="C67" s="58">
        <v>204</v>
      </c>
      <c r="D67" s="59" t="s">
        <v>1658</v>
      </c>
      <c r="E67" s="59" t="s">
        <v>1577</v>
      </c>
      <c r="F67" s="59" t="s">
        <v>2275</v>
      </c>
      <c r="G67" s="59" t="s">
        <v>3586</v>
      </c>
      <c r="H67" s="59" t="s">
        <v>2281</v>
      </c>
      <c r="I67" s="59" t="b">
        <v>1</v>
      </c>
      <c r="J67" s="59"/>
      <c r="K67" s="58">
        <v>1886</v>
      </c>
      <c r="L67" s="58">
        <v>1342</v>
      </c>
      <c r="M67" s="59">
        <v>7</v>
      </c>
      <c r="N67" s="59">
        <v>7</v>
      </c>
      <c r="O67" s="59" t="s">
        <v>3578</v>
      </c>
      <c r="P67" s="58">
        <v>199</v>
      </c>
      <c r="Q67" s="59">
        <v>0</v>
      </c>
      <c r="R67" s="59">
        <v>61</v>
      </c>
      <c r="S67" s="60">
        <f>tblJTL[[#This Row],[timeStamp]]/86400000+DATE(1970,1,1)+TIME(9,0,0)</f>
        <v>46296.41711988426</v>
      </c>
      <c r="T67" s="57">
        <f>tblJTL[[#This Row],[timeStamp]]+tblJTL[[#This Row],[elapsed]]</f>
        <v>1790816439362</v>
      </c>
      <c r="U67" s="61">
        <f>(tblJTL[[#This Row],[timeStamp]]-'17_分析サンプル'!$E$18)/1000</f>
        <v>38.978000000000002</v>
      </c>
      <c r="V67" s="57">
        <f>INT(tblJTL[[#This Row],[経過秒]]/60)</f>
        <v>0</v>
      </c>
      <c r="W67" s="57">
        <f>IF(OR(tblJTL[[#This Row],[success]]=FALSE,tblJTL[[#This Row],[success]]="false"),1,0)</f>
        <v>0</v>
      </c>
      <c r="X67" s="57">
        <f>IF(AND(tblJTL[[#This Row],[経過秒]]&gt;='17_分析サンプル'!$E$11,tblJTL[[#This Row],[経過秒]]&lt;'17_分析サンプル'!$E$12),1,0)</f>
        <v>0</v>
      </c>
    </row>
    <row r="68" spans="2:24" ht="14.4" x14ac:dyDescent="0.3">
      <c r="B68" s="57">
        <v>1790816438906</v>
      </c>
      <c r="C68" s="58">
        <v>687</v>
      </c>
      <c r="D68" s="59" t="s">
        <v>1677</v>
      </c>
      <c r="E68" s="59" t="s">
        <v>3579</v>
      </c>
      <c r="F68" s="59" t="s">
        <v>3580</v>
      </c>
      <c r="G68" s="59" t="s">
        <v>2278</v>
      </c>
      <c r="H68" s="59" t="s">
        <v>2281</v>
      </c>
      <c r="I68" s="59" t="b">
        <v>1</v>
      </c>
      <c r="J68" s="59"/>
      <c r="K68" s="58">
        <v>429</v>
      </c>
      <c r="L68" s="58">
        <v>1478</v>
      </c>
      <c r="M68" s="59">
        <v>7</v>
      </c>
      <c r="N68" s="59">
        <v>7</v>
      </c>
      <c r="O68" s="59" t="s">
        <v>3581</v>
      </c>
      <c r="P68" s="58">
        <v>679</v>
      </c>
      <c r="Q68" s="59">
        <v>0</v>
      </c>
      <c r="R68" s="59">
        <v>0</v>
      </c>
      <c r="S68" s="60">
        <f>tblJTL[[#This Row],[timeStamp]]/86400000+DATE(1970,1,1)+TIME(9,0,0)</f>
        <v>46296.417116967597</v>
      </c>
      <c r="T68" s="57">
        <f>tblJTL[[#This Row],[timeStamp]]+tblJTL[[#This Row],[elapsed]]</f>
        <v>1790816439593</v>
      </c>
      <c r="U68" s="61">
        <f>(tblJTL[[#This Row],[timeStamp]]-'17_分析サンプル'!$E$18)/1000</f>
        <v>38.725999999999999</v>
      </c>
      <c r="V68" s="57">
        <f>INT(tblJTL[[#This Row],[経過秒]]/60)</f>
        <v>0</v>
      </c>
      <c r="W68" s="57">
        <f>IF(OR(tblJTL[[#This Row],[success]]=FALSE,tblJTL[[#This Row],[success]]="false"),1,0)</f>
        <v>0</v>
      </c>
      <c r="X68" s="57">
        <f>IF(AND(tblJTL[[#This Row],[経過秒]]&gt;='17_分析サンプル'!$E$11,tblJTL[[#This Row],[経過秒]]&lt;'17_分析サンプル'!$E$12),1,0)</f>
        <v>0</v>
      </c>
    </row>
    <row r="69" spans="2:24" ht="14.4" x14ac:dyDescent="0.3">
      <c r="B69" s="57">
        <v>1790816440011</v>
      </c>
      <c r="C69" s="58">
        <v>254</v>
      </c>
      <c r="D69" s="59" t="s">
        <v>1677</v>
      </c>
      <c r="E69" s="59" t="s">
        <v>3579</v>
      </c>
      <c r="F69" s="59" t="s">
        <v>3580</v>
      </c>
      <c r="G69" s="59" t="s">
        <v>3585</v>
      </c>
      <c r="H69" s="59" t="s">
        <v>2281</v>
      </c>
      <c r="I69" s="59" t="b">
        <v>1</v>
      </c>
      <c r="J69" s="59"/>
      <c r="K69" s="58">
        <v>421</v>
      </c>
      <c r="L69" s="58">
        <v>1478</v>
      </c>
      <c r="M69" s="59">
        <v>7</v>
      </c>
      <c r="N69" s="59">
        <v>7</v>
      </c>
      <c r="O69" s="59" t="s">
        <v>3581</v>
      </c>
      <c r="P69" s="58">
        <v>246</v>
      </c>
      <c r="Q69" s="59">
        <v>0</v>
      </c>
      <c r="R69" s="59">
        <v>0</v>
      </c>
      <c r="S69" s="60">
        <f>tblJTL[[#This Row],[timeStamp]]/86400000+DATE(1970,1,1)+TIME(9,0,0)</f>
        <v>46296.417129756941</v>
      </c>
      <c r="T69" s="57">
        <f>tblJTL[[#This Row],[timeStamp]]+tblJTL[[#This Row],[elapsed]]</f>
        <v>1790816440265</v>
      </c>
      <c r="U69" s="61">
        <f>(tblJTL[[#This Row],[timeStamp]]-'17_分析サンプル'!$E$18)/1000</f>
        <v>39.831000000000003</v>
      </c>
      <c r="V69" s="57">
        <f>INT(tblJTL[[#This Row],[経過秒]]/60)</f>
        <v>0</v>
      </c>
      <c r="W69" s="57">
        <f>IF(OR(tblJTL[[#This Row],[success]]=FALSE,tblJTL[[#This Row],[success]]="false"),1,0)</f>
        <v>0</v>
      </c>
      <c r="X69" s="57">
        <f>IF(AND(tblJTL[[#This Row],[経過秒]]&gt;='17_分析サンプル'!$E$11,tblJTL[[#This Row],[経過秒]]&lt;'17_分析サンプル'!$E$12),1,0)</f>
        <v>0</v>
      </c>
    </row>
    <row r="70" spans="2:24" ht="14.4" x14ac:dyDescent="0.3">
      <c r="B70" s="57">
        <v>1790816440472</v>
      </c>
      <c r="C70" s="58">
        <v>103</v>
      </c>
      <c r="D70" s="59" t="s">
        <v>1658</v>
      </c>
      <c r="E70" s="59" t="s">
        <v>1577</v>
      </c>
      <c r="F70" s="59" t="s">
        <v>2275</v>
      </c>
      <c r="G70" s="59" t="s">
        <v>3577</v>
      </c>
      <c r="H70" s="59" t="s">
        <v>2281</v>
      </c>
      <c r="I70" s="59" t="b">
        <v>1</v>
      </c>
      <c r="J70" s="59"/>
      <c r="K70" s="58">
        <v>1849</v>
      </c>
      <c r="L70" s="58">
        <v>1342</v>
      </c>
      <c r="M70" s="59">
        <v>7</v>
      </c>
      <c r="N70" s="59">
        <v>7</v>
      </c>
      <c r="O70" s="59" t="s">
        <v>3578</v>
      </c>
      <c r="P70" s="58">
        <v>98</v>
      </c>
      <c r="Q70" s="59">
        <v>0</v>
      </c>
      <c r="R70" s="59">
        <v>0</v>
      </c>
      <c r="S70" s="60">
        <f>tblJTL[[#This Row],[timeStamp]]/86400000+DATE(1970,1,1)+TIME(9,0,0)</f>
        <v>46296.41713509259</v>
      </c>
      <c r="T70" s="57">
        <f>tblJTL[[#This Row],[timeStamp]]+tblJTL[[#This Row],[elapsed]]</f>
        <v>1790816440575</v>
      </c>
      <c r="U70" s="61">
        <f>(tblJTL[[#This Row],[timeStamp]]-'17_分析サンプル'!$E$18)/1000</f>
        <v>40.292000000000002</v>
      </c>
      <c r="V70" s="57">
        <f>INT(tblJTL[[#This Row],[経過秒]]/60)</f>
        <v>0</v>
      </c>
      <c r="W70" s="57">
        <f>IF(OR(tblJTL[[#This Row],[success]]=FALSE,tblJTL[[#This Row],[success]]="false"),1,0)</f>
        <v>0</v>
      </c>
      <c r="X70" s="57">
        <f>IF(AND(tblJTL[[#This Row],[経過秒]]&gt;='17_分析サンプル'!$E$11,tblJTL[[#This Row],[経過秒]]&lt;'17_分析サンプル'!$E$12),1,0)</f>
        <v>0</v>
      </c>
    </row>
    <row r="71" spans="2:24" ht="14.4" x14ac:dyDescent="0.3">
      <c r="B71" s="57">
        <v>1790816440617</v>
      </c>
      <c r="C71" s="58">
        <v>114</v>
      </c>
      <c r="D71" s="59" t="s">
        <v>1658</v>
      </c>
      <c r="E71" s="59" t="s">
        <v>1577</v>
      </c>
      <c r="F71" s="59" t="s">
        <v>2275</v>
      </c>
      <c r="G71" s="59" t="s">
        <v>3582</v>
      </c>
      <c r="H71" s="59" t="s">
        <v>2281</v>
      </c>
      <c r="I71" s="59" t="b">
        <v>1</v>
      </c>
      <c r="J71" s="59"/>
      <c r="K71" s="58">
        <v>1857</v>
      </c>
      <c r="L71" s="58">
        <v>1342</v>
      </c>
      <c r="M71" s="59">
        <v>7</v>
      </c>
      <c r="N71" s="59">
        <v>7</v>
      </c>
      <c r="O71" s="59" t="s">
        <v>3578</v>
      </c>
      <c r="P71" s="58">
        <v>107</v>
      </c>
      <c r="Q71" s="59">
        <v>0</v>
      </c>
      <c r="R71" s="59">
        <v>0</v>
      </c>
      <c r="S71" s="60">
        <f>tblJTL[[#This Row],[timeStamp]]/86400000+DATE(1970,1,1)+TIME(9,0,0)</f>
        <v>46296.417136770833</v>
      </c>
      <c r="T71" s="57">
        <f>tblJTL[[#This Row],[timeStamp]]+tblJTL[[#This Row],[elapsed]]</f>
        <v>1790816440731</v>
      </c>
      <c r="U71" s="61">
        <f>(tblJTL[[#This Row],[timeStamp]]-'17_分析サンプル'!$E$18)/1000</f>
        <v>40.436999999999998</v>
      </c>
      <c r="V71" s="57">
        <f>INT(tblJTL[[#This Row],[経過秒]]/60)</f>
        <v>0</v>
      </c>
      <c r="W71" s="57">
        <f>IF(OR(tblJTL[[#This Row],[success]]=FALSE,tblJTL[[#This Row],[success]]="false"),1,0)</f>
        <v>0</v>
      </c>
      <c r="X71" s="57">
        <f>IF(AND(tblJTL[[#This Row],[経過秒]]&gt;='17_分析サンプル'!$E$11,tblJTL[[#This Row],[経過秒]]&lt;'17_分析サンプル'!$E$12),1,0)</f>
        <v>0</v>
      </c>
    </row>
    <row r="72" spans="2:24" ht="14.4" x14ac:dyDescent="0.3">
      <c r="B72" s="57">
        <v>1790816440940</v>
      </c>
      <c r="C72" s="58">
        <v>73</v>
      </c>
      <c r="D72" s="59" t="s">
        <v>1658</v>
      </c>
      <c r="E72" s="59" t="s">
        <v>1577</v>
      </c>
      <c r="F72" s="59" t="s">
        <v>2275</v>
      </c>
      <c r="G72" s="59" t="s">
        <v>2278</v>
      </c>
      <c r="H72" s="59" t="s">
        <v>2281</v>
      </c>
      <c r="I72" s="59" t="b">
        <v>1</v>
      </c>
      <c r="J72" s="59"/>
      <c r="K72" s="58">
        <v>1852</v>
      </c>
      <c r="L72" s="58">
        <v>1342</v>
      </c>
      <c r="M72" s="59">
        <v>7</v>
      </c>
      <c r="N72" s="59">
        <v>7</v>
      </c>
      <c r="O72" s="59" t="s">
        <v>3578</v>
      </c>
      <c r="P72" s="58">
        <v>65</v>
      </c>
      <c r="Q72" s="59">
        <v>0</v>
      </c>
      <c r="R72" s="59">
        <v>0</v>
      </c>
      <c r="S72" s="60">
        <f>tblJTL[[#This Row],[timeStamp]]/86400000+DATE(1970,1,1)+TIME(9,0,0)</f>
        <v>46296.417140509264</v>
      </c>
      <c r="T72" s="57">
        <f>tblJTL[[#This Row],[timeStamp]]+tblJTL[[#This Row],[elapsed]]</f>
        <v>1790816441013</v>
      </c>
      <c r="U72" s="61">
        <f>(tblJTL[[#This Row],[timeStamp]]-'17_分析サンプル'!$E$18)/1000</f>
        <v>40.76</v>
      </c>
      <c r="V72" s="57">
        <f>INT(tblJTL[[#This Row],[経過秒]]/60)</f>
        <v>0</v>
      </c>
      <c r="W72" s="57">
        <f>IF(OR(tblJTL[[#This Row],[success]]=FALSE,tblJTL[[#This Row],[success]]="false"),1,0)</f>
        <v>0</v>
      </c>
      <c r="X72" s="57">
        <f>IF(AND(tblJTL[[#This Row],[経過秒]]&gt;='17_分析サンプル'!$E$11,tblJTL[[#This Row],[経過秒]]&lt;'17_分析サンプル'!$E$12),1,0)</f>
        <v>0</v>
      </c>
    </row>
    <row r="73" spans="2:24" ht="14.4" x14ac:dyDescent="0.3">
      <c r="B73" s="57">
        <v>1790816441087</v>
      </c>
      <c r="C73" s="58">
        <v>223</v>
      </c>
      <c r="D73" s="59" t="s">
        <v>1677</v>
      </c>
      <c r="E73" s="59" t="s">
        <v>3579</v>
      </c>
      <c r="F73" s="59" t="s">
        <v>3580</v>
      </c>
      <c r="G73" s="59" t="s">
        <v>3586</v>
      </c>
      <c r="H73" s="59" t="s">
        <v>2281</v>
      </c>
      <c r="I73" s="59" t="b">
        <v>1</v>
      </c>
      <c r="J73" s="59"/>
      <c r="K73" s="58">
        <v>429</v>
      </c>
      <c r="L73" s="58">
        <v>1478</v>
      </c>
      <c r="M73" s="59">
        <v>7</v>
      </c>
      <c r="N73" s="59">
        <v>7</v>
      </c>
      <c r="O73" s="59" t="s">
        <v>3581</v>
      </c>
      <c r="P73" s="58">
        <v>215</v>
      </c>
      <c r="Q73" s="59">
        <v>0</v>
      </c>
      <c r="R73" s="59">
        <v>0</v>
      </c>
      <c r="S73" s="60">
        <f>tblJTL[[#This Row],[timeStamp]]/86400000+DATE(1970,1,1)+TIME(9,0,0)</f>
        <v>46296.417142210645</v>
      </c>
      <c r="T73" s="57">
        <f>tblJTL[[#This Row],[timeStamp]]+tblJTL[[#This Row],[elapsed]]</f>
        <v>1790816441310</v>
      </c>
      <c r="U73" s="61">
        <f>(tblJTL[[#This Row],[timeStamp]]-'17_分析サンプル'!$E$18)/1000</f>
        <v>40.906999999999996</v>
      </c>
      <c r="V73" s="57">
        <f>INT(tblJTL[[#This Row],[経過秒]]/60)</f>
        <v>0</v>
      </c>
      <c r="W73" s="57">
        <f>IF(OR(tblJTL[[#This Row],[success]]=FALSE,tblJTL[[#This Row],[success]]="false"),1,0)</f>
        <v>0</v>
      </c>
      <c r="X73" s="57">
        <f>IF(AND(tblJTL[[#This Row],[経過秒]]&gt;='17_分析サンプル'!$E$11,tblJTL[[#This Row],[経過秒]]&lt;'17_分析サンプル'!$E$12),1,0)</f>
        <v>0</v>
      </c>
    </row>
    <row r="74" spans="2:24" ht="14.4" x14ac:dyDescent="0.3">
      <c r="B74" s="57">
        <v>1790816441595</v>
      </c>
      <c r="C74" s="58">
        <v>98</v>
      </c>
      <c r="D74" s="59" t="s">
        <v>1658</v>
      </c>
      <c r="E74" s="59" t="s">
        <v>1577</v>
      </c>
      <c r="F74" s="59" t="s">
        <v>2275</v>
      </c>
      <c r="G74" s="59" t="s">
        <v>3583</v>
      </c>
      <c r="H74" s="59" t="s">
        <v>2281</v>
      </c>
      <c r="I74" s="59" t="b">
        <v>1</v>
      </c>
      <c r="J74" s="59"/>
      <c r="K74" s="58">
        <v>1854</v>
      </c>
      <c r="L74" s="58">
        <v>1342</v>
      </c>
      <c r="M74" s="59">
        <v>7</v>
      </c>
      <c r="N74" s="59">
        <v>7</v>
      </c>
      <c r="O74" s="59" t="s">
        <v>3578</v>
      </c>
      <c r="P74" s="58">
        <v>90</v>
      </c>
      <c r="Q74" s="59">
        <v>0</v>
      </c>
      <c r="R74" s="59">
        <v>0</v>
      </c>
      <c r="S74" s="60">
        <f>tblJTL[[#This Row],[timeStamp]]/86400000+DATE(1970,1,1)+TIME(9,0,0)</f>
        <v>46296.417148090273</v>
      </c>
      <c r="T74" s="57">
        <f>tblJTL[[#This Row],[timeStamp]]+tblJTL[[#This Row],[elapsed]]</f>
        <v>1790816441693</v>
      </c>
      <c r="U74" s="61">
        <f>(tblJTL[[#This Row],[timeStamp]]-'17_分析サンプル'!$E$18)/1000</f>
        <v>41.414999999999999</v>
      </c>
      <c r="V74" s="57">
        <f>INT(tblJTL[[#This Row],[経過秒]]/60)</f>
        <v>0</v>
      </c>
      <c r="W74" s="57">
        <f>IF(OR(tblJTL[[#This Row],[success]]=FALSE,tblJTL[[#This Row],[success]]="false"),1,0)</f>
        <v>0</v>
      </c>
      <c r="X74" s="57">
        <f>IF(AND(tblJTL[[#This Row],[経過秒]]&gt;='17_分析サンプル'!$E$11,tblJTL[[#This Row],[経過秒]]&lt;'17_分析サンプル'!$E$12),1,0)</f>
        <v>0</v>
      </c>
    </row>
    <row r="75" spans="2:24" ht="14.4" x14ac:dyDescent="0.3">
      <c r="B75" s="57">
        <v>1790816442190</v>
      </c>
      <c r="C75" s="58">
        <v>97</v>
      </c>
      <c r="D75" s="59" t="s">
        <v>1658</v>
      </c>
      <c r="E75" s="59" t="s">
        <v>1577</v>
      </c>
      <c r="F75" s="59" t="s">
        <v>2275</v>
      </c>
      <c r="G75" s="59" t="s">
        <v>3584</v>
      </c>
      <c r="H75" s="59" t="s">
        <v>2281</v>
      </c>
      <c r="I75" s="59" t="b">
        <v>1</v>
      </c>
      <c r="J75" s="59"/>
      <c r="K75" s="58">
        <v>1822</v>
      </c>
      <c r="L75" s="58">
        <v>1342</v>
      </c>
      <c r="M75" s="59">
        <v>7</v>
      </c>
      <c r="N75" s="59">
        <v>7</v>
      </c>
      <c r="O75" s="59" t="s">
        <v>3578</v>
      </c>
      <c r="P75" s="58">
        <v>89</v>
      </c>
      <c r="Q75" s="59">
        <v>0</v>
      </c>
      <c r="R75" s="59">
        <v>0</v>
      </c>
      <c r="S75" s="60">
        <f>tblJTL[[#This Row],[timeStamp]]/86400000+DATE(1970,1,1)+TIME(9,0,0)</f>
        <v>46296.417154976851</v>
      </c>
      <c r="T75" s="57">
        <f>tblJTL[[#This Row],[timeStamp]]+tblJTL[[#This Row],[elapsed]]</f>
        <v>1790816442287</v>
      </c>
      <c r="U75" s="61">
        <f>(tblJTL[[#This Row],[timeStamp]]-'17_分析サンプル'!$E$18)/1000</f>
        <v>42.01</v>
      </c>
      <c r="V75" s="57">
        <f>INT(tblJTL[[#This Row],[経過秒]]/60)</f>
        <v>0</v>
      </c>
      <c r="W75" s="57">
        <f>IF(OR(tblJTL[[#This Row],[success]]=FALSE,tblJTL[[#This Row],[success]]="false"),1,0)</f>
        <v>0</v>
      </c>
      <c r="X75" s="57">
        <f>IF(AND(tblJTL[[#This Row],[経過秒]]&gt;='17_分析サンプル'!$E$11,tblJTL[[#This Row],[経過秒]]&lt;'17_分析サンプル'!$E$12),1,0)</f>
        <v>0</v>
      </c>
    </row>
    <row r="76" spans="2:24" ht="14.4" x14ac:dyDescent="0.3">
      <c r="B76" s="57">
        <v>1790816442223</v>
      </c>
      <c r="C76" s="58">
        <v>216</v>
      </c>
      <c r="D76" s="59" t="s">
        <v>1677</v>
      </c>
      <c r="E76" s="59" t="s">
        <v>3579</v>
      </c>
      <c r="F76" s="59" t="s">
        <v>3580</v>
      </c>
      <c r="G76" s="59" t="s">
        <v>2278</v>
      </c>
      <c r="H76" s="59" t="s">
        <v>2281</v>
      </c>
      <c r="I76" s="59" t="b">
        <v>1</v>
      </c>
      <c r="J76" s="59"/>
      <c r="K76" s="58">
        <v>422</v>
      </c>
      <c r="L76" s="58">
        <v>1478</v>
      </c>
      <c r="M76" s="59">
        <v>7</v>
      </c>
      <c r="N76" s="59">
        <v>7</v>
      </c>
      <c r="O76" s="59" t="s">
        <v>3581</v>
      </c>
      <c r="P76" s="58">
        <v>211</v>
      </c>
      <c r="Q76" s="59">
        <v>0</v>
      </c>
      <c r="R76" s="59">
        <v>0</v>
      </c>
      <c r="S76" s="60">
        <f>tblJTL[[#This Row],[timeStamp]]/86400000+DATE(1970,1,1)+TIME(9,0,0)</f>
        <v>46296.417155358795</v>
      </c>
      <c r="T76" s="57">
        <f>tblJTL[[#This Row],[timeStamp]]+tblJTL[[#This Row],[elapsed]]</f>
        <v>1790816442439</v>
      </c>
      <c r="U76" s="61">
        <f>(tblJTL[[#This Row],[timeStamp]]-'17_分析サンプル'!$E$18)/1000</f>
        <v>42.042999999999999</v>
      </c>
      <c r="V76" s="57">
        <f>INT(tblJTL[[#This Row],[経過秒]]/60)</f>
        <v>0</v>
      </c>
      <c r="W76" s="57">
        <f>IF(OR(tblJTL[[#This Row],[success]]=FALSE,tblJTL[[#This Row],[success]]="false"),1,0)</f>
        <v>0</v>
      </c>
      <c r="X76" s="57">
        <f>IF(AND(tblJTL[[#This Row],[経過秒]]&gt;='17_分析サンプル'!$E$11,tblJTL[[#This Row],[経過秒]]&lt;'17_分析サンプル'!$E$12),1,0)</f>
        <v>0</v>
      </c>
    </row>
    <row r="77" spans="2:24" ht="14.4" x14ac:dyDescent="0.3">
      <c r="B77" s="57">
        <v>1790816442397</v>
      </c>
      <c r="C77" s="58">
        <v>88</v>
      </c>
      <c r="D77" s="59" t="s">
        <v>1658</v>
      </c>
      <c r="E77" s="59" t="s">
        <v>1577</v>
      </c>
      <c r="F77" s="59" t="s">
        <v>2275</v>
      </c>
      <c r="G77" s="59" t="s">
        <v>3585</v>
      </c>
      <c r="H77" s="59" t="s">
        <v>2281</v>
      </c>
      <c r="I77" s="59" t="b">
        <v>1</v>
      </c>
      <c r="J77" s="59"/>
      <c r="K77" s="58">
        <v>1835</v>
      </c>
      <c r="L77" s="58">
        <v>1342</v>
      </c>
      <c r="M77" s="59">
        <v>7</v>
      </c>
      <c r="N77" s="59">
        <v>7</v>
      </c>
      <c r="O77" s="59" t="s">
        <v>3578</v>
      </c>
      <c r="P77" s="58">
        <v>83</v>
      </c>
      <c r="Q77" s="59">
        <v>0</v>
      </c>
      <c r="R77" s="59">
        <v>0</v>
      </c>
      <c r="S77" s="60">
        <f>tblJTL[[#This Row],[timeStamp]]/86400000+DATE(1970,1,1)+TIME(9,0,0)</f>
        <v>46296.417157372685</v>
      </c>
      <c r="T77" s="57">
        <f>tblJTL[[#This Row],[timeStamp]]+tblJTL[[#This Row],[elapsed]]</f>
        <v>1790816442485</v>
      </c>
      <c r="U77" s="61">
        <f>(tblJTL[[#This Row],[timeStamp]]-'17_分析サンプル'!$E$18)/1000</f>
        <v>42.216999999999999</v>
      </c>
      <c r="V77" s="57">
        <f>INT(tblJTL[[#This Row],[経過秒]]/60)</f>
        <v>0</v>
      </c>
      <c r="W77" s="57">
        <f>IF(OR(tblJTL[[#This Row],[success]]=FALSE,tblJTL[[#This Row],[success]]="false"),1,0)</f>
        <v>0</v>
      </c>
      <c r="X77" s="57">
        <f>IF(AND(tblJTL[[#This Row],[経過秒]]&gt;='17_分析サンプル'!$E$11,tblJTL[[#This Row],[経過秒]]&lt;'17_分析サンプル'!$E$12),1,0)</f>
        <v>0</v>
      </c>
    </row>
    <row r="78" spans="2:24" ht="14.4" x14ac:dyDescent="0.3">
      <c r="B78" s="57">
        <v>1790816443082</v>
      </c>
      <c r="C78" s="58">
        <v>301</v>
      </c>
      <c r="D78" s="59" t="s">
        <v>1677</v>
      </c>
      <c r="E78" s="59" t="s">
        <v>3579</v>
      </c>
      <c r="F78" s="59" t="s">
        <v>3580</v>
      </c>
      <c r="G78" s="59" t="s">
        <v>3582</v>
      </c>
      <c r="H78" s="59" t="s">
        <v>2281</v>
      </c>
      <c r="I78" s="59" t="b">
        <v>1</v>
      </c>
      <c r="J78" s="59"/>
      <c r="K78" s="58">
        <v>413</v>
      </c>
      <c r="L78" s="58">
        <v>1478</v>
      </c>
      <c r="M78" s="59">
        <v>8</v>
      </c>
      <c r="N78" s="59">
        <v>8</v>
      </c>
      <c r="O78" s="59" t="s">
        <v>3581</v>
      </c>
      <c r="P78" s="58">
        <v>295</v>
      </c>
      <c r="Q78" s="59">
        <v>0</v>
      </c>
      <c r="R78" s="59">
        <v>0</v>
      </c>
      <c r="S78" s="60">
        <f>tblJTL[[#This Row],[timeStamp]]/86400000+DATE(1970,1,1)+TIME(9,0,0)</f>
        <v>46296.417165300925</v>
      </c>
      <c r="T78" s="57">
        <f>tblJTL[[#This Row],[timeStamp]]+tblJTL[[#This Row],[elapsed]]</f>
        <v>1790816443383</v>
      </c>
      <c r="U78" s="61">
        <f>(tblJTL[[#This Row],[timeStamp]]-'17_分析サンプル'!$E$18)/1000</f>
        <v>42.902000000000001</v>
      </c>
      <c r="V78" s="57">
        <f>INT(tblJTL[[#This Row],[経過秒]]/60)</f>
        <v>0</v>
      </c>
      <c r="W78" s="57">
        <f>IF(OR(tblJTL[[#This Row],[success]]=FALSE,tblJTL[[#This Row],[success]]="false"),1,0)</f>
        <v>0</v>
      </c>
      <c r="X78" s="57">
        <f>IF(AND(tblJTL[[#This Row],[経過秒]]&gt;='17_分析サンプル'!$E$11,tblJTL[[#This Row],[経過秒]]&lt;'17_分析サンプル'!$E$12),1,0)</f>
        <v>0</v>
      </c>
    </row>
    <row r="79" spans="2:24" ht="14.4" x14ac:dyDescent="0.3">
      <c r="B79" s="57">
        <v>1790816443174</v>
      </c>
      <c r="C79" s="58">
        <v>262</v>
      </c>
      <c r="D79" s="59" t="s">
        <v>1677</v>
      </c>
      <c r="E79" s="59" t="s">
        <v>3579</v>
      </c>
      <c r="F79" s="59" t="s">
        <v>3580</v>
      </c>
      <c r="G79" s="59" t="s">
        <v>3577</v>
      </c>
      <c r="H79" s="59" t="s">
        <v>2281</v>
      </c>
      <c r="I79" s="59" t="b">
        <v>1</v>
      </c>
      <c r="J79" s="59"/>
      <c r="K79" s="58">
        <v>432</v>
      </c>
      <c r="L79" s="58">
        <v>1478</v>
      </c>
      <c r="M79" s="59">
        <v>8</v>
      </c>
      <c r="N79" s="59">
        <v>8</v>
      </c>
      <c r="O79" s="59" t="s">
        <v>3581</v>
      </c>
      <c r="P79" s="58">
        <v>258</v>
      </c>
      <c r="Q79" s="59">
        <v>0</v>
      </c>
      <c r="R79" s="59">
        <v>0</v>
      </c>
      <c r="S79" s="60">
        <f>tblJTL[[#This Row],[timeStamp]]/86400000+DATE(1970,1,1)+TIME(9,0,0)</f>
        <v>46296.41716636574</v>
      </c>
      <c r="T79" s="57">
        <f>tblJTL[[#This Row],[timeStamp]]+tblJTL[[#This Row],[elapsed]]</f>
        <v>1790816443436</v>
      </c>
      <c r="U79" s="61">
        <f>(tblJTL[[#This Row],[timeStamp]]-'17_分析サンプル'!$E$18)/1000</f>
        <v>42.994</v>
      </c>
      <c r="V79" s="57">
        <f>INT(tblJTL[[#This Row],[経過秒]]/60)</f>
        <v>0</v>
      </c>
      <c r="W79" s="57">
        <f>IF(OR(tblJTL[[#This Row],[success]]=FALSE,tblJTL[[#This Row],[success]]="false"),1,0)</f>
        <v>0</v>
      </c>
      <c r="X79" s="57">
        <f>IF(AND(tblJTL[[#This Row],[経過秒]]&gt;='17_分析サンプル'!$E$11,tblJTL[[#This Row],[経過秒]]&lt;'17_分析サンプル'!$E$12),1,0)</f>
        <v>0</v>
      </c>
    </row>
    <row r="80" spans="2:24" ht="14.4" x14ac:dyDescent="0.3">
      <c r="B80" s="57">
        <v>1790816443837</v>
      </c>
      <c r="C80" s="58">
        <v>223</v>
      </c>
      <c r="D80" s="59" t="s">
        <v>1677</v>
      </c>
      <c r="E80" s="59" t="s">
        <v>3579</v>
      </c>
      <c r="F80" s="59" t="s">
        <v>3580</v>
      </c>
      <c r="G80" s="59" t="s">
        <v>3584</v>
      </c>
      <c r="H80" s="59" t="s">
        <v>2281</v>
      </c>
      <c r="I80" s="59" t="b">
        <v>1</v>
      </c>
      <c r="J80" s="59"/>
      <c r="K80" s="58">
        <v>434</v>
      </c>
      <c r="L80" s="58">
        <v>1478</v>
      </c>
      <c r="M80" s="59">
        <v>8</v>
      </c>
      <c r="N80" s="59">
        <v>8</v>
      </c>
      <c r="O80" s="59" t="s">
        <v>3581</v>
      </c>
      <c r="P80" s="58">
        <v>216</v>
      </c>
      <c r="Q80" s="59">
        <v>0</v>
      </c>
      <c r="R80" s="59">
        <v>0</v>
      </c>
      <c r="S80" s="60">
        <f>tblJTL[[#This Row],[timeStamp]]/86400000+DATE(1970,1,1)+TIME(9,0,0)</f>
        <v>46296.41717403935</v>
      </c>
      <c r="T80" s="57">
        <f>tblJTL[[#This Row],[timeStamp]]+tblJTL[[#This Row],[elapsed]]</f>
        <v>1790816444060</v>
      </c>
      <c r="U80" s="61">
        <f>(tblJTL[[#This Row],[timeStamp]]-'17_分析サンプル'!$E$18)/1000</f>
        <v>43.656999999999996</v>
      </c>
      <c r="V80" s="57">
        <f>INT(tblJTL[[#This Row],[経過秒]]/60)</f>
        <v>0</v>
      </c>
      <c r="W80" s="57">
        <f>IF(OR(tblJTL[[#This Row],[success]]=FALSE,tblJTL[[#This Row],[success]]="false"),1,0)</f>
        <v>0</v>
      </c>
      <c r="X80" s="57">
        <f>IF(AND(tblJTL[[#This Row],[経過秒]]&gt;='17_分析サンプル'!$E$11,tblJTL[[#This Row],[経過秒]]&lt;'17_分析サンプル'!$E$12),1,0)</f>
        <v>0</v>
      </c>
    </row>
    <row r="81" spans="2:24" ht="14.4" x14ac:dyDescent="0.3">
      <c r="B81" s="57">
        <v>1790816443914</v>
      </c>
      <c r="C81" s="58">
        <v>159</v>
      </c>
      <c r="D81" s="59" t="s">
        <v>1677</v>
      </c>
      <c r="E81" s="59" t="s">
        <v>3579</v>
      </c>
      <c r="F81" s="59" t="s">
        <v>3580</v>
      </c>
      <c r="G81" s="59" t="s">
        <v>3583</v>
      </c>
      <c r="H81" s="59" t="s">
        <v>2281</v>
      </c>
      <c r="I81" s="59" t="b">
        <v>1</v>
      </c>
      <c r="J81" s="59"/>
      <c r="K81" s="58">
        <v>439</v>
      </c>
      <c r="L81" s="58">
        <v>1478</v>
      </c>
      <c r="M81" s="59">
        <v>8</v>
      </c>
      <c r="N81" s="59">
        <v>8</v>
      </c>
      <c r="O81" s="59" t="s">
        <v>3581</v>
      </c>
      <c r="P81" s="58">
        <v>151</v>
      </c>
      <c r="Q81" s="59">
        <v>0</v>
      </c>
      <c r="R81" s="59">
        <v>0</v>
      </c>
      <c r="S81" s="60">
        <f>tblJTL[[#This Row],[timeStamp]]/86400000+DATE(1970,1,1)+TIME(9,0,0)</f>
        <v>46296.417174930553</v>
      </c>
      <c r="T81" s="57">
        <f>tblJTL[[#This Row],[timeStamp]]+tblJTL[[#This Row],[elapsed]]</f>
        <v>1790816444073</v>
      </c>
      <c r="U81" s="61">
        <f>(tblJTL[[#This Row],[timeStamp]]-'17_分析サンプル'!$E$18)/1000</f>
        <v>43.734000000000002</v>
      </c>
      <c r="V81" s="57">
        <f>INT(tblJTL[[#This Row],[経過秒]]/60)</f>
        <v>0</v>
      </c>
      <c r="W81" s="57">
        <f>IF(OR(tblJTL[[#This Row],[success]]=FALSE,tblJTL[[#This Row],[success]]="false"),1,0)</f>
        <v>0</v>
      </c>
      <c r="X81" s="57">
        <f>IF(AND(tblJTL[[#This Row],[経過秒]]&gt;='17_分析サンプル'!$E$11,tblJTL[[#This Row],[経過秒]]&lt;'17_分析サンプル'!$E$12),1,0)</f>
        <v>0</v>
      </c>
    </row>
    <row r="82" spans="2:24" ht="14.4" x14ac:dyDescent="0.3">
      <c r="B82" s="57">
        <v>1790816443900</v>
      </c>
      <c r="C82" s="58">
        <v>185</v>
      </c>
      <c r="D82" s="59" t="s">
        <v>1658</v>
      </c>
      <c r="E82" s="59" t="s">
        <v>1577</v>
      </c>
      <c r="F82" s="59" t="s">
        <v>2275</v>
      </c>
      <c r="G82" s="59" t="s">
        <v>3586</v>
      </c>
      <c r="H82" s="59" t="s">
        <v>2281</v>
      </c>
      <c r="I82" s="59" t="b">
        <v>1</v>
      </c>
      <c r="J82" s="59"/>
      <c r="K82" s="58">
        <v>1891</v>
      </c>
      <c r="L82" s="58">
        <v>1342</v>
      </c>
      <c r="M82" s="59">
        <v>8</v>
      </c>
      <c r="N82" s="59">
        <v>8</v>
      </c>
      <c r="O82" s="59" t="s">
        <v>3578</v>
      </c>
      <c r="P82" s="58">
        <v>179</v>
      </c>
      <c r="Q82" s="59">
        <v>0</v>
      </c>
      <c r="R82" s="59">
        <v>0</v>
      </c>
      <c r="S82" s="60">
        <f>tblJTL[[#This Row],[timeStamp]]/86400000+DATE(1970,1,1)+TIME(9,0,0)</f>
        <v>46296.417174768518</v>
      </c>
      <c r="T82" s="57">
        <f>tblJTL[[#This Row],[timeStamp]]+tblJTL[[#This Row],[elapsed]]</f>
        <v>1790816444085</v>
      </c>
      <c r="U82" s="61">
        <f>(tblJTL[[#This Row],[timeStamp]]-'17_分析サンプル'!$E$18)/1000</f>
        <v>43.72</v>
      </c>
      <c r="V82" s="57">
        <f>INT(tblJTL[[#This Row],[経過秒]]/60)</f>
        <v>0</v>
      </c>
      <c r="W82" s="57">
        <f>IF(OR(tblJTL[[#This Row],[success]]=FALSE,tblJTL[[#This Row],[success]]="false"),1,0)</f>
        <v>0</v>
      </c>
      <c r="X82" s="57">
        <f>IF(AND(tblJTL[[#This Row],[経過秒]]&gt;='17_分析サンプル'!$E$11,tblJTL[[#This Row],[経過秒]]&lt;'17_分析サンプル'!$E$12),1,0)</f>
        <v>0</v>
      </c>
    </row>
    <row r="83" spans="2:24" ht="14.4" x14ac:dyDescent="0.3">
      <c r="B83" s="57">
        <v>1790816444874</v>
      </c>
      <c r="C83" s="58">
        <v>125</v>
      </c>
      <c r="D83" s="59" t="s">
        <v>1658</v>
      </c>
      <c r="E83" s="59" t="s">
        <v>1577</v>
      </c>
      <c r="F83" s="59" t="s">
        <v>2275</v>
      </c>
      <c r="G83" s="59" t="s">
        <v>3577</v>
      </c>
      <c r="H83" s="59" t="s">
        <v>2281</v>
      </c>
      <c r="I83" s="59" t="b">
        <v>1</v>
      </c>
      <c r="J83" s="59"/>
      <c r="K83" s="58">
        <v>1866</v>
      </c>
      <c r="L83" s="58">
        <v>1342</v>
      </c>
      <c r="M83" s="59">
        <v>8</v>
      </c>
      <c r="N83" s="59">
        <v>8</v>
      </c>
      <c r="O83" s="59" t="s">
        <v>3578</v>
      </c>
      <c r="P83" s="58">
        <v>119</v>
      </c>
      <c r="Q83" s="59">
        <v>0</v>
      </c>
      <c r="R83" s="59">
        <v>0</v>
      </c>
      <c r="S83" s="60">
        <f>tblJTL[[#This Row],[timeStamp]]/86400000+DATE(1970,1,1)+TIME(9,0,0)</f>
        <v>46296.417186041668</v>
      </c>
      <c r="T83" s="57">
        <f>tblJTL[[#This Row],[timeStamp]]+tblJTL[[#This Row],[elapsed]]</f>
        <v>1790816444999</v>
      </c>
      <c r="U83" s="61">
        <f>(tblJTL[[#This Row],[timeStamp]]-'17_分析サンプル'!$E$18)/1000</f>
        <v>44.694000000000003</v>
      </c>
      <c r="V83" s="57">
        <f>INT(tblJTL[[#This Row],[経過秒]]/60)</f>
        <v>0</v>
      </c>
      <c r="W83" s="57">
        <f>IF(OR(tblJTL[[#This Row],[success]]=FALSE,tblJTL[[#This Row],[success]]="false"),1,0)</f>
        <v>0</v>
      </c>
      <c r="X83" s="57">
        <f>IF(AND(tblJTL[[#This Row],[経過秒]]&gt;='17_分析サンプル'!$E$11,tblJTL[[#This Row],[経過秒]]&lt;'17_分析サンプル'!$E$12),1,0)</f>
        <v>0</v>
      </c>
    </row>
    <row r="84" spans="2:24" ht="14.4" x14ac:dyDescent="0.3">
      <c r="B84" s="57">
        <v>1790816445325</v>
      </c>
      <c r="C84" s="58">
        <v>147</v>
      </c>
      <c r="D84" s="59" t="s">
        <v>1658</v>
      </c>
      <c r="E84" s="59" t="s">
        <v>1577</v>
      </c>
      <c r="F84" s="59" t="s">
        <v>2275</v>
      </c>
      <c r="G84" s="59" t="s">
        <v>2278</v>
      </c>
      <c r="H84" s="59" t="s">
        <v>2281</v>
      </c>
      <c r="I84" s="59" t="b">
        <v>1</v>
      </c>
      <c r="J84" s="59"/>
      <c r="K84" s="58">
        <v>1820</v>
      </c>
      <c r="L84" s="58">
        <v>1342</v>
      </c>
      <c r="M84" s="59">
        <v>8</v>
      </c>
      <c r="N84" s="59">
        <v>8</v>
      </c>
      <c r="O84" s="59" t="s">
        <v>3578</v>
      </c>
      <c r="P84" s="58">
        <v>140</v>
      </c>
      <c r="Q84" s="59">
        <v>0</v>
      </c>
      <c r="R84" s="59">
        <v>0</v>
      </c>
      <c r="S84" s="60">
        <f>tblJTL[[#This Row],[timeStamp]]/86400000+DATE(1970,1,1)+TIME(9,0,0)</f>
        <v>46296.417191261571</v>
      </c>
      <c r="T84" s="57">
        <f>tblJTL[[#This Row],[timeStamp]]+tblJTL[[#This Row],[elapsed]]</f>
        <v>1790816445472</v>
      </c>
      <c r="U84" s="61">
        <f>(tblJTL[[#This Row],[timeStamp]]-'17_分析サンプル'!$E$18)/1000</f>
        <v>45.145000000000003</v>
      </c>
      <c r="V84" s="57">
        <f>INT(tblJTL[[#This Row],[経過秒]]/60)</f>
        <v>0</v>
      </c>
      <c r="W84" s="57">
        <f>IF(OR(tblJTL[[#This Row],[success]]=FALSE,tblJTL[[#This Row],[success]]="false"),1,0)</f>
        <v>0</v>
      </c>
      <c r="X84" s="57">
        <f>IF(AND(tblJTL[[#This Row],[経過秒]]&gt;='17_分析サンプル'!$E$11,tblJTL[[#This Row],[経過秒]]&lt;'17_分析サンプル'!$E$12),1,0)</f>
        <v>0</v>
      </c>
    </row>
    <row r="85" spans="2:24" ht="14.4" x14ac:dyDescent="0.3">
      <c r="B85" s="57">
        <v>1790816445396</v>
      </c>
      <c r="C85" s="58">
        <v>123</v>
      </c>
      <c r="D85" s="59" t="s">
        <v>1658</v>
      </c>
      <c r="E85" s="59" t="s">
        <v>1577</v>
      </c>
      <c r="F85" s="59" t="s">
        <v>2275</v>
      </c>
      <c r="G85" s="59" t="s">
        <v>3587</v>
      </c>
      <c r="H85" s="59" t="s">
        <v>2281</v>
      </c>
      <c r="I85" s="59" t="b">
        <v>1</v>
      </c>
      <c r="J85" s="59"/>
      <c r="K85" s="58">
        <v>1835</v>
      </c>
      <c r="L85" s="58">
        <v>1342</v>
      </c>
      <c r="M85" s="59">
        <v>8</v>
      </c>
      <c r="N85" s="59">
        <v>8</v>
      </c>
      <c r="O85" s="59" t="s">
        <v>3578</v>
      </c>
      <c r="P85" s="58">
        <v>115</v>
      </c>
      <c r="Q85" s="59">
        <v>0</v>
      </c>
      <c r="R85" s="59">
        <v>61</v>
      </c>
      <c r="S85" s="60">
        <f>tblJTL[[#This Row],[timeStamp]]/86400000+DATE(1970,1,1)+TIME(9,0,0)</f>
        <v>46296.417192083332</v>
      </c>
      <c r="T85" s="57">
        <f>tblJTL[[#This Row],[timeStamp]]+tblJTL[[#This Row],[elapsed]]</f>
        <v>1790816445519</v>
      </c>
      <c r="U85" s="61">
        <f>(tblJTL[[#This Row],[timeStamp]]-'17_分析サンプル'!$E$18)/1000</f>
        <v>45.216000000000001</v>
      </c>
      <c r="V85" s="57">
        <f>INT(tblJTL[[#This Row],[経過秒]]/60)</f>
        <v>0</v>
      </c>
      <c r="W85" s="57">
        <f>IF(OR(tblJTL[[#This Row],[success]]=FALSE,tblJTL[[#This Row],[success]]="false"),1,0)</f>
        <v>0</v>
      </c>
      <c r="X85" s="57">
        <f>IF(AND(tblJTL[[#This Row],[経過秒]]&gt;='17_分析サンプル'!$E$11,tblJTL[[#This Row],[経過秒]]&lt;'17_分析サンプル'!$E$12),1,0)</f>
        <v>0</v>
      </c>
    </row>
    <row r="86" spans="2:24" ht="14.4" x14ac:dyDescent="0.3">
      <c r="B86" s="57">
        <v>1790816445312</v>
      </c>
      <c r="C86" s="58">
        <v>208</v>
      </c>
      <c r="D86" s="59" t="s">
        <v>1677</v>
      </c>
      <c r="E86" s="59" t="s">
        <v>3579</v>
      </c>
      <c r="F86" s="59" t="s">
        <v>3580</v>
      </c>
      <c r="G86" s="59" t="s">
        <v>3585</v>
      </c>
      <c r="H86" s="59" t="s">
        <v>2281</v>
      </c>
      <c r="I86" s="59" t="b">
        <v>1</v>
      </c>
      <c r="J86" s="59"/>
      <c r="K86" s="58">
        <v>432</v>
      </c>
      <c r="L86" s="58">
        <v>1478</v>
      </c>
      <c r="M86" s="59">
        <v>8</v>
      </c>
      <c r="N86" s="59">
        <v>8</v>
      </c>
      <c r="O86" s="59" t="s">
        <v>3581</v>
      </c>
      <c r="P86" s="58">
        <v>204</v>
      </c>
      <c r="Q86" s="59">
        <v>0</v>
      </c>
      <c r="R86" s="59">
        <v>0</v>
      </c>
      <c r="S86" s="60">
        <f>tblJTL[[#This Row],[timeStamp]]/86400000+DATE(1970,1,1)+TIME(9,0,0)</f>
        <v>46296.417191111112</v>
      </c>
      <c r="T86" s="57">
        <f>tblJTL[[#This Row],[timeStamp]]+tblJTL[[#This Row],[elapsed]]</f>
        <v>1790816445520</v>
      </c>
      <c r="U86" s="61">
        <f>(tblJTL[[#This Row],[timeStamp]]-'17_分析サンプル'!$E$18)/1000</f>
        <v>45.131999999999998</v>
      </c>
      <c r="V86" s="57">
        <f>INT(tblJTL[[#This Row],[経過秒]]/60)</f>
        <v>0</v>
      </c>
      <c r="W86" s="57">
        <f>IF(OR(tblJTL[[#This Row],[success]]=FALSE,tblJTL[[#This Row],[success]]="false"),1,0)</f>
        <v>0</v>
      </c>
      <c r="X86" s="57">
        <f>IF(AND(tblJTL[[#This Row],[経過秒]]&gt;='17_分析サンプル'!$E$11,tblJTL[[#This Row],[経過秒]]&lt;'17_分析サンプル'!$E$12),1,0)</f>
        <v>0</v>
      </c>
    </row>
    <row r="87" spans="2:24" ht="14.4" x14ac:dyDescent="0.3">
      <c r="B87" s="57">
        <v>1790816445585</v>
      </c>
      <c r="C87" s="58">
        <v>106</v>
      </c>
      <c r="D87" s="59" t="s">
        <v>1658</v>
      </c>
      <c r="E87" s="59" t="s">
        <v>1577</v>
      </c>
      <c r="F87" s="59" t="s">
        <v>2275</v>
      </c>
      <c r="G87" s="59" t="s">
        <v>3583</v>
      </c>
      <c r="H87" s="59" t="s">
        <v>2281</v>
      </c>
      <c r="I87" s="59" t="b">
        <v>1</v>
      </c>
      <c r="J87" s="59"/>
      <c r="K87" s="58">
        <v>1838</v>
      </c>
      <c r="L87" s="58">
        <v>1342</v>
      </c>
      <c r="M87" s="59">
        <v>8</v>
      </c>
      <c r="N87" s="59">
        <v>8</v>
      </c>
      <c r="O87" s="59" t="s">
        <v>3578</v>
      </c>
      <c r="P87" s="58">
        <v>102</v>
      </c>
      <c r="Q87" s="59">
        <v>0</v>
      </c>
      <c r="R87" s="59">
        <v>0</v>
      </c>
      <c r="S87" s="60">
        <f>tblJTL[[#This Row],[timeStamp]]/86400000+DATE(1970,1,1)+TIME(9,0,0)</f>
        <v>46296.417194270834</v>
      </c>
      <c r="T87" s="57">
        <f>tblJTL[[#This Row],[timeStamp]]+tblJTL[[#This Row],[elapsed]]</f>
        <v>1790816445691</v>
      </c>
      <c r="U87" s="61">
        <f>(tblJTL[[#This Row],[timeStamp]]-'17_分析サンプル'!$E$18)/1000</f>
        <v>45.405000000000001</v>
      </c>
      <c r="V87" s="57">
        <f>INT(tblJTL[[#This Row],[経過秒]]/60)</f>
        <v>0</v>
      </c>
      <c r="W87" s="57">
        <f>IF(OR(tblJTL[[#This Row],[success]]=FALSE,tblJTL[[#This Row],[success]]="false"),1,0)</f>
        <v>0</v>
      </c>
      <c r="X87" s="57">
        <f>IF(AND(tblJTL[[#This Row],[経過秒]]&gt;='17_分析サンプル'!$E$11,tblJTL[[#This Row],[経過秒]]&lt;'17_分析サンプル'!$E$12),1,0)</f>
        <v>0</v>
      </c>
    </row>
    <row r="88" spans="2:24" ht="14.4" x14ac:dyDescent="0.3">
      <c r="B88" s="57">
        <v>1790816446072</v>
      </c>
      <c r="C88" s="58">
        <v>103</v>
      </c>
      <c r="D88" s="59" t="s">
        <v>1658</v>
      </c>
      <c r="E88" s="59" t="s">
        <v>1577</v>
      </c>
      <c r="F88" s="59" t="s">
        <v>2275</v>
      </c>
      <c r="G88" s="59" t="s">
        <v>3582</v>
      </c>
      <c r="H88" s="59" t="s">
        <v>2281</v>
      </c>
      <c r="I88" s="59" t="b">
        <v>1</v>
      </c>
      <c r="J88" s="59"/>
      <c r="K88" s="58">
        <v>1866</v>
      </c>
      <c r="L88" s="58">
        <v>1342</v>
      </c>
      <c r="M88" s="59">
        <v>8</v>
      </c>
      <c r="N88" s="59">
        <v>8</v>
      </c>
      <c r="O88" s="59" t="s">
        <v>3578</v>
      </c>
      <c r="P88" s="58">
        <v>97</v>
      </c>
      <c r="Q88" s="59">
        <v>0</v>
      </c>
      <c r="R88" s="59">
        <v>0</v>
      </c>
      <c r="S88" s="60">
        <f>tblJTL[[#This Row],[timeStamp]]/86400000+DATE(1970,1,1)+TIME(9,0,0)</f>
        <v>46296.417199907402</v>
      </c>
      <c r="T88" s="57">
        <f>tblJTL[[#This Row],[timeStamp]]+tblJTL[[#This Row],[elapsed]]</f>
        <v>1790816446175</v>
      </c>
      <c r="U88" s="61">
        <f>(tblJTL[[#This Row],[timeStamp]]-'17_分析サンプル'!$E$18)/1000</f>
        <v>45.892000000000003</v>
      </c>
      <c r="V88" s="57">
        <f>INT(tblJTL[[#This Row],[経過秒]]/60)</f>
        <v>0</v>
      </c>
      <c r="W88" s="57">
        <f>IF(OR(tblJTL[[#This Row],[success]]=FALSE,tblJTL[[#This Row],[success]]="false"),1,0)</f>
        <v>0</v>
      </c>
      <c r="X88" s="57">
        <f>IF(AND(tblJTL[[#This Row],[経過秒]]&gt;='17_分析サンプル'!$E$11,tblJTL[[#This Row],[経過秒]]&lt;'17_分析サンプル'!$E$12),1,0)</f>
        <v>0</v>
      </c>
    </row>
    <row r="89" spans="2:24" ht="14.4" x14ac:dyDescent="0.3">
      <c r="B89" s="57">
        <v>1790816446057</v>
      </c>
      <c r="C89" s="58">
        <v>136</v>
      </c>
      <c r="D89" s="59" t="s">
        <v>1658</v>
      </c>
      <c r="E89" s="59" t="s">
        <v>1577</v>
      </c>
      <c r="F89" s="59" t="s">
        <v>2275</v>
      </c>
      <c r="G89" s="59" t="s">
        <v>3584</v>
      </c>
      <c r="H89" s="59" t="s">
        <v>2281</v>
      </c>
      <c r="I89" s="59" t="b">
        <v>1</v>
      </c>
      <c r="J89" s="59"/>
      <c r="K89" s="58">
        <v>1821</v>
      </c>
      <c r="L89" s="58">
        <v>1342</v>
      </c>
      <c r="M89" s="59">
        <v>8</v>
      </c>
      <c r="N89" s="59">
        <v>8</v>
      </c>
      <c r="O89" s="59" t="s">
        <v>3578</v>
      </c>
      <c r="P89" s="58">
        <v>130</v>
      </c>
      <c r="Q89" s="59">
        <v>0</v>
      </c>
      <c r="R89" s="59">
        <v>0</v>
      </c>
      <c r="S89" s="60">
        <f>tblJTL[[#This Row],[timeStamp]]/86400000+DATE(1970,1,1)+TIME(9,0,0)</f>
        <v>46296.417199733798</v>
      </c>
      <c r="T89" s="57">
        <f>tblJTL[[#This Row],[timeStamp]]+tblJTL[[#This Row],[elapsed]]</f>
        <v>1790816446193</v>
      </c>
      <c r="U89" s="61">
        <f>(tblJTL[[#This Row],[timeStamp]]-'17_分析サンプル'!$E$18)/1000</f>
        <v>45.877000000000002</v>
      </c>
      <c r="V89" s="57">
        <f>INT(tblJTL[[#This Row],[経過秒]]/60)</f>
        <v>0</v>
      </c>
      <c r="W89" s="57">
        <f>IF(OR(tblJTL[[#This Row],[success]]=FALSE,tblJTL[[#This Row],[success]]="false"),1,0)</f>
        <v>0</v>
      </c>
      <c r="X89" s="57">
        <f>IF(AND(tblJTL[[#This Row],[経過秒]]&gt;='17_分析サンプル'!$E$11,tblJTL[[#This Row],[経過秒]]&lt;'17_分析サンプル'!$E$12),1,0)</f>
        <v>0</v>
      </c>
    </row>
    <row r="90" spans="2:24" ht="14.4" x14ac:dyDescent="0.3">
      <c r="B90" s="57">
        <v>1790816446842</v>
      </c>
      <c r="C90" s="58">
        <v>222</v>
      </c>
      <c r="D90" s="59" t="s">
        <v>1677</v>
      </c>
      <c r="E90" s="59" t="s">
        <v>3579</v>
      </c>
      <c r="F90" s="59" t="s">
        <v>3580</v>
      </c>
      <c r="G90" s="59" t="s">
        <v>3586</v>
      </c>
      <c r="H90" s="59" t="s">
        <v>2281</v>
      </c>
      <c r="I90" s="59" t="b">
        <v>1</v>
      </c>
      <c r="J90" s="59"/>
      <c r="K90" s="58">
        <v>428</v>
      </c>
      <c r="L90" s="58">
        <v>1478</v>
      </c>
      <c r="M90" s="59">
        <v>8</v>
      </c>
      <c r="N90" s="59">
        <v>8</v>
      </c>
      <c r="O90" s="59" t="s">
        <v>3581</v>
      </c>
      <c r="P90" s="58">
        <v>219</v>
      </c>
      <c r="Q90" s="59">
        <v>0</v>
      </c>
      <c r="R90" s="59">
        <v>0</v>
      </c>
      <c r="S90" s="60">
        <f>tblJTL[[#This Row],[timeStamp]]/86400000+DATE(1970,1,1)+TIME(9,0,0)</f>
        <v>46296.417208819446</v>
      </c>
      <c r="T90" s="57">
        <f>tblJTL[[#This Row],[timeStamp]]+tblJTL[[#This Row],[elapsed]]</f>
        <v>1790816447064</v>
      </c>
      <c r="U90" s="61">
        <f>(tblJTL[[#This Row],[timeStamp]]-'17_分析サンプル'!$E$18)/1000</f>
        <v>46.661999999999999</v>
      </c>
      <c r="V90" s="57">
        <f>INT(tblJTL[[#This Row],[経過秒]]/60)</f>
        <v>0</v>
      </c>
      <c r="W90" s="57">
        <f>IF(OR(tblJTL[[#This Row],[success]]=FALSE,tblJTL[[#This Row],[success]]="false"),1,0)</f>
        <v>0</v>
      </c>
      <c r="X90" s="57">
        <f>IF(AND(tblJTL[[#This Row],[経過秒]]&gt;='17_分析サンプル'!$E$11,tblJTL[[#This Row],[経過秒]]&lt;'17_分析サンプル'!$E$12),1,0)</f>
        <v>0</v>
      </c>
    </row>
    <row r="91" spans="2:24" ht="14.4" x14ac:dyDescent="0.3">
      <c r="B91" s="57">
        <v>1790816447680</v>
      </c>
      <c r="C91" s="58">
        <v>216</v>
      </c>
      <c r="D91" s="59" t="s">
        <v>1677</v>
      </c>
      <c r="E91" s="59" t="s">
        <v>3579</v>
      </c>
      <c r="F91" s="59" t="s">
        <v>3580</v>
      </c>
      <c r="G91" s="59" t="s">
        <v>2278</v>
      </c>
      <c r="H91" s="59" t="s">
        <v>2281</v>
      </c>
      <c r="I91" s="59" t="b">
        <v>1</v>
      </c>
      <c r="J91" s="59"/>
      <c r="K91" s="58">
        <v>426</v>
      </c>
      <c r="L91" s="58">
        <v>1478</v>
      </c>
      <c r="M91" s="59">
        <v>8</v>
      </c>
      <c r="N91" s="59">
        <v>8</v>
      </c>
      <c r="O91" s="59" t="s">
        <v>3581</v>
      </c>
      <c r="P91" s="58">
        <v>210</v>
      </c>
      <c r="Q91" s="59">
        <v>0</v>
      </c>
      <c r="R91" s="59">
        <v>0</v>
      </c>
      <c r="S91" s="60">
        <f>tblJTL[[#This Row],[timeStamp]]/86400000+DATE(1970,1,1)+TIME(9,0,0)</f>
        <v>46296.417218518516</v>
      </c>
      <c r="T91" s="57">
        <f>tblJTL[[#This Row],[timeStamp]]+tblJTL[[#This Row],[elapsed]]</f>
        <v>1790816447896</v>
      </c>
      <c r="U91" s="61">
        <f>(tblJTL[[#This Row],[timeStamp]]-'17_分析サンプル'!$E$18)/1000</f>
        <v>47.5</v>
      </c>
      <c r="V91" s="57">
        <f>INT(tblJTL[[#This Row],[経過秒]]/60)</f>
        <v>0</v>
      </c>
      <c r="W91" s="57">
        <f>IF(OR(tblJTL[[#This Row],[success]]=FALSE,tblJTL[[#This Row],[success]]="false"),1,0)</f>
        <v>0</v>
      </c>
      <c r="X91" s="57">
        <f>IF(AND(tblJTL[[#This Row],[経過秒]]&gt;='17_分析サンプル'!$E$11,tblJTL[[#This Row],[経過秒]]&lt;'17_分析サンプル'!$E$12),1,0)</f>
        <v>0</v>
      </c>
    </row>
    <row r="92" spans="2:24" ht="14.4" x14ac:dyDescent="0.3">
      <c r="B92" s="57">
        <v>1790816447620</v>
      </c>
      <c r="C92" s="58">
        <v>306</v>
      </c>
      <c r="D92" s="59" t="s">
        <v>1677</v>
      </c>
      <c r="E92" s="59" t="s">
        <v>3579</v>
      </c>
      <c r="F92" s="59" t="s">
        <v>3580</v>
      </c>
      <c r="G92" s="59" t="s">
        <v>3583</v>
      </c>
      <c r="H92" s="59" t="s">
        <v>2281</v>
      </c>
      <c r="I92" s="59" t="b">
        <v>1</v>
      </c>
      <c r="J92" s="59"/>
      <c r="K92" s="58">
        <v>417</v>
      </c>
      <c r="L92" s="58">
        <v>1478</v>
      </c>
      <c r="M92" s="59">
        <v>8</v>
      </c>
      <c r="N92" s="59">
        <v>8</v>
      </c>
      <c r="O92" s="59" t="s">
        <v>3581</v>
      </c>
      <c r="P92" s="58">
        <v>303</v>
      </c>
      <c r="Q92" s="59">
        <v>0</v>
      </c>
      <c r="R92" s="59">
        <v>0</v>
      </c>
      <c r="S92" s="60">
        <f>tblJTL[[#This Row],[timeStamp]]/86400000+DATE(1970,1,1)+TIME(9,0,0)</f>
        <v>46296.41721782407</v>
      </c>
      <c r="T92" s="57">
        <f>tblJTL[[#This Row],[timeStamp]]+tblJTL[[#This Row],[elapsed]]</f>
        <v>1790816447926</v>
      </c>
      <c r="U92" s="61">
        <f>(tblJTL[[#This Row],[timeStamp]]-'17_分析サンプル'!$E$18)/1000</f>
        <v>47.44</v>
      </c>
      <c r="V92" s="57">
        <f>INT(tblJTL[[#This Row],[経過秒]]/60)</f>
        <v>0</v>
      </c>
      <c r="W92" s="57">
        <f>IF(OR(tblJTL[[#This Row],[success]]=FALSE,tblJTL[[#This Row],[success]]="false"),1,0)</f>
        <v>0</v>
      </c>
      <c r="X92" s="57">
        <f>IF(AND(tblJTL[[#This Row],[経過秒]]&gt;='17_分析サンプル'!$E$11,tblJTL[[#This Row],[経過秒]]&lt;'17_分析サンプル'!$E$12),1,0)</f>
        <v>0</v>
      </c>
    </row>
    <row r="93" spans="2:24" ht="14.4" x14ac:dyDescent="0.3">
      <c r="B93" s="57">
        <v>1790816447622</v>
      </c>
      <c r="C93" s="58">
        <v>305</v>
      </c>
      <c r="D93" s="59" t="s">
        <v>1677</v>
      </c>
      <c r="E93" s="59" t="s">
        <v>3579</v>
      </c>
      <c r="F93" s="59" t="s">
        <v>3580</v>
      </c>
      <c r="G93" s="59" t="s">
        <v>3577</v>
      </c>
      <c r="H93" s="59" t="s">
        <v>2281</v>
      </c>
      <c r="I93" s="59" t="b">
        <v>1</v>
      </c>
      <c r="J93" s="59"/>
      <c r="K93" s="58">
        <v>416</v>
      </c>
      <c r="L93" s="58">
        <v>1478</v>
      </c>
      <c r="M93" s="59">
        <v>8</v>
      </c>
      <c r="N93" s="59">
        <v>8</v>
      </c>
      <c r="O93" s="59" t="s">
        <v>3581</v>
      </c>
      <c r="P93" s="58">
        <v>298</v>
      </c>
      <c r="Q93" s="59">
        <v>0</v>
      </c>
      <c r="R93" s="59">
        <v>0</v>
      </c>
      <c r="S93" s="60">
        <f>tblJTL[[#This Row],[timeStamp]]/86400000+DATE(1970,1,1)+TIME(9,0,0)</f>
        <v>46296.417217847222</v>
      </c>
      <c r="T93" s="57">
        <f>tblJTL[[#This Row],[timeStamp]]+tblJTL[[#This Row],[elapsed]]</f>
        <v>1790816447927</v>
      </c>
      <c r="U93" s="61">
        <f>(tblJTL[[#This Row],[timeStamp]]-'17_分析サンプル'!$E$18)/1000</f>
        <v>47.442</v>
      </c>
      <c r="V93" s="57">
        <f>INT(tblJTL[[#This Row],[経過秒]]/60)</f>
        <v>0</v>
      </c>
      <c r="W93" s="57">
        <f>IF(OR(tblJTL[[#This Row],[success]]=FALSE,tblJTL[[#This Row],[success]]="false"),1,0)</f>
        <v>0</v>
      </c>
      <c r="X93" s="57">
        <f>IF(AND(tblJTL[[#This Row],[経過秒]]&gt;='17_分析サンプル'!$E$11,tblJTL[[#This Row],[経過秒]]&lt;'17_分析サンプル'!$E$12),1,0)</f>
        <v>0</v>
      </c>
    </row>
    <row r="94" spans="2:24" ht="14.4" x14ac:dyDescent="0.3">
      <c r="B94" s="57">
        <v>1790816447778</v>
      </c>
      <c r="C94" s="58">
        <v>175</v>
      </c>
      <c r="D94" s="59" t="s">
        <v>1677</v>
      </c>
      <c r="E94" s="59" t="s">
        <v>3579</v>
      </c>
      <c r="F94" s="59" t="s">
        <v>3580</v>
      </c>
      <c r="G94" s="59" t="s">
        <v>3587</v>
      </c>
      <c r="H94" s="59" t="s">
        <v>2281</v>
      </c>
      <c r="I94" s="59" t="b">
        <v>1</v>
      </c>
      <c r="J94" s="59"/>
      <c r="K94" s="58">
        <v>425</v>
      </c>
      <c r="L94" s="58">
        <v>1478</v>
      </c>
      <c r="M94" s="59">
        <v>8</v>
      </c>
      <c r="N94" s="59">
        <v>8</v>
      </c>
      <c r="O94" s="59" t="s">
        <v>3581</v>
      </c>
      <c r="P94" s="58">
        <v>173</v>
      </c>
      <c r="Q94" s="59">
        <v>0</v>
      </c>
      <c r="R94" s="59">
        <v>0</v>
      </c>
      <c r="S94" s="60">
        <f>tblJTL[[#This Row],[timeStamp]]/86400000+DATE(1970,1,1)+TIME(9,0,0)</f>
        <v>46296.41721965278</v>
      </c>
      <c r="T94" s="57">
        <f>tblJTL[[#This Row],[timeStamp]]+tblJTL[[#This Row],[elapsed]]</f>
        <v>1790816447953</v>
      </c>
      <c r="U94" s="61">
        <f>(tblJTL[[#This Row],[timeStamp]]-'17_分析サンプル'!$E$18)/1000</f>
        <v>47.597999999999999</v>
      </c>
      <c r="V94" s="57">
        <f>INT(tblJTL[[#This Row],[経過秒]]/60)</f>
        <v>0</v>
      </c>
      <c r="W94" s="57">
        <f>IF(OR(tblJTL[[#This Row],[success]]=FALSE,tblJTL[[#This Row],[success]]="false"),1,0)</f>
        <v>0</v>
      </c>
      <c r="X94" s="57">
        <f>IF(AND(tblJTL[[#This Row],[経過秒]]&gt;='17_分析サンプル'!$E$11,tblJTL[[#This Row],[経過秒]]&lt;'17_分析サンプル'!$E$12),1,0)</f>
        <v>0</v>
      </c>
    </row>
    <row r="95" spans="2:24" ht="14.4" x14ac:dyDescent="0.3">
      <c r="B95" s="57">
        <v>1790816448170</v>
      </c>
      <c r="C95" s="58">
        <v>81</v>
      </c>
      <c r="D95" s="59" t="s">
        <v>1658</v>
      </c>
      <c r="E95" s="59" t="s">
        <v>1577</v>
      </c>
      <c r="F95" s="59" t="s">
        <v>2275</v>
      </c>
      <c r="G95" s="59" t="s">
        <v>3585</v>
      </c>
      <c r="H95" s="59" t="s">
        <v>2281</v>
      </c>
      <c r="I95" s="59" t="b">
        <v>1</v>
      </c>
      <c r="J95" s="59"/>
      <c r="K95" s="58">
        <v>1846</v>
      </c>
      <c r="L95" s="58">
        <v>1342</v>
      </c>
      <c r="M95" s="59">
        <v>8</v>
      </c>
      <c r="N95" s="59">
        <v>8</v>
      </c>
      <c r="O95" s="59" t="s">
        <v>3578</v>
      </c>
      <c r="P95" s="58">
        <v>75</v>
      </c>
      <c r="Q95" s="59">
        <v>0</v>
      </c>
      <c r="R95" s="59">
        <v>0</v>
      </c>
      <c r="S95" s="60">
        <f>tblJTL[[#This Row],[timeStamp]]/86400000+DATE(1970,1,1)+TIME(9,0,0)</f>
        <v>46296.41722418982</v>
      </c>
      <c r="T95" s="57">
        <f>tblJTL[[#This Row],[timeStamp]]+tblJTL[[#This Row],[elapsed]]</f>
        <v>1790816448251</v>
      </c>
      <c r="U95" s="61">
        <f>(tblJTL[[#This Row],[timeStamp]]-'17_分析サンプル'!$E$18)/1000</f>
        <v>47.99</v>
      </c>
      <c r="V95" s="57">
        <f>INT(tblJTL[[#This Row],[経過秒]]/60)</f>
        <v>0</v>
      </c>
      <c r="W95" s="57">
        <f>IF(OR(tblJTL[[#This Row],[success]]=FALSE,tblJTL[[#This Row],[success]]="false"),1,0)</f>
        <v>0</v>
      </c>
      <c r="X95" s="57">
        <f>IF(AND(tblJTL[[#This Row],[経過秒]]&gt;='17_分析サンプル'!$E$11,tblJTL[[#This Row],[経過秒]]&lt;'17_分析サンプル'!$E$12),1,0)</f>
        <v>0</v>
      </c>
    </row>
    <row r="96" spans="2:24" ht="14.4" x14ac:dyDescent="0.3">
      <c r="B96" s="57">
        <v>1790816448570</v>
      </c>
      <c r="C96" s="58">
        <v>124</v>
      </c>
      <c r="D96" s="59" t="s">
        <v>1677</v>
      </c>
      <c r="E96" s="59" t="s">
        <v>3579</v>
      </c>
      <c r="F96" s="59" t="s">
        <v>3580</v>
      </c>
      <c r="G96" s="59" t="s">
        <v>3582</v>
      </c>
      <c r="H96" s="59" t="s">
        <v>2281</v>
      </c>
      <c r="I96" s="59" t="b">
        <v>1</v>
      </c>
      <c r="J96" s="59"/>
      <c r="K96" s="58">
        <v>415</v>
      </c>
      <c r="L96" s="58">
        <v>1478</v>
      </c>
      <c r="M96" s="59">
        <v>8</v>
      </c>
      <c r="N96" s="59">
        <v>8</v>
      </c>
      <c r="O96" s="59" t="s">
        <v>3581</v>
      </c>
      <c r="P96" s="58">
        <v>122</v>
      </c>
      <c r="Q96" s="59">
        <v>0</v>
      </c>
      <c r="R96" s="59">
        <v>0</v>
      </c>
      <c r="S96" s="60">
        <f>tblJTL[[#This Row],[timeStamp]]/86400000+DATE(1970,1,1)+TIME(9,0,0)</f>
        <v>46296.417228819446</v>
      </c>
      <c r="T96" s="57">
        <f>tblJTL[[#This Row],[timeStamp]]+tblJTL[[#This Row],[elapsed]]</f>
        <v>1790816448694</v>
      </c>
      <c r="U96" s="61">
        <f>(tblJTL[[#This Row],[timeStamp]]-'17_分析サンプル'!$E$18)/1000</f>
        <v>48.39</v>
      </c>
      <c r="V96" s="57">
        <f>INT(tblJTL[[#This Row],[経過秒]]/60)</f>
        <v>0</v>
      </c>
      <c r="W96" s="57">
        <f>IF(OR(tblJTL[[#This Row],[success]]=FALSE,tblJTL[[#This Row],[success]]="false"),1,0)</f>
        <v>0</v>
      </c>
      <c r="X96" s="57">
        <f>IF(AND(tblJTL[[#This Row],[経過秒]]&gt;='17_分析サンプル'!$E$11,tblJTL[[#This Row],[経過秒]]&lt;'17_分析サンプル'!$E$12),1,0)</f>
        <v>0</v>
      </c>
    </row>
    <row r="97" spans="2:24" ht="14.4" x14ac:dyDescent="0.3">
      <c r="B97" s="57">
        <v>1790816448557</v>
      </c>
      <c r="C97" s="58">
        <v>231</v>
      </c>
      <c r="D97" s="59" t="s">
        <v>1677</v>
      </c>
      <c r="E97" s="59" t="s">
        <v>3579</v>
      </c>
      <c r="F97" s="59" t="s">
        <v>3580</v>
      </c>
      <c r="G97" s="59" t="s">
        <v>3584</v>
      </c>
      <c r="H97" s="59" t="s">
        <v>2281</v>
      </c>
      <c r="I97" s="59" t="b">
        <v>1</v>
      </c>
      <c r="J97" s="59"/>
      <c r="K97" s="58">
        <v>434</v>
      </c>
      <c r="L97" s="58">
        <v>1478</v>
      </c>
      <c r="M97" s="59">
        <v>8</v>
      </c>
      <c r="N97" s="59">
        <v>8</v>
      </c>
      <c r="O97" s="59" t="s">
        <v>3581</v>
      </c>
      <c r="P97" s="58">
        <v>226</v>
      </c>
      <c r="Q97" s="59">
        <v>0</v>
      </c>
      <c r="R97" s="59">
        <v>0</v>
      </c>
      <c r="S97" s="60">
        <f>tblJTL[[#This Row],[timeStamp]]/86400000+DATE(1970,1,1)+TIME(9,0,0)</f>
        <v>46296.417228668986</v>
      </c>
      <c r="T97" s="57">
        <f>tblJTL[[#This Row],[timeStamp]]+tblJTL[[#This Row],[elapsed]]</f>
        <v>1790816448788</v>
      </c>
      <c r="U97" s="61">
        <f>(tblJTL[[#This Row],[timeStamp]]-'17_分析サンプル'!$E$18)/1000</f>
        <v>48.377000000000002</v>
      </c>
      <c r="V97" s="57">
        <f>INT(tblJTL[[#This Row],[経過秒]]/60)</f>
        <v>0</v>
      </c>
      <c r="W97" s="57">
        <f>IF(OR(tblJTL[[#This Row],[success]]=FALSE,tblJTL[[#This Row],[success]]="false"),1,0)</f>
        <v>0</v>
      </c>
      <c r="X97" s="57">
        <f>IF(AND(tblJTL[[#This Row],[経過秒]]&gt;='17_分析サンプル'!$E$11,tblJTL[[#This Row],[経過秒]]&lt;'17_分析サンプル'!$E$12),1,0)</f>
        <v>0</v>
      </c>
    </row>
    <row r="98" spans="2:24" ht="14.4" x14ac:dyDescent="0.3">
      <c r="B98" s="57">
        <v>1790816448965</v>
      </c>
      <c r="C98" s="58">
        <v>86</v>
      </c>
      <c r="D98" s="59" t="s">
        <v>1658</v>
      </c>
      <c r="E98" s="59" t="s">
        <v>1577</v>
      </c>
      <c r="F98" s="59" t="s">
        <v>2275</v>
      </c>
      <c r="G98" s="59" t="s">
        <v>2278</v>
      </c>
      <c r="H98" s="59" t="s">
        <v>2281</v>
      </c>
      <c r="I98" s="59" t="b">
        <v>1</v>
      </c>
      <c r="J98" s="59"/>
      <c r="K98" s="58">
        <v>1894</v>
      </c>
      <c r="L98" s="58">
        <v>1342</v>
      </c>
      <c r="M98" s="59">
        <v>9</v>
      </c>
      <c r="N98" s="59">
        <v>9</v>
      </c>
      <c r="O98" s="59" t="s">
        <v>3578</v>
      </c>
      <c r="P98" s="58">
        <v>81</v>
      </c>
      <c r="Q98" s="59">
        <v>0</v>
      </c>
      <c r="R98" s="59">
        <v>0</v>
      </c>
      <c r="S98" s="60">
        <f>tblJTL[[#This Row],[timeStamp]]/86400000+DATE(1970,1,1)+TIME(9,0,0)</f>
        <v>46296.417233391199</v>
      </c>
      <c r="T98" s="57">
        <f>tblJTL[[#This Row],[timeStamp]]+tblJTL[[#This Row],[elapsed]]</f>
        <v>1790816449051</v>
      </c>
      <c r="U98" s="61">
        <f>(tblJTL[[#This Row],[timeStamp]]-'17_分析サンプル'!$E$18)/1000</f>
        <v>48.784999999999997</v>
      </c>
      <c r="V98" s="57">
        <f>INT(tblJTL[[#This Row],[経過秒]]/60)</f>
        <v>0</v>
      </c>
      <c r="W98" s="57">
        <f>IF(OR(tblJTL[[#This Row],[success]]=FALSE,tblJTL[[#This Row],[success]]="false"),1,0)</f>
        <v>0</v>
      </c>
      <c r="X98" s="57">
        <f>IF(AND(tblJTL[[#This Row],[経過秒]]&gt;='17_分析サンプル'!$E$11,tblJTL[[#This Row],[経過秒]]&lt;'17_分析サンプル'!$E$12),1,0)</f>
        <v>0</v>
      </c>
    </row>
    <row r="99" spans="2:24" ht="14.4" x14ac:dyDescent="0.3">
      <c r="B99" s="57">
        <v>1790816449482</v>
      </c>
      <c r="C99" s="58">
        <v>147</v>
      </c>
      <c r="D99" s="59" t="s">
        <v>1658</v>
      </c>
      <c r="E99" s="59" t="s">
        <v>1577</v>
      </c>
      <c r="F99" s="59" t="s">
        <v>2275</v>
      </c>
      <c r="G99" s="59" t="s">
        <v>3577</v>
      </c>
      <c r="H99" s="59" t="s">
        <v>2281</v>
      </c>
      <c r="I99" s="59" t="b">
        <v>1</v>
      </c>
      <c r="J99" s="59"/>
      <c r="K99" s="58">
        <v>1843</v>
      </c>
      <c r="L99" s="58">
        <v>1342</v>
      </c>
      <c r="M99" s="59">
        <v>9</v>
      </c>
      <c r="N99" s="59">
        <v>9</v>
      </c>
      <c r="O99" s="59" t="s">
        <v>3578</v>
      </c>
      <c r="P99" s="58">
        <v>140</v>
      </c>
      <c r="Q99" s="59">
        <v>0</v>
      </c>
      <c r="R99" s="59">
        <v>0</v>
      </c>
      <c r="S99" s="60">
        <f>tblJTL[[#This Row],[timeStamp]]/86400000+DATE(1970,1,1)+TIME(9,0,0)</f>
        <v>46296.417239375005</v>
      </c>
      <c r="T99" s="57">
        <f>tblJTL[[#This Row],[timeStamp]]+tblJTL[[#This Row],[elapsed]]</f>
        <v>1790816449629</v>
      </c>
      <c r="U99" s="61">
        <f>(tblJTL[[#This Row],[timeStamp]]-'17_分析サンプル'!$E$18)/1000</f>
        <v>49.302</v>
      </c>
      <c r="V99" s="57">
        <f>INT(tblJTL[[#This Row],[経過秒]]/60)</f>
        <v>0</v>
      </c>
      <c r="W99" s="57">
        <f>IF(OR(tblJTL[[#This Row],[success]]=FALSE,tblJTL[[#This Row],[success]]="false"),1,0)</f>
        <v>0</v>
      </c>
      <c r="X99" s="57">
        <f>IF(AND(tblJTL[[#This Row],[経過秒]]&gt;='17_分析サンプル'!$E$11,tblJTL[[#This Row],[経過秒]]&lt;'17_分析サンプル'!$E$12),1,0)</f>
        <v>0</v>
      </c>
    </row>
    <row r="100" spans="2:24" ht="14.4" x14ac:dyDescent="0.3">
      <c r="B100" s="57">
        <v>1790816449567</v>
      </c>
      <c r="C100" s="58">
        <v>119</v>
      </c>
      <c r="D100" s="59" t="s">
        <v>1658</v>
      </c>
      <c r="E100" s="59" t="s">
        <v>1577</v>
      </c>
      <c r="F100" s="59" t="s">
        <v>2275</v>
      </c>
      <c r="G100" s="59" t="s">
        <v>3583</v>
      </c>
      <c r="H100" s="59" t="s">
        <v>2281</v>
      </c>
      <c r="I100" s="59" t="b">
        <v>1</v>
      </c>
      <c r="J100" s="59"/>
      <c r="K100" s="58">
        <v>1892</v>
      </c>
      <c r="L100" s="58">
        <v>1342</v>
      </c>
      <c r="M100" s="59">
        <v>9</v>
      </c>
      <c r="N100" s="59">
        <v>9</v>
      </c>
      <c r="O100" s="59" t="s">
        <v>3578</v>
      </c>
      <c r="P100" s="58">
        <v>113</v>
      </c>
      <c r="Q100" s="59">
        <v>0</v>
      </c>
      <c r="R100" s="59">
        <v>0</v>
      </c>
      <c r="S100" s="60">
        <f>tblJTL[[#This Row],[timeStamp]]/86400000+DATE(1970,1,1)+TIME(9,0,0)</f>
        <v>46296.417240358795</v>
      </c>
      <c r="T100" s="57">
        <f>tblJTL[[#This Row],[timeStamp]]+tblJTL[[#This Row],[elapsed]]</f>
        <v>1790816449686</v>
      </c>
      <c r="U100" s="61">
        <f>(tblJTL[[#This Row],[timeStamp]]-'17_分析サンプル'!$E$18)/1000</f>
        <v>49.387</v>
      </c>
      <c r="V100" s="57">
        <f>INT(tblJTL[[#This Row],[経過秒]]/60)</f>
        <v>0</v>
      </c>
      <c r="W100" s="57">
        <f>IF(OR(tblJTL[[#This Row],[success]]=FALSE,tblJTL[[#This Row],[success]]="false"),1,0)</f>
        <v>0</v>
      </c>
      <c r="X100" s="57">
        <f>IF(AND(tblJTL[[#This Row],[経過秒]]&gt;='17_分析サンプル'!$E$11,tblJTL[[#This Row],[経過秒]]&lt;'17_分析サンプル'!$E$12),1,0)</f>
        <v>0</v>
      </c>
    </row>
    <row r="101" spans="2:24" ht="14.4" x14ac:dyDescent="0.3">
      <c r="B101" s="57">
        <v>1790816449561</v>
      </c>
      <c r="C101" s="58">
        <v>140</v>
      </c>
      <c r="D101" s="59" t="s">
        <v>1658</v>
      </c>
      <c r="E101" s="59" t="s">
        <v>1577</v>
      </c>
      <c r="F101" s="59" t="s">
        <v>2275</v>
      </c>
      <c r="G101" s="59" t="s">
        <v>3586</v>
      </c>
      <c r="H101" s="59" t="s">
        <v>2281</v>
      </c>
      <c r="I101" s="59" t="b">
        <v>1</v>
      </c>
      <c r="J101" s="59"/>
      <c r="K101" s="58">
        <v>1865</v>
      </c>
      <c r="L101" s="58">
        <v>1342</v>
      </c>
      <c r="M101" s="59">
        <v>9</v>
      </c>
      <c r="N101" s="59">
        <v>9</v>
      </c>
      <c r="O101" s="59" t="s">
        <v>3578</v>
      </c>
      <c r="P101" s="58">
        <v>132</v>
      </c>
      <c r="Q101" s="59">
        <v>0</v>
      </c>
      <c r="R101" s="59">
        <v>0</v>
      </c>
      <c r="S101" s="60">
        <f>tblJTL[[#This Row],[timeStamp]]/86400000+DATE(1970,1,1)+TIME(9,0,0)</f>
        <v>46296.417240289353</v>
      </c>
      <c r="T101" s="57">
        <f>tblJTL[[#This Row],[timeStamp]]+tblJTL[[#This Row],[elapsed]]</f>
        <v>1790816449701</v>
      </c>
      <c r="U101" s="61">
        <f>(tblJTL[[#This Row],[timeStamp]]-'17_分析サンプル'!$E$18)/1000</f>
        <v>49.381</v>
      </c>
      <c r="V101" s="57">
        <f>INT(tblJTL[[#This Row],[経過秒]]/60)</f>
        <v>0</v>
      </c>
      <c r="W101" s="57">
        <f>IF(OR(tblJTL[[#This Row],[success]]=FALSE,tblJTL[[#This Row],[success]]="false"),1,0)</f>
        <v>0</v>
      </c>
      <c r="X101" s="57">
        <f>IF(AND(tblJTL[[#This Row],[経過秒]]&gt;='17_分析サンプル'!$E$11,tblJTL[[#This Row],[経過秒]]&lt;'17_分析サンプル'!$E$12),1,0)</f>
        <v>0</v>
      </c>
    </row>
    <row r="102" spans="2:24" ht="14.4" x14ac:dyDescent="0.3">
      <c r="B102" s="57">
        <v>1790816450190</v>
      </c>
      <c r="C102" s="58">
        <v>211</v>
      </c>
      <c r="D102" s="59" t="s">
        <v>1677</v>
      </c>
      <c r="E102" s="59" t="s">
        <v>3579</v>
      </c>
      <c r="F102" s="59" t="s">
        <v>3580</v>
      </c>
      <c r="G102" s="59" t="s">
        <v>3585</v>
      </c>
      <c r="H102" s="59" t="s">
        <v>2281</v>
      </c>
      <c r="I102" s="59" t="b">
        <v>1</v>
      </c>
      <c r="J102" s="59"/>
      <c r="K102" s="58">
        <v>436</v>
      </c>
      <c r="L102" s="58">
        <v>1478</v>
      </c>
      <c r="M102" s="59">
        <v>9</v>
      </c>
      <c r="N102" s="59">
        <v>9</v>
      </c>
      <c r="O102" s="59" t="s">
        <v>3581</v>
      </c>
      <c r="P102" s="58">
        <v>206</v>
      </c>
      <c r="Q102" s="59">
        <v>0</v>
      </c>
      <c r="R102" s="59">
        <v>0</v>
      </c>
      <c r="S102" s="60">
        <f>tblJTL[[#This Row],[timeStamp]]/86400000+DATE(1970,1,1)+TIME(9,0,0)</f>
        <v>46296.417247569443</v>
      </c>
      <c r="T102" s="57">
        <f>tblJTL[[#This Row],[timeStamp]]+tblJTL[[#This Row],[elapsed]]</f>
        <v>1790816450401</v>
      </c>
      <c r="U102" s="61">
        <f>(tblJTL[[#This Row],[timeStamp]]-'17_分析サンプル'!$E$18)/1000</f>
        <v>50.01</v>
      </c>
      <c r="V102" s="57">
        <f>INT(tblJTL[[#This Row],[経過秒]]/60)</f>
        <v>0</v>
      </c>
      <c r="W102" s="57">
        <f>IF(OR(tblJTL[[#This Row],[success]]=FALSE,tblJTL[[#This Row],[success]]="false"),1,0)</f>
        <v>0</v>
      </c>
      <c r="X102" s="57">
        <f>IF(AND(tblJTL[[#This Row],[経過秒]]&gt;='17_分析サンプル'!$E$11,tblJTL[[#This Row],[経過秒]]&lt;'17_分析サンプル'!$E$12),1,0)</f>
        <v>0</v>
      </c>
    </row>
    <row r="103" spans="2:24" ht="14.4" x14ac:dyDescent="0.3">
      <c r="B103" s="57">
        <v>1790816450614</v>
      </c>
      <c r="C103" s="58">
        <v>154</v>
      </c>
      <c r="D103" s="59" t="s">
        <v>1658</v>
      </c>
      <c r="E103" s="59" t="s">
        <v>1577</v>
      </c>
      <c r="F103" s="59" t="s">
        <v>2275</v>
      </c>
      <c r="G103" s="59" t="s">
        <v>3588</v>
      </c>
      <c r="H103" s="59" t="s">
        <v>2281</v>
      </c>
      <c r="I103" s="59" t="b">
        <v>1</v>
      </c>
      <c r="J103" s="59"/>
      <c r="K103" s="58">
        <v>1844</v>
      </c>
      <c r="L103" s="58">
        <v>1342</v>
      </c>
      <c r="M103" s="59">
        <v>9</v>
      </c>
      <c r="N103" s="59">
        <v>9</v>
      </c>
      <c r="O103" s="59" t="s">
        <v>3578</v>
      </c>
      <c r="P103" s="58">
        <v>149</v>
      </c>
      <c r="Q103" s="59">
        <v>0</v>
      </c>
      <c r="R103" s="59">
        <v>46</v>
      </c>
      <c r="S103" s="60">
        <f>tblJTL[[#This Row],[timeStamp]]/86400000+DATE(1970,1,1)+TIME(9,0,0)</f>
        <v>46296.417252476851</v>
      </c>
      <c r="T103" s="57">
        <f>tblJTL[[#This Row],[timeStamp]]+tblJTL[[#This Row],[elapsed]]</f>
        <v>1790816450768</v>
      </c>
      <c r="U103" s="61">
        <f>(tblJTL[[#This Row],[timeStamp]]-'17_分析サンプル'!$E$18)/1000</f>
        <v>50.433999999999997</v>
      </c>
      <c r="V103" s="57">
        <f>INT(tblJTL[[#This Row],[経過秒]]/60)</f>
        <v>0</v>
      </c>
      <c r="W103" s="57">
        <f>IF(OR(tblJTL[[#This Row],[success]]=FALSE,tblJTL[[#This Row],[success]]="false"),1,0)</f>
        <v>0</v>
      </c>
      <c r="X103" s="57">
        <f>IF(AND(tblJTL[[#This Row],[経過秒]]&gt;='17_分析サンプル'!$E$11,tblJTL[[#This Row],[経過秒]]&lt;'17_分析サンプル'!$E$12),1,0)</f>
        <v>0</v>
      </c>
    </row>
    <row r="104" spans="2:24" ht="14.4" x14ac:dyDescent="0.3">
      <c r="B104" s="57">
        <v>1790816450577</v>
      </c>
      <c r="C104" s="58">
        <v>233</v>
      </c>
      <c r="D104" s="59" t="s">
        <v>1677</v>
      </c>
      <c r="E104" s="59" t="s">
        <v>3579</v>
      </c>
      <c r="F104" s="59" t="s">
        <v>3580</v>
      </c>
      <c r="G104" s="59" t="s">
        <v>2278</v>
      </c>
      <c r="H104" s="59" t="s">
        <v>2281</v>
      </c>
      <c r="I104" s="59" t="b">
        <v>1</v>
      </c>
      <c r="J104" s="59"/>
      <c r="K104" s="58">
        <v>414</v>
      </c>
      <c r="L104" s="58">
        <v>1478</v>
      </c>
      <c r="M104" s="59">
        <v>9</v>
      </c>
      <c r="N104" s="59">
        <v>9</v>
      </c>
      <c r="O104" s="59" t="s">
        <v>3581</v>
      </c>
      <c r="P104" s="58">
        <v>231</v>
      </c>
      <c r="Q104" s="59">
        <v>0</v>
      </c>
      <c r="R104" s="59">
        <v>0</v>
      </c>
      <c r="S104" s="60">
        <f>tblJTL[[#This Row],[timeStamp]]/86400000+DATE(1970,1,1)+TIME(9,0,0)</f>
        <v>46296.41725204861</v>
      </c>
      <c r="T104" s="57">
        <f>tblJTL[[#This Row],[timeStamp]]+tblJTL[[#This Row],[elapsed]]</f>
        <v>1790816450810</v>
      </c>
      <c r="U104" s="61">
        <f>(tblJTL[[#This Row],[timeStamp]]-'17_分析サンプル'!$E$18)/1000</f>
        <v>50.396999999999998</v>
      </c>
      <c r="V104" s="57">
        <f>INT(tblJTL[[#This Row],[経過秒]]/60)</f>
        <v>0</v>
      </c>
      <c r="W104" s="57">
        <f>IF(OR(tblJTL[[#This Row],[success]]=FALSE,tblJTL[[#This Row],[success]]="false"),1,0)</f>
        <v>0</v>
      </c>
      <c r="X104" s="57">
        <f>IF(AND(tblJTL[[#This Row],[経過秒]]&gt;='17_分析サンプル'!$E$11,tblJTL[[#This Row],[経過秒]]&lt;'17_分析サンプル'!$E$12),1,0)</f>
        <v>0</v>
      </c>
    </row>
    <row r="105" spans="2:24" ht="14.4" x14ac:dyDescent="0.3">
      <c r="B105" s="57">
        <v>1790816450761</v>
      </c>
      <c r="C105" s="58">
        <v>146</v>
      </c>
      <c r="D105" s="59" t="s">
        <v>1658</v>
      </c>
      <c r="E105" s="59" t="s">
        <v>1577</v>
      </c>
      <c r="F105" s="59" t="s">
        <v>2275</v>
      </c>
      <c r="G105" s="59" t="s">
        <v>3587</v>
      </c>
      <c r="H105" s="59" t="s">
        <v>2281</v>
      </c>
      <c r="I105" s="59" t="b">
        <v>1</v>
      </c>
      <c r="J105" s="59"/>
      <c r="K105" s="58">
        <v>1861</v>
      </c>
      <c r="L105" s="58">
        <v>1342</v>
      </c>
      <c r="M105" s="59">
        <v>9</v>
      </c>
      <c r="N105" s="59">
        <v>9</v>
      </c>
      <c r="O105" s="59" t="s">
        <v>3578</v>
      </c>
      <c r="P105" s="58">
        <v>141</v>
      </c>
      <c r="Q105" s="59">
        <v>0</v>
      </c>
      <c r="R105" s="59">
        <v>0</v>
      </c>
      <c r="S105" s="60">
        <f>tblJTL[[#This Row],[timeStamp]]/86400000+DATE(1970,1,1)+TIME(9,0,0)</f>
        <v>46296.417254178239</v>
      </c>
      <c r="T105" s="57">
        <f>tblJTL[[#This Row],[timeStamp]]+tblJTL[[#This Row],[elapsed]]</f>
        <v>1790816450907</v>
      </c>
      <c r="U105" s="61">
        <f>(tblJTL[[#This Row],[timeStamp]]-'17_分析サンプル'!$E$18)/1000</f>
        <v>50.581000000000003</v>
      </c>
      <c r="V105" s="57">
        <f>INT(tblJTL[[#This Row],[経過秒]]/60)</f>
        <v>0</v>
      </c>
      <c r="W105" s="57">
        <f>IF(OR(tblJTL[[#This Row],[success]]=FALSE,tblJTL[[#This Row],[success]]="false"),1,0)</f>
        <v>0</v>
      </c>
      <c r="X105" s="57">
        <f>IF(AND(tblJTL[[#This Row],[経過秒]]&gt;='17_分析サンプル'!$E$11,tblJTL[[#This Row],[経過秒]]&lt;'17_分析サンプル'!$E$12),1,0)</f>
        <v>0</v>
      </c>
    </row>
    <row r="106" spans="2:24" ht="14.4" x14ac:dyDescent="0.3">
      <c r="B106" s="57">
        <v>1790816450709</v>
      </c>
      <c r="C106" s="58">
        <v>241</v>
      </c>
      <c r="D106" s="59" t="s">
        <v>1677</v>
      </c>
      <c r="E106" s="59" t="s">
        <v>3579</v>
      </c>
      <c r="F106" s="59" t="s">
        <v>3580</v>
      </c>
      <c r="G106" s="59" t="s">
        <v>3586</v>
      </c>
      <c r="H106" s="59" t="s">
        <v>2281</v>
      </c>
      <c r="I106" s="59" t="b">
        <v>1</v>
      </c>
      <c r="J106" s="59"/>
      <c r="K106" s="58">
        <v>433</v>
      </c>
      <c r="L106" s="58">
        <v>1478</v>
      </c>
      <c r="M106" s="59">
        <v>9</v>
      </c>
      <c r="N106" s="59">
        <v>9</v>
      </c>
      <c r="O106" s="59" t="s">
        <v>3581</v>
      </c>
      <c r="P106" s="58">
        <v>238</v>
      </c>
      <c r="Q106" s="59">
        <v>0</v>
      </c>
      <c r="R106" s="59">
        <v>0</v>
      </c>
      <c r="S106" s="60">
        <f>tblJTL[[#This Row],[timeStamp]]/86400000+DATE(1970,1,1)+TIME(9,0,0)</f>
        <v>46296.417253576394</v>
      </c>
      <c r="T106" s="57">
        <f>tblJTL[[#This Row],[timeStamp]]+tblJTL[[#This Row],[elapsed]]</f>
        <v>1790816450950</v>
      </c>
      <c r="U106" s="61">
        <f>(tblJTL[[#This Row],[timeStamp]]-'17_分析サンプル'!$E$18)/1000</f>
        <v>50.529000000000003</v>
      </c>
      <c r="V106" s="57">
        <f>INT(tblJTL[[#This Row],[経過秒]]/60)</f>
        <v>0</v>
      </c>
      <c r="W106" s="57">
        <f>IF(OR(tblJTL[[#This Row],[success]]=FALSE,tblJTL[[#This Row],[success]]="false"),1,0)</f>
        <v>0</v>
      </c>
      <c r="X106" s="57">
        <f>IF(AND(tblJTL[[#This Row],[経過秒]]&gt;='17_分析サンプル'!$E$11,tblJTL[[#This Row],[経過秒]]&lt;'17_分析サンプル'!$E$12),1,0)</f>
        <v>0</v>
      </c>
    </row>
    <row r="107" spans="2:24" ht="14.4" x14ac:dyDescent="0.3">
      <c r="B107" s="57">
        <v>1790816450976</v>
      </c>
      <c r="C107" s="58">
        <v>117</v>
      </c>
      <c r="D107" s="59" t="s">
        <v>1658</v>
      </c>
      <c r="E107" s="59" t="s">
        <v>1577</v>
      </c>
      <c r="F107" s="59" t="s">
        <v>2275</v>
      </c>
      <c r="G107" s="59" t="s">
        <v>3584</v>
      </c>
      <c r="H107" s="59" t="s">
        <v>2281</v>
      </c>
      <c r="I107" s="59" t="b">
        <v>1</v>
      </c>
      <c r="J107" s="59"/>
      <c r="K107" s="58">
        <v>1821</v>
      </c>
      <c r="L107" s="58">
        <v>1342</v>
      </c>
      <c r="M107" s="59">
        <v>9</v>
      </c>
      <c r="N107" s="59">
        <v>9</v>
      </c>
      <c r="O107" s="59" t="s">
        <v>3578</v>
      </c>
      <c r="P107" s="58">
        <v>115</v>
      </c>
      <c r="Q107" s="59">
        <v>0</v>
      </c>
      <c r="R107" s="59">
        <v>0</v>
      </c>
      <c r="S107" s="60">
        <f>tblJTL[[#This Row],[timeStamp]]/86400000+DATE(1970,1,1)+TIME(9,0,0)</f>
        <v>46296.417256666668</v>
      </c>
      <c r="T107" s="57">
        <f>tblJTL[[#This Row],[timeStamp]]+tblJTL[[#This Row],[elapsed]]</f>
        <v>1790816451093</v>
      </c>
      <c r="U107" s="61">
        <f>(tblJTL[[#This Row],[timeStamp]]-'17_分析サンプル'!$E$18)/1000</f>
        <v>50.795999999999999</v>
      </c>
      <c r="V107" s="57">
        <f>INT(tblJTL[[#This Row],[経過秒]]/60)</f>
        <v>0</v>
      </c>
      <c r="W107" s="57">
        <f>IF(OR(tblJTL[[#This Row],[success]]=FALSE,tblJTL[[#This Row],[success]]="false"),1,0)</f>
        <v>0</v>
      </c>
      <c r="X107" s="57">
        <f>IF(AND(tblJTL[[#This Row],[経過秒]]&gt;='17_分析サンプル'!$E$11,tblJTL[[#This Row],[経過秒]]&lt;'17_分析サンプル'!$E$12),1,0)</f>
        <v>0</v>
      </c>
    </row>
    <row r="108" spans="2:24" ht="14.4" x14ac:dyDescent="0.3">
      <c r="B108" s="57">
        <v>1790816450987</v>
      </c>
      <c r="C108" s="58">
        <v>285</v>
      </c>
      <c r="D108" s="59" t="s">
        <v>1677</v>
      </c>
      <c r="E108" s="59" t="s">
        <v>3579</v>
      </c>
      <c r="F108" s="59" t="s">
        <v>3580</v>
      </c>
      <c r="G108" s="59" t="s">
        <v>3577</v>
      </c>
      <c r="H108" s="59" t="s">
        <v>2281</v>
      </c>
      <c r="I108" s="59" t="b">
        <v>1</v>
      </c>
      <c r="J108" s="59"/>
      <c r="K108" s="58">
        <v>431</v>
      </c>
      <c r="L108" s="58">
        <v>1478</v>
      </c>
      <c r="M108" s="59">
        <v>9</v>
      </c>
      <c r="N108" s="59">
        <v>9</v>
      </c>
      <c r="O108" s="59" t="s">
        <v>3581</v>
      </c>
      <c r="P108" s="58">
        <v>282</v>
      </c>
      <c r="Q108" s="59">
        <v>0</v>
      </c>
      <c r="R108" s="59">
        <v>0</v>
      </c>
      <c r="S108" s="60">
        <f>tblJTL[[#This Row],[timeStamp]]/86400000+DATE(1970,1,1)+TIME(9,0,0)</f>
        <v>46296.417256793982</v>
      </c>
      <c r="T108" s="57">
        <f>tblJTL[[#This Row],[timeStamp]]+tblJTL[[#This Row],[elapsed]]</f>
        <v>1790816451272</v>
      </c>
      <c r="U108" s="61">
        <f>(tblJTL[[#This Row],[timeStamp]]-'17_分析サンプル'!$E$18)/1000</f>
        <v>50.807000000000002</v>
      </c>
      <c r="V108" s="57">
        <f>INT(tblJTL[[#This Row],[経過秒]]/60)</f>
        <v>0</v>
      </c>
      <c r="W108" s="57">
        <f>IF(OR(tblJTL[[#This Row],[success]]=FALSE,tblJTL[[#This Row],[success]]="false"),1,0)</f>
        <v>0</v>
      </c>
      <c r="X108" s="57">
        <f>IF(AND(tblJTL[[#This Row],[経過秒]]&gt;='17_分析サンプル'!$E$11,tblJTL[[#This Row],[経過秒]]&lt;'17_分析サンプル'!$E$12),1,0)</f>
        <v>0</v>
      </c>
    </row>
    <row r="109" spans="2:24" ht="14.4" x14ac:dyDescent="0.3">
      <c r="B109" s="57">
        <v>1790816451405</v>
      </c>
      <c r="C109" s="58">
        <v>141</v>
      </c>
      <c r="D109" s="59" t="s">
        <v>1658</v>
      </c>
      <c r="E109" s="59" t="s">
        <v>1577</v>
      </c>
      <c r="F109" s="59" t="s">
        <v>2275</v>
      </c>
      <c r="G109" s="59" t="s">
        <v>3582</v>
      </c>
      <c r="H109" s="59" t="s">
        <v>2281</v>
      </c>
      <c r="I109" s="59" t="b">
        <v>1</v>
      </c>
      <c r="J109" s="59"/>
      <c r="K109" s="58">
        <v>1872</v>
      </c>
      <c r="L109" s="58">
        <v>1342</v>
      </c>
      <c r="M109" s="59">
        <v>9</v>
      </c>
      <c r="N109" s="59">
        <v>9</v>
      </c>
      <c r="O109" s="59" t="s">
        <v>3578</v>
      </c>
      <c r="P109" s="58">
        <v>138</v>
      </c>
      <c r="Q109" s="59">
        <v>0</v>
      </c>
      <c r="R109" s="59">
        <v>0</v>
      </c>
      <c r="S109" s="60">
        <f>tblJTL[[#This Row],[timeStamp]]/86400000+DATE(1970,1,1)+TIME(9,0,0)</f>
        <v>46296.417261631941</v>
      </c>
      <c r="T109" s="57">
        <f>tblJTL[[#This Row],[timeStamp]]+tblJTL[[#This Row],[elapsed]]</f>
        <v>1790816451546</v>
      </c>
      <c r="U109" s="61">
        <f>(tblJTL[[#This Row],[timeStamp]]-'17_分析サンプル'!$E$18)/1000</f>
        <v>51.225000000000001</v>
      </c>
      <c r="V109" s="57">
        <f>INT(tblJTL[[#This Row],[経過秒]]/60)</f>
        <v>0</v>
      </c>
      <c r="W109" s="57">
        <f>IF(OR(tblJTL[[#This Row],[success]]=FALSE,tblJTL[[#This Row],[success]]="false"),1,0)</f>
        <v>0</v>
      </c>
      <c r="X109" s="57">
        <f>IF(AND(tblJTL[[#This Row],[経過秒]]&gt;='17_分析サンプル'!$E$11,tblJTL[[#This Row],[経過秒]]&lt;'17_分析サンプル'!$E$12),1,0)</f>
        <v>0</v>
      </c>
    </row>
    <row r="110" spans="2:24" ht="14.4" x14ac:dyDescent="0.3">
      <c r="B110" s="57">
        <v>1790816451987</v>
      </c>
      <c r="C110" s="58">
        <v>126</v>
      </c>
      <c r="D110" s="59" t="s">
        <v>1658</v>
      </c>
      <c r="E110" s="59" t="s">
        <v>1577</v>
      </c>
      <c r="F110" s="59" t="s">
        <v>2275</v>
      </c>
      <c r="G110" s="59" t="s">
        <v>2278</v>
      </c>
      <c r="H110" s="59" t="s">
        <v>2281</v>
      </c>
      <c r="I110" s="59" t="b">
        <v>1</v>
      </c>
      <c r="J110" s="59"/>
      <c r="K110" s="58">
        <v>1896</v>
      </c>
      <c r="L110" s="58">
        <v>1342</v>
      </c>
      <c r="M110" s="59">
        <v>9</v>
      </c>
      <c r="N110" s="59">
        <v>9</v>
      </c>
      <c r="O110" s="59" t="s">
        <v>3578</v>
      </c>
      <c r="P110" s="58">
        <v>120</v>
      </c>
      <c r="Q110" s="59">
        <v>0</v>
      </c>
      <c r="R110" s="59">
        <v>0</v>
      </c>
      <c r="S110" s="60">
        <f>tblJTL[[#This Row],[timeStamp]]/86400000+DATE(1970,1,1)+TIME(9,0,0)</f>
        <v>46296.417268368052</v>
      </c>
      <c r="T110" s="57">
        <f>tblJTL[[#This Row],[timeStamp]]+tblJTL[[#This Row],[elapsed]]</f>
        <v>1790816452113</v>
      </c>
      <c r="U110" s="61">
        <f>(tblJTL[[#This Row],[timeStamp]]-'17_分析サンプル'!$E$18)/1000</f>
        <v>51.807000000000002</v>
      </c>
      <c r="V110" s="57">
        <f>INT(tblJTL[[#This Row],[経過秒]]/60)</f>
        <v>0</v>
      </c>
      <c r="W110" s="57">
        <f>IF(OR(tblJTL[[#This Row],[success]]=FALSE,tblJTL[[#This Row],[success]]="false"),1,0)</f>
        <v>0</v>
      </c>
      <c r="X110" s="57">
        <f>IF(AND(tblJTL[[#This Row],[経過秒]]&gt;='17_分析サンプル'!$E$11,tblJTL[[#This Row],[経過秒]]&lt;'17_分析サンプル'!$E$12),1,0)</f>
        <v>0</v>
      </c>
    </row>
    <row r="111" spans="2:24" ht="14.4" x14ac:dyDescent="0.3">
      <c r="B111" s="57">
        <v>1790816451966</v>
      </c>
      <c r="C111" s="58">
        <v>212</v>
      </c>
      <c r="D111" s="59" t="s">
        <v>1677</v>
      </c>
      <c r="E111" s="59" t="s">
        <v>3579</v>
      </c>
      <c r="F111" s="59" t="s">
        <v>3580</v>
      </c>
      <c r="G111" s="59" t="s">
        <v>3587</v>
      </c>
      <c r="H111" s="59" t="s">
        <v>2281</v>
      </c>
      <c r="I111" s="59" t="b">
        <v>1</v>
      </c>
      <c r="J111" s="59"/>
      <c r="K111" s="58">
        <v>431</v>
      </c>
      <c r="L111" s="58">
        <v>1478</v>
      </c>
      <c r="M111" s="59">
        <v>9</v>
      </c>
      <c r="N111" s="59">
        <v>9</v>
      </c>
      <c r="O111" s="59" t="s">
        <v>3581</v>
      </c>
      <c r="P111" s="58">
        <v>206</v>
      </c>
      <c r="Q111" s="59">
        <v>0</v>
      </c>
      <c r="R111" s="59">
        <v>0</v>
      </c>
      <c r="S111" s="60">
        <f>tblJTL[[#This Row],[timeStamp]]/86400000+DATE(1970,1,1)+TIME(9,0,0)</f>
        <v>46296.417268124998</v>
      </c>
      <c r="T111" s="57">
        <f>tblJTL[[#This Row],[timeStamp]]+tblJTL[[#This Row],[elapsed]]</f>
        <v>1790816452178</v>
      </c>
      <c r="U111" s="61">
        <f>(tblJTL[[#This Row],[timeStamp]]-'17_分析サンプル'!$E$18)/1000</f>
        <v>51.786000000000001</v>
      </c>
      <c r="V111" s="57">
        <f>INT(tblJTL[[#This Row],[経過秒]]/60)</f>
        <v>0</v>
      </c>
      <c r="W111" s="57">
        <f>IF(OR(tblJTL[[#This Row],[success]]=FALSE,tblJTL[[#This Row],[success]]="false"),1,0)</f>
        <v>0</v>
      </c>
      <c r="X111" s="57">
        <f>IF(AND(tblJTL[[#This Row],[経過秒]]&gt;='17_分析サンプル'!$E$11,tblJTL[[#This Row],[経過秒]]&lt;'17_分析サンプル'!$E$12),1,0)</f>
        <v>0</v>
      </c>
    </row>
    <row r="112" spans="2:24" ht="14.4" x14ac:dyDescent="0.3">
      <c r="B112" s="57">
        <v>1790816451962</v>
      </c>
      <c r="C112" s="58">
        <v>308</v>
      </c>
      <c r="D112" s="59" t="s">
        <v>1677</v>
      </c>
      <c r="E112" s="59" t="s">
        <v>3579</v>
      </c>
      <c r="F112" s="59" t="s">
        <v>3580</v>
      </c>
      <c r="G112" s="59" t="s">
        <v>3583</v>
      </c>
      <c r="H112" s="59" t="s">
        <v>2281</v>
      </c>
      <c r="I112" s="59" t="b">
        <v>1</v>
      </c>
      <c r="J112" s="59"/>
      <c r="K112" s="58">
        <v>437</v>
      </c>
      <c r="L112" s="58">
        <v>1478</v>
      </c>
      <c r="M112" s="59">
        <v>9</v>
      </c>
      <c r="N112" s="59">
        <v>9</v>
      </c>
      <c r="O112" s="59" t="s">
        <v>3581</v>
      </c>
      <c r="P112" s="58">
        <v>303</v>
      </c>
      <c r="Q112" s="59">
        <v>0</v>
      </c>
      <c r="R112" s="59">
        <v>0</v>
      </c>
      <c r="S112" s="60">
        <f>tblJTL[[#This Row],[timeStamp]]/86400000+DATE(1970,1,1)+TIME(9,0,0)</f>
        <v>46296.417268078701</v>
      </c>
      <c r="T112" s="57">
        <f>tblJTL[[#This Row],[timeStamp]]+tblJTL[[#This Row],[elapsed]]</f>
        <v>1790816452270</v>
      </c>
      <c r="U112" s="61">
        <f>(tblJTL[[#This Row],[timeStamp]]-'17_分析サンプル'!$E$18)/1000</f>
        <v>51.781999999999996</v>
      </c>
      <c r="V112" s="57">
        <f>INT(tblJTL[[#This Row],[経過秒]]/60)</f>
        <v>0</v>
      </c>
      <c r="W112" s="57">
        <f>IF(OR(tblJTL[[#This Row],[success]]=FALSE,tblJTL[[#This Row],[success]]="false"),1,0)</f>
        <v>0</v>
      </c>
      <c r="X112" s="57">
        <f>IF(AND(tblJTL[[#This Row],[経過秒]]&gt;='17_分析サンプル'!$E$11,tblJTL[[#This Row],[経過秒]]&lt;'17_分析サンプル'!$E$12),1,0)</f>
        <v>0</v>
      </c>
    </row>
    <row r="113" spans="2:24" ht="14.4" x14ac:dyDescent="0.3">
      <c r="B113" s="57">
        <v>1790816452301</v>
      </c>
      <c r="C113" s="58">
        <v>81</v>
      </c>
      <c r="D113" s="59" t="s">
        <v>1658</v>
      </c>
      <c r="E113" s="59" t="s">
        <v>1577</v>
      </c>
      <c r="F113" s="59" t="s">
        <v>2275</v>
      </c>
      <c r="G113" s="59" t="s">
        <v>3586</v>
      </c>
      <c r="H113" s="59" t="s">
        <v>2281</v>
      </c>
      <c r="I113" s="59" t="b">
        <v>1</v>
      </c>
      <c r="J113" s="59"/>
      <c r="K113" s="58">
        <v>1873</v>
      </c>
      <c r="L113" s="58">
        <v>1342</v>
      </c>
      <c r="M113" s="59">
        <v>9</v>
      </c>
      <c r="N113" s="59">
        <v>9</v>
      </c>
      <c r="O113" s="59" t="s">
        <v>3578</v>
      </c>
      <c r="P113" s="58">
        <v>74</v>
      </c>
      <c r="Q113" s="59">
        <v>0</v>
      </c>
      <c r="R113" s="59">
        <v>0</v>
      </c>
      <c r="S113" s="60">
        <f>tblJTL[[#This Row],[timeStamp]]/86400000+DATE(1970,1,1)+TIME(9,0,0)</f>
        <v>46296.41727200232</v>
      </c>
      <c r="T113" s="57">
        <f>tblJTL[[#This Row],[timeStamp]]+tblJTL[[#This Row],[elapsed]]</f>
        <v>1790816452382</v>
      </c>
      <c r="U113" s="61">
        <f>(tblJTL[[#This Row],[timeStamp]]-'17_分析サンプル'!$E$18)/1000</f>
        <v>52.121000000000002</v>
      </c>
      <c r="V113" s="57">
        <f>INT(tblJTL[[#This Row],[経過秒]]/60)</f>
        <v>0</v>
      </c>
      <c r="W113" s="57">
        <f>IF(OR(tblJTL[[#This Row],[success]]=FALSE,tblJTL[[#This Row],[success]]="false"),1,0)</f>
        <v>0</v>
      </c>
      <c r="X113" s="57">
        <f>IF(AND(tblJTL[[#This Row],[経過秒]]&gt;='17_分析サンプル'!$E$11,tblJTL[[#This Row],[経過秒]]&lt;'17_分析サンプル'!$E$12),1,0)</f>
        <v>0</v>
      </c>
    </row>
    <row r="114" spans="2:24" ht="14.4" x14ac:dyDescent="0.3">
      <c r="B114" s="57">
        <v>1790816452202</v>
      </c>
      <c r="C114" s="58">
        <v>261</v>
      </c>
      <c r="D114" s="59" t="s">
        <v>1677</v>
      </c>
      <c r="E114" s="59" t="s">
        <v>3579</v>
      </c>
      <c r="F114" s="59" t="s">
        <v>3580</v>
      </c>
      <c r="G114" s="59" t="s">
        <v>3588</v>
      </c>
      <c r="H114" s="59" t="s">
        <v>2281</v>
      </c>
      <c r="I114" s="59" t="b">
        <v>1</v>
      </c>
      <c r="J114" s="59"/>
      <c r="K114" s="58">
        <v>440</v>
      </c>
      <c r="L114" s="58">
        <v>1478</v>
      </c>
      <c r="M114" s="59">
        <v>9</v>
      </c>
      <c r="N114" s="59">
        <v>9</v>
      </c>
      <c r="O114" s="59" t="s">
        <v>3581</v>
      </c>
      <c r="P114" s="58">
        <v>258</v>
      </c>
      <c r="Q114" s="59">
        <v>0</v>
      </c>
      <c r="R114" s="59">
        <v>0</v>
      </c>
      <c r="S114" s="60">
        <f>tblJTL[[#This Row],[timeStamp]]/86400000+DATE(1970,1,1)+TIME(9,0,0)</f>
        <v>46296.41727085648</v>
      </c>
      <c r="T114" s="57">
        <f>tblJTL[[#This Row],[timeStamp]]+tblJTL[[#This Row],[elapsed]]</f>
        <v>1790816452463</v>
      </c>
      <c r="U114" s="61">
        <f>(tblJTL[[#This Row],[timeStamp]]-'17_分析サンプル'!$E$18)/1000</f>
        <v>52.021999999999998</v>
      </c>
      <c r="V114" s="57">
        <f>INT(tblJTL[[#This Row],[経過秒]]/60)</f>
        <v>0</v>
      </c>
      <c r="W114" s="57">
        <f>IF(OR(tblJTL[[#This Row],[success]]=FALSE,tblJTL[[#This Row],[success]]="false"),1,0)</f>
        <v>0</v>
      </c>
      <c r="X114" s="57">
        <f>IF(AND(tblJTL[[#This Row],[経過秒]]&gt;='17_分析サンプル'!$E$11,tblJTL[[#This Row],[経過秒]]&lt;'17_分析サンプル'!$E$12),1,0)</f>
        <v>0</v>
      </c>
    </row>
    <row r="115" spans="2:24" ht="14.4" x14ac:dyDescent="0.3">
      <c r="B115" s="57">
        <v>1790816452885</v>
      </c>
      <c r="C115" s="58">
        <v>126</v>
      </c>
      <c r="D115" s="59" t="s">
        <v>1658</v>
      </c>
      <c r="E115" s="59" t="s">
        <v>1577</v>
      </c>
      <c r="F115" s="59" t="s">
        <v>2275</v>
      </c>
      <c r="G115" s="59" t="s">
        <v>3585</v>
      </c>
      <c r="H115" s="59" t="s">
        <v>2281</v>
      </c>
      <c r="I115" s="59" t="b">
        <v>1</v>
      </c>
      <c r="J115" s="59"/>
      <c r="K115" s="58">
        <v>1846</v>
      </c>
      <c r="L115" s="58">
        <v>1342</v>
      </c>
      <c r="M115" s="59">
        <v>9</v>
      </c>
      <c r="N115" s="59">
        <v>9</v>
      </c>
      <c r="O115" s="59" t="s">
        <v>3578</v>
      </c>
      <c r="P115" s="58">
        <v>118</v>
      </c>
      <c r="Q115" s="59">
        <v>0</v>
      </c>
      <c r="R115" s="59">
        <v>0</v>
      </c>
      <c r="S115" s="60">
        <f>tblJTL[[#This Row],[timeStamp]]/86400000+DATE(1970,1,1)+TIME(9,0,0)</f>
        <v>46296.417278761575</v>
      </c>
      <c r="T115" s="57">
        <f>tblJTL[[#This Row],[timeStamp]]+tblJTL[[#This Row],[elapsed]]</f>
        <v>1790816453011</v>
      </c>
      <c r="U115" s="61">
        <f>(tblJTL[[#This Row],[timeStamp]]-'17_分析サンプル'!$E$18)/1000</f>
        <v>52.704999999999998</v>
      </c>
      <c r="V115" s="57">
        <f>INT(tblJTL[[#This Row],[経過秒]]/60)</f>
        <v>0</v>
      </c>
      <c r="W115" s="57">
        <f>IF(OR(tblJTL[[#This Row],[success]]=FALSE,tblJTL[[#This Row],[success]]="false"),1,0)</f>
        <v>0</v>
      </c>
      <c r="X115" s="57">
        <f>IF(AND(tblJTL[[#This Row],[経過秒]]&gt;='17_分析サンプル'!$E$11,tblJTL[[#This Row],[経過秒]]&lt;'17_分析サンプル'!$E$12),1,0)</f>
        <v>0</v>
      </c>
    </row>
    <row r="116" spans="2:24" ht="14.4" x14ac:dyDescent="0.3">
      <c r="B116" s="57">
        <v>1790816452752</v>
      </c>
      <c r="C116" s="58">
        <v>291</v>
      </c>
      <c r="D116" s="59" t="s">
        <v>1677</v>
      </c>
      <c r="E116" s="59" t="s">
        <v>3579</v>
      </c>
      <c r="F116" s="59" t="s">
        <v>3580</v>
      </c>
      <c r="G116" s="59" t="s">
        <v>3584</v>
      </c>
      <c r="H116" s="59" t="s">
        <v>2281</v>
      </c>
      <c r="I116" s="59" t="b">
        <v>1</v>
      </c>
      <c r="J116" s="59"/>
      <c r="K116" s="58">
        <v>419</v>
      </c>
      <c r="L116" s="58">
        <v>1478</v>
      </c>
      <c r="M116" s="59">
        <v>9</v>
      </c>
      <c r="N116" s="59">
        <v>9</v>
      </c>
      <c r="O116" s="59" t="s">
        <v>3581</v>
      </c>
      <c r="P116" s="58">
        <v>286</v>
      </c>
      <c r="Q116" s="59">
        <v>0</v>
      </c>
      <c r="R116" s="59">
        <v>0</v>
      </c>
      <c r="S116" s="60">
        <f>tblJTL[[#This Row],[timeStamp]]/86400000+DATE(1970,1,1)+TIME(9,0,0)</f>
        <v>46296.417277222223</v>
      </c>
      <c r="T116" s="57">
        <f>tblJTL[[#This Row],[timeStamp]]+tblJTL[[#This Row],[elapsed]]</f>
        <v>1790816453043</v>
      </c>
      <c r="U116" s="61">
        <f>(tblJTL[[#This Row],[timeStamp]]-'17_分析サンプル'!$E$18)/1000</f>
        <v>52.572000000000003</v>
      </c>
      <c r="V116" s="57">
        <f>INT(tblJTL[[#This Row],[経過秒]]/60)</f>
        <v>0</v>
      </c>
      <c r="W116" s="57">
        <f>IF(OR(tblJTL[[#This Row],[success]]=FALSE,tblJTL[[#This Row],[success]]="false"),1,0)</f>
        <v>0</v>
      </c>
      <c r="X116" s="57">
        <f>IF(AND(tblJTL[[#This Row],[経過秒]]&gt;='17_分析サンプル'!$E$11,tblJTL[[#This Row],[経過秒]]&lt;'17_分析サンプル'!$E$12),1,0)</f>
        <v>0</v>
      </c>
    </row>
    <row r="117" spans="2:24" ht="14.4" x14ac:dyDescent="0.3">
      <c r="B117" s="57">
        <v>1790816452912</v>
      </c>
      <c r="C117" s="58">
        <v>175</v>
      </c>
      <c r="D117" s="59" t="s">
        <v>1677</v>
      </c>
      <c r="E117" s="59" t="s">
        <v>3579</v>
      </c>
      <c r="F117" s="59" t="s">
        <v>3580</v>
      </c>
      <c r="G117" s="59" t="s">
        <v>3582</v>
      </c>
      <c r="H117" s="59" t="s">
        <v>2281</v>
      </c>
      <c r="I117" s="59" t="b">
        <v>1</v>
      </c>
      <c r="J117" s="59"/>
      <c r="K117" s="58">
        <v>418</v>
      </c>
      <c r="L117" s="58">
        <v>1478</v>
      </c>
      <c r="M117" s="59">
        <v>9</v>
      </c>
      <c r="N117" s="59">
        <v>9</v>
      </c>
      <c r="O117" s="59" t="s">
        <v>3581</v>
      </c>
      <c r="P117" s="58">
        <v>167</v>
      </c>
      <c r="Q117" s="59">
        <v>0</v>
      </c>
      <c r="R117" s="59">
        <v>0</v>
      </c>
      <c r="S117" s="60">
        <f>tblJTL[[#This Row],[timeStamp]]/86400000+DATE(1970,1,1)+TIME(9,0,0)</f>
        <v>46296.41727907407</v>
      </c>
      <c r="T117" s="57">
        <f>tblJTL[[#This Row],[timeStamp]]+tblJTL[[#This Row],[elapsed]]</f>
        <v>1790816453087</v>
      </c>
      <c r="U117" s="61">
        <f>(tblJTL[[#This Row],[timeStamp]]-'17_分析サンプル'!$E$18)/1000</f>
        <v>52.731999999999999</v>
      </c>
      <c r="V117" s="57">
        <f>INT(tblJTL[[#This Row],[経過秒]]/60)</f>
        <v>0</v>
      </c>
      <c r="W117" s="57">
        <f>IF(OR(tblJTL[[#This Row],[success]]=FALSE,tblJTL[[#This Row],[success]]="false"),1,0)</f>
        <v>0</v>
      </c>
      <c r="X117" s="57">
        <f>IF(AND(tblJTL[[#This Row],[経過秒]]&gt;='17_分析サンプル'!$E$11,tblJTL[[#This Row],[経過秒]]&lt;'17_分析サンプル'!$E$12),1,0)</f>
        <v>0</v>
      </c>
    </row>
    <row r="118" spans="2:24" ht="14.4" x14ac:dyDescent="0.3">
      <c r="B118" s="57">
        <v>1790816453339</v>
      </c>
      <c r="C118" s="58">
        <v>91</v>
      </c>
      <c r="D118" s="59" t="s">
        <v>1658</v>
      </c>
      <c r="E118" s="59" t="s">
        <v>1577</v>
      </c>
      <c r="F118" s="59" t="s">
        <v>2275</v>
      </c>
      <c r="G118" s="59" t="s">
        <v>3577</v>
      </c>
      <c r="H118" s="59" t="s">
        <v>2281</v>
      </c>
      <c r="I118" s="59" t="b">
        <v>1</v>
      </c>
      <c r="J118" s="59"/>
      <c r="K118" s="58">
        <v>1852</v>
      </c>
      <c r="L118" s="58">
        <v>1342</v>
      </c>
      <c r="M118" s="59">
        <v>9</v>
      </c>
      <c r="N118" s="59">
        <v>9</v>
      </c>
      <c r="O118" s="59" t="s">
        <v>3578</v>
      </c>
      <c r="P118" s="58">
        <v>84</v>
      </c>
      <c r="Q118" s="59">
        <v>0</v>
      </c>
      <c r="R118" s="59">
        <v>0</v>
      </c>
      <c r="S118" s="60">
        <f>tblJTL[[#This Row],[timeStamp]]/86400000+DATE(1970,1,1)+TIME(9,0,0)</f>
        <v>46296.417284016206</v>
      </c>
      <c r="T118" s="57">
        <f>tblJTL[[#This Row],[timeStamp]]+tblJTL[[#This Row],[elapsed]]</f>
        <v>1790816453430</v>
      </c>
      <c r="U118" s="61">
        <f>(tblJTL[[#This Row],[timeStamp]]-'17_分析サンプル'!$E$18)/1000</f>
        <v>53.158999999999999</v>
      </c>
      <c r="V118" s="57">
        <f>INT(tblJTL[[#This Row],[経過秒]]/60)</f>
        <v>0</v>
      </c>
      <c r="W118" s="57">
        <f>IF(OR(tblJTL[[#This Row],[success]]=FALSE,tblJTL[[#This Row],[success]]="false"),1,0)</f>
        <v>0</v>
      </c>
      <c r="X118" s="57">
        <f>IF(AND(tblJTL[[#This Row],[経過秒]]&gt;='17_分析サンプル'!$E$11,tblJTL[[#This Row],[経過秒]]&lt;'17_分析サンプル'!$E$12),1,0)</f>
        <v>0</v>
      </c>
    </row>
    <row r="119" spans="2:24" ht="14.4" x14ac:dyDescent="0.3">
      <c r="B119" s="57">
        <v>1790816453304</v>
      </c>
      <c r="C119" s="58">
        <v>204</v>
      </c>
      <c r="D119" s="59" t="s">
        <v>1677</v>
      </c>
      <c r="E119" s="59" t="s">
        <v>3579</v>
      </c>
      <c r="F119" s="59" t="s">
        <v>3580</v>
      </c>
      <c r="G119" s="59" t="s">
        <v>2278</v>
      </c>
      <c r="H119" s="59" t="s">
        <v>2281</v>
      </c>
      <c r="I119" s="59" t="b">
        <v>1</v>
      </c>
      <c r="J119" s="59"/>
      <c r="K119" s="58">
        <v>420</v>
      </c>
      <c r="L119" s="58">
        <v>1478</v>
      </c>
      <c r="M119" s="59">
        <v>9</v>
      </c>
      <c r="N119" s="59">
        <v>9</v>
      </c>
      <c r="O119" s="59" t="s">
        <v>3581</v>
      </c>
      <c r="P119" s="58">
        <v>196</v>
      </c>
      <c r="Q119" s="59">
        <v>0</v>
      </c>
      <c r="R119" s="59">
        <v>0</v>
      </c>
      <c r="S119" s="60">
        <f>tblJTL[[#This Row],[timeStamp]]/86400000+DATE(1970,1,1)+TIME(9,0,0)</f>
        <v>46296.41728361111</v>
      </c>
      <c r="T119" s="57">
        <f>tblJTL[[#This Row],[timeStamp]]+tblJTL[[#This Row],[elapsed]]</f>
        <v>1790816453508</v>
      </c>
      <c r="U119" s="61">
        <f>(tblJTL[[#This Row],[timeStamp]]-'17_分析サンプル'!$E$18)/1000</f>
        <v>53.124000000000002</v>
      </c>
      <c r="V119" s="57">
        <f>INT(tblJTL[[#This Row],[経過秒]]/60)</f>
        <v>0</v>
      </c>
      <c r="W119" s="57">
        <f>IF(OR(tblJTL[[#This Row],[success]]=FALSE,tblJTL[[#This Row],[success]]="false"),1,0)</f>
        <v>0</v>
      </c>
      <c r="X119" s="57">
        <f>IF(AND(tblJTL[[#This Row],[経過秒]]&gt;='17_分析サンプル'!$E$11,tblJTL[[#This Row],[経過秒]]&lt;'17_分析サンプル'!$E$12),1,0)</f>
        <v>0</v>
      </c>
    </row>
    <row r="120" spans="2:24" ht="14.4" x14ac:dyDescent="0.3">
      <c r="B120" s="57">
        <v>1790816453771</v>
      </c>
      <c r="C120" s="58">
        <v>91</v>
      </c>
      <c r="D120" s="59" t="s">
        <v>1658</v>
      </c>
      <c r="E120" s="59" t="s">
        <v>1577</v>
      </c>
      <c r="F120" s="59" t="s">
        <v>2275</v>
      </c>
      <c r="G120" s="59" t="s">
        <v>3588</v>
      </c>
      <c r="H120" s="59" t="s">
        <v>2281</v>
      </c>
      <c r="I120" s="59" t="b">
        <v>1</v>
      </c>
      <c r="J120" s="59"/>
      <c r="K120" s="58">
        <v>1841</v>
      </c>
      <c r="L120" s="58">
        <v>1342</v>
      </c>
      <c r="M120" s="59">
        <v>9</v>
      </c>
      <c r="N120" s="59">
        <v>9</v>
      </c>
      <c r="O120" s="59" t="s">
        <v>3578</v>
      </c>
      <c r="P120" s="58">
        <v>85</v>
      </c>
      <c r="Q120" s="59">
        <v>0</v>
      </c>
      <c r="R120" s="59">
        <v>0</v>
      </c>
      <c r="S120" s="60">
        <f>tblJTL[[#This Row],[timeStamp]]/86400000+DATE(1970,1,1)+TIME(9,0,0)</f>
        <v>46296.417289016201</v>
      </c>
      <c r="T120" s="57">
        <f>tblJTL[[#This Row],[timeStamp]]+tblJTL[[#This Row],[elapsed]]</f>
        <v>1790816453862</v>
      </c>
      <c r="U120" s="61">
        <f>(tblJTL[[#This Row],[timeStamp]]-'17_分析サンプル'!$E$18)/1000</f>
        <v>53.591000000000001</v>
      </c>
      <c r="V120" s="57">
        <f>INT(tblJTL[[#This Row],[経過秒]]/60)</f>
        <v>0</v>
      </c>
      <c r="W120" s="57">
        <f>IF(OR(tblJTL[[#This Row],[success]]=FALSE,tblJTL[[#This Row],[success]]="false"),1,0)</f>
        <v>0</v>
      </c>
      <c r="X120" s="57">
        <f>IF(AND(tblJTL[[#This Row],[経過秒]]&gt;='17_分析サンプル'!$E$11,tblJTL[[#This Row],[経過秒]]&lt;'17_分析サンプル'!$E$12),1,0)</f>
        <v>0</v>
      </c>
    </row>
    <row r="121" spans="2:24" ht="14.4" x14ac:dyDescent="0.3">
      <c r="B121" s="57">
        <v>1790816454900</v>
      </c>
      <c r="C121" s="58">
        <v>89</v>
      </c>
      <c r="D121" s="59" t="s">
        <v>1658</v>
      </c>
      <c r="E121" s="59" t="s">
        <v>1577</v>
      </c>
      <c r="F121" s="59" t="s">
        <v>2275</v>
      </c>
      <c r="G121" s="59" t="s">
        <v>3583</v>
      </c>
      <c r="H121" s="59" t="s">
        <v>2281</v>
      </c>
      <c r="I121" s="59" t="b">
        <v>1</v>
      </c>
      <c r="J121" s="59"/>
      <c r="K121" s="58">
        <v>1848</v>
      </c>
      <c r="L121" s="58">
        <v>1342</v>
      </c>
      <c r="M121" s="59">
        <v>10</v>
      </c>
      <c r="N121" s="59">
        <v>10</v>
      </c>
      <c r="O121" s="59" t="s">
        <v>3578</v>
      </c>
      <c r="P121" s="58">
        <v>84</v>
      </c>
      <c r="Q121" s="59">
        <v>0</v>
      </c>
      <c r="R121" s="59">
        <v>0</v>
      </c>
      <c r="S121" s="60">
        <f>tblJTL[[#This Row],[timeStamp]]/86400000+DATE(1970,1,1)+TIME(9,0,0)</f>
        <v>46296.417302083333</v>
      </c>
      <c r="T121" s="57">
        <f>tblJTL[[#This Row],[timeStamp]]+tblJTL[[#This Row],[elapsed]]</f>
        <v>1790816454989</v>
      </c>
      <c r="U121" s="61">
        <f>(tblJTL[[#This Row],[timeStamp]]-'17_分析サンプル'!$E$18)/1000</f>
        <v>54.72</v>
      </c>
      <c r="V121" s="57">
        <f>INT(tblJTL[[#This Row],[経過秒]]/60)</f>
        <v>0</v>
      </c>
      <c r="W121" s="57">
        <f>IF(OR(tblJTL[[#This Row],[success]]=FALSE,tblJTL[[#This Row],[success]]="false"),1,0)</f>
        <v>0</v>
      </c>
      <c r="X121" s="57">
        <f>IF(AND(tblJTL[[#This Row],[経過秒]]&gt;='17_分析サンプル'!$E$11,tblJTL[[#This Row],[経過秒]]&lt;'17_分析サンプル'!$E$12),1,0)</f>
        <v>0</v>
      </c>
    </row>
    <row r="122" spans="2:24" ht="14.4" x14ac:dyDescent="0.3">
      <c r="B122" s="57">
        <v>1790816454912</v>
      </c>
      <c r="C122" s="58">
        <v>115</v>
      </c>
      <c r="D122" s="59" t="s">
        <v>1677</v>
      </c>
      <c r="E122" s="59" t="s">
        <v>3579</v>
      </c>
      <c r="F122" s="59" t="s">
        <v>3580</v>
      </c>
      <c r="G122" s="59" t="s">
        <v>3586</v>
      </c>
      <c r="H122" s="59" t="s">
        <v>2281</v>
      </c>
      <c r="I122" s="59" t="b">
        <v>1</v>
      </c>
      <c r="J122" s="59"/>
      <c r="K122" s="58">
        <v>436</v>
      </c>
      <c r="L122" s="58">
        <v>1478</v>
      </c>
      <c r="M122" s="59">
        <v>10</v>
      </c>
      <c r="N122" s="59">
        <v>10</v>
      </c>
      <c r="O122" s="59" t="s">
        <v>3581</v>
      </c>
      <c r="P122" s="58">
        <v>109</v>
      </c>
      <c r="Q122" s="59">
        <v>0</v>
      </c>
      <c r="R122" s="59">
        <v>0</v>
      </c>
      <c r="S122" s="60">
        <f>tblJTL[[#This Row],[timeStamp]]/86400000+DATE(1970,1,1)+TIME(9,0,0)</f>
        <v>46296.417302222224</v>
      </c>
      <c r="T122" s="57">
        <f>tblJTL[[#This Row],[timeStamp]]+tblJTL[[#This Row],[elapsed]]</f>
        <v>1790816455027</v>
      </c>
      <c r="U122" s="61">
        <f>(tblJTL[[#This Row],[timeStamp]]-'17_分析サンプル'!$E$18)/1000</f>
        <v>54.731999999999999</v>
      </c>
      <c r="V122" s="57">
        <f>INT(tblJTL[[#This Row],[経過秒]]/60)</f>
        <v>0</v>
      </c>
      <c r="W122" s="57">
        <f>IF(OR(tblJTL[[#This Row],[success]]=FALSE,tblJTL[[#This Row],[success]]="false"),1,0)</f>
        <v>0</v>
      </c>
      <c r="X122" s="57">
        <f>IF(AND(tblJTL[[#This Row],[経過秒]]&gt;='17_分析サンプル'!$E$11,tblJTL[[#This Row],[経過秒]]&lt;'17_分析サンプル'!$E$12),1,0)</f>
        <v>0</v>
      </c>
    </row>
    <row r="123" spans="2:24" ht="14.4" x14ac:dyDescent="0.3">
      <c r="B123" s="57">
        <v>1790816455086</v>
      </c>
      <c r="C123" s="58">
        <v>91</v>
      </c>
      <c r="D123" s="59" t="s">
        <v>1658</v>
      </c>
      <c r="E123" s="59" t="s">
        <v>1577</v>
      </c>
      <c r="F123" s="59" t="s">
        <v>2275</v>
      </c>
      <c r="G123" s="59" t="s">
        <v>3587</v>
      </c>
      <c r="H123" s="59" t="s">
        <v>2281</v>
      </c>
      <c r="I123" s="59" t="b">
        <v>1</v>
      </c>
      <c r="J123" s="59"/>
      <c r="K123" s="58">
        <v>1831</v>
      </c>
      <c r="L123" s="58">
        <v>1342</v>
      </c>
      <c r="M123" s="59">
        <v>10</v>
      </c>
      <c r="N123" s="59">
        <v>10</v>
      </c>
      <c r="O123" s="59" t="s">
        <v>3578</v>
      </c>
      <c r="P123" s="58">
        <v>87</v>
      </c>
      <c r="Q123" s="59">
        <v>0</v>
      </c>
      <c r="R123" s="59">
        <v>0</v>
      </c>
      <c r="S123" s="60">
        <f>tblJTL[[#This Row],[timeStamp]]/86400000+DATE(1970,1,1)+TIME(9,0,0)</f>
        <v>46296.417304236107</v>
      </c>
      <c r="T123" s="57">
        <f>tblJTL[[#This Row],[timeStamp]]+tblJTL[[#This Row],[elapsed]]</f>
        <v>1790816455177</v>
      </c>
      <c r="U123" s="61">
        <f>(tblJTL[[#This Row],[timeStamp]]-'17_分析サンプル'!$E$18)/1000</f>
        <v>54.905999999999999</v>
      </c>
      <c r="V123" s="57">
        <f>INT(tblJTL[[#This Row],[経過秒]]/60)</f>
        <v>0</v>
      </c>
      <c r="W123" s="57">
        <f>IF(OR(tblJTL[[#This Row],[success]]=FALSE,tblJTL[[#This Row],[success]]="false"),1,0)</f>
        <v>0</v>
      </c>
      <c r="X123" s="57">
        <f>IF(AND(tblJTL[[#This Row],[経過秒]]&gt;='17_分析サンプル'!$E$11,tblJTL[[#This Row],[経過秒]]&lt;'17_分析サンプル'!$E$12),1,0)</f>
        <v>0</v>
      </c>
    </row>
    <row r="124" spans="2:24" ht="14.4" x14ac:dyDescent="0.3">
      <c r="B124" s="57">
        <v>1790816455067</v>
      </c>
      <c r="C124" s="58">
        <v>147</v>
      </c>
      <c r="D124" s="59" t="s">
        <v>1677</v>
      </c>
      <c r="E124" s="59" t="s">
        <v>3579</v>
      </c>
      <c r="F124" s="59" t="s">
        <v>3580</v>
      </c>
      <c r="G124" s="59" t="s">
        <v>3585</v>
      </c>
      <c r="H124" s="59" t="s">
        <v>2281</v>
      </c>
      <c r="I124" s="59" t="b">
        <v>1</v>
      </c>
      <c r="J124" s="59"/>
      <c r="K124" s="58">
        <v>416</v>
      </c>
      <c r="L124" s="58">
        <v>1478</v>
      </c>
      <c r="M124" s="59">
        <v>10</v>
      </c>
      <c r="N124" s="59">
        <v>10</v>
      </c>
      <c r="O124" s="59" t="s">
        <v>3581</v>
      </c>
      <c r="P124" s="58">
        <v>141</v>
      </c>
      <c r="Q124" s="59">
        <v>0</v>
      </c>
      <c r="R124" s="59">
        <v>0</v>
      </c>
      <c r="S124" s="60">
        <f>tblJTL[[#This Row],[timeStamp]]/86400000+DATE(1970,1,1)+TIME(9,0,0)</f>
        <v>46296.417304016199</v>
      </c>
      <c r="T124" s="57">
        <f>tblJTL[[#This Row],[timeStamp]]+tblJTL[[#This Row],[elapsed]]</f>
        <v>1790816455214</v>
      </c>
      <c r="U124" s="61">
        <f>(tblJTL[[#This Row],[timeStamp]]-'17_分析サンプル'!$E$18)/1000</f>
        <v>54.887</v>
      </c>
      <c r="V124" s="57">
        <f>INT(tblJTL[[#This Row],[経過秒]]/60)</f>
        <v>0</v>
      </c>
      <c r="W124" s="57">
        <f>IF(OR(tblJTL[[#This Row],[success]]=FALSE,tblJTL[[#This Row],[success]]="false"),1,0)</f>
        <v>0</v>
      </c>
      <c r="X124" s="57">
        <f>IF(AND(tblJTL[[#This Row],[経過秒]]&gt;='17_分析サンプル'!$E$11,tblJTL[[#This Row],[経過秒]]&lt;'17_分析サンプル'!$E$12),1,0)</f>
        <v>0</v>
      </c>
    </row>
    <row r="125" spans="2:24" ht="14.4" x14ac:dyDescent="0.3">
      <c r="B125" s="57">
        <v>1790816455276</v>
      </c>
      <c r="C125" s="58">
        <v>63</v>
      </c>
      <c r="D125" s="59" t="s">
        <v>1658</v>
      </c>
      <c r="E125" s="59" t="s">
        <v>1577</v>
      </c>
      <c r="F125" s="59" t="s">
        <v>2275</v>
      </c>
      <c r="G125" s="59" t="s">
        <v>2278</v>
      </c>
      <c r="H125" s="59" t="s">
        <v>2281</v>
      </c>
      <c r="I125" s="59" t="b">
        <v>1</v>
      </c>
      <c r="J125" s="59"/>
      <c r="K125" s="58">
        <v>1890</v>
      </c>
      <c r="L125" s="58">
        <v>1342</v>
      </c>
      <c r="M125" s="59">
        <v>10</v>
      </c>
      <c r="N125" s="59">
        <v>10</v>
      </c>
      <c r="O125" s="59" t="s">
        <v>3578</v>
      </c>
      <c r="P125" s="58">
        <v>60</v>
      </c>
      <c r="Q125" s="59">
        <v>0</v>
      </c>
      <c r="R125" s="59">
        <v>0</v>
      </c>
      <c r="S125" s="60">
        <f>tblJTL[[#This Row],[timeStamp]]/86400000+DATE(1970,1,1)+TIME(9,0,0)</f>
        <v>46296.417306435185</v>
      </c>
      <c r="T125" s="57">
        <f>tblJTL[[#This Row],[timeStamp]]+tblJTL[[#This Row],[elapsed]]</f>
        <v>1790816455339</v>
      </c>
      <c r="U125" s="61">
        <f>(tblJTL[[#This Row],[timeStamp]]-'17_分析サンプル'!$E$18)/1000</f>
        <v>55.095999999999997</v>
      </c>
      <c r="V125" s="57">
        <f>INT(tblJTL[[#This Row],[経過秒]]/60)</f>
        <v>0</v>
      </c>
      <c r="W125" s="57">
        <f>IF(OR(tblJTL[[#This Row],[success]]=FALSE,tblJTL[[#This Row],[success]]="false"),1,0)</f>
        <v>0</v>
      </c>
      <c r="X125" s="57">
        <f>IF(AND(tblJTL[[#This Row],[経過秒]]&gt;='17_分析サンプル'!$E$11,tblJTL[[#This Row],[経過秒]]&lt;'17_分析サンプル'!$E$12),1,0)</f>
        <v>0</v>
      </c>
    </row>
    <row r="126" spans="2:24" ht="14.4" x14ac:dyDescent="0.3">
      <c r="B126" s="57">
        <v>1790816455518</v>
      </c>
      <c r="C126" s="58">
        <v>283</v>
      </c>
      <c r="D126" s="59" t="s">
        <v>1677</v>
      </c>
      <c r="E126" s="59" t="s">
        <v>3579</v>
      </c>
      <c r="F126" s="59" t="s">
        <v>3580</v>
      </c>
      <c r="G126" s="59" t="s">
        <v>3588</v>
      </c>
      <c r="H126" s="59" t="s">
        <v>2281</v>
      </c>
      <c r="I126" s="59" t="b">
        <v>1</v>
      </c>
      <c r="J126" s="59"/>
      <c r="K126" s="58">
        <v>419</v>
      </c>
      <c r="L126" s="58">
        <v>1478</v>
      </c>
      <c r="M126" s="59">
        <v>10</v>
      </c>
      <c r="N126" s="59">
        <v>10</v>
      </c>
      <c r="O126" s="59" t="s">
        <v>3581</v>
      </c>
      <c r="P126" s="58">
        <v>275</v>
      </c>
      <c r="Q126" s="59">
        <v>0</v>
      </c>
      <c r="R126" s="59">
        <v>0</v>
      </c>
      <c r="S126" s="60">
        <f>tblJTL[[#This Row],[timeStamp]]/86400000+DATE(1970,1,1)+TIME(9,0,0)</f>
        <v>46296.417309236116</v>
      </c>
      <c r="T126" s="57">
        <f>tblJTL[[#This Row],[timeStamp]]+tblJTL[[#This Row],[elapsed]]</f>
        <v>1790816455801</v>
      </c>
      <c r="U126" s="61">
        <f>(tblJTL[[#This Row],[timeStamp]]-'17_分析サンプル'!$E$18)/1000</f>
        <v>55.338000000000001</v>
      </c>
      <c r="V126" s="57">
        <f>INT(tblJTL[[#This Row],[経過秒]]/60)</f>
        <v>0</v>
      </c>
      <c r="W126" s="57">
        <f>IF(OR(tblJTL[[#This Row],[success]]=FALSE,tblJTL[[#This Row],[success]]="false"),1,0)</f>
        <v>0</v>
      </c>
      <c r="X126" s="57">
        <f>IF(AND(tblJTL[[#This Row],[経過秒]]&gt;='17_分析サンプル'!$E$11,tblJTL[[#This Row],[経過秒]]&lt;'17_分析サンプル'!$E$12),1,0)</f>
        <v>0</v>
      </c>
    </row>
    <row r="127" spans="2:24" ht="14.4" x14ac:dyDescent="0.3">
      <c r="B127" s="57">
        <v>1790816455749</v>
      </c>
      <c r="C127" s="58">
        <v>151</v>
      </c>
      <c r="D127" s="59" t="s">
        <v>1658</v>
      </c>
      <c r="E127" s="59" t="s">
        <v>1577</v>
      </c>
      <c r="F127" s="59" t="s">
        <v>2275</v>
      </c>
      <c r="G127" s="59" t="s">
        <v>3582</v>
      </c>
      <c r="H127" s="59" t="s">
        <v>2281</v>
      </c>
      <c r="I127" s="59" t="b">
        <v>1</v>
      </c>
      <c r="J127" s="59"/>
      <c r="K127" s="58">
        <v>1826</v>
      </c>
      <c r="L127" s="58">
        <v>1342</v>
      </c>
      <c r="M127" s="59">
        <v>10</v>
      </c>
      <c r="N127" s="59">
        <v>10</v>
      </c>
      <c r="O127" s="59" t="s">
        <v>3578</v>
      </c>
      <c r="P127" s="58">
        <v>144</v>
      </c>
      <c r="Q127" s="59">
        <v>0</v>
      </c>
      <c r="R127" s="59">
        <v>0</v>
      </c>
      <c r="S127" s="60">
        <f>tblJTL[[#This Row],[timeStamp]]/86400000+DATE(1970,1,1)+TIME(9,0,0)</f>
        <v>46296.417311909725</v>
      </c>
      <c r="T127" s="57">
        <f>tblJTL[[#This Row],[timeStamp]]+tblJTL[[#This Row],[elapsed]]</f>
        <v>1790816455900</v>
      </c>
      <c r="U127" s="61">
        <f>(tblJTL[[#This Row],[timeStamp]]-'17_分析サンプル'!$E$18)/1000</f>
        <v>55.569000000000003</v>
      </c>
      <c r="V127" s="57">
        <f>INT(tblJTL[[#This Row],[経過秒]]/60)</f>
        <v>0</v>
      </c>
      <c r="W127" s="57">
        <f>IF(OR(tblJTL[[#This Row],[success]]=FALSE,tblJTL[[#This Row],[success]]="false"),1,0)</f>
        <v>0</v>
      </c>
      <c r="X127" s="57">
        <f>IF(AND(tblJTL[[#This Row],[経過秒]]&gt;='17_分析サンプル'!$E$11,tblJTL[[#This Row],[経過秒]]&lt;'17_分析サンプル'!$E$12),1,0)</f>
        <v>0</v>
      </c>
    </row>
    <row r="128" spans="2:24" ht="14.4" x14ac:dyDescent="0.3">
      <c r="B128" s="57">
        <v>1790816455788</v>
      </c>
      <c r="C128" s="58">
        <v>168</v>
      </c>
      <c r="D128" s="59" t="s">
        <v>1658</v>
      </c>
      <c r="E128" s="59" t="s">
        <v>1577</v>
      </c>
      <c r="F128" s="59" t="s">
        <v>2275</v>
      </c>
      <c r="G128" s="59" t="s">
        <v>3584</v>
      </c>
      <c r="H128" s="59" t="s">
        <v>2281</v>
      </c>
      <c r="I128" s="59" t="b">
        <v>1</v>
      </c>
      <c r="J128" s="59"/>
      <c r="K128" s="58">
        <v>1886</v>
      </c>
      <c r="L128" s="58">
        <v>1342</v>
      </c>
      <c r="M128" s="59">
        <v>10</v>
      </c>
      <c r="N128" s="59">
        <v>10</v>
      </c>
      <c r="O128" s="59" t="s">
        <v>3578</v>
      </c>
      <c r="P128" s="58">
        <v>161</v>
      </c>
      <c r="Q128" s="59">
        <v>0</v>
      </c>
      <c r="R128" s="59">
        <v>0</v>
      </c>
      <c r="S128" s="60">
        <f>tblJTL[[#This Row],[timeStamp]]/86400000+DATE(1970,1,1)+TIME(9,0,0)</f>
        <v>46296.417312361111</v>
      </c>
      <c r="T128" s="57">
        <f>tblJTL[[#This Row],[timeStamp]]+tblJTL[[#This Row],[elapsed]]</f>
        <v>1790816455956</v>
      </c>
      <c r="U128" s="61">
        <f>(tblJTL[[#This Row],[timeStamp]]-'17_分析サンプル'!$E$18)/1000</f>
        <v>55.607999999999997</v>
      </c>
      <c r="V128" s="57">
        <f>INT(tblJTL[[#This Row],[経過秒]]/60)</f>
        <v>0</v>
      </c>
      <c r="W128" s="57">
        <f>IF(OR(tblJTL[[#This Row],[success]]=FALSE,tblJTL[[#This Row],[success]]="false"),1,0)</f>
        <v>0</v>
      </c>
      <c r="X128" s="57">
        <f>IF(AND(tblJTL[[#This Row],[経過秒]]&gt;='17_分析サンプル'!$E$11,tblJTL[[#This Row],[経過秒]]&lt;'17_分析サンプル'!$E$12),1,0)</f>
        <v>0</v>
      </c>
    </row>
    <row r="129" spans="2:24" ht="14.4" x14ac:dyDescent="0.3">
      <c r="B129" s="57">
        <v>1790816455630</v>
      </c>
      <c r="C129" s="58">
        <v>384</v>
      </c>
      <c r="D129" s="59" t="s">
        <v>1677</v>
      </c>
      <c r="E129" s="59" t="s">
        <v>3579</v>
      </c>
      <c r="F129" s="59" t="s">
        <v>3580</v>
      </c>
      <c r="G129" s="59" t="s">
        <v>3577</v>
      </c>
      <c r="H129" s="59" t="s">
        <v>2281</v>
      </c>
      <c r="I129" s="59" t="b">
        <v>1</v>
      </c>
      <c r="J129" s="59"/>
      <c r="K129" s="58">
        <v>417</v>
      </c>
      <c r="L129" s="58">
        <v>1478</v>
      </c>
      <c r="M129" s="59">
        <v>10</v>
      </c>
      <c r="N129" s="59">
        <v>10</v>
      </c>
      <c r="O129" s="59" t="s">
        <v>3581</v>
      </c>
      <c r="P129" s="58">
        <v>378</v>
      </c>
      <c r="Q129" s="59">
        <v>0</v>
      </c>
      <c r="R129" s="59">
        <v>0</v>
      </c>
      <c r="S129" s="60">
        <f>tblJTL[[#This Row],[timeStamp]]/86400000+DATE(1970,1,1)+TIME(9,0,0)</f>
        <v>46296.417310532408</v>
      </c>
      <c r="T129" s="57">
        <f>tblJTL[[#This Row],[timeStamp]]+tblJTL[[#This Row],[elapsed]]</f>
        <v>1790816456014</v>
      </c>
      <c r="U129" s="61">
        <f>(tblJTL[[#This Row],[timeStamp]]-'17_分析サンプル'!$E$18)/1000</f>
        <v>55.45</v>
      </c>
      <c r="V129" s="57">
        <f>INT(tblJTL[[#This Row],[経過秒]]/60)</f>
        <v>0</v>
      </c>
      <c r="W129" s="57">
        <f>IF(OR(tblJTL[[#This Row],[success]]=FALSE,tblJTL[[#This Row],[success]]="false"),1,0)</f>
        <v>0</v>
      </c>
      <c r="X129" s="57">
        <f>IF(AND(tblJTL[[#This Row],[経過秒]]&gt;='17_分析サンプル'!$E$11,tblJTL[[#This Row],[経過秒]]&lt;'17_分析サンプル'!$E$12),1,0)</f>
        <v>0</v>
      </c>
    </row>
    <row r="130" spans="2:24" ht="14.4" x14ac:dyDescent="0.3">
      <c r="B130" s="57">
        <v>1790816456521</v>
      </c>
      <c r="C130" s="58">
        <v>95</v>
      </c>
      <c r="D130" s="59" t="s">
        <v>1658</v>
      </c>
      <c r="E130" s="59" t="s">
        <v>1577</v>
      </c>
      <c r="F130" s="59" t="s">
        <v>2275</v>
      </c>
      <c r="G130" s="59" t="s">
        <v>3586</v>
      </c>
      <c r="H130" s="59" t="s">
        <v>2281</v>
      </c>
      <c r="I130" s="59" t="b">
        <v>1</v>
      </c>
      <c r="J130" s="59"/>
      <c r="K130" s="58">
        <v>1899</v>
      </c>
      <c r="L130" s="58">
        <v>1342</v>
      </c>
      <c r="M130" s="59">
        <v>10</v>
      </c>
      <c r="N130" s="59">
        <v>10</v>
      </c>
      <c r="O130" s="59" t="s">
        <v>3578</v>
      </c>
      <c r="P130" s="58">
        <v>87</v>
      </c>
      <c r="Q130" s="59">
        <v>0</v>
      </c>
      <c r="R130" s="59">
        <v>0</v>
      </c>
      <c r="S130" s="60">
        <f>tblJTL[[#This Row],[timeStamp]]/86400000+DATE(1970,1,1)+TIME(9,0,0)</f>
        <v>46296.417320844906</v>
      </c>
      <c r="T130" s="57">
        <f>tblJTL[[#This Row],[timeStamp]]+tblJTL[[#This Row],[elapsed]]</f>
        <v>1790816456616</v>
      </c>
      <c r="U130" s="61">
        <f>(tblJTL[[#This Row],[timeStamp]]-'17_分析サンプル'!$E$18)/1000</f>
        <v>56.341000000000001</v>
      </c>
      <c r="V130" s="57">
        <f>INT(tblJTL[[#This Row],[経過秒]]/60)</f>
        <v>0</v>
      </c>
      <c r="W130" s="57">
        <f>IF(OR(tblJTL[[#This Row],[success]]=FALSE,tblJTL[[#This Row],[success]]="false"),1,0)</f>
        <v>0</v>
      </c>
      <c r="X130" s="57">
        <f>IF(AND(tblJTL[[#This Row],[経過秒]]&gt;='17_分析サンプル'!$E$11,tblJTL[[#This Row],[経過秒]]&lt;'17_分析サンプル'!$E$12),1,0)</f>
        <v>0</v>
      </c>
    </row>
    <row r="131" spans="2:24" ht="14.4" x14ac:dyDescent="0.3">
      <c r="B131" s="57">
        <v>1790816456747</v>
      </c>
      <c r="C131" s="58">
        <v>246</v>
      </c>
      <c r="D131" s="59" t="s">
        <v>1677</v>
      </c>
      <c r="E131" s="59" t="s">
        <v>3579</v>
      </c>
      <c r="F131" s="59" t="s">
        <v>3580</v>
      </c>
      <c r="G131" s="59" t="s">
        <v>3587</v>
      </c>
      <c r="H131" s="59" t="s">
        <v>2281</v>
      </c>
      <c r="I131" s="59" t="b">
        <v>1</v>
      </c>
      <c r="J131" s="59"/>
      <c r="K131" s="58">
        <v>415</v>
      </c>
      <c r="L131" s="58">
        <v>1478</v>
      </c>
      <c r="M131" s="59">
        <v>10</v>
      </c>
      <c r="N131" s="59">
        <v>10</v>
      </c>
      <c r="O131" s="59" t="s">
        <v>3581</v>
      </c>
      <c r="P131" s="58">
        <v>239</v>
      </c>
      <c r="Q131" s="59">
        <v>0</v>
      </c>
      <c r="R131" s="59">
        <v>0</v>
      </c>
      <c r="S131" s="60">
        <f>tblJTL[[#This Row],[timeStamp]]/86400000+DATE(1970,1,1)+TIME(9,0,0)</f>
        <v>46296.41732346065</v>
      </c>
      <c r="T131" s="57">
        <f>tblJTL[[#This Row],[timeStamp]]+tblJTL[[#This Row],[elapsed]]</f>
        <v>1790816456993</v>
      </c>
      <c r="U131" s="61">
        <f>(tblJTL[[#This Row],[timeStamp]]-'17_分析サンプル'!$E$18)/1000</f>
        <v>56.567</v>
      </c>
      <c r="V131" s="57">
        <f>INT(tblJTL[[#This Row],[経過秒]]/60)</f>
        <v>0</v>
      </c>
      <c r="W131" s="57">
        <f>IF(OR(tblJTL[[#This Row],[success]]=FALSE,tblJTL[[#This Row],[success]]="false"),1,0)</f>
        <v>0</v>
      </c>
      <c r="X131" s="57">
        <f>IF(AND(tblJTL[[#This Row],[経過秒]]&gt;='17_分析サンプル'!$E$11,tblJTL[[#This Row],[経過秒]]&lt;'17_分析サンプル'!$E$12),1,0)</f>
        <v>0</v>
      </c>
    </row>
    <row r="132" spans="2:24" ht="14.4" x14ac:dyDescent="0.3">
      <c r="B132" s="57">
        <v>1790816456782</v>
      </c>
      <c r="C132" s="58">
        <v>273</v>
      </c>
      <c r="D132" s="59" t="s">
        <v>1677</v>
      </c>
      <c r="E132" s="59" t="s">
        <v>3579</v>
      </c>
      <c r="F132" s="59" t="s">
        <v>3580</v>
      </c>
      <c r="G132" s="59" t="s">
        <v>3583</v>
      </c>
      <c r="H132" s="59" t="s">
        <v>2281</v>
      </c>
      <c r="I132" s="59" t="b">
        <v>1</v>
      </c>
      <c r="J132" s="59"/>
      <c r="K132" s="58">
        <v>433</v>
      </c>
      <c r="L132" s="58">
        <v>1478</v>
      </c>
      <c r="M132" s="59">
        <v>10</v>
      </c>
      <c r="N132" s="59">
        <v>10</v>
      </c>
      <c r="O132" s="59" t="s">
        <v>3581</v>
      </c>
      <c r="P132" s="58">
        <v>269</v>
      </c>
      <c r="Q132" s="59">
        <v>0</v>
      </c>
      <c r="R132" s="59">
        <v>0</v>
      </c>
      <c r="S132" s="60">
        <f>tblJTL[[#This Row],[timeStamp]]/86400000+DATE(1970,1,1)+TIME(9,0,0)</f>
        <v>46296.417323865739</v>
      </c>
      <c r="T132" s="57">
        <f>tblJTL[[#This Row],[timeStamp]]+tblJTL[[#This Row],[elapsed]]</f>
        <v>1790816457055</v>
      </c>
      <c r="U132" s="61">
        <f>(tblJTL[[#This Row],[timeStamp]]-'17_分析サンプル'!$E$18)/1000</f>
        <v>56.601999999999997</v>
      </c>
      <c r="V132" s="57">
        <f>INT(tblJTL[[#This Row],[経過秒]]/60)</f>
        <v>0</v>
      </c>
      <c r="W132" s="57">
        <f>IF(OR(tblJTL[[#This Row],[success]]=FALSE,tblJTL[[#This Row],[success]]="false"),1,0)</f>
        <v>0</v>
      </c>
      <c r="X132" s="57">
        <f>IF(AND(tblJTL[[#This Row],[経過秒]]&gt;='17_分析サンプル'!$E$11,tblJTL[[#This Row],[経過秒]]&lt;'17_分析サンプル'!$E$12),1,0)</f>
        <v>0</v>
      </c>
    </row>
    <row r="133" spans="2:24" ht="14.4" x14ac:dyDescent="0.3">
      <c r="B133" s="57">
        <v>1790816456919</v>
      </c>
      <c r="C133" s="58">
        <v>159</v>
      </c>
      <c r="D133" s="59" t="s">
        <v>1658</v>
      </c>
      <c r="E133" s="59" t="s">
        <v>1577</v>
      </c>
      <c r="F133" s="59" t="s">
        <v>2275</v>
      </c>
      <c r="G133" s="59" t="s">
        <v>3589</v>
      </c>
      <c r="H133" s="59" t="s">
        <v>2281</v>
      </c>
      <c r="I133" s="59" t="b">
        <v>1</v>
      </c>
      <c r="J133" s="59"/>
      <c r="K133" s="58">
        <v>1834</v>
      </c>
      <c r="L133" s="58">
        <v>1342</v>
      </c>
      <c r="M133" s="59">
        <v>10</v>
      </c>
      <c r="N133" s="59">
        <v>10</v>
      </c>
      <c r="O133" s="59" t="s">
        <v>3578</v>
      </c>
      <c r="P133" s="58">
        <v>157</v>
      </c>
      <c r="Q133" s="59">
        <v>0</v>
      </c>
      <c r="R133" s="59">
        <v>62</v>
      </c>
      <c r="S133" s="60">
        <f>tblJTL[[#This Row],[timeStamp]]/86400000+DATE(1970,1,1)+TIME(9,0,0)</f>
        <v>46296.417325451388</v>
      </c>
      <c r="T133" s="57">
        <f>tblJTL[[#This Row],[timeStamp]]+tblJTL[[#This Row],[elapsed]]</f>
        <v>1790816457078</v>
      </c>
      <c r="U133" s="61">
        <f>(tblJTL[[#This Row],[timeStamp]]-'17_分析サンプル'!$E$18)/1000</f>
        <v>56.738999999999997</v>
      </c>
      <c r="V133" s="57">
        <f>INT(tblJTL[[#This Row],[経過秒]]/60)</f>
        <v>0</v>
      </c>
      <c r="W133" s="57">
        <f>IF(OR(tblJTL[[#This Row],[success]]=FALSE,tblJTL[[#This Row],[success]]="false"),1,0)</f>
        <v>0</v>
      </c>
      <c r="X133" s="57">
        <f>IF(AND(tblJTL[[#This Row],[経過秒]]&gt;='17_分析サンプル'!$E$11,tblJTL[[#This Row],[経過秒]]&lt;'17_分析サンプル'!$E$12),1,0)</f>
        <v>0</v>
      </c>
    </row>
    <row r="134" spans="2:24" ht="14.4" x14ac:dyDescent="0.3">
      <c r="B134" s="57">
        <v>1790816456960</v>
      </c>
      <c r="C134" s="58">
        <v>257</v>
      </c>
      <c r="D134" s="59" t="s">
        <v>1677</v>
      </c>
      <c r="E134" s="59" t="s">
        <v>3579</v>
      </c>
      <c r="F134" s="59" t="s">
        <v>3580</v>
      </c>
      <c r="G134" s="59" t="s">
        <v>3584</v>
      </c>
      <c r="H134" s="59" t="s">
        <v>2281</v>
      </c>
      <c r="I134" s="59" t="b">
        <v>1</v>
      </c>
      <c r="J134" s="59"/>
      <c r="K134" s="58">
        <v>426</v>
      </c>
      <c r="L134" s="58">
        <v>1478</v>
      </c>
      <c r="M134" s="59">
        <v>10</v>
      </c>
      <c r="N134" s="59">
        <v>10</v>
      </c>
      <c r="O134" s="59" t="s">
        <v>3581</v>
      </c>
      <c r="P134" s="58">
        <v>253</v>
      </c>
      <c r="Q134" s="59">
        <v>0</v>
      </c>
      <c r="R134" s="59">
        <v>0</v>
      </c>
      <c r="S134" s="60">
        <f>tblJTL[[#This Row],[timeStamp]]/86400000+DATE(1970,1,1)+TIME(9,0,0)</f>
        <v>46296.417325925926</v>
      </c>
      <c r="T134" s="57">
        <f>tblJTL[[#This Row],[timeStamp]]+tblJTL[[#This Row],[elapsed]]</f>
        <v>1790816457217</v>
      </c>
      <c r="U134" s="61">
        <f>(tblJTL[[#This Row],[timeStamp]]-'17_分析サンプル'!$E$18)/1000</f>
        <v>56.78</v>
      </c>
      <c r="V134" s="57">
        <f>INT(tblJTL[[#This Row],[経過秒]]/60)</f>
        <v>0</v>
      </c>
      <c r="W134" s="57">
        <f>IF(OR(tblJTL[[#This Row],[success]]=FALSE,tblJTL[[#This Row],[success]]="false"),1,0)</f>
        <v>0</v>
      </c>
      <c r="X134" s="57">
        <f>IF(AND(tblJTL[[#This Row],[経過秒]]&gt;='17_分析サンプル'!$E$11,tblJTL[[#This Row],[経過秒]]&lt;'17_分析サンプル'!$E$12),1,0)</f>
        <v>0</v>
      </c>
    </row>
    <row r="135" spans="2:24" ht="14.4" x14ac:dyDescent="0.3">
      <c r="B135" s="57">
        <v>1790816457100</v>
      </c>
      <c r="C135" s="58">
        <v>179</v>
      </c>
      <c r="D135" s="59" t="s">
        <v>1658</v>
      </c>
      <c r="E135" s="59" t="s">
        <v>1577</v>
      </c>
      <c r="F135" s="59" t="s">
        <v>2275</v>
      </c>
      <c r="G135" s="59" t="s">
        <v>3588</v>
      </c>
      <c r="H135" s="59" t="s">
        <v>2281</v>
      </c>
      <c r="I135" s="59" t="b">
        <v>1</v>
      </c>
      <c r="J135" s="59"/>
      <c r="K135" s="58">
        <v>1898</v>
      </c>
      <c r="L135" s="58">
        <v>1342</v>
      </c>
      <c r="M135" s="59">
        <v>10</v>
      </c>
      <c r="N135" s="59">
        <v>10</v>
      </c>
      <c r="O135" s="59" t="s">
        <v>3578</v>
      </c>
      <c r="P135" s="58">
        <v>173</v>
      </c>
      <c r="Q135" s="59">
        <v>0</v>
      </c>
      <c r="R135" s="59">
        <v>0</v>
      </c>
      <c r="S135" s="60">
        <f>tblJTL[[#This Row],[timeStamp]]/86400000+DATE(1970,1,1)+TIME(9,0,0)</f>
        <v>46296.417327546296</v>
      </c>
      <c r="T135" s="57">
        <f>tblJTL[[#This Row],[timeStamp]]+tblJTL[[#This Row],[elapsed]]</f>
        <v>1790816457279</v>
      </c>
      <c r="U135" s="61">
        <f>(tblJTL[[#This Row],[timeStamp]]-'17_分析サンプル'!$E$18)/1000</f>
        <v>56.92</v>
      </c>
      <c r="V135" s="57">
        <f>INT(tblJTL[[#This Row],[経過秒]]/60)</f>
        <v>0</v>
      </c>
      <c r="W135" s="57">
        <f>IF(OR(tblJTL[[#This Row],[success]]=FALSE,tblJTL[[#This Row],[success]]="false"),1,0)</f>
        <v>0</v>
      </c>
      <c r="X135" s="57">
        <f>IF(AND(tblJTL[[#This Row],[経過秒]]&gt;='17_分析サンプル'!$E$11,tblJTL[[#This Row],[経過秒]]&lt;'17_分析サンプル'!$E$12),1,0)</f>
        <v>0</v>
      </c>
    </row>
    <row r="136" spans="2:24" ht="14.4" x14ac:dyDescent="0.3">
      <c r="B136" s="57">
        <v>1790816457556</v>
      </c>
      <c r="C136" s="58">
        <v>137</v>
      </c>
      <c r="D136" s="59" t="s">
        <v>1677</v>
      </c>
      <c r="E136" s="59" t="s">
        <v>3579</v>
      </c>
      <c r="F136" s="59" t="s">
        <v>3580</v>
      </c>
      <c r="G136" s="59" t="s">
        <v>3582</v>
      </c>
      <c r="H136" s="59" t="s">
        <v>2281</v>
      </c>
      <c r="I136" s="59" t="b">
        <v>1</v>
      </c>
      <c r="J136" s="59"/>
      <c r="K136" s="58">
        <v>419</v>
      </c>
      <c r="L136" s="58">
        <v>1478</v>
      </c>
      <c r="M136" s="59">
        <v>10</v>
      </c>
      <c r="N136" s="59">
        <v>10</v>
      </c>
      <c r="O136" s="59" t="s">
        <v>3581</v>
      </c>
      <c r="P136" s="58">
        <v>131</v>
      </c>
      <c r="Q136" s="59">
        <v>0</v>
      </c>
      <c r="R136" s="59">
        <v>0</v>
      </c>
      <c r="S136" s="60">
        <f>tblJTL[[#This Row],[timeStamp]]/86400000+DATE(1970,1,1)+TIME(9,0,0)</f>
        <v>46296.417332824072</v>
      </c>
      <c r="T136" s="57">
        <f>tblJTL[[#This Row],[timeStamp]]+tblJTL[[#This Row],[elapsed]]</f>
        <v>1790816457693</v>
      </c>
      <c r="U136" s="61">
        <f>(tblJTL[[#This Row],[timeStamp]]-'17_分析サンプル'!$E$18)/1000</f>
        <v>57.375999999999998</v>
      </c>
      <c r="V136" s="57">
        <f>INT(tblJTL[[#This Row],[経過秒]]/60)</f>
        <v>0</v>
      </c>
      <c r="W136" s="57">
        <f>IF(OR(tblJTL[[#This Row],[success]]=FALSE,tblJTL[[#This Row],[success]]="false"),1,0)</f>
        <v>0</v>
      </c>
      <c r="X136" s="57">
        <f>IF(AND(tblJTL[[#This Row],[経過秒]]&gt;='17_分析サンプル'!$E$11,tblJTL[[#This Row],[経過秒]]&lt;'17_分析サンプル'!$E$12),1,0)</f>
        <v>0</v>
      </c>
    </row>
    <row r="137" spans="2:24" ht="14.4" x14ac:dyDescent="0.3">
      <c r="B137" s="57">
        <v>1790816457819</v>
      </c>
      <c r="C137" s="58">
        <v>86</v>
      </c>
      <c r="D137" s="59" t="s">
        <v>1658</v>
      </c>
      <c r="E137" s="59" t="s">
        <v>1577</v>
      </c>
      <c r="F137" s="59" t="s">
        <v>2275</v>
      </c>
      <c r="G137" s="59" t="s">
        <v>3577</v>
      </c>
      <c r="H137" s="59" t="s">
        <v>2281</v>
      </c>
      <c r="I137" s="59" t="b">
        <v>1</v>
      </c>
      <c r="J137" s="59"/>
      <c r="K137" s="58">
        <v>1894</v>
      </c>
      <c r="L137" s="58">
        <v>1342</v>
      </c>
      <c r="M137" s="59">
        <v>10</v>
      </c>
      <c r="N137" s="59">
        <v>10</v>
      </c>
      <c r="O137" s="59" t="s">
        <v>3578</v>
      </c>
      <c r="P137" s="58">
        <v>78</v>
      </c>
      <c r="Q137" s="59">
        <v>0</v>
      </c>
      <c r="R137" s="59">
        <v>0</v>
      </c>
      <c r="S137" s="60">
        <f>tblJTL[[#This Row],[timeStamp]]/86400000+DATE(1970,1,1)+TIME(9,0,0)</f>
        <v>46296.417335868056</v>
      </c>
      <c r="T137" s="57">
        <f>tblJTL[[#This Row],[timeStamp]]+tblJTL[[#This Row],[elapsed]]</f>
        <v>1790816457905</v>
      </c>
      <c r="U137" s="61">
        <f>(tblJTL[[#This Row],[timeStamp]]-'17_分析サンプル'!$E$18)/1000</f>
        <v>57.639000000000003</v>
      </c>
      <c r="V137" s="57">
        <f>INT(tblJTL[[#This Row],[経過秒]]/60)</f>
        <v>0</v>
      </c>
      <c r="W137" s="57">
        <f>IF(OR(tblJTL[[#This Row],[success]]=FALSE,tblJTL[[#This Row],[success]]="false"),1,0)</f>
        <v>0</v>
      </c>
      <c r="X137" s="57">
        <f>IF(AND(tblJTL[[#This Row],[経過秒]]&gt;='17_分析サンプル'!$E$11,tblJTL[[#This Row],[経過秒]]&lt;'17_分析サンプル'!$E$12),1,0)</f>
        <v>0</v>
      </c>
    </row>
    <row r="138" spans="2:24" ht="14.4" x14ac:dyDescent="0.3">
      <c r="B138" s="57">
        <v>1790816457738</v>
      </c>
      <c r="C138" s="58">
        <v>211</v>
      </c>
      <c r="D138" s="59" t="s">
        <v>1677</v>
      </c>
      <c r="E138" s="59" t="s">
        <v>3579</v>
      </c>
      <c r="F138" s="59" t="s">
        <v>3580</v>
      </c>
      <c r="G138" s="59" t="s">
        <v>2278</v>
      </c>
      <c r="H138" s="59" t="s">
        <v>2281</v>
      </c>
      <c r="I138" s="59" t="b">
        <v>1</v>
      </c>
      <c r="J138" s="59"/>
      <c r="K138" s="58">
        <v>416</v>
      </c>
      <c r="L138" s="58">
        <v>1478</v>
      </c>
      <c r="M138" s="59">
        <v>10</v>
      </c>
      <c r="N138" s="59">
        <v>10</v>
      </c>
      <c r="O138" s="59" t="s">
        <v>3581</v>
      </c>
      <c r="P138" s="58">
        <v>207</v>
      </c>
      <c r="Q138" s="59">
        <v>0</v>
      </c>
      <c r="R138" s="59">
        <v>0</v>
      </c>
      <c r="S138" s="60">
        <f>tblJTL[[#This Row],[timeStamp]]/86400000+DATE(1970,1,1)+TIME(9,0,0)</f>
        <v>46296.417334930557</v>
      </c>
      <c r="T138" s="57">
        <f>tblJTL[[#This Row],[timeStamp]]+tblJTL[[#This Row],[elapsed]]</f>
        <v>1790816457949</v>
      </c>
      <c r="U138" s="61">
        <f>(tblJTL[[#This Row],[timeStamp]]-'17_分析サンプル'!$E$18)/1000</f>
        <v>57.558</v>
      </c>
      <c r="V138" s="57">
        <f>INT(tblJTL[[#This Row],[経過秒]]/60)</f>
        <v>0</v>
      </c>
      <c r="W138" s="57">
        <f>IF(OR(tblJTL[[#This Row],[success]]=FALSE,tblJTL[[#This Row],[success]]="false"),1,0)</f>
        <v>0</v>
      </c>
      <c r="X138" s="57">
        <f>IF(AND(tblJTL[[#This Row],[経過秒]]&gt;='17_分析サンプル'!$E$11,tblJTL[[#This Row],[経過秒]]&lt;'17_分析サンプル'!$E$12),1,0)</f>
        <v>0</v>
      </c>
    </row>
    <row r="139" spans="2:24" ht="14.4" x14ac:dyDescent="0.3">
      <c r="B139" s="57">
        <v>1790816458134</v>
      </c>
      <c r="C139" s="58">
        <v>131</v>
      </c>
      <c r="D139" s="59" t="s">
        <v>1658</v>
      </c>
      <c r="E139" s="59" t="s">
        <v>1577</v>
      </c>
      <c r="F139" s="59" t="s">
        <v>2275</v>
      </c>
      <c r="G139" s="59" t="s">
        <v>3585</v>
      </c>
      <c r="H139" s="59" t="s">
        <v>2281</v>
      </c>
      <c r="I139" s="59" t="b">
        <v>1</v>
      </c>
      <c r="J139" s="59"/>
      <c r="K139" s="58">
        <v>1824</v>
      </c>
      <c r="L139" s="58">
        <v>1342</v>
      </c>
      <c r="M139" s="59">
        <v>10</v>
      </c>
      <c r="N139" s="59">
        <v>10</v>
      </c>
      <c r="O139" s="59" t="s">
        <v>3578</v>
      </c>
      <c r="P139" s="58">
        <v>128</v>
      </c>
      <c r="Q139" s="59">
        <v>0</v>
      </c>
      <c r="R139" s="59">
        <v>0</v>
      </c>
      <c r="S139" s="60">
        <f>tblJTL[[#This Row],[timeStamp]]/86400000+DATE(1970,1,1)+TIME(9,0,0)</f>
        <v>46296.417339513893</v>
      </c>
      <c r="T139" s="57">
        <f>tblJTL[[#This Row],[timeStamp]]+tblJTL[[#This Row],[elapsed]]</f>
        <v>1790816458265</v>
      </c>
      <c r="U139" s="61">
        <f>(tblJTL[[#This Row],[timeStamp]]-'17_分析サンプル'!$E$18)/1000</f>
        <v>57.954000000000001</v>
      </c>
      <c r="V139" s="57">
        <f>INT(tblJTL[[#This Row],[経過秒]]/60)</f>
        <v>0</v>
      </c>
      <c r="W139" s="57">
        <f>IF(OR(tblJTL[[#This Row],[success]]=FALSE,tblJTL[[#This Row],[success]]="false"),1,0)</f>
        <v>0</v>
      </c>
      <c r="X139" s="57">
        <f>IF(AND(tblJTL[[#This Row],[経過秒]]&gt;='17_分析サンプル'!$E$11,tblJTL[[#This Row],[経過秒]]&lt;'17_分析サンプル'!$E$12),1,0)</f>
        <v>0</v>
      </c>
    </row>
    <row r="140" spans="2:24" ht="14.4" x14ac:dyDescent="0.3">
      <c r="B140" s="57">
        <v>1790816458469</v>
      </c>
      <c r="C140" s="58">
        <v>176</v>
      </c>
      <c r="D140" s="59" t="s">
        <v>1677</v>
      </c>
      <c r="E140" s="59" t="s">
        <v>3579</v>
      </c>
      <c r="F140" s="59" t="s">
        <v>3580</v>
      </c>
      <c r="G140" s="59" t="s">
        <v>3588</v>
      </c>
      <c r="H140" s="59" t="s">
        <v>2281</v>
      </c>
      <c r="I140" s="59" t="b">
        <v>1</v>
      </c>
      <c r="J140" s="59"/>
      <c r="K140" s="58">
        <v>424</v>
      </c>
      <c r="L140" s="58">
        <v>1478</v>
      </c>
      <c r="M140" s="59">
        <v>10</v>
      </c>
      <c r="N140" s="59">
        <v>10</v>
      </c>
      <c r="O140" s="59" t="s">
        <v>3581</v>
      </c>
      <c r="P140" s="58">
        <v>168</v>
      </c>
      <c r="Q140" s="59">
        <v>0</v>
      </c>
      <c r="R140" s="59">
        <v>0</v>
      </c>
      <c r="S140" s="60">
        <f>tblJTL[[#This Row],[timeStamp]]/86400000+DATE(1970,1,1)+TIME(9,0,0)</f>
        <v>46296.417343391207</v>
      </c>
      <c r="T140" s="57">
        <f>tblJTL[[#This Row],[timeStamp]]+tblJTL[[#This Row],[elapsed]]</f>
        <v>1790816458645</v>
      </c>
      <c r="U140" s="61">
        <f>(tblJTL[[#This Row],[timeStamp]]-'17_分析サンプル'!$E$18)/1000</f>
        <v>58.289000000000001</v>
      </c>
      <c r="V140" s="57">
        <f>INT(tblJTL[[#This Row],[経過秒]]/60)</f>
        <v>0</v>
      </c>
      <c r="W140" s="57">
        <f>IF(OR(tblJTL[[#This Row],[success]]=FALSE,tblJTL[[#This Row],[success]]="false"),1,0)</f>
        <v>0</v>
      </c>
      <c r="X140" s="57">
        <f>IF(AND(tblJTL[[#This Row],[経過秒]]&gt;='17_分析サンプル'!$E$11,tblJTL[[#This Row],[経過秒]]&lt;'17_分析サンプル'!$E$12),1,0)</f>
        <v>0</v>
      </c>
    </row>
    <row r="141" spans="2:24" ht="14.4" x14ac:dyDescent="0.3">
      <c r="B141" s="57">
        <v>1790816458700</v>
      </c>
      <c r="C141" s="58">
        <v>152</v>
      </c>
      <c r="D141" s="59" t="s">
        <v>1658</v>
      </c>
      <c r="E141" s="59" t="s">
        <v>1577</v>
      </c>
      <c r="F141" s="59" t="s">
        <v>2275</v>
      </c>
      <c r="G141" s="59" t="s">
        <v>3587</v>
      </c>
      <c r="H141" s="59" t="s">
        <v>2281</v>
      </c>
      <c r="I141" s="59" t="b">
        <v>1</v>
      </c>
      <c r="J141" s="59"/>
      <c r="K141" s="58">
        <v>1833</v>
      </c>
      <c r="L141" s="58">
        <v>1342</v>
      </c>
      <c r="M141" s="59">
        <v>10</v>
      </c>
      <c r="N141" s="59">
        <v>10</v>
      </c>
      <c r="O141" s="59" t="s">
        <v>3578</v>
      </c>
      <c r="P141" s="58">
        <v>150</v>
      </c>
      <c r="Q141" s="59">
        <v>0</v>
      </c>
      <c r="R141" s="59">
        <v>0</v>
      </c>
      <c r="S141" s="60">
        <f>tblJTL[[#This Row],[timeStamp]]/86400000+DATE(1970,1,1)+TIME(9,0,0)</f>
        <v>46296.417346064816</v>
      </c>
      <c r="T141" s="57">
        <f>tblJTL[[#This Row],[timeStamp]]+tblJTL[[#This Row],[elapsed]]</f>
        <v>1790816458852</v>
      </c>
      <c r="U141" s="61">
        <f>(tblJTL[[#This Row],[timeStamp]]-'17_分析サンプル'!$E$18)/1000</f>
        <v>58.52</v>
      </c>
      <c r="V141" s="57">
        <f>INT(tblJTL[[#This Row],[経過秒]]/60)</f>
        <v>0</v>
      </c>
      <c r="W141" s="57">
        <f>IF(OR(tblJTL[[#This Row],[success]]=FALSE,tblJTL[[#This Row],[success]]="false"),1,0)</f>
        <v>0</v>
      </c>
      <c r="X141" s="57">
        <f>IF(AND(tblJTL[[#This Row],[経過秒]]&gt;='17_分析サンプル'!$E$11,tblJTL[[#This Row],[経過秒]]&lt;'17_分析サンプル'!$E$12),1,0)</f>
        <v>0</v>
      </c>
    </row>
    <row r="142" spans="2:24" ht="14.4" x14ac:dyDescent="0.3">
      <c r="B142" s="57">
        <v>1790816458893</v>
      </c>
      <c r="C142" s="58">
        <v>92</v>
      </c>
      <c r="D142" s="59" t="s">
        <v>1658</v>
      </c>
      <c r="E142" s="59" t="s">
        <v>1577</v>
      </c>
      <c r="F142" s="59" t="s">
        <v>2275</v>
      </c>
      <c r="G142" s="59" t="s">
        <v>3583</v>
      </c>
      <c r="H142" s="59" t="s">
        <v>2281</v>
      </c>
      <c r="I142" s="59" t="b">
        <v>1</v>
      </c>
      <c r="J142" s="59"/>
      <c r="K142" s="58">
        <v>1832</v>
      </c>
      <c r="L142" s="58">
        <v>1342</v>
      </c>
      <c r="M142" s="59">
        <v>10</v>
      </c>
      <c r="N142" s="59">
        <v>10</v>
      </c>
      <c r="O142" s="59" t="s">
        <v>3578</v>
      </c>
      <c r="P142" s="58">
        <v>86</v>
      </c>
      <c r="Q142" s="59">
        <v>0</v>
      </c>
      <c r="R142" s="59">
        <v>0</v>
      </c>
      <c r="S142" s="60">
        <f>tblJTL[[#This Row],[timeStamp]]/86400000+DATE(1970,1,1)+TIME(9,0,0)</f>
        <v>46296.417348298608</v>
      </c>
      <c r="T142" s="57">
        <f>tblJTL[[#This Row],[timeStamp]]+tblJTL[[#This Row],[elapsed]]</f>
        <v>1790816458985</v>
      </c>
      <c r="U142" s="61">
        <f>(tblJTL[[#This Row],[timeStamp]]-'17_分析サンプル'!$E$18)/1000</f>
        <v>58.713000000000001</v>
      </c>
      <c r="V142" s="57">
        <f>INT(tblJTL[[#This Row],[経過秒]]/60)</f>
        <v>0</v>
      </c>
      <c r="W142" s="57">
        <f>IF(OR(tblJTL[[#This Row],[success]]=FALSE,tblJTL[[#This Row],[success]]="false"),1,0)</f>
        <v>0</v>
      </c>
      <c r="X142" s="57">
        <f>IF(AND(tblJTL[[#This Row],[経過秒]]&gt;='17_分析サンプル'!$E$11,tblJTL[[#This Row],[経過秒]]&lt;'17_分析サンプル'!$E$12),1,0)</f>
        <v>0</v>
      </c>
    </row>
    <row r="143" spans="2:24" ht="14.4" x14ac:dyDescent="0.3">
      <c r="B143" s="57">
        <v>1790816458994</v>
      </c>
      <c r="C143" s="58">
        <v>117</v>
      </c>
      <c r="D143" s="59" t="s">
        <v>1658</v>
      </c>
      <c r="E143" s="59" t="s">
        <v>1577</v>
      </c>
      <c r="F143" s="59" t="s">
        <v>2275</v>
      </c>
      <c r="G143" s="59" t="s">
        <v>3584</v>
      </c>
      <c r="H143" s="59" t="s">
        <v>2281</v>
      </c>
      <c r="I143" s="59" t="b">
        <v>1</v>
      </c>
      <c r="J143" s="59"/>
      <c r="K143" s="58">
        <v>1823</v>
      </c>
      <c r="L143" s="58">
        <v>1342</v>
      </c>
      <c r="M143" s="59">
        <v>10</v>
      </c>
      <c r="N143" s="59">
        <v>10</v>
      </c>
      <c r="O143" s="59" t="s">
        <v>3578</v>
      </c>
      <c r="P143" s="58">
        <v>110</v>
      </c>
      <c r="Q143" s="59">
        <v>0</v>
      </c>
      <c r="R143" s="59">
        <v>0</v>
      </c>
      <c r="S143" s="60">
        <f>tblJTL[[#This Row],[timeStamp]]/86400000+DATE(1970,1,1)+TIME(9,0,0)</f>
        <v>46296.417349467592</v>
      </c>
      <c r="T143" s="57">
        <f>tblJTL[[#This Row],[timeStamp]]+tblJTL[[#This Row],[elapsed]]</f>
        <v>1790816459111</v>
      </c>
      <c r="U143" s="61">
        <f>(tblJTL[[#This Row],[timeStamp]]-'17_分析サンプル'!$E$18)/1000</f>
        <v>58.814</v>
      </c>
      <c r="V143" s="57">
        <f>INT(tblJTL[[#This Row],[経過秒]]/60)</f>
        <v>0</v>
      </c>
      <c r="W143" s="57">
        <f>IF(OR(tblJTL[[#This Row],[success]]=FALSE,tblJTL[[#This Row],[success]]="false"),1,0)</f>
        <v>0</v>
      </c>
      <c r="X143" s="57">
        <f>IF(AND(tblJTL[[#This Row],[経過秒]]&gt;='17_分析サンプル'!$E$11,tblJTL[[#This Row],[経過秒]]&lt;'17_分析サンプル'!$E$12),1,0)</f>
        <v>0</v>
      </c>
    </row>
    <row r="144" spans="2:24" ht="14.4" x14ac:dyDescent="0.3">
      <c r="B144" s="57">
        <v>1790816459291</v>
      </c>
      <c r="C144" s="58">
        <v>88</v>
      </c>
      <c r="D144" s="59" t="s">
        <v>1658</v>
      </c>
      <c r="E144" s="59" t="s">
        <v>1577</v>
      </c>
      <c r="F144" s="59" t="s">
        <v>2275</v>
      </c>
      <c r="G144" s="59" t="s">
        <v>2278</v>
      </c>
      <c r="H144" s="59" t="s">
        <v>2281</v>
      </c>
      <c r="I144" s="59" t="b">
        <v>1</v>
      </c>
      <c r="J144" s="59"/>
      <c r="K144" s="58">
        <v>1849</v>
      </c>
      <c r="L144" s="58">
        <v>1342</v>
      </c>
      <c r="M144" s="59">
        <v>10</v>
      </c>
      <c r="N144" s="59">
        <v>10</v>
      </c>
      <c r="O144" s="59" t="s">
        <v>3578</v>
      </c>
      <c r="P144" s="58">
        <v>85</v>
      </c>
      <c r="Q144" s="59">
        <v>0</v>
      </c>
      <c r="R144" s="59">
        <v>0</v>
      </c>
      <c r="S144" s="60">
        <f>tblJTL[[#This Row],[timeStamp]]/86400000+DATE(1970,1,1)+TIME(9,0,0)</f>
        <v>46296.41735290509</v>
      </c>
      <c r="T144" s="57">
        <f>tblJTL[[#This Row],[timeStamp]]+tblJTL[[#This Row],[elapsed]]</f>
        <v>1790816459379</v>
      </c>
      <c r="U144" s="61">
        <f>(tblJTL[[#This Row],[timeStamp]]-'17_分析サンプル'!$E$18)/1000</f>
        <v>59.110999999999997</v>
      </c>
      <c r="V144" s="57">
        <f>INT(tblJTL[[#This Row],[経過秒]]/60)</f>
        <v>0</v>
      </c>
      <c r="W144" s="57">
        <f>IF(OR(tblJTL[[#This Row],[success]]=FALSE,tblJTL[[#This Row],[success]]="false"),1,0)</f>
        <v>0</v>
      </c>
      <c r="X144" s="57">
        <f>IF(AND(tblJTL[[#This Row],[経過秒]]&gt;='17_分析サンプル'!$E$11,tblJTL[[#This Row],[経過秒]]&lt;'17_分析サンプル'!$E$12),1,0)</f>
        <v>0</v>
      </c>
    </row>
    <row r="145" spans="2:24" ht="14.4" x14ac:dyDescent="0.3">
      <c r="B145" s="57">
        <v>1790816459362</v>
      </c>
      <c r="C145" s="58">
        <v>308</v>
      </c>
      <c r="D145" s="59" t="s">
        <v>1677</v>
      </c>
      <c r="E145" s="59" t="s">
        <v>3579</v>
      </c>
      <c r="F145" s="59" t="s">
        <v>3580</v>
      </c>
      <c r="G145" s="59" t="s">
        <v>3586</v>
      </c>
      <c r="H145" s="59" t="s">
        <v>2281</v>
      </c>
      <c r="I145" s="59" t="b">
        <v>1</v>
      </c>
      <c r="J145" s="59"/>
      <c r="K145" s="58">
        <v>417</v>
      </c>
      <c r="L145" s="58">
        <v>1478</v>
      </c>
      <c r="M145" s="59">
        <v>10</v>
      </c>
      <c r="N145" s="59">
        <v>10</v>
      </c>
      <c r="O145" s="59" t="s">
        <v>3581</v>
      </c>
      <c r="P145" s="58">
        <v>306</v>
      </c>
      <c r="Q145" s="59">
        <v>0</v>
      </c>
      <c r="R145" s="59">
        <v>0</v>
      </c>
      <c r="S145" s="60">
        <f>tblJTL[[#This Row],[timeStamp]]/86400000+DATE(1970,1,1)+TIME(9,0,0)</f>
        <v>46296.417353726851</v>
      </c>
      <c r="T145" s="57">
        <f>tblJTL[[#This Row],[timeStamp]]+tblJTL[[#This Row],[elapsed]]</f>
        <v>1790816459670</v>
      </c>
      <c r="U145" s="61">
        <f>(tblJTL[[#This Row],[timeStamp]]-'17_分析サンプル'!$E$18)/1000</f>
        <v>59.182000000000002</v>
      </c>
      <c r="V145" s="57">
        <f>INT(tblJTL[[#This Row],[経過秒]]/60)</f>
        <v>0</v>
      </c>
      <c r="W145" s="57">
        <f>IF(OR(tblJTL[[#This Row],[success]]=FALSE,tblJTL[[#This Row],[success]]="false"),1,0)</f>
        <v>0</v>
      </c>
      <c r="X145" s="57">
        <f>IF(AND(tblJTL[[#This Row],[経過秒]]&gt;='17_分析サンプル'!$E$11,tblJTL[[#This Row],[経過秒]]&lt;'17_分析サンプル'!$E$12),1,0)</f>
        <v>0</v>
      </c>
    </row>
    <row r="146" spans="2:24" ht="14.4" x14ac:dyDescent="0.3">
      <c r="B146" s="57">
        <v>1790816460003</v>
      </c>
      <c r="C146" s="58">
        <v>163</v>
      </c>
      <c r="D146" s="59" t="s">
        <v>1677</v>
      </c>
      <c r="E146" s="59" t="s">
        <v>3579</v>
      </c>
      <c r="F146" s="59" t="s">
        <v>3580</v>
      </c>
      <c r="G146" s="59" t="s">
        <v>3583</v>
      </c>
      <c r="H146" s="59" t="s">
        <v>2281</v>
      </c>
      <c r="I146" s="59" t="b">
        <v>1</v>
      </c>
      <c r="J146" s="59"/>
      <c r="K146" s="58">
        <v>436</v>
      </c>
      <c r="L146" s="58">
        <v>1478</v>
      </c>
      <c r="M146" s="59">
        <v>10</v>
      </c>
      <c r="N146" s="59">
        <v>10</v>
      </c>
      <c r="O146" s="59" t="s">
        <v>3581</v>
      </c>
      <c r="P146" s="58">
        <v>159</v>
      </c>
      <c r="Q146" s="59">
        <v>0</v>
      </c>
      <c r="R146" s="59">
        <v>0</v>
      </c>
      <c r="S146" s="60">
        <f>tblJTL[[#This Row],[timeStamp]]/86400000+DATE(1970,1,1)+TIME(9,0,0)</f>
        <v>46296.417361145832</v>
      </c>
      <c r="T146" s="57">
        <f>tblJTL[[#This Row],[timeStamp]]+tblJTL[[#This Row],[elapsed]]</f>
        <v>1790816460166</v>
      </c>
      <c r="U146" s="61">
        <f>(tblJTL[[#This Row],[timeStamp]]-'17_分析サンプル'!$E$18)/1000</f>
        <v>59.823</v>
      </c>
      <c r="V146" s="57">
        <f>INT(tblJTL[[#This Row],[経過秒]]/60)</f>
        <v>0</v>
      </c>
      <c r="W146" s="57">
        <f>IF(OR(tblJTL[[#This Row],[success]]=FALSE,tblJTL[[#This Row],[success]]="false"),1,0)</f>
        <v>0</v>
      </c>
      <c r="X146" s="57">
        <f>IF(AND(tblJTL[[#This Row],[経過秒]]&gt;='17_分析サンプル'!$E$11,tblJTL[[#This Row],[経過秒]]&lt;'17_分析サンプル'!$E$12),1,0)</f>
        <v>0</v>
      </c>
    </row>
    <row r="147" spans="2:24" ht="14.4" x14ac:dyDescent="0.3">
      <c r="B147" s="57">
        <v>1790816460016</v>
      </c>
      <c r="C147" s="58">
        <v>174</v>
      </c>
      <c r="D147" s="59" t="s">
        <v>1677</v>
      </c>
      <c r="E147" s="59" t="s">
        <v>3579</v>
      </c>
      <c r="F147" s="59" t="s">
        <v>3580</v>
      </c>
      <c r="G147" s="59" t="s">
        <v>3589</v>
      </c>
      <c r="H147" s="59" t="s">
        <v>2281</v>
      </c>
      <c r="I147" s="59" t="b">
        <v>1</v>
      </c>
      <c r="J147" s="59"/>
      <c r="K147" s="58">
        <v>425</v>
      </c>
      <c r="L147" s="58">
        <v>1478</v>
      </c>
      <c r="M147" s="59">
        <v>10</v>
      </c>
      <c r="N147" s="59">
        <v>10</v>
      </c>
      <c r="O147" s="59" t="s">
        <v>3581</v>
      </c>
      <c r="P147" s="58">
        <v>172</v>
      </c>
      <c r="Q147" s="59">
        <v>0</v>
      </c>
      <c r="R147" s="59">
        <v>0</v>
      </c>
      <c r="S147" s="60">
        <f>tblJTL[[#This Row],[timeStamp]]/86400000+DATE(1970,1,1)+TIME(9,0,0)</f>
        <v>46296.417361296291</v>
      </c>
      <c r="T147" s="57">
        <f>tblJTL[[#This Row],[timeStamp]]+tblJTL[[#This Row],[elapsed]]</f>
        <v>1790816460190</v>
      </c>
      <c r="U147" s="61">
        <f>(tblJTL[[#This Row],[timeStamp]]-'17_分析サンプル'!$E$18)/1000</f>
        <v>59.835999999999999</v>
      </c>
      <c r="V147" s="57">
        <f>INT(tblJTL[[#This Row],[経過秒]]/60)</f>
        <v>0</v>
      </c>
      <c r="W147" s="57">
        <f>IF(OR(tblJTL[[#This Row],[success]]=FALSE,tblJTL[[#This Row],[success]]="false"),1,0)</f>
        <v>0</v>
      </c>
      <c r="X147" s="57">
        <f>IF(AND(tblJTL[[#This Row],[経過秒]]&gt;='17_分析サンプル'!$E$11,tblJTL[[#This Row],[経過秒]]&lt;'17_分析サンプル'!$E$12),1,0)</f>
        <v>0</v>
      </c>
    </row>
    <row r="148" spans="2:24" ht="14.4" x14ac:dyDescent="0.3">
      <c r="B148" s="57">
        <v>1790816460288</v>
      </c>
      <c r="C148" s="58">
        <v>165</v>
      </c>
      <c r="D148" s="59" t="s">
        <v>1677</v>
      </c>
      <c r="E148" s="59" t="s">
        <v>3579</v>
      </c>
      <c r="F148" s="59" t="s">
        <v>3580</v>
      </c>
      <c r="G148" s="59" t="s">
        <v>3577</v>
      </c>
      <c r="H148" s="59" t="s">
        <v>2281</v>
      </c>
      <c r="I148" s="59" t="b">
        <v>1</v>
      </c>
      <c r="J148" s="59"/>
      <c r="K148" s="58">
        <v>425</v>
      </c>
      <c r="L148" s="58">
        <v>1478</v>
      </c>
      <c r="M148" s="59">
        <v>10</v>
      </c>
      <c r="N148" s="59">
        <v>10</v>
      </c>
      <c r="O148" s="59" t="s">
        <v>3581</v>
      </c>
      <c r="P148" s="58">
        <v>157</v>
      </c>
      <c r="Q148" s="59">
        <v>0</v>
      </c>
      <c r="R148" s="59">
        <v>0</v>
      </c>
      <c r="S148" s="60">
        <f>tblJTL[[#This Row],[timeStamp]]/86400000+DATE(1970,1,1)+TIME(9,0,0)</f>
        <v>46296.417364444445</v>
      </c>
      <c r="T148" s="57">
        <f>tblJTL[[#This Row],[timeStamp]]+tblJTL[[#This Row],[elapsed]]</f>
        <v>1790816460453</v>
      </c>
      <c r="U148" s="61">
        <f>(tblJTL[[#This Row],[timeStamp]]-'17_分析サンプル'!$E$18)/1000</f>
        <v>60.107999999999997</v>
      </c>
      <c r="V148" s="57">
        <f>INT(tblJTL[[#This Row],[経過秒]]/60)</f>
        <v>1</v>
      </c>
      <c r="W148" s="57">
        <f>IF(OR(tblJTL[[#This Row],[success]]=FALSE,tblJTL[[#This Row],[success]]="false"),1,0)</f>
        <v>0</v>
      </c>
      <c r="X148" s="57">
        <f>IF(AND(tblJTL[[#This Row],[経過秒]]&gt;='17_分析サンプル'!$E$11,tblJTL[[#This Row],[経過秒]]&lt;'17_分析サンプル'!$E$12),1,0)</f>
        <v>1</v>
      </c>
    </row>
    <row r="149" spans="2:24" ht="14.4" x14ac:dyDescent="0.3">
      <c r="B149" s="57">
        <v>1790816460415</v>
      </c>
      <c r="C149" s="58">
        <v>233</v>
      </c>
      <c r="D149" s="59" t="s">
        <v>1677</v>
      </c>
      <c r="E149" s="59" t="s">
        <v>3579</v>
      </c>
      <c r="F149" s="59" t="s">
        <v>3580</v>
      </c>
      <c r="G149" s="59" t="s">
        <v>3585</v>
      </c>
      <c r="H149" s="59" t="s">
        <v>2281</v>
      </c>
      <c r="I149" s="59" t="b">
        <v>1</v>
      </c>
      <c r="J149" s="59"/>
      <c r="K149" s="58">
        <v>420</v>
      </c>
      <c r="L149" s="58">
        <v>1478</v>
      </c>
      <c r="M149" s="59">
        <v>10</v>
      </c>
      <c r="N149" s="59">
        <v>10</v>
      </c>
      <c r="O149" s="59" t="s">
        <v>3581</v>
      </c>
      <c r="P149" s="58">
        <v>225</v>
      </c>
      <c r="Q149" s="59">
        <v>0</v>
      </c>
      <c r="R149" s="59">
        <v>0</v>
      </c>
      <c r="S149" s="60">
        <f>tblJTL[[#This Row],[timeStamp]]/86400000+DATE(1970,1,1)+TIME(9,0,0)</f>
        <v>46296.417365914356</v>
      </c>
      <c r="T149" s="57">
        <f>tblJTL[[#This Row],[timeStamp]]+tblJTL[[#This Row],[elapsed]]</f>
        <v>1790816460648</v>
      </c>
      <c r="U149" s="61">
        <f>(tblJTL[[#This Row],[timeStamp]]-'17_分析サンプル'!$E$18)/1000</f>
        <v>60.234999999999999</v>
      </c>
      <c r="V149" s="57">
        <f>INT(tblJTL[[#This Row],[経過秒]]/60)</f>
        <v>1</v>
      </c>
      <c r="W149" s="57">
        <f>IF(OR(tblJTL[[#This Row],[success]]=FALSE,tblJTL[[#This Row],[success]]="false"),1,0)</f>
        <v>0</v>
      </c>
      <c r="X149" s="57">
        <f>IF(AND(tblJTL[[#This Row],[経過秒]]&gt;='17_分析サンプル'!$E$11,tblJTL[[#This Row],[経過秒]]&lt;'17_分析サンプル'!$E$12),1,0)</f>
        <v>1</v>
      </c>
    </row>
    <row r="150" spans="2:24" ht="14.4" x14ac:dyDescent="0.3">
      <c r="B150" s="57">
        <v>1790816460404</v>
      </c>
      <c r="C150" s="58">
        <v>255</v>
      </c>
      <c r="D150" s="59" t="s">
        <v>1677</v>
      </c>
      <c r="E150" s="59" t="s">
        <v>3579</v>
      </c>
      <c r="F150" s="59" t="s">
        <v>3580</v>
      </c>
      <c r="G150" s="59" t="s">
        <v>3584</v>
      </c>
      <c r="H150" s="59" t="s">
        <v>2281</v>
      </c>
      <c r="I150" s="59" t="b">
        <v>1</v>
      </c>
      <c r="J150" s="59"/>
      <c r="K150" s="58">
        <v>433</v>
      </c>
      <c r="L150" s="58">
        <v>1478</v>
      </c>
      <c r="M150" s="59">
        <v>10</v>
      </c>
      <c r="N150" s="59">
        <v>10</v>
      </c>
      <c r="O150" s="59" t="s">
        <v>3581</v>
      </c>
      <c r="P150" s="58">
        <v>249</v>
      </c>
      <c r="Q150" s="59">
        <v>0</v>
      </c>
      <c r="R150" s="59">
        <v>0</v>
      </c>
      <c r="S150" s="60">
        <f>tblJTL[[#This Row],[timeStamp]]/86400000+DATE(1970,1,1)+TIME(9,0,0)</f>
        <v>46296.417365787041</v>
      </c>
      <c r="T150" s="57">
        <f>tblJTL[[#This Row],[timeStamp]]+tblJTL[[#This Row],[elapsed]]</f>
        <v>1790816460659</v>
      </c>
      <c r="U150" s="61">
        <f>(tblJTL[[#This Row],[timeStamp]]-'17_分析サンプル'!$E$18)/1000</f>
        <v>60.223999999999997</v>
      </c>
      <c r="V150" s="57">
        <f>INT(tblJTL[[#This Row],[経過秒]]/60)</f>
        <v>1</v>
      </c>
      <c r="W150" s="57">
        <f>IF(OR(tblJTL[[#This Row],[success]]=FALSE,tblJTL[[#This Row],[success]]="false"),1,0)</f>
        <v>0</v>
      </c>
      <c r="X150" s="57">
        <f>IF(AND(tblJTL[[#This Row],[経過秒]]&gt;='17_分析サンプル'!$E$11,tblJTL[[#This Row],[経過秒]]&lt;'17_分析サンプル'!$E$12),1,0)</f>
        <v>1</v>
      </c>
    </row>
    <row r="151" spans="2:24" ht="14.4" x14ac:dyDescent="0.3">
      <c r="B151" s="57">
        <v>1790816460541</v>
      </c>
      <c r="C151" s="58">
        <v>131</v>
      </c>
      <c r="D151" s="59" t="s">
        <v>1658</v>
      </c>
      <c r="E151" s="59" t="s">
        <v>1577</v>
      </c>
      <c r="F151" s="59" t="s">
        <v>2275</v>
      </c>
      <c r="G151" s="59" t="s">
        <v>3582</v>
      </c>
      <c r="H151" s="59" t="s">
        <v>2281</v>
      </c>
      <c r="I151" s="59" t="b">
        <v>1</v>
      </c>
      <c r="J151" s="59"/>
      <c r="K151" s="58">
        <v>1889</v>
      </c>
      <c r="L151" s="58">
        <v>1342</v>
      </c>
      <c r="M151" s="59">
        <v>10</v>
      </c>
      <c r="N151" s="59">
        <v>10</v>
      </c>
      <c r="O151" s="59" t="s">
        <v>3578</v>
      </c>
      <c r="P151" s="58">
        <v>129</v>
      </c>
      <c r="Q151" s="59">
        <v>0</v>
      </c>
      <c r="R151" s="59">
        <v>0</v>
      </c>
      <c r="S151" s="60">
        <f>tblJTL[[#This Row],[timeStamp]]/86400000+DATE(1970,1,1)+TIME(9,0,0)</f>
        <v>46296.417367372684</v>
      </c>
      <c r="T151" s="57">
        <f>tblJTL[[#This Row],[timeStamp]]+tblJTL[[#This Row],[elapsed]]</f>
        <v>1790816460672</v>
      </c>
      <c r="U151" s="61">
        <f>(tblJTL[[#This Row],[timeStamp]]-'17_分析サンプル'!$E$18)/1000</f>
        <v>60.360999999999997</v>
      </c>
      <c r="V151" s="57">
        <f>INT(tblJTL[[#This Row],[経過秒]]/60)</f>
        <v>1</v>
      </c>
      <c r="W151" s="57">
        <f>IF(OR(tblJTL[[#This Row],[success]]=FALSE,tblJTL[[#This Row],[success]]="false"),1,0)</f>
        <v>0</v>
      </c>
      <c r="X151" s="57">
        <f>IF(AND(tblJTL[[#This Row],[経過秒]]&gt;='17_分析サンプル'!$E$11,tblJTL[[#This Row],[経過秒]]&lt;'17_分析サンプル'!$E$12),1,0)</f>
        <v>1</v>
      </c>
    </row>
    <row r="152" spans="2:24" ht="14.4" x14ac:dyDescent="0.3">
      <c r="B152" s="57">
        <v>1790816460751</v>
      </c>
      <c r="C152" s="58">
        <v>100</v>
      </c>
      <c r="D152" s="59" t="s">
        <v>1658</v>
      </c>
      <c r="E152" s="59" t="s">
        <v>1577</v>
      </c>
      <c r="F152" s="59" t="s">
        <v>2275</v>
      </c>
      <c r="G152" s="59" t="s">
        <v>3588</v>
      </c>
      <c r="H152" s="59" t="s">
        <v>2281</v>
      </c>
      <c r="I152" s="59" t="b">
        <v>1</v>
      </c>
      <c r="J152" s="59"/>
      <c r="K152" s="58">
        <v>1823</v>
      </c>
      <c r="L152" s="58">
        <v>1342</v>
      </c>
      <c r="M152" s="59">
        <v>10</v>
      </c>
      <c r="N152" s="59">
        <v>10</v>
      </c>
      <c r="O152" s="59" t="s">
        <v>3578</v>
      </c>
      <c r="P152" s="58">
        <v>92</v>
      </c>
      <c r="Q152" s="59">
        <v>0</v>
      </c>
      <c r="R152" s="59">
        <v>0</v>
      </c>
      <c r="S152" s="60">
        <f>tblJTL[[#This Row],[timeStamp]]/86400000+DATE(1970,1,1)+TIME(9,0,0)</f>
        <v>46296.417369803239</v>
      </c>
      <c r="T152" s="57">
        <f>tblJTL[[#This Row],[timeStamp]]+tblJTL[[#This Row],[elapsed]]</f>
        <v>1790816460851</v>
      </c>
      <c r="U152" s="61">
        <f>(tblJTL[[#This Row],[timeStamp]]-'17_分析サンプル'!$E$18)/1000</f>
        <v>60.570999999999998</v>
      </c>
      <c r="V152" s="57">
        <f>INT(tblJTL[[#This Row],[経過秒]]/60)</f>
        <v>1</v>
      </c>
      <c r="W152" s="57">
        <f>IF(OR(tblJTL[[#This Row],[success]]=FALSE,tblJTL[[#This Row],[success]]="false"),1,0)</f>
        <v>0</v>
      </c>
      <c r="X152" s="57">
        <f>IF(AND(tblJTL[[#This Row],[経過秒]]&gt;='17_分析サンプル'!$E$11,tblJTL[[#This Row],[経過秒]]&lt;'17_分析サンプル'!$E$12),1,0)</f>
        <v>1</v>
      </c>
    </row>
    <row r="153" spans="2:24" ht="14.4" x14ac:dyDescent="0.3">
      <c r="B153" s="57">
        <v>1790816460882</v>
      </c>
      <c r="C153" s="58">
        <v>312</v>
      </c>
      <c r="D153" s="59" t="s">
        <v>1677</v>
      </c>
      <c r="E153" s="59" t="s">
        <v>3579</v>
      </c>
      <c r="F153" s="59" t="s">
        <v>3580</v>
      </c>
      <c r="G153" s="59" t="s">
        <v>2278</v>
      </c>
      <c r="H153" s="59" t="s">
        <v>2281</v>
      </c>
      <c r="I153" s="59" t="b">
        <v>1</v>
      </c>
      <c r="J153" s="59"/>
      <c r="K153" s="58">
        <v>438</v>
      </c>
      <c r="L153" s="58">
        <v>1478</v>
      </c>
      <c r="M153" s="59">
        <v>10</v>
      </c>
      <c r="N153" s="59">
        <v>10</v>
      </c>
      <c r="O153" s="59" t="s">
        <v>3581</v>
      </c>
      <c r="P153" s="58">
        <v>310</v>
      </c>
      <c r="Q153" s="59">
        <v>0</v>
      </c>
      <c r="R153" s="59">
        <v>0</v>
      </c>
      <c r="S153" s="60">
        <f>tblJTL[[#This Row],[timeStamp]]/86400000+DATE(1970,1,1)+TIME(9,0,0)</f>
        <v>46296.417371319447</v>
      </c>
      <c r="T153" s="57">
        <f>tblJTL[[#This Row],[timeStamp]]+tblJTL[[#This Row],[elapsed]]</f>
        <v>1790816461194</v>
      </c>
      <c r="U153" s="61">
        <f>(tblJTL[[#This Row],[timeStamp]]-'17_分析サンプル'!$E$18)/1000</f>
        <v>60.701999999999998</v>
      </c>
      <c r="V153" s="57">
        <f>INT(tblJTL[[#This Row],[経過秒]]/60)</f>
        <v>1</v>
      </c>
      <c r="W153" s="57">
        <f>IF(OR(tblJTL[[#This Row],[success]]=FALSE,tblJTL[[#This Row],[success]]="false"),1,0)</f>
        <v>0</v>
      </c>
      <c r="X153" s="57">
        <f>IF(AND(tblJTL[[#This Row],[経過秒]]&gt;='17_分析サンプル'!$E$11,tblJTL[[#This Row],[経過秒]]&lt;'17_分析サンプル'!$E$12),1,0)</f>
        <v>1</v>
      </c>
    </row>
    <row r="154" spans="2:24" ht="14.4" x14ac:dyDescent="0.3">
      <c r="B154" s="57">
        <v>1790816461181</v>
      </c>
      <c r="C154" s="58">
        <v>324</v>
      </c>
      <c r="D154" s="59" t="s">
        <v>1677</v>
      </c>
      <c r="E154" s="59" t="s">
        <v>3579</v>
      </c>
      <c r="F154" s="59" t="s">
        <v>3580</v>
      </c>
      <c r="G154" s="59" t="s">
        <v>3587</v>
      </c>
      <c r="H154" s="59" t="s">
        <v>2281</v>
      </c>
      <c r="I154" s="59" t="b">
        <v>1</v>
      </c>
      <c r="J154" s="59"/>
      <c r="K154" s="58">
        <v>437</v>
      </c>
      <c r="L154" s="58">
        <v>1478</v>
      </c>
      <c r="M154" s="59">
        <v>10</v>
      </c>
      <c r="N154" s="59">
        <v>10</v>
      </c>
      <c r="O154" s="59" t="s">
        <v>3581</v>
      </c>
      <c r="P154" s="58">
        <v>319</v>
      </c>
      <c r="Q154" s="59">
        <v>0</v>
      </c>
      <c r="R154" s="59">
        <v>0</v>
      </c>
      <c r="S154" s="60">
        <f>tblJTL[[#This Row],[timeStamp]]/86400000+DATE(1970,1,1)+TIME(9,0,0)</f>
        <v>46296.417374780096</v>
      </c>
      <c r="T154" s="57">
        <f>tblJTL[[#This Row],[timeStamp]]+tblJTL[[#This Row],[elapsed]]</f>
        <v>1790816461505</v>
      </c>
      <c r="U154" s="61">
        <f>(tblJTL[[#This Row],[timeStamp]]-'17_分析サンプル'!$E$18)/1000</f>
        <v>61.000999999999998</v>
      </c>
      <c r="V154" s="57">
        <f>INT(tblJTL[[#This Row],[経過秒]]/60)</f>
        <v>1</v>
      </c>
      <c r="W154" s="57">
        <f>IF(OR(tblJTL[[#This Row],[success]]=FALSE,tblJTL[[#This Row],[success]]="false"),1,0)</f>
        <v>0</v>
      </c>
      <c r="X154" s="57">
        <f>IF(AND(tblJTL[[#This Row],[経過秒]]&gt;='17_分析サンプル'!$E$11,tblJTL[[#This Row],[経過秒]]&lt;'17_分析サンプル'!$E$12),1,0)</f>
        <v>1</v>
      </c>
    </row>
    <row r="155" spans="2:24" ht="14.4" x14ac:dyDescent="0.3">
      <c r="B155" s="57">
        <v>1790816461499</v>
      </c>
      <c r="C155" s="58">
        <v>161</v>
      </c>
      <c r="D155" s="59" t="s">
        <v>1658</v>
      </c>
      <c r="E155" s="59" t="s">
        <v>1577</v>
      </c>
      <c r="F155" s="59" t="s">
        <v>2275</v>
      </c>
      <c r="G155" s="59" t="s">
        <v>3589</v>
      </c>
      <c r="H155" s="59" t="s">
        <v>2281</v>
      </c>
      <c r="I155" s="59" t="b">
        <v>1</v>
      </c>
      <c r="J155" s="59"/>
      <c r="K155" s="58">
        <v>1826</v>
      </c>
      <c r="L155" s="58">
        <v>1342</v>
      </c>
      <c r="M155" s="59">
        <v>10</v>
      </c>
      <c r="N155" s="59">
        <v>10</v>
      </c>
      <c r="O155" s="59" t="s">
        <v>3578</v>
      </c>
      <c r="P155" s="58">
        <v>155</v>
      </c>
      <c r="Q155" s="59">
        <v>0</v>
      </c>
      <c r="R155" s="59">
        <v>0</v>
      </c>
      <c r="S155" s="60">
        <f>tblJTL[[#This Row],[timeStamp]]/86400000+DATE(1970,1,1)+TIME(9,0,0)</f>
        <v>46296.417378460646</v>
      </c>
      <c r="T155" s="57">
        <f>tblJTL[[#This Row],[timeStamp]]+tblJTL[[#This Row],[elapsed]]</f>
        <v>1790816461660</v>
      </c>
      <c r="U155" s="61">
        <f>(tblJTL[[#This Row],[timeStamp]]-'17_分析サンプル'!$E$18)/1000</f>
        <v>61.319000000000003</v>
      </c>
      <c r="V155" s="57">
        <f>INT(tblJTL[[#This Row],[経過秒]]/60)</f>
        <v>1</v>
      </c>
      <c r="W155" s="57">
        <f>IF(OR(tblJTL[[#This Row],[success]]=FALSE,tblJTL[[#This Row],[success]]="false"),1,0)</f>
        <v>0</v>
      </c>
      <c r="X155" s="57">
        <f>IF(AND(tblJTL[[#This Row],[経過秒]]&gt;='17_分析サンプル'!$E$11,tblJTL[[#This Row],[経過秒]]&lt;'17_分析サンプル'!$E$12),1,0)</f>
        <v>1</v>
      </c>
    </row>
    <row r="156" spans="2:24" ht="14.4" x14ac:dyDescent="0.3">
      <c r="B156" s="57">
        <v>1790816461824</v>
      </c>
      <c r="C156" s="58">
        <v>174</v>
      </c>
      <c r="D156" s="59" t="s">
        <v>1658</v>
      </c>
      <c r="E156" s="59" t="s">
        <v>1577</v>
      </c>
      <c r="F156" s="59" t="s">
        <v>2275</v>
      </c>
      <c r="G156" s="59" t="s">
        <v>3583</v>
      </c>
      <c r="H156" s="59" t="s">
        <v>2281</v>
      </c>
      <c r="I156" s="59" t="b">
        <v>1</v>
      </c>
      <c r="J156" s="59"/>
      <c r="K156" s="58">
        <v>1884</v>
      </c>
      <c r="L156" s="58">
        <v>1342</v>
      </c>
      <c r="M156" s="59">
        <v>10</v>
      </c>
      <c r="N156" s="59">
        <v>10</v>
      </c>
      <c r="O156" s="59" t="s">
        <v>3578</v>
      </c>
      <c r="P156" s="58">
        <v>167</v>
      </c>
      <c r="Q156" s="59">
        <v>0</v>
      </c>
      <c r="R156" s="59">
        <v>0</v>
      </c>
      <c r="S156" s="60">
        <f>tblJTL[[#This Row],[timeStamp]]/86400000+DATE(1970,1,1)+TIME(9,0,0)</f>
        <v>46296.417382222222</v>
      </c>
      <c r="T156" s="57">
        <f>tblJTL[[#This Row],[timeStamp]]+tblJTL[[#This Row],[elapsed]]</f>
        <v>1790816461998</v>
      </c>
      <c r="U156" s="61">
        <f>(tblJTL[[#This Row],[timeStamp]]-'17_分析サンプル'!$E$18)/1000</f>
        <v>61.643999999999998</v>
      </c>
      <c r="V156" s="57">
        <f>INT(tblJTL[[#This Row],[経過秒]]/60)</f>
        <v>1</v>
      </c>
      <c r="W156" s="57">
        <f>IF(OR(tblJTL[[#This Row],[success]]=FALSE,tblJTL[[#This Row],[success]]="false"),1,0)</f>
        <v>0</v>
      </c>
      <c r="X156" s="57">
        <f>IF(AND(tblJTL[[#This Row],[経過秒]]&gt;='17_分析サンプル'!$E$11,tblJTL[[#This Row],[経過秒]]&lt;'17_分析サンプル'!$E$12),1,0)</f>
        <v>1</v>
      </c>
    </row>
    <row r="157" spans="2:24" ht="14.4" x14ac:dyDescent="0.3">
      <c r="B157" s="57">
        <v>1790816461963</v>
      </c>
      <c r="C157" s="58">
        <v>54</v>
      </c>
      <c r="D157" s="59" t="s">
        <v>1658</v>
      </c>
      <c r="E157" s="59" t="s">
        <v>1577</v>
      </c>
      <c r="F157" s="59" t="s">
        <v>2275</v>
      </c>
      <c r="G157" s="59" t="s">
        <v>3584</v>
      </c>
      <c r="H157" s="59" t="s">
        <v>2281</v>
      </c>
      <c r="I157" s="59" t="b">
        <v>1</v>
      </c>
      <c r="J157" s="59"/>
      <c r="K157" s="58">
        <v>1821</v>
      </c>
      <c r="L157" s="58">
        <v>1342</v>
      </c>
      <c r="M157" s="59">
        <v>10</v>
      </c>
      <c r="N157" s="59">
        <v>10</v>
      </c>
      <c r="O157" s="59" t="s">
        <v>3578</v>
      </c>
      <c r="P157" s="58">
        <v>48</v>
      </c>
      <c r="Q157" s="59">
        <v>0</v>
      </c>
      <c r="R157" s="59">
        <v>0</v>
      </c>
      <c r="S157" s="60">
        <f>tblJTL[[#This Row],[timeStamp]]/86400000+DATE(1970,1,1)+TIME(9,0,0)</f>
        <v>46296.417383831023</v>
      </c>
      <c r="T157" s="57">
        <f>tblJTL[[#This Row],[timeStamp]]+tblJTL[[#This Row],[elapsed]]</f>
        <v>1790816462017</v>
      </c>
      <c r="U157" s="61">
        <f>(tblJTL[[#This Row],[timeStamp]]-'17_分析サンプル'!$E$18)/1000</f>
        <v>61.783000000000001</v>
      </c>
      <c r="V157" s="57">
        <f>INT(tblJTL[[#This Row],[経過秒]]/60)</f>
        <v>1</v>
      </c>
      <c r="W157" s="57">
        <f>IF(OR(tblJTL[[#This Row],[success]]=FALSE,tblJTL[[#This Row],[success]]="false"),1,0)</f>
        <v>0</v>
      </c>
      <c r="X157" s="57">
        <f>IF(AND(tblJTL[[#This Row],[経過秒]]&gt;='17_分析サンプル'!$E$11,tblJTL[[#This Row],[経過秒]]&lt;'17_分析サンプル'!$E$12),1,0)</f>
        <v>1</v>
      </c>
    </row>
    <row r="158" spans="2:24" ht="14.4" x14ac:dyDescent="0.3">
      <c r="B158" s="57">
        <v>1790816462076</v>
      </c>
      <c r="C158" s="58">
        <v>86</v>
      </c>
      <c r="D158" s="59" t="s">
        <v>1658</v>
      </c>
      <c r="E158" s="59" t="s">
        <v>1577</v>
      </c>
      <c r="F158" s="59" t="s">
        <v>2275</v>
      </c>
      <c r="G158" s="59" t="s">
        <v>3586</v>
      </c>
      <c r="H158" s="59" t="s">
        <v>2281</v>
      </c>
      <c r="I158" s="59" t="b">
        <v>1</v>
      </c>
      <c r="J158" s="59"/>
      <c r="K158" s="58">
        <v>1828</v>
      </c>
      <c r="L158" s="58">
        <v>1342</v>
      </c>
      <c r="M158" s="59">
        <v>10</v>
      </c>
      <c r="N158" s="59">
        <v>10</v>
      </c>
      <c r="O158" s="59" t="s">
        <v>3578</v>
      </c>
      <c r="P158" s="58">
        <v>79</v>
      </c>
      <c r="Q158" s="59">
        <v>0</v>
      </c>
      <c r="R158" s="59">
        <v>0</v>
      </c>
      <c r="S158" s="60">
        <f>tblJTL[[#This Row],[timeStamp]]/86400000+DATE(1970,1,1)+TIME(9,0,0)</f>
        <v>46296.417385138891</v>
      </c>
      <c r="T158" s="57">
        <f>tblJTL[[#This Row],[timeStamp]]+tblJTL[[#This Row],[elapsed]]</f>
        <v>1790816462162</v>
      </c>
      <c r="U158" s="61">
        <f>(tblJTL[[#This Row],[timeStamp]]-'17_分析サンプル'!$E$18)/1000</f>
        <v>61.896000000000001</v>
      </c>
      <c r="V158" s="57">
        <f>INT(tblJTL[[#This Row],[経過秒]]/60)</f>
        <v>1</v>
      </c>
      <c r="W158" s="57">
        <f>IF(OR(tblJTL[[#This Row],[success]]=FALSE,tblJTL[[#This Row],[success]]="false"),1,0)</f>
        <v>0</v>
      </c>
      <c r="X158" s="57">
        <f>IF(AND(tblJTL[[#This Row],[経過秒]]&gt;='17_分析サンプル'!$E$11,tblJTL[[#This Row],[経過秒]]&lt;'17_分析サンプル'!$E$12),1,0)</f>
        <v>1</v>
      </c>
    </row>
    <row r="159" spans="2:24" ht="14.4" x14ac:dyDescent="0.3">
      <c r="B159" s="57">
        <v>1790816462181</v>
      </c>
      <c r="C159" s="58">
        <v>254</v>
      </c>
      <c r="D159" s="59" t="s">
        <v>1658</v>
      </c>
      <c r="E159" s="59" t="s">
        <v>1577</v>
      </c>
      <c r="F159" s="59" t="s">
        <v>2275</v>
      </c>
      <c r="G159" s="59" t="s">
        <v>3585</v>
      </c>
      <c r="H159" s="59" t="s">
        <v>2281</v>
      </c>
      <c r="I159" s="59" t="b">
        <v>1</v>
      </c>
      <c r="J159" s="59"/>
      <c r="K159" s="58">
        <v>1876</v>
      </c>
      <c r="L159" s="58">
        <v>1342</v>
      </c>
      <c r="M159" s="59">
        <v>10</v>
      </c>
      <c r="N159" s="59">
        <v>10</v>
      </c>
      <c r="O159" s="59" t="s">
        <v>3578</v>
      </c>
      <c r="P159" s="58">
        <v>251</v>
      </c>
      <c r="Q159" s="59">
        <v>0</v>
      </c>
      <c r="R159" s="59">
        <v>0</v>
      </c>
      <c r="S159" s="60">
        <f>tblJTL[[#This Row],[timeStamp]]/86400000+DATE(1970,1,1)+TIME(9,0,0)</f>
        <v>46296.417386354166</v>
      </c>
      <c r="T159" s="57">
        <f>tblJTL[[#This Row],[timeStamp]]+tblJTL[[#This Row],[elapsed]]</f>
        <v>1790816462435</v>
      </c>
      <c r="U159" s="61">
        <f>(tblJTL[[#This Row],[timeStamp]]-'17_分析サンプル'!$E$18)/1000</f>
        <v>62.000999999999998</v>
      </c>
      <c r="V159" s="57">
        <f>INT(tblJTL[[#This Row],[経過秒]]/60)</f>
        <v>1</v>
      </c>
      <c r="W159" s="57">
        <f>IF(OR(tblJTL[[#This Row],[success]]=FALSE,tblJTL[[#This Row],[success]]="false"),1,0)</f>
        <v>0</v>
      </c>
      <c r="X159" s="57">
        <f>IF(AND(tblJTL[[#This Row],[経過秒]]&gt;='17_分析サンプル'!$E$11,tblJTL[[#This Row],[経過秒]]&lt;'17_分析サンプル'!$E$12),1,0)</f>
        <v>1</v>
      </c>
    </row>
    <row r="160" spans="2:24" ht="14.4" x14ac:dyDescent="0.3">
      <c r="B160" s="57">
        <v>1790816462384</v>
      </c>
      <c r="C160" s="58">
        <v>165</v>
      </c>
      <c r="D160" s="59" t="s">
        <v>1658</v>
      </c>
      <c r="E160" s="59" t="s">
        <v>1577</v>
      </c>
      <c r="F160" s="59" t="s">
        <v>2275</v>
      </c>
      <c r="G160" s="59" t="s">
        <v>2278</v>
      </c>
      <c r="H160" s="59" t="s">
        <v>2281</v>
      </c>
      <c r="I160" s="59" t="b">
        <v>1</v>
      </c>
      <c r="J160" s="59"/>
      <c r="K160" s="58">
        <v>1821</v>
      </c>
      <c r="L160" s="58">
        <v>1342</v>
      </c>
      <c r="M160" s="59">
        <v>10</v>
      </c>
      <c r="N160" s="59">
        <v>10</v>
      </c>
      <c r="O160" s="59" t="s">
        <v>3578</v>
      </c>
      <c r="P160" s="58">
        <v>158</v>
      </c>
      <c r="Q160" s="59">
        <v>0</v>
      </c>
      <c r="R160" s="59">
        <v>0</v>
      </c>
      <c r="S160" s="60">
        <f>tblJTL[[#This Row],[timeStamp]]/86400000+DATE(1970,1,1)+TIME(9,0,0)</f>
        <v>46296.417388703703</v>
      </c>
      <c r="T160" s="57">
        <f>tblJTL[[#This Row],[timeStamp]]+tblJTL[[#This Row],[elapsed]]</f>
        <v>1790816462549</v>
      </c>
      <c r="U160" s="61">
        <f>(tblJTL[[#This Row],[timeStamp]]-'17_分析サンプル'!$E$18)/1000</f>
        <v>62.204000000000001</v>
      </c>
      <c r="V160" s="57">
        <f>INT(tblJTL[[#This Row],[経過秒]]/60)</f>
        <v>1</v>
      </c>
      <c r="W160" s="57">
        <f>IF(OR(tblJTL[[#This Row],[success]]=FALSE,tblJTL[[#This Row],[success]]="false"),1,0)</f>
        <v>0</v>
      </c>
      <c r="X160" s="57">
        <f>IF(AND(tblJTL[[#This Row],[経過秒]]&gt;='17_分析サンプル'!$E$11,tblJTL[[#This Row],[経過秒]]&lt;'17_分析サンプル'!$E$12),1,0)</f>
        <v>1</v>
      </c>
    </row>
    <row r="161" spans="2:24" ht="14.4" x14ac:dyDescent="0.3">
      <c r="B161" s="57">
        <v>1790816462378</v>
      </c>
      <c r="C161" s="58">
        <v>224</v>
      </c>
      <c r="D161" s="59" t="s">
        <v>1677</v>
      </c>
      <c r="E161" s="59" t="s">
        <v>3579</v>
      </c>
      <c r="F161" s="59" t="s">
        <v>3580</v>
      </c>
      <c r="G161" s="59" t="s">
        <v>3588</v>
      </c>
      <c r="H161" s="59" t="s">
        <v>2281</v>
      </c>
      <c r="I161" s="59" t="b">
        <v>1</v>
      </c>
      <c r="J161" s="59"/>
      <c r="K161" s="58">
        <v>416</v>
      </c>
      <c r="L161" s="58">
        <v>1478</v>
      </c>
      <c r="M161" s="59">
        <v>10</v>
      </c>
      <c r="N161" s="59">
        <v>10</v>
      </c>
      <c r="O161" s="59" t="s">
        <v>3581</v>
      </c>
      <c r="P161" s="58">
        <v>216</v>
      </c>
      <c r="Q161" s="59">
        <v>0</v>
      </c>
      <c r="R161" s="59">
        <v>0</v>
      </c>
      <c r="S161" s="60">
        <f>tblJTL[[#This Row],[timeStamp]]/86400000+DATE(1970,1,1)+TIME(9,0,0)</f>
        <v>46296.417388634261</v>
      </c>
      <c r="T161" s="57">
        <f>tblJTL[[#This Row],[timeStamp]]+tblJTL[[#This Row],[elapsed]]</f>
        <v>1790816462602</v>
      </c>
      <c r="U161" s="61">
        <f>(tblJTL[[#This Row],[timeStamp]]-'17_分析サンプル'!$E$18)/1000</f>
        <v>62.198</v>
      </c>
      <c r="V161" s="57">
        <f>INT(tblJTL[[#This Row],[経過秒]]/60)</f>
        <v>1</v>
      </c>
      <c r="W161" s="57">
        <f>IF(OR(tblJTL[[#This Row],[success]]=FALSE,tblJTL[[#This Row],[success]]="false"),1,0)</f>
        <v>0</v>
      </c>
      <c r="X161" s="57">
        <f>IF(AND(tblJTL[[#This Row],[経過秒]]&gt;='17_分析サンプル'!$E$11,tblJTL[[#This Row],[経過秒]]&lt;'17_分析サンプル'!$E$12),1,0)</f>
        <v>1</v>
      </c>
    </row>
    <row r="162" spans="2:24" ht="14.4" x14ac:dyDescent="0.3">
      <c r="B162" s="57">
        <v>1790816462538</v>
      </c>
      <c r="C162" s="58">
        <v>181</v>
      </c>
      <c r="D162" s="59" t="s">
        <v>1658</v>
      </c>
      <c r="E162" s="59" t="s">
        <v>1577</v>
      </c>
      <c r="F162" s="59" t="s">
        <v>2275</v>
      </c>
      <c r="G162" s="59" t="s">
        <v>3577</v>
      </c>
      <c r="H162" s="59" t="s">
        <v>2281</v>
      </c>
      <c r="I162" s="59" t="b">
        <v>1</v>
      </c>
      <c r="J162" s="59"/>
      <c r="K162" s="58">
        <v>1885</v>
      </c>
      <c r="L162" s="58">
        <v>1342</v>
      </c>
      <c r="M162" s="59">
        <v>10</v>
      </c>
      <c r="N162" s="59">
        <v>10</v>
      </c>
      <c r="O162" s="59" t="s">
        <v>3578</v>
      </c>
      <c r="P162" s="58">
        <v>177</v>
      </c>
      <c r="Q162" s="59">
        <v>0</v>
      </c>
      <c r="R162" s="59">
        <v>54</v>
      </c>
      <c r="S162" s="60">
        <f>tblJTL[[#This Row],[timeStamp]]/86400000+DATE(1970,1,1)+TIME(9,0,0)</f>
        <v>46296.417390486109</v>
      </c>
      <c r="T162" s="57">
        <f>tblJTL[[#This Row],[timeStamp]]+tblJTL[[#This Row],[elapsed]]</f>
        <v>1790816462719</v>
      </c>
      <c r="U162" s="61">
        <f>(tblJTL[[#This Row],[timeStamp]]-'17_分析サンプル'!$E$18)/1000</f>
        <v>62.357999999999997</v>
      </c>
      <c r="V162" s="57">
        <f>INT(tblJTL[[#This Row],[経過秒]]/60)</f>
        <v>1</v>
      </c>
      <c r="W162" s="57">
        <f>IF(OR(tblJTL[[#This Row],[success]]=FALSE,tblJTL[[#This Row],[success]]="false"),1,0)</f>
        <v>0</v>
      </c>
      <c r="X162" s="57">
        <f>IF(AND(tblJTL[[#This Row],[経過秒]]&gt;='17_分析サンプル'!$E$11,tblJTL[[#This Row],[経過秒]]&lt;'17_分析サンプル'!$E$12),1,0)</f>
        <v>1</v>
      </c>
    </row>
    <row r="163" spans="2:24" ht="14.4" x14ac:dyDescent="0.3">
      <c r="B163" s="57">
        <v>1790816462668</v>
      </c>
      <c r="C163" s="58">
        <v>129</v>
      </c>
      <c r="D163" s="59" t="s">
        <v>1677</v>
      </c>
      <c r="E163" s="59" t="s">
        <v>3579</v>
      </c>
      <c r="F163" s="59" t="s">
        <v>3580</v>
      </c>
      <c r="G163" s="59" t="s">
        <v>3582</v>
      </c>
      <c r="H163" s="59" t="s">
        <v>2281</v>
      </c>
      <c r="I163" s="59" t="b">
        <v>1</v>
      </c>
      <c r="J163" s="59"/>
      <c r="K163" s="58">
        <v>428</v>
      </c>
      <c r="L163" s="58">
        <v>1478</v>
      </c>
      <c r="M163" s="59">
        <v>10</v>
      </c>
      <c r="N163" s="59">
        <v>10</v>
      </c>
      <c r="O163" s="59" t="s">
        <v>3581</v>
      </c>
      <c r="P163" s="58">
        <v>124</v>
      </c>
      <c r="Q163" s="59">
        <v>0</v>
      </c>
      <c r="R163" s="59">
        <v>0</v>
      </c>
      <c r="S163" s="60">
        <f>tblJTL[[#This Row],[timeStamp]]/86400000+DATE(1970,1,1)+TIME(9,0,0)</f>
        <v>46296.417391990741</v>
      </c>
      <c r="T163" s="57">
        <f>tblJTL[[#This Row],[timeStamp]]+tblJTL[[#This Row],[elapsed]]</f>
        <v>1790816462797</v>
      </c>
      <c r="U163" s="61">
        <f>(tblJTL[[#This Row],[timeStamp]]-'17_分析サンプル'!$E$18)/1000</f>
        <v>62.488</v>
      </c>
      <c r="V163" s="57">
        <f>INT(tblJTL[[#This Row],[経過秒]]/60)</f>
        <v>1</v>
      </c>
      <c r="W163" s="57">
        <f>IF(OR(tblJTL[[#This Row],[success]]=FALSE,tblJTL[[#This Row],[success]]="false"),1,0)</f>
        <v>0</v>
      </c>
      <c r="X163" s="57">
        <f>IF(AND(tblJTL[[#This Row],[経過秒]]&gt;='17_分析サンプル'!$E$11,tblJTL[[#This Row],[経過秒]]&lt;'17_分析サンプル'!$E$12),1,0)</f>
        <v>1</v>
      </c>
    </row>
    <row r="164" spans="2:24" ht="14.4" x14ac:dyDescent="0.3">
      <c r="B164" s="57">
        <v>1790816463230</v>
      </c>
      <c r="C164" s="58">
        <v>228</v>
      </c>
      <c r="D164" s="59" t="s">
        <v>1677</v>
      </c>
      <c r="E164" s="59" t="s">
        <v>3579</v>
      </c>
      <c r="F164" s="59" t="s">
        <v>3580</v>
      </c>
      <c r="G164" s="59" t="s">
        <v>3589</v>
      </c>
      <c r="H164" s="59" t="s">
        <v>2281</v>
      </c>
      <c r="I164" s="59" t="b">
        <v>1</v>
      </c>
      <c r="J164" s="59"/>
      <c r="K164" s="58">
        <v>438</v>
      </c>
      <c r="L164" s="58">
        <v>1478</v>
      </c>
      <c r="M164" s="59">
        <v>10</v>
      </c>
      <c r="N164" s="59">
        <v>10</v>
      </c>
      <c r="O164" s="59" t="s">
        <v>3581</v>
      </c>
      <c r="P164" s="58">
        <v>223</v>
      </c>
      <c r="Q164" s="59">
        <v>0</v>
      </c>
      <c r="R164" s="59">
        <v>0</v>
      </c>
      <c r="S164" s="60">
        <f>tblJTL[[#This Row],[timeStamp]]/86400000+DATE(1970,1,1)+TIME(9,0,0)</f>
        <v>46296.417398495367</v>
      </c>
      <c r="T164" s="57">
        <f>tblJTL[[#This Row],[timeStamp]]+tblJTL[[#This Row],[elapsed]]</f>
        <v>1790816463458</v>
      </c>
      <c r="U164" s="61">
        <f>(tblJTL[[#This Row],[timeStamp]]-'17_分析サンプル'!$E$18)/1000</f>
        <v>63.05</v>
      </c>
      <c r="V164" s="57">
        <f>INT(tblJTL[[#This Row],[経過秒]]/60)</f>
        <v>1</v>
      </c>
      <c r="W164" s="57">
        <f>IF(OR(tblJTL[[#This Row],[success]]=FALSE,tblJTL[[#This Row],[success]]="false"),1,0)</f>
        <v>0</v>
      </c>
      <c r="X164" s="57">
        <f>IF(AND(tblJTL[[#This Row],[経過秒]]&gt;='17_分析サンプル'!$E$11,tblJTL[[#This Row],[経過秒]]&lt;'17_分析サンプル'!$E$12),1,0)</f>
        <v>1</v>
      </c>
    </row>
    <row r="165" spans="2:24" ht="14.4" x14ac:dyDescent="0.3">
      <c r="B165" s="57">
        <v>1790816463532</v>
      </c>
      <c r="C165" s="58">
        <v>202</v>
      </c>
      <c r="D165" s="59" t="s">
        <v>1677</v>
      </c>
      <c r="E165" s="59" t="s">
        <v>3579</v>
      </c>
      <c r="F165" s="59" t="s">
        <v>3580</v>
      </c>
      <c r="G165" s="59" t="s">
        <v>3583</v>
      </c>
      <c r="H165" s="59" t="s">
        <v>2281</v>
      </c>
      <c r="I165" s="59" t="b">
        <v>1</v>
      </c>
      <c r="J165" s="59"/>
      <c r="K165" s="58">
        <v>411</v>
      </c>
      <c r="L165" s="58">
        <v>1478</v>
      </c>
      <c r="M165" s="59">
        <v>10</v>
      </c>
      <c r="N165" s="59">
        <v>10</v>
      </c>
      <c r="O165" s="59" t="s">
        <v>3581</v>
      </c>
      <c r="P165" s="58">
        <v>194</v>
      </c>
      <c r="Q165" s="59">
        <v>0</v>
      </c>
      <c r="R165" s="59">
        <v>0</v>
      </c>
      <c r="S165" s="60">
        <f>tblJTL[[#This Row],[timeStamp]]/86400000+DATE(1970,1,1)+TIME(9,0,0)</f>
        <v>46296.417401990737</v>
      </c>
      <c r="T165" s="57">
        <f>tblJTL[[#This Row],[timeStamp]]+tblJTL[[#This Row],[elapsed]]</f>
        <v>1790816463734</v>
      </c>
      <c r="U165" s="61">
        <f>(tblJTL[[#This Row],[timeStamp]]-'17_分析サンプル'!$E$18)/1000</f>
        <v>63.351999999999997</v>
      </c>
      <c r="V165" s="57">
        <f>INT(tblJTL[[#This Row],[経過秒]]/60)</f>
        <v>1</v>
      </c>
      <c r="W165" s="57">
        <f>IF(OR(tblJTL[[#This Row],[success]]=FALSE,tblJTL[[#This Row],[success]]="false"),1,0)</f>
        <v>0</v>
      </c>
      <c r="X165" s="57">
        <f>IF(AND(tblJTL[[#This Row],[経過秒]]&gt;='17_分析サンプル'!$E$11,tblJTL[[#This Row],[経過秒]]&lt;'17_分析サンプル'!$E$12),1,0)</f>
        <v>1</v>
      </c>
    </row>
    <row r="166" spans="2:24" ht="14.4" x14ac:dyDescent="0.3">
      <c r="B166" s="57">
        <v>1790816463684</v>
      </c>
      <c r="C166" s="58">
        <v>241</v>
      </c>
      <c r="D166" s="59" t="s">
        <v>1677</v>
      </c>
      <c r="E166" s="59" t="s">
        <v>3579</v>
      </c>
      <c r="F166" s="59" t="s">
        <v>3580</v>
      </c>
      <c r="G166" s="59" t="s">
        <v>3584</v>
      </c>
      <c r="H166" s="59" t="s">
        <v>2281</v>
      </c>
      <c r="I166" s="59" t="b">
        <v>1</v>
      </c>
      <c r="J166" s="59"/>
      <c r="K166" s="58">
        <v>434</v>
      </c>
      <c r="L166" s="58">
        <v>1478</v>
      </c>
      <c r="M166" s="59">
        <v>10</v>
      </c>
      <c r="N166" s="59">
        <v>10</v>
      </c>
      <c r="O166" s="59" t="s">
        <v>3581</v>
      </c>
      <c r="P166" s="58">
        <v>239</v>
      </c>
      <c r="Q166" s="59">
        <v>0</v>
      </c>
      <c r="R166" s="59">
        <v>0</v>
      </c>
      <c r="S166" s="60">
        <f>tblJTL[[#This Row],[timeStamp]]/86400000+DATE(1970,1,1)+TIME(9,0,0)</f>
        <v>46296.417403750005</v>
      </c>
      <c r="T166" s="57">
        <f>tblJTL[[#This Row],[timeStamp]]+tblJTL[[#This Row],[elapsed]]</f>
        <v>1790816463925</v>
      </c>
      <c r="U166" s="61">
        <f>(tblJTL[[#This Row],[timeStamp]]-'17_分析サンプル'!$E$18)/1000</f>
        <v>63.503999999999998</v>
      </c>
      <c r="V166" s="57">
        <f>INT(tblJTL[[#This Row],[経過秒]]/60)</f>
        <v>1</v>
      </c>
      <c r="W166" s="57">
        <f>IF(OR(tblJTL[[#This Row],[success]]=FALSE,tblJTL[[#This Row],[success]]="false"),1,0)</f>
        <v>0</v>
      </c>
      <c r="X166" s="57">
        <f>IF(AND(tblJTL[[#This Row],[経過秒]]&gt;='17_分析サンプル'!$E$11,tblJTL[[#This Row],[経過秒]]&lt;'17_分析サンプル'!$E$12),1,0)</f>
        <v>1</v>
      </c>
    </row>
    <row r="167" spans="2:24" ht="14.4" x14ac:dyDescent="0.3">
      <c r="B167" s="57">
        <v>1790816463681</v>
      </c>
      <c r="C167" s="58">
        <v>259</v>
      </c>
      <c r="D167" s="59" t="s">
        <v>1677</v>
      </c>
      <c r="E167" s="59" t="s">
        <v>3579</v>
      </c>
      <c r="F167" s="59" t="s">
        <v>3580</v>
      </c>
      <c r="G167" s="59" t="s">
        <v>3585</v>
      </c>
      <c r="H167" s="59" t="s">
        <v>2281</v>
      </c>
      <c r="I167" s="59" t="b">
        <v>1</v>
      </c>
      <c r="J167" s="59"/>
      <c r="K167" s="58">
        <v>425</v>
      </c>
      <c r="L167" s="58">
        <v>1478</v>
      </c>
      <c r="M167" s="59">
        <v>10</v>
      </c>
      <c r="N167" s="59">
        <v>10</v>
      </c>
      <c r="O167" s="59" t="s">
        <v>3581</v>
      </c>
      <c r="P167" s="58">
        <v>255</v>
      </c>
      <c r="Q167" s="59">
        <v>0</v>
      </c>
      <c r="R167" s="59">
        <v>0</v>
      </c>
      <c r="S167" s="60">
        <f>tblJTL[[#This Row],[timeStamp]]/86400000+DATE(1970,1,1)+TIME(9,0,0)</f>
        <v>46296.417403715277</v>
      </c>
      <c r="T167" s="57">
        <f>tblJTL[[#This Row],[timeStamp]]+tblJTL[[#This Row],[elapsed]]</f>
        <v>1790816463940</v>
      </c>
      <c r="U167" s="61">
        <f>(tblJTL[[#This Row],[timeStamp]]-'17_分析サンプル'!$E$18)/1000</f>
        <v>63.500999999999998</v>
      </c>
      <c r="V167" s="57">
        <f>INT(tblJTL[[#This Row],[経過秒]]/60)</f>
        <v>1</v>
      </c>
      <c r="W167" s="57">
        <f>IF(OR(tblJTL[[#This Row],[success]]=FALSE,tblJTL[[#This Row],[success]]="false"),1,0)</f>
        <v>0</v>
      </c>
      <c r="X167" s="57">
        <f>IF(AND(tblJTL[[#This Row],[経過秒]]&gt;='17_分析サンプル'!$E$11,tblJTL[[#This Row],[経過秒]]&lt;'17_分析サンプル'!$E$12),1,0)</f>
        <v>1</v>
      </c>
    </row>
    <row r="168" spans="2:24" ht="14.4" x14ac:dyDescent="0.3">
      <c r="B168" s="57">
        <v>1790816464120</v>
      </c>
      <c r="C168" s="58">
        <v>181</v>
      </c>
      <c r="D168" s="59" t="s">
        <v>1658</v>
      </c>
      <c r="E168" s="59" t="s">
        <v>1577</v>
      </c>
      <c r="F168" s="59" t="s">
        <v>2275</v>
      </c>
      <c r="G168" s="59" t="s">
        <v>3587</v>
      </c>
      <c r="H168" s="59" t="s">
        <v>2281</v>
      </c>
      <c r="I168" s="59" t="b">
        <v>1</v>
      </c>
      <c r="J168" s="59"/>
      <c r="K168" s="58">
        <v>1842</v>
      </c>
      <c r="L168" s="58">
        <v>1342</v>
      </c>
      <c r="M168" s="59">
        <v>10</v>
      </c>
      <c r="N168" s="59">
        <v>10</v>
      </c>
      <c r="O168" s="59" t="s">
        <v>3578</v>
      </c>
      <c r="P168" s="58">
        <v>174</v>
      </c>
      <c r="Q168" s="59">
        <v>0</v>
      </c>
      <c r="R168" s="59">
        <v>0</v>
      </c>
      <c r="S168" s="60">
        <f>tblJTL[[#This Row],[timeStamp]]/86400000+DATE(1970,1,1)+TIME(9,0,0)</f>
        <v>46296.417408796297</v>
      </c>
      <c r="T168" s="57">
        <f>tblJTL[[#This Row],[timeStamp]]+tblJTL[[#This Row],[elapsed]]</f>
        <v>1790816464301</v>
      </c>
      <c r="U168" s="61">
        <f>(tblJTL[[#This Row],[timeStamp]]-'17_分析サンプル'!$E$18)/1000</f>
        <v>63.94</v>
      </c>
      <c r="V168" s="57">
        <f>INT(tblJTL[[#This Row],[経過秒]]/60)</f>
        <v>1</v>
      </c>
      <c r="W168" s="57">
        <f>IF(OR(tblJTL[[#This Row],[success]]=FALSE,tblJTL[[#This Row],[success]]="false"),1,0)</f>
        <v>0</v>
      </c>
      <c r="X168" s="57">
        <f>IF(AND(tblJTL[[#This Row],[経過秒]]&gt;='17_分析サンプル'!$E$11,tblJTL[[#This Row],[経過秒]]&lt;'17_分析サンプル'!$E$12),1,0)</f>
        <v>1</v>
      </c>
    </row>
    <row r="169" spans="2:24" ht="14.4" x14ac:dyDescent="0.3">
      <c r="B169" s="57">
        <v>1790816464303</v>
      </c>
      <c r="C169" s="58">
        <v>214</v>
      </c>
      <c r="D169" s="59" t="s">
        <v>1677</v>
      </c>
      <c r="E169" s="59" t="s">
        <v>3579</v>
      </c>
      <c r="F169" s="59" t="s">
        <v>3580</v>
      </c>
      <c r="G169" s="59" t="s">
        <v>3577</v>
      </c>
      <c r="H169" s="59" t="s">
        <v>2281</v>
      </c>
      <c r="I169" s="59" t="b">
        <v>1</v>
      </c>
      <c r="J169" s="59"/>
      <c r="K169" s="58">
        <v>430</v>
      </c>
      <c r="L169" s="58">
        <v>1478</v>
      </c>
      <c r="M169" s="59">
        <v>10</v>
      </c>
      <c r="N169" s="59">
        <v>10</v>
      </c>
      <c r="O169" s="59" t="s">
        <v>3581</v>
      </c>
      <c r="P169" s="58">
        <v>210</v>
      </c>
      <c r="Q169" s="59">
        <v>0</v>
      </c>
      <c r="R169" s="59">
        <v>0</v>
      </c>
      <c r="S169" s="60">
        <f>tblJTL[[#This Row],[timeStamp]]/86400000+DATE(1970,1,1)+TIME(9,0,0)</f>
        <v>46296.41741091435</v>
      </c>
      <c r="T169" s="57">
        <f>tblJTL[[#This Row],[timeStamp]]+tblJTL[[#This Row],[elapsed]]</f>
        <v>1790816464517</v>
      </c>
      <c r="U169" s="61">
        <f>(tblJTL[[#This Row],[timeStamp]]-'17_分析サンプル'!$E$18)/1000</f>
        <v>64.123000000000005</v>
      </c>
      <c r="V169" s="57">
        <f>INT(tblJTL[[#This Row],[経過秒]]/60)</f>
        <v>1</v>
      </c>
      <c r="W169" s="57">
        <f>IF(OR(tblJTL[[#This Row],[success]]=FALSE,tblJTL[[#This Row],[success]]="false"),1,0)</f>
        <v>0</v>
      </c>
      <c r="X169" s="57">
        <f>IF(AND(tblJTL[[#This Row],[経過秒]]&gt;='17_分析サンプル'!$E$11,tblJTL[[#This Row],[経過秒]]&lt;'17_分析サンプル'!$E$12),1,0)</f>
        <v>1</v>
      </c>
    </row>
    <row r="170" spans="2:24" ht="14.4" x14ac:dyDescent="0.3">
      <c r="B170" s="57">
        <v>1790816464572</v>
      </c>
      <c r="C170" s="58">
        <v>277</v>
      </c>
      <c r="D170" s="59" t="s">
        <v>1677</v>
      </c>
      <c r="E170" s="59" t="s">
        <v>3579</v>
      </c>
      <c r="F170" s="59" t="s">
        <v>3580</v>
      </c>
      <c r="G170" s="59" t="s">
        <v>3586</v>
      </c>
      <c r="H170" s="59" t="s">
        <v>2281</v>
      </c>
      <c r="I170" s="59" t="b">
        <v>1</v>
      </c>
      <c r="J170" s="59"/>
      <c r="K170" s="58">
        <v>421</v>
      </c>
      <c r="L170" s="58">
        <v>1478</v>
      </c>
      <c r="M170" s="59">
        <v>10</v>
      </c>
      <c r="N170" s="59">
        <v>10</v>
      </c>
      <c r="O170" s="59" t="s">
        <v>3581</v>
      </c>
      <c r="P170" s="58">
        <v>271</v>
      </c>
      <c r="Q170" s="59">
        <v>0</v>
      </c>
      <c r="R170" s="59">
        <v>0</v>
      </c>
      <c r="S170" s="60">
        <f>tblJTL[[#This Row],[timeStamp]]/86400000+DATE(1970,1,1)+TIME(9,0,0)</f>
        <v>46296.417414027776</v>
      </c>
      <c r="T170" s="57">
        <f>tblJTL[[#This Row],[timeStamp]]+tblJTL[[#This Row],[elapsed]]</f>
        <v>1790816464849</v>
      </c>
      <c r="U170" s="61">
        <f>(tblJTL[[#This Row],[timeStamp]]-'17_分析サンプル'!$E$18)/1000</f>
        <v>64.391999999999996</v>
      </c>
      <c r="V170" s="57">
        <f>INT(tblJTL[[#This Row],[経過秒]]/60)</f>
        <v>1</v>
      </c>
      <c r="W170" s="57">
        <f>IF(OR(tblJTL[[#This Row],[success]]=FALSE,tblJTL[[#This Row],[success]]="false"),1,0)</f>
        <v>0</v>
      </c>
      <c r="X170" s="57">
        <f>IF(AND(tblJTL[[#This Row],[経過秒]]&gt;='17_分析サンプル'!$E$11,tblJTL[[#This Row],[経過秒]]&lt;'17_分析サンプル'!$E$12),1,0)</f>
        <v>1</v>
      </c>
    </row>
    <row r="171" spans="2:24" ht="14.4" x14ac:dyDescent="0.3">
      <c r="B171" s="57">
        <v>1790816464805</v>
      </c>
      <c r="C171" s="58">
        <v>70</v>
      </c>
      <c r="D171" s="59" t="s">
        <v>1658</v>
      </c>
      <c r="E171" s="59" t="s">
        <v>1577</v>
      </c>
      <c r="F171" s="59" t="s">
        <v>2275</v>
      </c>
      <c r="G171" s="59" t="s">
        <v>3589</v>
      </c>
      <c r="H171" s="59" t="s">
        <v>2281</v>
      </c>
      <c r="I171" s="59" t="b">
        <v>1</v>
      </c>
      <c r="J171" s="59"/>
      <c r="K171" s="58">
        <v>1858</v>
      </c>
      <c r="L171" s="58">
        <v>1342</v>
      </c>
      <c r="M171" s="59">
        <v>10</v>
      </c>
      <c r="N171" s="59">
        <v>10</v>
      </c>
      <c r="O171" s="59" t="s">
        <v>3578</v>
      </c>
      <c r="P171" s="58">
        <v>63</v>
      </c>
      <c r="Q171" s="59">
        <v>0</v>
      </c>
      <c r="R171" s="59">
        <v>0</v>
      </c>
      <c r="S171" s="60">
        <f>tblJTL[[#This Row],[timeStamp]]/86400000+DATE(1970,1,1)+TIME(9,0,0)</f>
        <v>46296.417416724536</v>
      </c>
      <c r="T171" s="57">
        <f>tblJTL[[#This Row],[timeStamp]]+tblJTL[[#This Row],[elapsed]]</f>
        <v>1790816464875</v>
      </c>
      <c r="U171" s="61">
        <f>(tblJTL[[#This Row],[timeStamp]]-'17_分析サンプル'!$E$18)/1000</f>
        <v>64.625</v>
      </c>
      <c r="V171" s="57">
        <f>INT(tblJTL[[#This Row],[経過秒]]/60)</f>
        <v>1</v>
      </c>
      <c r="W171" s="57">
        <f>IF(OR(tblJTL[[#This Row],[success]]=FALSE,tblJTL[[#This Row],[success]]="false"),1,0)</f>
        <v>0</v>
      </c>
      <c r="X171" s="57">
        <f>IF(AND(tblJTL[[#This Row],[経過秒]]&gt;='17_分析サンプル'!$E$11,tblJTL[[#This Row],[経過秒]]&lt;'17_分析サンプル'!$E$12),1,0)</f>
        <v>1</v>
      </c>
    </row>
    <row r="172" spans="2:24" ht="14.4" x14ac:dyDescent="0.3">
      <c r="B172" s="57">
        <v>1790816464912</v>
      </c>
      <c r="C172" s="58">
        <v>115</v>
      </c>
      <c r="D172" s="59" t="s">
        <v>1658</v>
      </c>
      <c r="E172" s="59" t="s">
        <v>1577</v>
      </c>
      <c r="F172" s="59" t="s">
        <v>2275</v>
      </c>
      <c r="G172" s="59" t="s">
        <v>3588</v>
      </c>
      <c r="H172" s="59" t="s">
        <v>2281</v>
      </c>
      <c r="I172" s="59" t="b">
        <v>1</v>
      </c>
      <c r="J172" s="59"/>
      <c r="K172" s="58">
        <v>1828</v>
      </c>
      <c r="L172" s="58">
        <v>1342</v>
      </c>
      <c r="M172" s="59">
        <v>10</v>
      </c>
      <c r="N172" s="59">
        <v>10</v>
      </c>
      <c r="O172" s="59" t="s">
        <v>3578</v>
      </c>
      <c r="P172" s="58">
        <v>109</v>
      </c>
      <c r="Q172" s="59">
        <v>0</v>
      </c>
      <c r="R172" s="59">
        <v>0</v>
      </c>
      <c r="S172" s="60">
        <f>tblJTL[[#This Row],[timeStamp]]/86400000+DATE(1970,1,1)+TIME(9,0,0)</f>
        <v>46296.417417962963</v>
      </c>
      <c r="T172" s="57">
        <f>tblJTL[[#This Row],[timeStamp]]+tblJTL[[#This Row],[elapsed]]</f>
        <v>1790816465027</v>
      </c>
      <c r="U172" s="61">
        <f>(tblJTL[[#This Row],[timeStamp]]-'17_分析サンプル'!$E$18)/1000</f>
        <v>64.731999999999999</v>
      </c>
      <c r="V172" s="57">
        <f>INT(tblJTL[[#This Row],[経過秒]]/60)</f>
        <v>1</v>
      </c>
      <c r="W172" s="57">
        <f>IF(OR(tblJTL[[#This Row],[success]]=FALSE,tblJTL[[#This Row],[success]]="false"),1,0)</f>
        <v>0</v>
      </c>
      <c r="X172" s="57">
        <f>IF(AND(tblJTL[[#This Row],[経過秒]]&gt;='17_分析サンプル'!$E$11,tblJTL[[#This Row],[経過秒]]&lt;'17_分析サンプル'!$E$12),1,0)</f>
        <v>1</v>
      </c>
    </row>
    <row r="173" spans="2:24" ht="14.4" x14ac:dyDescent="0.3">
      <c r="B173" s="57">
        <v>1790816464788</v>
      </c>
      <c r="C173" s="58">
        <v>380</v>
      </c>
      <c r="D173" s="59" t="s">
        <v>1677</v>
      </c>
      <c r="E173" s="59" t="s">
        <v>3579</v>
      </c>
      <c r="F173" s="59" t="s">
        <v>3580</v>
      </c>
      <c r="G173" s="59" t="s">
        <v>2278</v>
      </c>
      <c r="H173" s="59" t="s">
        <v>2281</v>
      </c>
      <c r="I173" s="59" t="b">
        <v>1</v>
      </c>
      <c r="J173" s="59"/>
      <c r="K173" s="58">
        <v>417</v>
      </c>
      <c r="L173" s="58">
        <v>1478</v>
      </c>
      <c r="M173" s="59">
        <v>10</v>
      </c>
      <c r="N173" s="59">
        <v>10</v>
      </c>
      <c r="O173" s="59" t="s">
        <v>3581</v>
      </c>
      <c r="P173" s="58">
        <v>372</v>
      </c>
      <c r="Q173" s="59">
        <v>0</v>
      </c>
      <c r="R173" s="59">
        <v>0</v>
      </c>
      <c r="S173" s="60">
        <f>tblJTL[[#This Row],[timeStamp]]/86400000+DATE(1970,1,1)+TIME(9,0,0)</f>
        <v>46296.41741652778</v>
      </c>
      <c r="T173" s="57">
        <f>tblJTL[[#This Row],[timeStamp]]+tblJTL[[#This Row],[elapsed]]</f>
        <v>1790816465168</v>
      </c>
      <c r="U173" s="61">
        <f>(tblJTL[[#This Row],[timeStamp]]-'17_分析サンプル'!$E$18)/1000</f>
        <v>64.608000000000004</v>
      </c>
      <c r="V173" s="57">
        <f>INT(tblJTL[[#This Row],[経過秒]]/60)</f>
        <v>1</v>
      </c>
      <c r="W173" s="57">
        <f>IF(OR(tblJTL[[#This Row],[success]]=FALSE,tblJTL[[#This Row],[success]]="false"),1,0)</f>
        <v>0</v>
      </c>
      <c r="X173" s="57">
        <f>IF(AND(tblJTL[[#This Row],[経過秒]]&gt;='17_分析サンプル'!$E$11,tblJTL[[#This Row],[経過秒]]&lt;'17_分析サンプル'!$E$12),1,0)</f>
        <v>1</v>
      </c>
    </row>
    <row r="174" spans="2:24" ht="14.4" x14ac:dyDescent="0.3">
      <c r="B174" s="57">
        <v>1790816465078</v>
      </c>
      <c r="C174" s="58">
        <v>99</v>
      </c>
      <c r="D174" s="59" t="s">
        <v>1658</v>
      </c>
      <c r="E174" s="59" t="s">
        <v>1577</v>
      </c>
      <c r="F174" s="59" t="s">
        <v>2275</v>
      </c>
      <c r="G174" s="59" t="s">
        <v>3585</v>
      </c>
      <c r="H174" s="59" t="s">
        <v>2281</v>
      </c>
      <c r="I174" s="59" t="b">
        <v>1</v>
      </c>
      <c r="J174" s="59"/>
      <c r="K174" s="58">
        <v>1876</v>
      </c>
      <c r="L174" s="58">
        <v>1342</v>
      </c>
      <c r="M174" s="59">
        <v>10</v>
      </c>
      <c r="N174" s="59">
        <v>10</v>
      </c>
      <c r="O174" s="59" t="s">
        <v>3578</v>
      </c>
      <c r="P174" s="58">
        <v>93</v>
      </c>
      <c r="Q174" s="59">
        <v>0</v>
      </c>
      <c r="R174" s="59">
        <v>0</v>
      </c>
      <c r="S174" s="60">
        <f>tblJTL[[#This Row],[timeStamp]]/86400000+DATE(1970,1,1)+TIME(9,0,0)</f>
        <v>46296.417419884259</v>
      </c>
      <c r="T174" s="57">
        <f>tblJTL[[#This Row],[timeStamp]]+tblJTL[[#This Row],[elapsed]]</f>
        <v>1790816465177</v>
      </c>
      <c r="U174" s="61">
        <f>(tblJTL[[#This Row],[timeStamp]]-'17_分析サンプル'!$E$18)/1000</f>
        <v>64.897999999999996</v>
      </c>
      <c r="V174" s="57">
        <f>INT(tblJTL[[#This Row],[経過秒]]/60)</f>
        <v>1</v>
      </c>
      <c r="W174" s="57">
        <f>IF(OR(tblJTL[[#This Row],[success]]=FALSE,tblJTL[[#This Row],[success]]="false"),1,0)</f>
        <v>0</v>
      </c>
      <c r="X174" s="57">
        <f>IF(AND(tblJTL[[#This Row],[経過秒]]&gt;='17_分析サンプル'!$E$11,tblJTL[[#This Row],[経過秒]]&lt;'17_分析サンプル'!$E$12),1,0)</f>
        <v>1</v>
      </c>
    </row>
    <row r="175" spans="2:24" ht="14.4" x14ac:dyDescent="0.3">
      <c r="B175" s="57">
        <v>1790816465155</v>
      </c>
      <c r="C175" s="58">
        <v>97</v>
      </c>
      <c r="D175" s="59" t="s">
        <v>1658</v>
      </c>
      <c r="E175" s="59" t="s">
        <v>1577</v>
      </c>
      <c r="F175" s="59" t="s">
        <v>2275</v>
      </c>
      <c r="G175" s="59" t="s">
        <v>3584</v>
      </c>
      <c r="H175" s="59" t="s">
        <v>2281</v>
      </c>
      <c r="I175" s="59" t="b">
        <v>1</v>
      </c>
      <c r="J175" s="59"/>
      <c r="K175" s="58">
        <v>1850</v>
      </c>
      <c r="L175" s="58">
        <v>1342</v>
      </c>
      <c r="M175" s="59">
        <v>10</v>
      </c>
      <c r="N175" s="59">
        <v>10</v>
      </c>
      <c r="O175" s="59" t="s">
        <v>3578</v>
      </c>
      <c r="P175" s="58">
        <v>93</v>
      </c>
      <c r="Q175" s="59">
        <v>0</v>
      </c>
      <c r="R175" s="59">
        <v>0</v>
      </c>
      <c r="S175" s="60">
        <f>tblJTL[[#This Row],[timeStamp]]/86400000+DATE(1970,1,1)+TIME(9,0,0)</f>
        <v>46296.417420775462</v>
      </c>
      <c r="T175" s="57">
        <f>tblJTL[[#This Row],[timeStamp]]+tblJTL[[#This Row],[elapsed]]</f>
        <v>1790816465252</v>
      </c>
      <c r="U175" s="61">
        <f>(tblJTL[[#This Row],[timeStamp]]-'17_分析サンプル'!$E$18)/1000</f>
        <v>64.974999999999994</v>
      </c>
      <c r="V175" s="57">
        <f>INT(tblJTL[[#This Row],[経過秒]]/60)</f>
        <v>1</v>
      </c>
      <c r="W175" s="57">
        <f>IF(OR(tblJTL[[#This Row],[success]]=FALSE,tblJTL[[#This Row],[success]]="false"),1,0)</f>
        <v>0</v>
      </c>
      <c r="X175" s="57">
        <f>IF(AND(tblJTL[[#This Row],[経過秒]]&gt;='17_分析サンプル'!$E$11,tblJTL[[#This Row],[経過秒]]&lt;'17_分析サンプル'!$E$12),1,0)</f>
        <v>1</v>
      </c>
    </row>
    <row r="176" spans="2:24" ht="14.4" x14ac:dyDescent="0.3">
      <c r="B176" s="57">
        <v>1790816465687</v>
      </c>
      <c r="C176" s="58">
        <v>82</v>
      </c>
      <c r="D176" s="59" t="s">
        <v>1658</v>
      </c>
      <c r="E176" s="59" t="s">
        <v>1577</v>
      </c>
      <c r="F176" s="59" t="s">
        <v>2275</v>
      </c>
      <c r="G176" s="59" t="s">
        <v>3582</v>
      </c>
      <c r="H176" s="59" t="s">
        <v>2281</v>
      </c>
      <c r="I176" s="59" t="b">
        <v>1</v>
      </c>
      <c r="J176" s="59"/>
      <c r="K176" s="58">
        <v>1859</v>
      </c>
      <c r="L176" s="58">
        <v>1342</v>
      </c>
      <c r="M176" s="59">
        <v>10</v>
      </c>
      <c r="N176" s="59">
        <v>10</v>
      </c>
      <c r="O176" s="59" t="s">
        <v>3578</v>
      </c>
      <c r="P176" s="58">
        <v>77</v>
      </c>
      <c r="Q176" s="59">
        <v>0</v>
      </c>
      <c r="R176" s="59">
        <v>0</v>
      </c>
      <c r="S176" s="60">
        <f>tblJTL[[#This Row],[timeStamp]]/86400000+DATE(1970,1,1)+TIME(9,0,0)</f>
        <v>46296.417426932865</v>
      </c>
      <c r="T176" s="57">
        <f>tblJTL[[#This Row],[timeStamp]]+tblJTL[[#This Row],[elapsed]]</f>
        <v>1790816465769</v>
      </c>
      <c r="U176" s="61">
        <f>(tblJTL[[#This Row],[timeStamp]]-'17_分析サンプル'!$E$18)/1000</f>
        <v>65.507000000000005</v>
      </c>
      <c r="V176" s="57">
        <f>INT(tblJTL[[#This Row],[経過秒]]/60)</f>
        <v>1</v>
      </c>
      <c r="W176" s="57">
        <f>IF(OR(tblJTL[[#This Row],[success]]=FALSE,tblJTL[[#This Row],[success]]="false"),1,0)</f>
        <v>0</v>
      </c>
      <c r="X176" s="57">
        <f>IF(AND(tblJTL[[#This Row],[経過秒]]&gt;='17_分析サンプル'!$E$11,tblJTL[[#This Row],[経過秒]]&lt;'17_分析サンプル'!$E$12),1,0)</f>
        <v>1</v>
      </c>
    </row>
    <row r="177" spans="2:24" ht="14.4" x14ac:dyDescent="0.3">
      <c r="B177" s="57">
        <v>1790816465973</v>
      </c>
      <c r="C177" s="58">
        <v>123</v>
      </c>
      <c r="D177" s="59" t="s">
        <v>1658</v>
      </c>
      <c r="E177" s="59" t="s">
        <v>1577</v>
      </c>
      <c r="F177" s="59" t="s">
        <v>2275</v>
      </c>
      <c r="G177" s="59" t="s">
        <v>3583</v>
      </c>
      <c r="H177" s="59" t="s">
        <v>2281</v>
      </c>
      <c r="I177" s="59" t="b">
        <v>1</v>
      </c>
      <c r="J177" s="59"/>
      <c r="K177" s="58">
        <v>1840</v>
      </c>
      <c r="L177" s="58">
        <v>1342</v>
      </c>
      <c r="M177" s="59">
        <v>10</v>
      </c>
      <c r="N177" s="59">
        <v>10</v>
      </c>
      <c r="O177" s="59" t="s">
        <v>3578</v>
      </c>
      <c r="P177" s="58">
        <v>115</v>
      </c>
      <c r="Q177" s="59">
        <v>0</v>
      </c>
      <c r="R177" s="59">
        <v>0</v>
      </c>
      <c r="S177" s="60">
        <f>tblJTL[[#This Row],[timeStamp]]/86400000+DATE(1970,1,1)+TIME(9,0,0)</f>
        <v>46296.417430243055</v>
      </c>
      <c r="T177" s="57">
        <f>tblJTL[[#This Row],[timeStamp]]+tblJTL[[#This Row],[elapsed]]</f>
        <v>1790816466096</v>
      </c>
      <c r="U177" s="61">
        <f>(tblJTL[[#This Row],[timeStamp]]-'17_分析サンプル'!$E$18)/1000</f>
        <v>65.793000000000006</v>
      </c>
      <c r="V177" s="57">
        <f>INT(tblJTL[[#This Row],[経過秒]]/60)</f>
        <v>1</v>
      </c>
      <c r="W177" s="57">
        <f>IF(OR(tblJTL[[#This Row],[success]]=FALSE,tblJTL[[#This Row],[success]]="false"),1,0)</f>
        <v>0</v>
      </c>
      <c r="X177" s="57">
        <f>IF(AND(tblJTL[[#This Row],[経過秒]]&gt;='17_分析サンプル'!$E$11,tblJTL[[#This Row],[経過秒]]&lt;'17_分析サンプル'!$E$12),1,0)</f>
        <v>1</v>
      </c>
    </row>
    <row r="178" spans="2:24" ht="14.4" x14ac:dyDescent="0.3">
      <c r="B178" s="57">
        <v>1790816466422</v>
      </c>
      <c r="C178" s="58">
        <v>104</v>
      </c>
      <c r="D178" s="59" t="s">
        <v>1658</v>
      </c>
      <c r="E178" s="59" t="s">
        <v>1577</v>
      </c>
      <c r="F178" s="59" t="s">
        <v>2275</v>
      </c>
      <c r="G178" s="59" t="s">
        <v>2278</v>
      </c>
      <c r="H178" s="59" t="s">
        <v>2281</v>
      </c>
      <c r="I178" s="59" t="b">
        <v>1</v>
      </c>
      <c r="J178" s="59"/>
      <c r="K178" s="58">
        <v>1851</v>
      </c>
      <c r="L178" s="58">
        <v>1342</v>
      </c>
      <c r="M178" s="59">
        <v>10</v>
      </c>
      <c r="N178" s="59">
        <v>10</v>
      </c>
      <c r="O178" s="59" t="s">
        <v>3578</v>
      </c>
      <c r="P178" s="58">
        <v>98</v>
      </c>
      <c r="Q178" s="59">
        <v>0</v>
      </c>
      <c r="R178" s="59">
        <v>0</v>
      </c>
      <c r="S178" s="60">
        <f>tblJTL[[#This Row],[timeStamp]]/86400000+DATE(1970,1,1)+TIME(9,0,0)</f>
        <v>46296.417435439813</v>
      </c>
      <c r="T178" s="57">
        <f>tblJTL[[#This Row],[timeStamp]]+tblJTL[[#This Row],[elapsed]]</f>
        <v>1790816466526</v>
      </c>
      <c r="U178" s="61">
        <f>(tblJTL[[#This Row],[timeStamp]]-'17_分析サンプル'!$E$18)/1000</f>
        <v>66.242000000000004</v>
      </c>
      <c r="V178" s="57">
        <f>INT(tblJTL[[#This Row],[経過秒]]/60)</f>
        <v>1</v>
      </c>
      <c r="W178" s="57">
        <f>IF(OR(tblJTL[[#This Row],[success]]=FALSE,tblJTL[[#This Row],[success]]="false"),1,0)</f>
        <v>0</v>
      </c>
      <c r="X178" s="57">
        <f>IF(AND(tblJTL[[#This Row],[経過秒]]&gt;='17_分析サンプル'!$E$11,tblJTL[[#This Row],[経過秒]]&lt;'17_分析サンプル'!$E$12),1,0)</f>
        <v>1</v>
      </c>
    </row>
    <row r="179" spans="2:24" ht="14.4" x14ac:dyDescent="0.3">
      <c r="B179" s="57">
        <v>1790816466318</v>
      </c>
      <c r="C179" s="58">
        <v>341</v>
      </c>
      <c r="D179" s="59" t="s">
        <v>1677</v>
      </c>
      <c r="E179" s="59" t="s">
        <v>3579</v>
      </c>
      <c r="F179" s="59" t="s">
        <v>3580</v>
      </c>
      <c r="G179" s="59" t="s">
        <v>3585</v>
      </c>
      <c r="H179" s="59" t="s">
        <v>2281</v>
      </c>
      <c r="I179" s="59" t="b">
        <v>1</v>
      </c>
      <c r="J179" s="59"/>
      <c r="K179" s="58">
        <v>420</v>
      </c>
      <c r="L179" s="58">
        <v>1478</v>
      </c>
      <c r="M179" s="59">
        <v>10</v>
      </c>
      <c r="N179" s="59">
        <v>10</v>
      </c>
      <c r="O179" s="59" t="s">
        <v>3581</v>
      </c>
      <c r="P179" s="58">
        <v>333</v>
      </c>
      <c r="Q179" s="59">
        <v>0</v>
      </c>
      <c r="R179" s="59">
        <v>0</v>
      </c>
      <c r="S179" s="60">
        <f>tblJTL[[#This Row],[timeStamp]]/86400000+DATE(1970,1,1)+TIME(9,0,0)</f>
        <v>46296.417434236108</v>
      </c>
      <c r="T179" s="57">
        <f>tblJTL[[#This Row],[timeStamp]]+tblJTL[[#This Row],[elapsed]]</f>
        <v>1790816466659</v>
      </c>
      <c r="U179" s="61">
        <f>(tblJTL[[#This Row],[timeStamp]]-'17_分析サンプル'!$E$18)/1000</f>
        <v>66.138000000000005</v>
      </c>
      <c r="V179" s="57">
        <f>INT(tblJTL[[#This Row],[経過秒]]/60)</f>
        <v>1</v>
      </c>
      <c r="W179" s="57">
        <f>IF(OR(tblJTL[[#This Row],[success]]=FALSE,tblJTL[[#This Row],[success]]="false"),1,0)</f>
        <v>0</v>
      </c>
      <c r="X179" s="57">
        <f>IF(AND(tblJTL[[#This Row],[経過秒]]&gt;='17_分析サンプル'!$E$11,tblJTL[[#This Row],[経過秒]]&lt;'17_分析サンプル'!$E$12),1,0)</f>
        <v>1</v>
      </c>
    </row>
    <row r="180" spans="2:24" ht="14.4" x14ac:dyDescent="0.3">
      <c r="B180" s="57">
        <v>1790816466795</v>
      </c>
      <c r="C180" s="58">
        <v>145</v>
      </c>
      <c r="D180" s="59" t="s">
        <v>1658</v>
      </c>
      <c r="E180" s="59" t="s">
        <v>1577</v>
      </c>
      <c r="F180" s="59" t="s">
        <v>2275</v>
      </c>
      <c r="G180" s="59" t="s">
        <v>3577</v>
      </c>
      <c r="H180" s="59" t="s">
        <v>2281</v>
      </c>
      <c r="I180" s="59" t="b">
        <v>1</v>
      </c>
      <c r="J180" s="59"/>
      <c r="K180" s="58">
        <v>1861</v>
      </c>
      <c r="L180" s="58">
        <v>1342</v>
      </c>
      <c r="M180" s="59">
        <v>10</v>
      </c>
      <c r="N180" s="59">
        <v>10</v>
      </c>
      <c r="O180" s="59" t="s">
        <v>3578</v>
      </c>
      <c r="P180" s="58">
        <v>137</v>
      </c>
      <c r="Q180" s="59">
        <v>0</v>
      </c>
      <c r="R180" s="59">
        <v>0</v>
      </c>
      <c r="S180" s="60">
        <f>tblJTL[[#This Row],[timeStamp]]/86400000+DATE(1970,1,1)+TIME(9,0,0)</f>
        <v>46296.417439756944</v>
      </c>
      <c r="T180" s="57">
        <f>tblJTL[[#This Row],[timeStamp]]+tblJTL[[#This Row],[elapsed]]</f>
        <v>1790816466940</v>
      </c>
      <c r="U180" s="61">
        <f>(tblJTL[[#This Row],[timeStamp]]-'17_分析サンプル'!$E$18)/1000</f>
        <v>66.614999999999995</v>
      </c>
      <c r="V180" s="57">
        <f>INT(tblJTL[[#This Row],[経過秒]]/60)</f>
        <v>1</v>
      </c>
      <c r="W180" s="57">
        <f>IF(OR(tblJTL[[#This Row],[success]]=FALSE,tblJTL[[#This Row],[success]]="false"),1,0)</f>
        <v>0</v>
      </c>
      <c r="X180" s="57">
        <f>IF(AND(tblJTL[[#This Row],[経過秒]]&gt;='17_分析サンプル'!$E$11,tblJTL[[#This Row],[経過秒]]&lt;'17_分析サンプル'!$E$12),1,0)</f>
        <v>1</v>
      </c>
    </row>
    <row r="181" spans="2:24" ht="14.4" x14ac:dyDescent="0.3">
      <c r="B181" s="57">
        <v>1790816467023</v>
      </c>
      <c r="C181" s="58">
        <v>333</v>
      </c>
      <c r="D181" s="59" t="s">
        <v>1677</v>
      </c>
      <c r="E181" s="59" t="s">
        <v>3579</v>
      </c>
      <c r="F181" s="59" t="s">
        <v>3580</v>
      </c>
      <c r="G181" s="59" t="s">
        <v>3588</v>
      </c>
      <c r="H181" s="59" t="s">
        <v>2281</v>
      </c>
      <c r="I181" s="59" t="b">
        <v>1</v>
      </c>
      <c r="J181" s="59"/>
      <c r="K181" s="58">
        <v>431</v>
      </c>
      <c r="L181" s="58">
        <v>1478</v>
      </c>
      <c r="M181" s="59">
        <v>10</v>
      </c>
      <c r="N181" s="59">
        <v>10</v>
      </c>
      <c r="O181" s="59" t="s">
        <v>3581</v>
      </c>
      <c r="P181" s="58">
        <v>329</v>
      </c>
      <c r="Q181" s="59">
        <v>0</v>
      </c>
      <c r="R181" s="59">
        <v>0</v>
      </c>
      <c r="S181" s="60">
        <f>tblJTL[[#This Row],[timeStamp]]/86400000+DATE(1970,1,1)+TIME(9,0,0)</f>
        <v>46296.417442395832</v>
      </c>
      <c r="T181" s="57">
        <f>tblJTL[[#This Row],[timeStamp]]+tblJTL[[#This Row],[elapsed]]</f>
        <v>1790816467356</v>
      </c>
      <c r="U181" s="61">
        <f>(tblJTL[[#This Row],[timeStamp]]-'17_分析サンプル'!$E$18)/1000</f>
        <v>66.843000000000004</v>
      </c>
      <c r="V181" s="57">
        <f>INT(tblJTL[[#This Row],[経過秒]]/60)</f>
        <v>1</v>
      </c>
      <c r="W181" s="57">
        <f>IF(OR(tblJTL[[#This Row],[success]]=FALSE,tblJTL[[#This Row],[success]]="false"),1,0)</f>
        <v>0</v>
      </c>
      <c r="X181" s="57">
        <f>IF(AND(tblJTL[[#This Row],[経過秒]]&gt;='17_分析サンプル'!$E$11,tblJTL[[#This Row],[経過秒]]&lt;'17_分析サンプル'!$E$12),1,0)</f>
        <v>1</v>
      </c>
    </row>
    <row r="182" spans="2:24" ht="14.4" x14ac:dyDescent="0.3">
      <c r="B182" s="57">
        <v>1790816467249</v>
      </c>
      <c r="C182" s="58">
        <v>204</v>
      </c>
      <c r="D182" s="59" t="s">
        <v>1677</v>
      </c>
      <c r="E182" s="59" t="s">
        <v>3579</v>
      </c>
      <c r="F182" s="59" t="s">
        <v>3580</v>
      </c>
      <c r="G182" s="59" t="s">
        <v>3584</v>
      </c>
      <c r="H182" s="59" t="s">
        <v>2281</v>
      </c>
      <c r="I182" s="59" t="b">
        <v>1</v>
      </c>
      <c r="J182" s="59"/>
      <c r="K182" s="58">
        <v>421</v>
      </c>
      <c r="L182" s="58">
        <v>1478</v>
      </c>
      <c r="M182" s="59">
        <v>10</v>
      </c>
      <c r="N182" s="59">
        <v>10</v>
      </c>
      <c r="O182" s="59" t="s">
        <v>3581</v>
      </c>
      <c r="P182" s="58">
        <v>197</v>
      </c>
      <c r="Q182" s="59">
        <v>0</v>
      </c>
      <c r="R182" s="59">
        <v>0</v>
      </c>
      <c r="S182" s="60">
        <f>tblJTL[[#This Row],[timeStamp]]/86400000+DATE(1970,1,1)+TIME(9,0,0)</f>
        <v>46296.417445011575</v>
      </c>
      <c r="T182" s="57">
        <f>tblJTL[[#This Row],[timeStamp]]+tblJTL[[#This Row],[elapsed]]</f>
        <v>1790816467453</v>
      </c>
      <c r="U182" s="61">
        <f>(tblJTL[[#This Row],[timeStamp]]-'17_分析サンプル'!$E$18)/1000</f>
        <v>67.069000000000003</v>
      </c>
      <c r="V182" s="57">
        <f>INT(tblJTL[[#This Row],[経過秒]]/60)</f>
        <v>1</v>
      </c>
      <c r="W182" s="57">
        <f>IF(OR(tblJTL[[#This Row],[success]]=FALSE,tblJTL[[#This Row],[success]]="false"),1,0)</f>
        <v>0</v>
      </c>
      <c r="X182" s="57">
        <f>IF(AND(tblJTL[[#This Row],[経過秒]]&gt;='17_分析サンプル'!$E$11,tblJTL[[#This Row],[経過秒]]&lt;'17_分析サンプル'!$E$12),1,0)</f>
        <v>1</v>
      </c>
    </row>
    <row r="183" spans="2:24" ht="14.4" x14ac:dyDescent="0.3">
      <c r="B183" s="57">
        <v>1790816467406</v>
      </c>
      <c r="C183" s="58">
        <v>130</v>
      </c>
      <c r="D183" s="59" t="s">
        <v>1677</v>
      </c>
      <c r="E183" s="59" t="s">
        <v>3579</v>
      </c>
      <c r="F183" s="59" t="s">
        <v>3580</v>
      </c>
      <c r="G183" s="59" t="s">
        <v>3589</v>
      </c>
      <c r="H183" s="59" t="s">
        <v>2281</v>
      </c>
      <c r="I183" s="59" t="b">
        <v>1</v>
      </c>
      <c r="J183" s="59"/>
      <c r="K183" s="58">
        <v>439</v>
      </c>
      <c r="L183" s="58">
        <v>1478</v>
      </c>
      <c r="M183" s="59">
        <v>10</v>
      </c>
      <c r="N183" s="59">
        <v>10</v>
      </c>
      <c r="O183" s="59" t="s">
        <v>3581</v>
      </c>
      <c r="P183" s="58">
        <v>123</v>
      </c>
      <c r="Q183" s="59">
        <v>0</v>
      </c>
      <c r="R183" s="59">
        <v>0</v>
      </c>
      <c r="S183" s="60">
        <f>tblJTL[[#This Row],[timeStamp]]/86400000+DATE(1970,1,1)+TIME(9,0,0)</f>
        <v>46296.417446828702</v>
      </c>
      <c r="T183" s="57">
        <f>tblJTL[[#This Row],[timeStamp]]+tblJTL[[#This Row],[elapsed]]</f>
        <v>1790816467536</v>
      </c>
      <c r="U183" s="61">
        <f>(tblJTL[[#This Row],[timeStamp]]-'17_分析サンプル'!$E$18)/1000</f>
        <v>67.225999999999999</v>
      </c>
      <c r="V183" s="57">
        <f>INT(tblJTL[[#This Row],[経過秒]]/60)</f>
        <v>1</v>
      </c>
      <c r="W183" s="57">
        <f>IF(OR(tblJTL[[#This Row],[success]]=FALSE,tblJTL[[#This Row],[success]]="false"),1,0)</f>
        <v>0</v>
      </c>
      <c r="X183" s="57">
        <f>IF(AND(tblJTL[[#This Row],[経過秒]]&gt;='17_分析サンプル'!$E$11,tblJTL[[#This Row],[経過秒]]&lt;'17_分析サンプル'!$E$12),1,0)</f>
        <v>1</v>
      </c>
    </row>
    <row r="184" spans="2:24" ht="14.4" x14ac:dyDescent="0.3">
      <c r="B184" s="57">
        <v>1790816467204</v>
      </c>
      <c r="C184" s="58">
        <v>344</v>
      </c>
      <c r="D184" s="59" t="s">
        <v>1677</v>
      </c>
      <c r="E184" s="59" t="s">
        <v>3579</v>
      </c>
      <c r="F184" s="59" t="s">
        <v>3580</v>
      </c>
      <c r="G184" s="59" t="s">
        <v>3587</v>
      </c>
      <c r="H184" s="59" t="s">
        <v>2281</v>
      </c>
      <c r="I184" s="59" t="b">
        <v>1</v>
      </c>
      <c r="J184" s="59"/>
      <c r="K184" s="58">
        <v>429</v>
      </c>
      <c r="L184" s="58">
        <v>1478</v>
      </c>
      <c r="M184" s="59">
        <v>10</v>
      </c>
      <c r="N184" s="59">
        <v>10</v>
      </c>
      <c r="O184" s="59" t="s">
        <v>3581</v>
      </c>
      <c r="P184" s="58">
        <v>342</v>
      </c>
      <c r="Q184" s="59">
        <v>0</v>
      </c>
      <c r="R184" s="59">
        <v>0</v>
      </c>
      <c r="S184" s="60">
        <f>tblJTL[[#This Row],[timeStamp]]/86400000+DATE(1970,1,1)+TIME(9,0,0)</f>
        <v>46296.41744449074</v>
      </c>
      <c r="T184" s="57">
        <f>tblJTL[[#This Row],[timeStamp]]+tblJTL[[#This Row],[elapsed]]</f>
        <v>1790816467548</v>
      </c>
      <c r="U184" s="61">
        <f>(tblJTL[[#This Row],[timeStamp]]-'17_分析サンプル'!$E$18)/1000</f>
        <v>67.024000000000001</v>
      </c>
      <c r="V184" s="57">
        <f>INT(tblJTL[[#This Row],[経過秒]]/60)</f>
        <v>1</v>
      </c>
      <c r="W184" s="57">
        <f>IF(OR(tblJTL[[#This Row],[success]]=FALSE,tblJTL[[#This Row],[success]]="false"),1,0)</f>
        <v>0</v>
      </c>
      <c r="X184" s="57">
        <f>IF(AND(tblJTL[[#This Row],[経過秒]]&gt;='17_分析サンプル'!$E$11,tblJTL[[#This Row],[経過秒]]&lt;'17_分析サンプル'!$E$12),1,0)</f>
        <v>1</v>
      </c>
    </row>
    <row r="185" spans="2:24" ht="14.4" x14ac:dyDescent="0.3">
      <c r="B185" s="57">
        <v>1790816467570</v>
      </c>
      <c r="C185" s="58">
        <v>153</v>
      </c>
      <c r="D185" s="59" t="s">
        <v>1677</v>
      </c>
      <c r="E185" s="59" t="s">
        <v>3579</v>
      </c>
      <c r="F185" s="59" t="s">
        <v>3580</v>
      </c>
      <c r="G185" s="59" t="s">
        <v>2278</v>
      </c>
      <c r="H185" s="59" t="s">
        <v>2281</v>
      </c>
      <c r="I185" s="59" t="b">
        <v>1</v>
      </c>
      <c r="J185" s="59"/>
      <c r="K185" s="58">
        <v>439</v>
      </c>
      <c r="L185" s="58">
        <v>1478</v>
      </c>
      <c r="M185" s="59">
        <v>10</v>
      </c>
      <c r="N185" s="59">
        <v>10</v>
      </c>
      <c r="O185" s="59" t="s">
        <v>3581</v>
      </c>
      <c r="P185" s="58">
        <v>145</v>
      </c>
      <c r="Q185" s="59">
        <v>0</v>
      </c>
      <c r="R185" s="59">
        <v>0</v>
      </c>
      <c r="S185" s="60">
        <f>tblJTL[[#This Row],[timeStamp]]/86400000+DATE(1970,1,1)+TIME(9,0,0)</f>
        <v>46296.417448726846</v>
      </c>
      <c r="T185" s="57">
        <f>tblJTL[[#This Row],[timeStamp]]+tblJTL[[#This Row],[elapsed]]</f>
        <v>1790816467723</v>
      </c>
      <c r="U185" s="61">
        <f>(tblJTL[[#This Row],[timeStamp]]-'17_分析サンプル'!$E$18)/1000</f>
        <v>67.39</v>
      </c>
      <c r="V185" s="57">
        <f>INT(tblJTL[[#This Row],[経過秒]]/60)</f>
        <v>1</v>
      </c>
      <c r="W185" s="57">
        <f>IF(OR(tblJTL[[#This Row],[success]]=FALSE,tblJTL[[#This Row],[success]]="false"),1,0)</f>
        <v>0</v>
      </c>
      <c r="X185" s="57">
        <f>IF(AND(tblJTL[[#This Row],[経過秒]]&gt;='17_分析サンプル'!$E$11,tblJTL[[#This Row],[経過秒]]&lt;'17_分析サンプル'!$E$12),1,0)</f>
        <v>1</v>
      </c>
    </row>
    <row r="186" spans="2:24" ht="14.4" x14ac:dyDescent="0.3">
      <c r="B186" s="57">
        <v>1790816467698</v>
      </c>
      <c r="C186" s="58">
        <v>121</v>
      </c>
      <c r="D186" s="59" t="s">
        <v>1658</v>
      </c>
      <c r="E186" s="59" t="s">
        <v>1577</v>
      </c>
      <c r="F186" s="59" t="s">
        <v>2275</v>
      </c>
      <c r="G186" s="59" t="s">
        <v>3586</v>
      </c>
      <c r="H186" s="59" t="s">
        <v>2281</v>
      </c>
      <c r="I186" s="59" t="b">
        <v>1</v>
      </c>
      <c r="J186" s="59"/>
      <c r="K186" s="58">
        <v>1873</v>
      </c>
      <c r="L186" s="58">
        <v>1342</v>
      </c>
      <c r="M186" s="59">
        <v>10</v>
      </c>
      <c r="N186" s="59">
        <v>10</v>
      </c>
      <c r="O186" s="59" t="s">
        <v>3578</v>
      </c>
      <c r="P186" s="58">
        <v>116</v>
      </c>
      <c r="Q186" s="59">
        <v>0</v>
      </c>
      <c r="R186" s="59">
        <v>0</v>
      </c>
      <c r="S186" s="60">
        <f>tblJTL[[#This Row],[timeStamp]]/86400000+DATE(1970,1,1)+TIME(9,0,0)</f>
        <v>46296.417450208333</v>
      </c>
      <c r="T186" s="57">
        <f>tblJTL[[#This Row],[timeStamp]]+tblJTL[[#This Row],[elapsed]]</f>
        <v>1790816467819</v>
      </c>
      <c r="U186" s="61">
        <f>(tblJTL[[#This Row],[timeStamp]]-'17_分析サンプル'!$E$18)/1000</f>
        <v>67.518000000000001</v>
      </c>
      <c r="V186" s="57">
        <f>INT(tblJTL[[#This Row],[経過秒]]/60)</f>
        <v>1</v>
      </c>
      <c r="W186" s="57">
        <f>IF(OR(tblJTL[[#This Row],[success]]=FALSE,tblJTL[[#This Row],[success]]="false"),1,0)</f>
        <v>0</v>
      </c>
      <c r="X186" s="57">
        <f>IF(AND(tblJTL[[#This Row],[経過秒]]&gt;='17_分析サンプル'!$E$11,tblJTL[[#This Row],[経過秒]]&lt;'17_分析サンプル'!$E$12),1,0)</f>
        <v>1</v>
      </c>
    </row>
    <row r="187" spans="2:24" ht="14.4" x14ac:dyDescent="0.3">
      <c r="B187" s="57">
        <v>1790816468018</v>
      </c>
      <c r="C187" s="58">
        <v>184</v>
      </c>
      <c r="D187" s="59" t="s">
        <v>1677</v>
      </c>
      <c r="E187" s="59" t="s">
        <v>3579</v>
      </c>
      <c r="F187" s="59" t="s">
        <v>3580</v>
      </c>
      <c r="G187" s="59" t="s">
        <v>3583</v>
      </c>
      <c r="H187" s="59" t="s">
        <v>2281</v>
      </c>
      <c r="I187" s="59" t="b">
        <v>1</v>
      </c>
      <c r="J187" s="59"/>
      <c r="K187" s="58">
        <v>427</v>
      </c>
      <c r="L187" s="58">
        <v>1478</v>
      </c>
      <c r="M187" s="59">
        <v>10</v>
      </c>
      <c r="N187" s="59">
        <v>10</v>
      </c>
      <c r="O187" s="59" t="s">
        <v>3581</v>
      </c>
      <c r="P187" s="58">
        <v>176</v>
      </c>
      <c r="Q187" s="59">
        <v>0</v>
      </c>
      <c r="R187" s="59">
        <v>0</v>
      </c>
      <c r="S187" s="60">
        <f>tblJTL[[#This Row],[timeStamp]]/86400000+DATE(1970,1,1)+TIME(9,0,0)</f>
        <v>46296.417453912036</v>
      </c>
      <c r="T187" s="57">
        <f>tblJTL[[#This Row],[timeStamp]]+tblJTL[[#This Row],[elapsed]]</f>
        <v>1790816468202</v>
      </c>
      <c r="U187" s="61">
        <f>(tblJTL[[#This Row],[timeStamp]]-'17_分析サンプル'!$E$18)/1000</f>
        <v>67.837999999999994</v>
      </c>
      <c r="V187" s="57">
        <f>INT(tblJTL[[#This Row],[経過秒]]/60)</f>
        <v>1</v>
      </c>
      <c r="W187" s="57">
        <f>IF(OR(tblJTL[[#This Row],[success]]=FALSE,tblJTL[[#This Row],[success]]="false"),1,0)</f>
        <v>0</v>
      </c>
      <c r="X187" s="57">
        <f>IF(AND(tblJTL[[#This Row],[経過秒]]&gt;='17_分析サンプル'!$E$11,tblJTL[[#This Row],[経過秒]]&lt;'17_分析サンプル'!$E$12),1,0)</f>
        <v>1</v>
      </c>
    </row>
    <row r="188" spans="2:24" ht="14.4" x14ac:dyDescent="0.3">
      <c r="B188" s="57">
        <v>1790816468217</v>
      </c>
      <c r="C188" s="58">
        <v>128</v>
      </c>
      <c r="D188" s="59" t="s">
        <v>1658</v>
      </c>
      <c r="E188" s="59" t="s">
        <v>1577</v>
      </c>
      <c r="F188" s="59" t="s">
        <v>2275</v>
      </c>
      <c r="G188" s="59" t="s">
        <v>3585</v>
      </c>
      <c r="H188" s="59" t="s">
        <v>2281</v>
      </c>
      <c r="I188" s="59" t="b">
        <v>1</v>
      </c>
      <c r="J188" s="59"/>
      <c r="K188" s="58">
        <v>1893</v>
      </c>
      <c r="L188" s="58">
        <v>1342</v>
      </c>
      <c r="M188" s="59">
        <v>10</v>
      </c>
      <c r="N188" s="59">
        <v>10</v>
      </c>
      <c r="O188" s="59" t="s">
        <v>3578</v>
      </c>
      <c r="P188" s="58">
        <v>125</v>
      </c>
      <c r="Q188" s="59">
        <v>0</v>
      </c>
      <c r="R188" s="59">
        <v>0</v>
      </c>
      <c r="S188" s="60">
        <f>tblJTL[[#This Row],[timeStamp]]/86400000+DATE(1970,1,1)+TIME(9,0,0)</f>
        <v>46296.417456215277</v>
      </c>
      <c r="T188" s="57">
        <f>tblJTL[[#This Row],[timeStamp]]+tblJTL[[#This Row],[elapsed]]</f>
        <v>1790816468345</v>
      </c>
      <c r="U188" s="61">
        <f>(tblJTL[[#This Row],[timeStamp]]-'17_分析サンプル'!$E$18)/1000</f>
        <v>68.037000000000006</v>
      </c>
      <c r="V188" s="57">
        <f>INT(tblJTL[[#This Row],[経過秒]]/60)</f>
        <v>1</v>
      </c>
      <c r="W188" s="57">
        <f>IF(OR(tblJTL[[#This Row],[success]]=FALSE,tblJTL[[#This Row],[success]]="false"),1,0)</f>
        <v>0</v>
      </c>
      <c r="X188" s="57">
        <f>IF(AND(tblJTL[[#This Row],[経過秒]]&gt;='17_分析サンプル'!$E$11,tblJTL[[#This Row],[経過秒]]&lt;'17_分析サンプル'!$E$12),1,0)</f>
        <v>1</v>
      </c>
    </row>
    <row r="189" spans="2:24" ht="14.4" x14ac:dyDescent="0.3">
      <c r="B189" s="57">
        <v>1790816468145</v>
      </c>
      <c r="C189" s="58">
        <v>235</v>
      </c>
      <c r="D189" s="59" t="s">
        <v>1677</v>
      </c>
      <c r="E189" s="59" t="s">
        <v>3579</v>
      </c>
      <c r="F189" s="59" t="s">
        <v>3580</v>
      </c>
      <c r="G189" s="59" t="s">
        <v>3582</v>
      </c>
      <c r="H189" s="59" t="s">
        <v>2281</v>
      </c>
      <c r="I189" s="59" t="b">
        <v>1</v>
      </c>
      <c r="J189" s="59"/>
      <c r="K189" s="58">
        <v>424</v>
      </c>
      <c r="L189" s="58">
        <v>1478</v>
      </c>
      <c r="M189" s="59">
        <v>10</v>
      </c>
      <c r="N189" s="59">
        <v>10</v>
      </c>
      <c r="O189" s="59" t="s">
        <v>3581</v>
      </c>
      <c r="P189" s="58">
        <v>233</v>
      </c>
      <c r="Q189" s="59">
        <v>0</v>
      </c>
      <c r="R189" s="59">
        <v>0</v>
      </c>
      <c r="S189" s="60">
        <f>tblJTL[[#This Row],[timeStamp]]/86400000+DATE(1970,1,1)+TIME(9,0,0)</f>
        <v>46296.417455381947</v>
      </c>
      <c r="T189" s="57">
        <f>tblJTL[[#This Row],[timeStamp]]+tblJTL[[#This Row],[elapsed]]</f>
        <v>1790816468380</v>
      </c>
      <c r="U189" s="61">
        <f>(tblJTL[[#This Row],[timeStamp]]-'17_分析サンプル'!$E$18)/1000</f>
        <v>67.965000000000003</v>
      </c>
      <c r="V189" s="57">
        <f>INT(tblJTL[[#This Row],[経過秒]]/60)</f>
        <v>1</v>
      </c>
      <c r="W189" s="57">
        <f>IF(OR(tblJTL[[#This Row],[success]]=FALSE,tblJTL[[#This Row],[success]]="false"),1,0)</f>
        <v>0</v>
      </c>
      <c r="X189" s="57">
        <f>IF(AND(tblJTL[[#This Row],[経過秒]]&gt;='17_分析サンプル'!$E$11,tblJTL[[#This Row],[経過秒]]&lt;'17_分析サンプル'!$E$12),1,0)</f>
        <v>1</v>
      </c>
    </row>
    <row r="190" spans="2:24" ht="14.4" x14ac:dyDescent="0.3">
      <c r="B190" s="57">
        <v>1790816468808</v>
      </c>
      <c r="C190" s="58">
        <v>116</v>
      </c>
      <c r="D190" s="59" t="s">
        <v>1658</v>
      </c>
      <c r="E190" s="59" t="s">
        <v>1577</v>
      </c>
      <c r="F190" s="59" t="s">
        <v>2275</v>
      </c>
      <c r="G190" s="59" t="s">
        <v>3588</v>
      </c>
      <c r="H190" s="59" t="s">
        <v>2281</v>
      </c>
      <c r="I190" s="59" t="b">
        <v>1</v>
      </c>
      <c r="J190" s="59"/>
      <c r="K190" s="58">
        <v>1900</v>
      </c>
      <c r="L190" s="58">
        <v>1342</v>
      </c>
      <c r="M190" s="59">
        <v>10</v>
      </c>
      <c r="N190" s="59">
        <v>10</v>
      </c>
      <c r="O190" s="59" t="s">
        <v>3578</v>
      </c>
      <c r="P190" s="58">
        <v>111</v>
      </c>
      <c r="Q190" s="59">
        <v>0</v>
      </c>
      <c r="R190" s="59">
        <v>0</v>
      </c>
      <c r="S190" s="60">
        <f>tblJTL[[#This Row],[timeStamp]]/86400000+DATE(1970,1,1)+TIME(9,0,0)</f>
        <v>46296.417463055557</v>
      </c>
      <c r="T190" s="57">
        <f>tblJTL[[#This Row],[timeStamp]]+tblJTL[[#This Row],[elapsed]]</f>
        <v>1790816468924</v>
      </c>
      <c r="U190" s="61">
        <f>(tblJTL[[#This Row],[timeStamp]]-'17_分析サンプル'!$E$18)/1000</f>
        <v>68.628</v>
      </c>
      <c r="V190" s="57">
        <f>INT(tblJTL[[#This Row],[経過秒]]/60)</f>
        <v>1</v>
      </c>
      <c r="W190" s="57">
        <f>IF(OR(tblJTL[[#This Row],[success]]=FALSE,tblJTL[[#This Row],[success]]="false"),1,0)</f>
        <v>0</v>
      </c>
      <c r="X190" s="57">
        <f>IF(AND(tblJTL[[#This Row],[経過秒]]&gt;='17_分析サンプル'!$E$11,tblJTL[[#This Row],[経過秒]]&lt;'17_分析サンプル'!$E$12),1,0)</f>
        <v>1</v>
      </c>
    </row>
    <row r="191" spans="2:24" ht="14.4" x14ac:dyDescent="0.3">
      <c r="B191" s="57">
        <v>1790816468880</v>
      </c>
      <c r="C191" s="58">
        <v>176</v>
      </c>
      <c r="D191" s="59" t="s">
        <v>1658</v>
      </c>
      <c r="E191" s="59" t="s">
        <v>1577</v>
      </c>
      <c r="F191" s="59" t="s">
        <v>2275</v>
      </c>
      <c r="G191" s="59" t="s">
        <v>3587</v>
      </c>
      <c r="H191" s="59" t="s">
        <v>2281</v>
      </c>
      <c r="I191" s="59" t="b">
        <v>1</v>
      </c>
      <c r="J191" s="59"/>
      <c r="K191" s="58">
        <v>1888</v>
      </c>
      <c r="L191" s="58">
        <v>1342</v>
      </c>
      <c r="M191" s="59">
        <v>10</v>
      </c>
      <c r="N191" s="59">
        <v>10</v>
      </c>
      <c r="O191" s="59" t="s">
        <v>3578</v>
      </c>
      <c r="P191" s="58">
        <v>173</v>
      </c>
      <c r="Q191" s="59">
        <v>0</v>
      </c>
      <c r="R191" s="59">
        <v>0</v>
      </c>
      <c r="S191" s="60">
        <f>tblJTL[[#This Row],[timeStamp]]/86400000+DATE(1970,1,1)+TIME(9,0,0)</f>
        <v>46296.417463888887</v>
      </c>
      <c r="T191" s="57">
        <f>tblJTL[[#This Row],[timeStamp]]+tblJTL[[#This Row],[elapsed]]</f>
        <v>1790816469056</v>
      </c>
      <c r="U191" s="61">
        <f>(tblJTL[[#This Row],[timeStamp]]-'17_分析サンプル'!$E$18)/1000</f>
        <v>68.7</v>
      </c>
      <c r="V191" s="57">
        <f>INT(tblJTL[[#This Row],[経過秒]]/60)</f>
        <v>1</v>
      </c>
      <c r="W191" s="57">
        <f>IF(OR(tblJTL[[#This Row],[success]]=FALSE,tblJTL[[#This Row],[success]]="false"),1,0)</f>
        <v>0</v>
      </c>
      <c r="X191" s="57">
        <f>IF(AND(tblJTL[[#This Row],[経過秒]]&gt;='17_分析サンプル'!$E$11,tblJTL[[#This Row],[経過秒]]&lt;'17_分析サンプル'!$E$12),1,0)</f>
        <v>1</v>
      </c>
    </row>
    <row r="192" spans="2:24" ht="14.4" x14ac:dyDescent="0.3">
      <c r="B192" s="57">
        <v>1790816469266</v>
      </c>
      <c r="C192" s="58">
        <v>164</v>
      </c>
      <c r="D192" s="59" t="s">
        <v>1677</v>
      </c>
      <c r="E192" s="59" t="s">
        <v>3579</v>
      </c>
      <c r="F192" s="59" t="s">
        <v>3580</v>
      </c>
      <c r="G192" s="59" t="s">
        <v>3586</v>
      </c>
      <c r="H192" s="59" t="s">
        <v>2281</v>
      </c>
      <c r="I192" s="59" t="b">
        <v>1</v>
      </c>
      <c r="J192" s="59"/>
      <c r="K192" s="58">
        <v>432</v>
      </c>
      <c r="L192" s="58">
        <v>1478</v>
      </c>
      <c r="M192" s="59">
        <v>10</v>
      </c>
      <c r="N192" s="59">
        <v>10</v>
      </c>
      <c r="O192" s="59" t="s">
        <v>3581</v>
      </c>
      <c r="P192" s="58">
        <v>160</v>
      </c>
      <c r="Q192" s="59">
        <v>0</v>
      </c>
      <c r="R192" s="59">
        <v>0</v>
      </c>
      <c r="S192" s="60">
        <f>tblJTL[[#This Row],[timeStamp]]/86400000+DATE(1970,1,1)+TIME(9,0,0)</f>
        <v>46296.417468356478</v>
      </c>
      <c r="T192" s="57">
        <f>tblJTL[[#This Row],[timeStamp]]+tblJTL[[#This Row],[elapsed]]</f>
        <v>1790816469430</v>
      </c>
      <c r="U192" s="61">
        <f>(tblJTL[[#This Row],[timeStamp]]-'17_分析サンプル'!$E$18)/1000</f>
        <v>69.085999999999999</v>
      </c>
      <c r="V192" s="57">
        <f>INT(tblJTL[[#This Row],[経過秒]]/60)</f>
        <v>1</v>
      </c>
      <c r="W192" s="57">
        <f>IF(OR(tblJTL[[#This Row],[success]]=FALSE,tblJTL[[#This Row],[success]]="false"),1,0)</f>
        <v>0</v>
      </c>
      <c r="X192" s="57">
        <f>IF(AND(tblJTL[[#This Row],[経過秒]]&gt;='17_分析サンプル'!$E$11,tblJTL[[#This Row],[経過秒]]&lt;'17_分析サンプル'!$E$12),1,0)</f>
        <v>1</v>
      </c>
    </row>
    <row r="193" spans="2:24" ht="14.4" x14ac:dyDescent="0.3">
      <c r="B193" s="57">
        <v>1790816469447</v>
      </c>
      <c r="C193" s="58">
        <v>119</v>
      </c>
      <c r="D193" s="59" t="s">
        <v>1658</v>
      </c>
      <c r="E193" s="59" t="s">
        <v>1577</v>
      </c>
      <c r="F193" s="59" t="s">
        <v>2275</v>
      </c>
      <c r="G193" s="59" t="s">
        <v>3589</v>
      </c>
      <c r="H193" s="59" t="s">
        <v>2281</v>
      </c>
      <c r="I193" s="59" t="b">
        <v>1</v>
      </c>
      <c r="J193" s="59"/>
      <c r="K193" s="58">
        <v>1875</v>
      </c>
      <c r="L193" s="58">
        <v>1342</v>
      </c>
      <c r="M193" s="59">
        <v>10</v>
      </c>
      <c r="N193" s="59">
        <v>10</v>
      </c>
      <c r="O193" s="59" t="s">
        <v>3578</v>
      </c>
      <c r="P193" s="58">
        <v>112</v>
      </c>
      <c r="Q193" s="59">
        <v>0</v>
      </c>
      <c r="R193" s="59">
        <v>0</v>
      </c>
      <c r="S193" s="60">
        <f>tblJTL[[#This Row],[timeStamp]]/86400000+DATE(1970,1,1)+TIME(9,0,0)</f>
        <v>46296.417470451386</v>
      </c>
      <c r="T193" s="57">
        <f>tblJTL[[#This Row],[timeStamp]]+tblJTL[[#This Row],[elapsed]]</f>
        <v>1790816469566</v>
      </c>
      <c r="U193" s="61">
        <f>(tblJTL[[#This Row],[timeStamp]]-'17_分析サンプル'!$E$18)/1000</f>
        <v>69.266999999999996</v>
      </c>
      <c r="V193" s="57">
        <f>INT(tblJTL[[#This Row],[経過秒]]/60)</f>
        <v>1</v>
      </c>
      <c r="W193" s="57">
        <f>IF(OR(tblJTL[[#This Row],[success]]=FALSE,tblJTL[[#This Row],[success]]="false"),1,0)</f>
        <v>0</v>
      </c>
      <c r="X193" s="57">
        <f>IF(AND(tblJTL[[#This Row],[経過秒]]&gt;='17_分析サンプル'!$E$11,tblJTL[[#This Row],[経過秒]]&lt;'17_分析サンプル'!$E$12),1,0)</f>
        <v>1</v>
      </c>
    </row>
    <row r="194" spans="2:24" ht="14.4" x14ac:dyDescent="0.3">
      <c r="B194" s="57">
        <v>1790816469483</v>
      </c>
      <c r="C194" s="58">
        <v>106</v>
      </c>
      <c r="D194" s="59" t="s">
        <v>1658</v>
      </c>
      <c r="E194" s="59" t="s">
        <v>1577</v>
      </c>
      <c r="F194" s="59" t="s">
        <v>2275</v>
      </c>
      <c r="G194" s="59" t="s">
        <v>3584</v>
      </c>
      <c r="H194" s="59" t="s">
        <v>2281</v>
      </c>
      <c r="I194" s="59" t="b">
        <v>1</v>
      </c>
      <c r="J194" s="59"/>
      <c r="K194" s="58">
        <v>1870</v>
      </c>
      <c r="L194" s="58">
        <v>1342</v>
      </c>
      <c r="M194" s="59">
        <v>10</v>
      </c>
      <c r="N194" s="59">
        <v>10</v>
      </c>
      <c r="O194" s="59" t="s">
        <v>3578</v>
      </c>
      <c r="P194" s="58">
        <v>104</v>
      </c>
      <c r="Q194" s="59">
        <v>0</v>
      </c>
      <c r="R194" s="59">
        <v>0</v>
      </c>
      <c r="S194" s="60">
        <f>tblJTL[[#This Row],[timeStamp]]/86400000+DATE(1970,1,1)+TIME(9,0,0)</f>
        <v>46296.417470868051</v>
      </c>
      <c r="T194" s="57">
        <f>tblJTL[[#This Row],[timeStamp]]+tblJTL[[#This Row],[elapsed]]</f>
        <v>1790816469589</v>
      </c>
      <c r="U194" s="61">
        <f>(tblJTL[[#This Row],[timeStamp]]-'17_分析サンプル'!$E$18)/1000</f>
        <v>69.302999999999997</v>
      </c>
      <c r="V194" s="57">
        <f>INT(tblJTL[[#This Row],[経過秒]]/60)</f>
        <v>1</v>
      </c>
      <c r="W194" s="57">
        <f>IF(OR(tblJTL[[#This Row],[success]]=FALSE,tblJTL[[#This Row],[success]]="false"),1,0)</f>
        <v>0</v>
      </c>
      <c r="X194" s="57">
        <f>IF(AND(tblJTL[[#This Row],[経過秒]]&gt;='17_分析サンプル'!$E$11,tblJTL[[#This Row],[経過秒]]&lt;'17_分析サンプル'!$E$12),1,0)</f>
        <v>1</v>
      </c>
    </row>
    <row r="195" spans="2:24" ht="14.4" x14ac:dyDescent="0.3">
      <c r="B195" s="57">
        <v>1790816469499</v>
      </c>
      <c r="C195" s="58">
        <v>257</v>
      </c>
      <c r="D195" s="59" t="s">
        <v>1677</v>
      </c>
      <c r="E195" s="59" t="s">
        <v>3579</v>
      </c>
      <c r="F195" s="59" t="s">
        <v>3580</v>
      </c>
      <c r="G195" s="59" t="s">
        <v>3585</v>
      </c>
      <c r="H195" s="59" t="s">
        <v>2281</v>
      </c>
      <c r="I195" s="59" t="b">
        <v>1</v>
      </c>
      <c r="J195" s="59"/>
      <c r="K195" s="58">
        <v>428</v>
      </c>
      <c r="L195" s="58">
        <v>1478</v>
      </c>
      <c r="M195" s="59">
        <v>10</v>
      </c>
      <c r="N195" s="59">
        <v>10</v>
      </c>
      <c r="O195" s="59" t="s">
        <v>3581</v>
      </c>
      <c r="P195" s="58">
        <v>252</v>
      </c>
      <c r="Q195" s="59">
        <v>0</v>
      </c>
      <c r="R195" s="59">
        <v>0</v>
      </c>
      <c r="S195" s="60">
        <f>tblJTL[[#This Row],[timeStamp]]/86400000+DATE(1970,1,1)+TIME(9,0,0)</f>
        <v>46296.417471053239</v>
      </c>
      <c r="T195" s="57">
        <f>tblJTL[[#This Row],[timeStamp]]+tblJTL[[#This Row],[elapsed]]</f>
        <v>1790816469756</v>
      </c>
      <c r="U195" s="61">
        <f>(tblJTL[[#This Row],[timeStamp]]-'17_分析サンプル'!$E$18)/1000</f>
        <v>69.319000000000003</v>
      </c>
      <c r="V195" s="57">
        <f>INT(tblJTL[[#This Row],[経過秒]]/60)</f>
        <v>1</v>
      </c>
      <c r="W195" s="57">
        <f>IF(OR(tblJTL[[#This Row],[success]]=FALSE,tblJTL[[#This Row],[success]]="false"),1,0)</f>
        <v>0</v>
      </c>
      <c r="X195" s="57">
        <f>IF(AND(tblJTL[[#This Row],[経過秒]]&gt;='17_分析サンプル'!$E$11,tblJTL[[#This Row],[経過秒]]&lt;'17_分析サンプル'!$E$12),1,0)</f>
        <v>1</v>
      </c>
    </row>
    <row r="196" spans="2:24" ht="14.4" x14ac:dyDescent="0.3">
      <c r="B196" s="57">
        <v>1790816469639</v>
      </c>
      <c r="C196" s="58">
        <v>124</v>
      </c>
      <c r="D196" s="59" t="s">
        <v>1658</v>
      </c>
      <c r="E196" s="59" t="s">
        <v>1577</v>
      </c>
      <c r="F196" s="59" t="s">
        <v>2275</v>
      </c>
      <c r="G196" s="59" t="s">
        <v>2278</v>
      </c>
      <c r="H196" s="59" t="s">
        <v>2281</v>
      </c>
      <c r="I196" s="59" t="b">
        <v>1</v>
      </c>
      <c r="J196" s="59"/>
      <c r="K196" s="58">
        <v>1831</v>
      </c>
      <c r="L196" s="58">
        <v>1342</v>
      </c>
      <c r="M196" s="59">
        <v>10</v>
      </c>
      <c r="N196" s="59">
        <v>10</v>
      </c>
      <c r="O196" s="59" t="s">
        <v>3578</v>
      </c>
      <c r="P196" s="58">
        <v>119</v>
      </c>
      <c r="Q196" s="59">
        <v>0</v>
      </c>
      <c r="R196" s="59">
        <v>0</v>
      </c>
      <c r="S196" s="60">
        <f>tblJTL[[#This Row],[timeStamp]]/86400000+DATE(1970,1,1)+TIME(9,0,0)</f>
        <v>46296.417472673609</v>
      </c>
      <c r="T196" s="57">
        <f>tblJTL[[#This Row],[timeStamp]]+tblJTL[[#This Row],[elapsed]]</f>
        <v>1790816469763</v>
      </c>
      <c r="U196" s="61">
        <f>(tblJTL[[#This Row],[timeStamp]]-'17_分析サンプル'!$E$18)/1000</f>
        <v>69.459000000000003</v>
      </c>
      <c r="V196" s="57">
        <f>INT(tblJTL[[#This Row],[経過秒]]/60)</f>
        <v>1</v>
      </c>
      <c r="W196" s="57">
        <f>IF(OR(tblJTL[[#This Row],[success]]=FALSE,tblJTL[[#This Row],[success]]="false"),1,0)</f>
        <v>0</v>
      </c>
      <c r="X196" s="57">
        <f>IF(AND(tblJTL[[#This Row],[経過秒]]&gt;='17_分析サンプル'!$E$11,tblJTL[[#This Row],[経過秒]]&lt;'17_分析サンプル'!$E$12),1,0)</f>
        <v>1</v>
      </c>
    </row>
    <row r="197" spans="2:24" ht="14.4" x14ac:dyDescent="0.3">
      <c r="B197" s="57">
        <v>1790816469625</v>
      </c>
      <c r="C197" s="58">
        <v>211</v>
      </c>
      <c r="D197" s="59" t="s">
        <v>1677</v>
      </c>
      <c r="E197" s="59" t="s">
        <v>3579</v>
      </c>
      <c r="F197" s="59" t="s">
        <v>3580</v>
      </c>
      <c r="G197" s="59" t="s">
        <v>3577</v>
      </c>
      <c r="H197" s="59" t="s">
        <v>2281</v>
      </c>
      <c r="I197" s="59" t="b">
        <v>1</v>
      </c>
      <c r="J197" s="59"/>
      <c r="K197" s="58">
        <v>424</v>
      </c>
      <c r="L197" s="58">
        <v>1478</v>
      </c>
      <c r="M197" s="59">
        <v>10</v>
      </c>
      <c r="N197" s="59">
        <v>10</v>
      </c>
      <c r="O197" s="59" t="s">
        <v>3581</v>
      </c>
      <c r="P197" s="58">
        <v>204</v>
      </c>
      <c r="Q197" s="59">
        <v>0</v>
      </c>
      <c r="R197" s="59">
        <v>0</v>
      </c>
      <c r="S197" s="60">
        <f>tblJTL[[#This Row],[timeStamp]]/86400000+DATE(1970,1,1)+TIME(9,0,0)</f>
        <v>46296.417472511574</v>
      </c>
      <c r="T197" s="57">
        <f>tblJTL[[#This Row],[timeStamp]]+tblJTL[[#This Row],[elapsed]]</f>
        <v>1790816469836</v>
      </c>
      <c r="U197" s="61">
        <f>(tblJTL[[#This Row],[timeStamp]]-'17_分析サンプル'!$E$18)/1000</f>
        <v>69.444999999999993</v>
      </c>
      <c r="V197" s="57">
        <f>INT(tblJTL[[#This Row],[経過秒]]/60)</f>
        <v>1</v>
      </c>
      <c r="W197" s="57">
        <f>IF(OR(tblJTL[[#This Row],[success]]=FALSE,tblJTL[[#This Row],[success]]="false"),1,0)</f>
        <v>0</v>
      </c>
      <c r="X197" s="57">
        <f>IF(AND(tblJTL[[#This Row],[経過秒]]&gt;='17_分析サンプル'!$E$11,tblJTL[[#This Row],[経過秒]]&lt;'17_分析サンプル'!$E$12),1,0)</f>
        <v>1</v>
      </c>
    </row>
    <row r="198" spans="2:24" ht="14.4" x14ac:dyDescent="0.3">
      <c r="B198" s="57">
        <v>1790816470320</v>
      </c>
      <c r="C198" s="58">
        <v>100</v>
      </c>
      <c r="D198" s="59" t="s">
        <v>1658</v>
      </c>
      <c r="E198" s="59" t="s">
        <v>1577</v>
      </c>
      <c r="F198" s="59" t="s">
        <v>2275</v>
      </c>
      <c r="G198" s="59" t="s">
        <v>3583</v>
      </c>
      <c r="H198" s="59" t="s">
        <v>2281</v>
      </c>
      <c r="I198" s="59" t="b">
        <v>1</v>
      </c>
      <c r="J198" s="59"/>
      <c r="K198" s="58">
        <v>1890</v>
      </c>
      <c r="L198" s="58">
        <v>1342</v>
      </c>
      <c r="M198" s="59">
        <v>10</v>
      </c>
      <c r="N198" s="59">
        <v>10</v>
      </c>
      <c r="O198" s="59" t="s">
        <v>3578</v>
      </c>
      <c r="P198" s="58">
        <v>93</v>
      </c>
      <c r="Q198" s="59">
        <v>0</v>
      </c>
      <c r="R198" s="59">
        <v>0</v>
      </c>
      <c r="S198" s="60">
        <f>tblJTL[[#This Row],[timeStamp]]/86400000+DATE(1970,1,1)+TIME(9,0,0)</f>
        <v>46296.417480555552</v>
      </c>
      <c r="T198" s="57">
        <f>tblJTL[[#This Row],[timeStamp]]+tblJTL[[#This Row],[elapsed]]</f>
        <v>1790816470420</v>
      </c>
      <c r="U198" s="61">
        <f>(tblJTL[[#This Row],[timeStamp]]-'17_分析サンプル'!$E$18)/1000</f>
        <v>70.14</v>
      </c>
      <c r="V198" s="57">
        <f>INT(tblJTL[[#This Row],[経過秒]]/60)</f>
        <v>1</v>
      </c>
      <c r="W198" s="57">
        <f>IF(OR(tblJTL[[#This Row],[success]]=FALSE,tblJTL[[#This Row],[success]]="false"),1,0)</f>
        <v>0</v>
      </c>
      <c r="X198" s="57">
        <f>IF(AND(tblJTL[[#This Row],[経過秒]]&gt;='17_分析サンプル'!$E$11,tblJTL[[#This Row],[経過秒]]&lt;'17_分析サンプル'!$E$12),1,0)</f>
        <v>1</v>
      </c>
    </row>
    <row r="199" spans="2:24" ht="14.4" x14ac:dyDescent="0.3">
      <c r="B199" s="57">
        <v>1790816470337</v>
      </c>
      <c r="C199" s="58">
        <v>238</v>
      </c>
      <c r="D199" s="59" t="s">
        <v>1677</v>
      </c>
      <c r="E199" s="59" t="s">
        <v>3579</v>
      </c>
      <c r="F199" s="59" t="s">
        <v>3580</v>
      </c>
      <c r="G199" s="59" t="s">
        <v>3588</v>
      </c>
      <c r="H199" s="59" t="s">
        <v>2281</v>
      </c>
      <c r="I199" s="59" t="b">
        <v>1</v>
      </c>
      <c r="J199" s="59"/>
      <c r="K199" s="58">
        <v>422</v>
      </c>
      <c r="L199" s="58">
        <v>1478</v>
      </c>
      <c r="M199" s="59">
        <v>10</v>
      </c>
      <c r="N199" s="59">
        <v>10</v>
      </c>
      <c r="O199" s="59" t="s">
        <v>3581</v>
      </c>
      <c r="P199" s="58">
        <v>236</v>
      </c>
      <c r="Q199" s="59">
        <v>0</v>
      </c>
      <c r="R199" s="59">
        <v>0</v>
      </c>
      <c r="S199" s="60">
        <f>tblJTL[[#This Row],[timeStamp]]/86400000+DATE(1970,1,1)+TIME(9,0,0)</f>
        <v>46296.417480752316</v>
      </c>
      <c r="T199" s="57">
        <f>tblJTL[[#This Row],[timeStamp]]+tblJTL[[#This Row],[elapsed]]</f>
        <v>1790816470575</v>
      </c>
      <c r="U199" s="61">
        <f>(tblJTL[[#This Row],[timeStamp]]-'17_分析サンプル'!$E$18)/1000</f>
        <v>70.156999999999996</v>
      </c>
      <c r="V199" s="57">
        <f>INT(tblJTL[[#This Row],[経過秒]]/60)</f>
        <v>1</v>
      </c>
      <c r="W199" s="57">
        <f>IF(OR(tblJTL[[#This Row],[success]]=FALSE,tblJTL[[#This Row],[success]]="false"),1,0)</f>
        <v>0</v>
      </c>
      <c r="X199" s="57">
        <f>IF(AND(tblJTL[[#This Row],[経過秒]]&gt;='17_分析サンプル'!$E$11,tblJTL[[#This Row],[経過秒]]&lt;'17_分析サンプル'!$E$12),1,0)</f>
        <v>1</v>
      </c>
    </row>
    <row r="200" spans="2:24" ht="14.4" x14ac:dyDescent="0.3">
      <c r="B200" s="57">
        <v>1790816470506</v>
      </c>
      <c r="C200" s="58">
        <v>235</v>
      </c>
      <c r="D200" s="59" t="s">
        <v>1677</v>
      </c>
      <c r="E200" s="59" t="s">
        <v>3579</v>
      </c>
      <c r="F200" s="59" t="s">
        <v>3580</v>
      </c>
      <c r="G200" s="59" t="s">
        <v>3587</v>
      </c>
      <c r="H200" s="59" t="s">
        <v>2281</v>
      </c>
      <c r="I200" s="59" t="b">
        <v>1</v>
      </c>
      <c r="J200" s="59"/>
      <c r="K200" s="58">
        <v>440</v>
      </c>
      <c r="L200" s="58">
        <v>1478</v>
      </c>
      <c r="M200" s="59">
        <v>10</v>
      </c>
      <c r="N200" s="59">
        <v>10</v>
      </c>
      <c r="O200" s="59" t="s">
        <v>3581</v>
      </c>
      <c r="P200" s="58">
        <v>228</v>
      </c>
      <c r="Q200" s="59">
        <v>0</v>
      </c>
      <c r="R200" s="59">
        <v>0</v>
      </c>
      <c r="S200" s="60">
        <f>tblJTL[[#This Row],[timeStamp]]/86400000+DATE(1970,1,1)+TIME(9,0,0)</f>
        <v>46296.417482708333</v>
      </c>
      <c r="T200" s="57">
        <f>tblJTL[[#This Row],[timeStamp]]+tblJTL[[#This Row],[elapsed]]</f>
        <v>1790816470741</v>
      </c>
      <c r="U200" s="61">
        <f>(tblJTL[[#This Row],[timeStamp]]-'17_分析サンプル'!$E$18)/1000</f>
        <v>70.325999999999993</v>
      </c>
      <c r="V200" s="57">
        <f>INT(tblJTL[[#This Row],[経過秒]]/60)</f>
        <v>1</v>
      </c>
      <c r="W200" s="57">
        <f>IF(OR(tblJTL[[#This Row],[success]]=FALSE,tblJTL[[#This Row],[success]]="false"),1,0)</f>
        <v>0</v>
      </c>
      <c r="X200" s="57">
        <f>IF(AND(tblJTL[[#This Row],[経過秒]]&gt;='17_分析サンプル'!$E$11,tblJTL[[#This Row],[経過秒]]&lt;'17_分析サンプル'!$E$12),1,0)</f>
        <v>1</v>
      </c>
    </row>
    <row r="201" spans="2:24" ht="14.4" x14ac:dyDescent="0.3">
      <c r="B201" s="57">
        <v>1790816470687</v>
      </c>
      <c r="C201" s="58">
        <v>90</v>
      </c>
      <c r="D201" s="59" t="s">
        <v>1658</v>
      </c>
      <c r="E201" s="59" t="s">
        <v>1577</v>
      </c>
      <c r="F201" s="59" t="s">
        <v>2275</v>
      </c>
      <c r="G201" s="59" t="s">
        <v>3582</v>
      </c>
      <c r="H201" s="59" t="s">
        <v>2281</v>
      </c>
      <c r="I201" s="59" t="b">
        <v>1</v>
      </c>
      <c r="J201" s="59"/>
      <c r="K201" s="58">
        <v>1870</v>
      </c>
      <c r="L201" s="58">
        <v>1342</v>
      </c>
      <c r="M201" s="59">
        <v>10</v>
      </c>
      <c r="N201" s="59">
        <v>10</v>
      </c>
      <c r="O201" s="59" t="s">
        <v>3578</v>
      </c>
      <c r="P201" s="58">
        <v>87</v>
      </c>
      <c r="Q201" s="59">
        <v>0</v>
      </c>
      <c r="R201" s="59">
        <v>44</v>
      </c>
      <c r="S201" s="60">
        <f>tblJTL[[#This Row],[timeStamp]]/86400000+DATE(1970,1,1)+TIME(9,0,0)</f>
        <v>46296.417484803242</v>
      </c>
      <c r="T201" s="57">
        <f>tblJTL[[#This Row],[timeStamp]]+tblJTL[[#This Row],[elapsed]]</f>
        <v>1790816470777</v>
      </c>
      <c r="U201" s="61">
        <f>(tblJTL[[#This Row],[timeStamp]]-'17_分析サンプル'!$E$18)/1000</f>
        <v>70.507000000000005</v>
      </c>
      <c r="V201" s="57">
        <f>INT(tblJTL[[#This Row],[経過秒]]/60)</f>
        <v>1</v>
      </c>
      <c r="W201" s="57">
        <f>IF(OR(tblJTL[[#This Row],[success]]=FALSE,tblJTL[[#This Row],[success]]="false"),1,0)</f>
        <v>0</v>
      </c>
      <c r="X201" s="57">
        <f>IF(AND(tblJTL[[#This Row],[経過秒]]&gt;='17_分析サンプル'!$E$11,tblJTL[[#This Row],[経過秒]]&lt;'17_分析サンプル'!$E$12),1,0)</f>
        <v>1</v>
      </c>
    </row>
    <row r="202" spans="2:24" ht="14.4" x14ac:dyDescent="0.3">
      <c r="B202" s="57">
        <v>1790816470795</v>
      </c>
      <c r="C202" s="58">
        <v>107</v>
      </c>
      <c r="D202" s="59" t="s">
        <v>1658</v>
      </c>
      <c r="E202" s="59" t="s">
        <v>1577</v>
      </c>
      <c r="F202" s="59" t="s">
        <v>2275</v>
      </c>
      <c r="G202" s="59" t="s">
        <v>3586</v>
      </c>
      <c r="H202" s="59" t="s">
        <v>2281</v>
      </c>
      <c r="I202" s="59" t="b">
        <v>1</v>
      </c>
      <c r="J202" s="59"/>
      <c r="K202" s="58">
        <v>1869</v>
      </c>
      <c r="L202" s="58">
        <v>1342</v>
      </c>
      <c r="M202" s="59">
        <v>10</v>
      </c>
      <c r="N202" s="59">
        <v>10</v>
      </c>
      <c r="O202" s="59" t="s">
        <v>3578</v>
      </c>
      <c r="P202" s="58">
        <v>102</v>
      </c>
      <c r="Q202" s="59">
        <v>0</v>
      </c>
      <c r="R202" s="59">
        <v>0</v>
      </c>
      <c r="S202" s="60">
        <f>tblJTL[[#This Row],[timeStamp]]/86400000+DATE(1970,1,1)+TIME(9,0,0)</f>
        <v>46296.417486053237</v>
      </c>
      <c r="T202" s="57">
        <f>tblJTL[[#This Row],[timeStamp]]+tblJTL[[#This Row],[elapsed]]</f>
        <v>1790816470902</v>
      </c>
      <c r="U202" s="61">
        <f>(tblJTL[[#This Row],[timeStamp]]-'17_分析サンプル'!$E$18)/1000</f>
        <v>70.614999999999995</v>
      </c>
      <c r="V202" s="57">
        <f>INT(tblJTL[[#This Row],[経過秒]]/60)</f>
        <v>1</v>
      </c>
      <c r="W202" s="57">
        <f>IF(OR(tblJTL[[#This Row],[success]]=FALSE,tblJTL[[#This Row],[success]]="false"),1,0)</f>
        <v>0</v>
      </c>
      <c r="X202" s="57">
        <f>IF(AND(tblJTL[[#This Row],[経過秒]]&gt;='17_分析サンプル'!$E$11,tblJTL[[#This Row],[経過秒]]&lt;'17_分析サンプル'!$E$12),1,0)</f>
        <v>1</v>
      </c>
    </row>
    <row r="203" spans="2:24" ht="14.4" x14ac:dyDescent="0.3">
      <c r="B203" s="57">
        <v>1790816471067</v>
      </c>
      <c r="C203" s="58">
        <v>120</v>
      </c>
      <c r="D203" s="59" t="s">
        <v>1658</v>
      </c>
      <c r="E203" s="59" t="s">
        <v>1577</v>
      </c>
      <c r="F203" s="59" t="s">
        <v>2275</v>
      </c>
      <c r="G203" s="59" t="s">
        <v>3577</v>
      </c>
      <c r="H203" s="59" t="s">
        <v>2281</v>
      </c>
      <c r="I203" s="59" t="b">
        <v>1</v>
      </c>
      <c r="J203" s="59"/>
      <c r="K203" s="58">
        <v>1838</v>
      </c>
      <c r="L203" s="58">
        <v>1342</v>
      </c>
      <c r="M203" s="59">
        <v>10</v>
      </c>
      <c r="N203" s="59">
        <v>10</v>
      </c>
      <c r="O203" s="59" t="s">
        <v>3578</v>
      </c>
      <c r="P203" s="58">
        <v>112</v>
      </c>
      <c r="Q203" s="59">
        <v>0</v>
      </c>
      <c r="R203" s="59">
        <v>0</v>
      </c>
      <c r="S203" s="60">
        <f>tblJTL[[#This Row],[timeStamp]]/86400000+DATE(1970,1,1)+TIME(9,0,0)</f>
        <v>46296.417489201391</v>
      </c>
      <c r="T203" s="57">
        <f>tblJTL[[#This Row],[timeStamp]]+tblJTL[[#This Row],[elapsed]]</f>
        <v>1790816471187</v>
      </c>
      <c r="U203" s="61">
        <f>(tblJTL[[#This Row],[timeStamp]]-'17_分析サンプル'!$E$18)/1000</f>
        <v>70.887</v>
      </c>
      <c r="V203" s="57">
        <f>INT(tblJTL[[#This Row],[経過秒]]/60)</f>
        <v>1</v>
      </c>
      <c r="W203" s="57">
        <f>IF(OR(tblJTL[[#This Row],[success]]=FALSE,tblJTL[[#This Row],[success]]="false"),1,0)</f>
        <v>0</v>
      </c>
      <c r="X203" s="57">
        <f>IF(AND(tblJTL[[#This Row],[経過秒]]&gt;='17_分析サンプル'!$E$11,tblJTL[[#This Row],[経過秒]]&lt;'17_分析サンプル'!$E$12),1,0)</f>
        <v>1</v>
      </c>
    </row>
    <row r="204" spans="2:24" ht="14.4" x14ac:dyDescent="0.3">
      <c r="B204" s="57">
        <v>1790816470962</v>
      </c>
      <c r="C204" s="58">
        <v>317</v>
      </c>
      <c r="D204" s="59" t="s">
        <v>1677</v>
      </c>
      <c r="E204" s="59" t="s">
        <v>3579</v>
      </c>
      <c r="F204" s="59" t="s">
        <v>3580</v>
      </c>
      <c r="G204" s="59" t="s">
        <v>2278</v>
      </c>
      <c r="H204" s="59" t="s">
        <v>2281</v>
      </c>
      <c r="I204" s="59" t="b">
        <v>1</v>
      </c>
      <c r="J204" s="59"/>
      <c r="K204" s="58">
        <v>423</v>
      </c>
      <c r="L204" s="58">
        <v>1478</v>
      </c>
      <c r="M204" s="59">
        <v>10</v>
      </c>
      <c r="N204" s="59">
        <v>10</v>
      </c>
      <c r="O204" s="59" t="s">
        <v>3581</v>
      </c>
      <c r="P204" s="58">
        <v>311</v>
      </c>
      <c r="Q204" s="59">
        <v>0</v>
      </c>
      <c r="R204" s="59">
        <v>0</v>
      </c>
      <c r="S204" s="60">
        <f>tblJTL[[#This Row],[timeStamp]]/86400000+DATE(1970,1,1)+TIME(9,0,0)</f>
        <v>46296.417487986109</v>
      </c>
      <c r="T204" s="57">
        <f>tblJTL[[#This Row],[timeStamp]]+tblJTL[[#This Row],[elapsed]]</f>
        <v>1790816471279</v>
      </c>
      <c r="U204" s="61">
        <f>(tblJTL[[#This Row],[timeStamp]]-'17_分析サンプル'!$E$18)/1000</f>
        <v>70.781999999999996</v>
      </c>
      <c r="V204" s="57">
        <f>INT(tblJTL[[#This Row],[経過秒]]/60)</f>
        <v>1</v>
      </c>
      <c r="W204" s="57">
        <f>IF(OR(tblJTL[[#This Row],[success]]=FALSE,tblJTL[[#This Row],[success]]="false"),1,0)</f>
        <v>0</v>
      </c>
      <c r="X204" s="57">
        <f>IF(AND(tblJTL[[#This Row],[経過秒]]&gt;='17_分析サンプル'!$E$11,tblJTL[[#This Row],[経過秒]]&lt;'17_分析サンプル'!$E$12),1,0)</f>
        <v>1</v>
      </c>
    </row>
    <row r="205" spans="2:24" ht="14.4" x14ac:dyDescent="0.3">
      <c r="B205" s="57">
        <v>1790816470955</v>
      </c>
      <c r="C205" s="58">
        <v>409</v>
      </c>
      <c r="D205" s="59" t="s">
        <v>1677</v>
      </c>
      <c r="E205" s="59" t="s">
        <v>3579</v>
      </c>
      <c r="F205" s="59" t="s">
        <v>3580</v>
      </c>
      <c r="G205" s="59" t="s">
        <v>3584</v>
      </c>
      <c r="H205" s="59" t="s">
        <v>2281</v>
      </c>
      <c r="I205" s="59" t="b">
        <v>1</v>
      </c>
      <c r="J205" s="59"/>
      <c r="K205" s="58">
        <v>412</v>
      </c>
      <c r="L205" s="58">
        <v>1478</v>
      </c>
      <c r="M205" s="59">
        <v>10</v>
      </c>
      <c r="N205" s="59">
        <v>10</v>
      </c>
      <c r="O205" s="59" t="s">
        <v>3581</v>
      </c>
      <c r="P205" s="58">
        <v>404</v>
      </c>
      <c r="Q205" s="59">
        <v>0</v>
      </c>
      <c r="R205" s="59">
        <v>0</v>
      </c>
      <c r="S205" s="60">
        <f>tblJTL[[#This Row],[timeStamp]]/86400000+DATE(1970,1,1)+TIME(9,0,0)</f>
        <v>46296.417487905092</v>
      </c>
      <c r="T205" s="57">
        <f>tblJTL[[#This Row],[timeStamp]]+tblJTL[[#This Row],[elapsed]]</f>
        <v>1790816471364</v>
      </c>
      <c r="U205" s="61">
        <f>(tblJTL[[#This Row],[timeStamp]]-'17_分析サンプル'!$E$18)/1000</f>
        <v>70.775000000000006</v>
      </c>
      <c r="V205" s="57">
        <f>INT(tblJTL[[#This Row],[経過秒]]/60)</f>
        <v>1</v>
      </c>
      <c r="W205" s="57">
        <f>IF(OR(tblJTL[[#This Row],[success]]=FALSE,tblJTL[[#This Row],[success]]="false"),1,0)</f>
        <v>0</v>
      </c>
      <c r="X205" s="57">
        <f>IF(AND(tblJTL[[#This Row],[経過秒]]&gt;='17_分析サンプル'!$E$11,tblJTL[[#This Row],[経過秒]]&lt;'17_分析サンプル'!$E$12),1,0)</f>
        <v>1</v>
      </c>
    </row>
    <row r="206" spans="2:24" ht="14.4" x14ac:dyDescent="0.3">
      <c r="B206" s="57">
        <v>1790816471207</v>
      </c>
      <c r="C206" s="58">
        <v>164</v>
      </c>
      <c r="D206" s="59" t="s">
        <v>1658</v>
      </c>
      <c r="E206" s="59" t="s">
        <v>1577</v>
      </c>
      <c r="F206" s="59" t="s">
        <v>2275</v>
      </c>
      <c r="G206" s="59" t="s">
        <v>3585</v>
      </c>
      <c r="H206" s="59" t="s">
        <v>2281</v>
      </c>
      <c r="I206" s="59" t="b">
        <v>1</v>
      </c>
      <c r="J206" s="59"/>
      <c r="K206" s="58">
        <v>1857</v>
      </c>
      <c r="L206" s="58">
        <v>1342</v>
      </c>
      <c r="M206" s="59">
        <v>10</v>
      </c>
      <c r="N206" s="59">
        <v>10</v>
      </c>
      <c r="O206" s="59" t="s">
        <v>3578</v>
      </c>
      <c r="P206" s="58">
        <v>162</v>
      </c>
      <c r="Q206" s="59">
        <v>0</v>
      </c>
      <c r="R206" s="59">
        <v>0</v>
      </c>
      <c r="S206" s="60">
        <f>tblJTL[[#This Row],[timeStamp]]/86400000+DATE(1970,1,1)+TIME(9,0,0)</f>
        <v>46296.417490821761</v>
      </c>
      <c r="T206" s="57">
        <f>tblJTL[[#This Row],[timeStamp]]+tblJTL[[#This Row],[elapsed]]</f>
        <v>1790816471371</v>
      </c>
      <c r="U206" s="61">
        <f>(tblJTL[[#This Row],[timeStamp]]-'17_分析サンプル'!$E$18)/1000</f>
        <v>71.027000000000001</v>
      </c>
      <c r="V206" s="57">
        <f>INT(tblJTL[[#This Row],[経過秒]]/60)</f>
        <v>1</v>
      </c>
      <c r="W206" s="57">
        <f>IF(OR(tblJTL[[#This Row],[success]]=FALSE,tblJTL[[#This Row],[success]]="false"),1,0)</f>
        <v>0</v>
      </c>
      <c r="X206" s="57">
        <f>IF(AND(tblJTL[[#This Row],[経過秒]]&gt;='17_分析サンプル'!$E$11,tblJTL[[#This Row],[経過秒]]&lt;'17_分析サンプル'!$E$12),1,0)</f>
        <v>1</v>
      </c>
    </row>
    <row r="207" spans="2:24" ht="14.4" x14ac:dyDescent="0.3">
      <c r="B207" s="57">
        <v>1790816471808</v>
      </c>
      <c r="C207" s="58">
        <v>279</v>
      </c>
      <c r="D207" s="59" t="s">
        <v>1677</v>
      </c>
      <c r="E207" s="59" t="s">
        <v>3579</v>
      </c>
      <c r="F207" s="59" t="s">
        <v>3580</v>
      </c>
      <c r="G207" s="59" t="s">
        <v>3583</v>
      </c>
      <c r="H207" s="59" t="s">
        <v>2281</v>
      </c>
      <c r="I207" s="59" t="b">
        <v>1</v>
      </c>
      <c r="J207" s="59"/>
      <c r="K207" s="58">
        <v>436</v>
      </c>
      <c r="L207" s="58">
        <v>1478</v>
      </c>
      <c r="M207" s="59">
        <v>10</v>
      </c>
      <c r="N207" s="59">
        <v>10</v>
      </c>
      <c r="O207" s="59" t="s">
        <v>3581</v>
      </c>
      <c r="P207" s="58">
        <v>273</v>
      </c>
      <c r="Q207" s="59">
        <v>0</v>
      </c>
      <c r="R207" s="59">
        <v>0</v>
      </c>
      <c r="S207" s="60">
        <f>tblJTL[[#This Row],[timeStamp]]/86400000+DATE(1970,1,1)+TIME(9,0,0)</f>
        <v>46296.417497777773</v>
      </c>
      <c r="T207" s="57">
        <f>tblJTL[[#This Row],[timeStamp]]+tblJTL[[#This Row],[elapsed]]</f>
        <v>1790816472087</v>
      </c>
      <c r="U207" s="61">
        <f>(tblJTL[[#This Row],[timeStamp]]-'17_分析サンプル'!$E$18)/1000</f>
        <v>71.628</v>
      </c>
      <c r="V207" s="57">
        <f>INT(tblJTL[[#This Row],[経過秒]]/60)</f>
        <v>1</v>
      </c>
      <c r="W207" s="57">
        <f>IF(OR(tblJTL[[#This Row],[success]]=FALSE,tblJTL[[#This Row],[success]]="false"),1,0)</f>
        <v>0</v>
      </c>
      <c r="X207" s="57">
        <f>IF(AND(tblJTL[[#This Row],[経過秒]]&gt;='17_分析サンプル'!$E$11,tblJTL[[#This Row],[経過秒]]&lt;'17_分析サンプル'!$E$12),1,0)</f>
        <v>1</v>
      </c>
    </row>
    <row r="208" spans="2:24" ht="14.4" x14ac:dyDescent="0.3">
      <c r="B208" s="57">
        <v>1790816472101</v>
      </c>
      <c r="C208" s="58">
        <v>88</v>
      </c>
      <c r="D208" s="59" t="s">
        <v>1658</v>
      </c>
      <c r="E208" s="59" t="s">
        <v>1577</v>
      </c>
      <c r="F208" s="59" t="s">
        <v>2275</v>
      </c>
      <c r="G208" s="59" t="s">
        <v>3587</v>
      </c>
      <c r="H208" s="59" t="s">
        <v>2281</v>
      </c>
      <c r="I208" s="59" t="b">
        <v>1</v>
      </c>
      <c r="J208" s="59"/>
      <c r="K208" s="58">
        <v>1857</v>
      </c>
      <c r="L208" s="58">
        <v>1342</v>
      </c>
      <c r="M208" s="59">
        <v>10</v>
      </c>
      <c r="N208" s="59">
        <v>10</v>
      </c>
      <c r="O208" s="59" t="s">
        <v>3578</v>
      </c>
      <c r="P208" s="58">
        <v>80</v>
      </c>
      <c r="Q208" s="59">
        <v>0</v>
      </c>
      <c r="R208" s="59">
        <v>0</v>
      </c>
      <c r="S208" s="60">
        <f>tblJTL[[#This Row],[timeStamp]]/86400000+DATE(1970,1,1)+TIME(9,0,0)</f>
        <v>46296.41750116898</v>
      </c>
      <c r="T208" s="57">
        <f>tblJTL[[#This Row],[timeStamp]]+tblJTL[[#This Row],[elapsed]]</f>
        <v>1790816472189</v>
      </c>
      <c r="U208" s="61">
        <f>(tblJTL[[#This Row],[timeStamp]]-'17_分析サンプル'!$E$18)/1000</f>
        <v>71.921000000000006</v>
      </c>
      <c r="V208" s="57">
        <f>INT(tblJTL[[#This Row],[経過秒]]/60)</f>
        <v>1</v>
      </c>
      <c r="W208" s="57">
        <f>IF(OR(tblJTL[[#This Row],[success]]=FALSE,tblJTL[[#This Row],[success]]="false"),1,0)</f>
        <v>0</v>
      </c>
      <c r="X208" s="57">
        <f>IF(AND(tblJTL[[#This Row],[経過秒]]&gt;='17_分析サンプル'!$E$11,tblJTL[[#This Row],[経過秒]]&lt;'17_分析サンプル'!$E$12),1,0)</f>
        <v>1</v>
      </c>
    </row>
    <row r="209" spans="2:24" ht="14.4" x14ac:dyDescent="0.3">
      <c r="B209" s="57">
        <v>1790816472176</v>
      </c>
      <c r="C209" s="58">
        <v>223</v>
      </c>
      <c r="D209" s="59" t="s">
        <v>1677</v>
      </c>
      <c r="E209" s="59" t="s">
        <v>3579</v>
      </c>
      <c r="F209" s="59" t="s">
        <v>3580</v>
      </c>
      <c r="G209" s="59" t="s">
        <v>3582</v>
      </c>
      <c r="H209" s="59" t="s">
        <v>2281</v>
      </c>
      <c r="I209" s="59" t="b">
        <v>1</v>
      </c>
      <c r="J209" s="59"/>
      <c r="K209" s="58">
        <v>436</v>
      </c>
      <c r="L209" s="58">
        <v>1478</v>
      </c>
      <c r="M209" s="59">
        <v>10</v>
      </c>
      <c r="N209" s="59">
        <v>10</v>
      </c>
      <c r="O209" s="59" t="s">
        <v>3581</v>
      </c>
      <c r="P209" s="58">
        <v>219</v>
      </c>
      <c r="Q209" s="59">
        <v>0</v>
      </c>
      <c r="R209" s="59">
        <v>0</v>
      </c>
      <c r="S209" s="60">
        <f>tblJTL[[#This Row],[timeStamp]]/86400000+DATE(1970,1,1)+TIME(9,0,0)</f>
        <v>46296.417502037039</v>
      </c>
      <c r="T209" s="57">
        <f>tblJTL[[#This Row],[timeStamp]]+tblJTL[[#This Row],[elapsed]]</f>
        <v>1790816472399</v>
      </c>
      <c r="U209" s="61">
        <f>(tblJTL[[#This Row],[timeStamp]]-'17_分析サンプル'!$E$18)/1000</f>
        <v>71.995999999999995</v>
      </c>
      <c r="V209" s="57">
        <f>INT(tblJTL[[#This Row],[経過秒]]/60)</f>
        <v>1</v>
      </c>
      <c r="W209" s="57">
        <f>IF(OR(tblJTL[[#This Row],[success]]=FALSE,tblJTL[[#This Row],[success]]="false"),1,0)</f>
        <v>0</v>
      </c>
      <c r="X209" s="57">
        <f>IF(AND(tblJTL[[#This Row],[経過秒]]&gt;='17_分析サンプル'!$E$11,tblJTL[[#This Row],[経過秒]]&lt;'17_分析サンプル'!$E$12),1,0)</f>
        <v>1</v>
      </c>
    </row>
    <row r="210" spans="2:24" ht="14.4" x14ac:dyDescent="0.3">
      <c r="B210" s="57">
        <v>1790816472288</v>
      </c>
      <c r="C210" s="58">
        <v>262</v>
      </c>
      <c r="D210" s="59" t="s">
        <v>1677</v>
      </c>
      <c r="E210" s="59" t="s">
        <v>3579</v>
      </c>
      <c r="F210" s="59" t="s">
        <v>3580</v>
      </c>
      <c r="G210" s="59" t="s">
        <v>3589</v>
      </c>
      <c r="H210" s="59" t="s">
        <v>2281</v>
      </c>
      <c r="I210" s="59" t="b">
        <v>1</v>
      </c>
      <c r="J210" s="59"/>
      <c r="K210" s="58">
        <v>420</v>
      </c>
      <c r="L210" s="58">
        <v>1478</v>
      </c>
      <c r="M210" s="59">
        <v>10</v>
      </c>
      <c r="N210" s="59">
        <v>10</v>
      </c>
      <c r="O210" s="59" t="s">
        <v>3581</v>
      </c>
      <c r="P210" s="58">
        <v>255</v>
      </c>
      <c r="Q210" s="59">
        <v>0</v>
      </c>
      <c r="R210" s="59">
        <v>0</v>
      </c>
      <c r="S210" s="60">
        <f>tblJTL[[#This Row],[timeStamp]]/86400000+DATE(1970,1,1)+TIME(9,0,0)</f>
        <v>46296.41750333333</v>
      </c>
      <c r="T210" s="57">
        <f>tblJTL[[#This Row],[timeStamp]]+tblJTL[[#This Row],[elapsed]]</f>
        <v>1790816472550</v>
      </c>
      <c r="U210" s="61">
        <f>(tblJTL[[#This Row],[timeStamp]]-'17_分析サンプル'!$E$18)/1000</f>
        <v>72.108000000000004</v>
      </c>
      <c r="V210" s="57">
        <f>INT(tblJTL[[#This Row],[経過秒]]/60)</f>
        <v>1</v>
      </c>
      <c r="W210" s="57">
        <f>IF(OR(tblJTL[[#This Row],[success]]=FALSE,tblJTL[[#This Row],[success]]="false"),1,0)</f>
        <v>0</v>
      </c>
      <c r="X210" s="57">
        <f>IF(AND(tblJTL[[#This Row],[経過秒]]&gt;='17_分析サンプル'!$E$11,tblJTL[[#This Row],[経過秒]]&lt;'17_分析サンプル'!$E$12),1,0)</f>
        <v>1</v>
      </c>
    </row>
    <row r="211" spans="2:24" ht="14.4" x14ac:dyDescent="0.3">
      <c r="B211" s="57">
        <v>1790816472839</v>
      </c>
      <c r="C211" s="58">
        <v>143</v>
      </c>
      <c r="D211" s="59" t="s">
        <v>1658</v>
      </c>
      <c r="E211" s="59" t="s">
        <v>1577</v>
      </c>
      <c r="F211" s="59" t="s">
        <v>2275</v>
      </c>
      <c r="G211" s="59" t="s">
        <v>3584</v>
      </c>
      <c r="H211" s="59" t="s">
        <v>2281</v>
      </c>
      <c r="I211" s="59" t="b">
        <v>1</v>
      </c>
      <c r="J211" s="59"/>
      <c r="K211" s="58">
        <v>1892</v>
      </c>
      <c r="L211" s="58">
        <v>1342</v>
      </c>
      <c r="M211" s="59">
        <v>10</v>
      </c>
      <c r="N211" s="59">
        <v>10</v>
      </c>
      <c r="O211" s="59" t="s">
        <v>3578</v>
      </c>
      <c r="P211" s="58">
        <v>136</v>
      </c>
      <c r="Q211" s="59">
        <v>0</v>
      </c>
      <c r="R211" s="59">
        <v>0</v>
      </c>
      <c r="S211" s="60">
        <f>tblJTL[[#This Row],[timeStamp]]/86400000+DATE(1970,1,1)+TIME(9,0,0)</f>
        <v>46296.417509710649</v>
      </c>
      <c r="T211" s="57">
        <f>tblJTL[[#This Row],[timeStamp]]+tblJTL[[#This Row],[elapsed]]</f>
        <v>1790816472982</v>
      </c>
      <c r="U211" s="61">
        <f>(tblJTL[[#This Row],[timeStamp]]-'17_分析サンプル'!$E$18)/1000</f>
        <v>72.659000000000006</v>
      </c>
      <c r="V211" s="57">
        <f>INT(tblJTL[[#This Row],[経過秒]]/60)</f>
        <v>1</v>
      </c>
      <c r="W211" s="57">
        <f>IF(OR(tblJTL[[#This Row],[success]]=FALSE,tblJTL[[#This Row],[success]]="false"),1,0)</f>
        <v>0</v>
      </c>
      <c r="X211" s="57">
        <f>IF(AND(tblJTL[[#This Row],[経過秒]]&gt;='17_分析サンプル'!$E$11,tblJTL[[#This Row],[経過秒]]&lt;'17_分析サンプル'!$E$12),1,0)</f>
        <v>1</v>
      </c>
    </row>
    <row r="212" spans="2:24" ht="14.4" x14ac:dyDescent="0.3">
      <c r="B212" s="57">
        <v>1790816472850</v>
      </c>
      <c r="C212" s="58">
        <v>158</v>
      </c>
      <c r="D212" s="59" t="s">
        <v>1677</v>
      </c>
      <c r="E212" s="59" t="s">
        <v>3579</v>
      </c>
      <c r="F212" s="59" t="s">
        <v>3580</v>
      </c>
      <c r="G212" s="59" t="s">
        <v>3577</v>
      </c>
      <c r="H212" s="59" t="s">
        <v>2281</v>
      </c>
      <c r="I212" s="59" t="b">
        <v>1</v>
      </c>
      <c r="J212" s="59"/>
      <c r="K212" s="58">
        <v>428</v>
      </c>
      <c r="L212" s="58">
        <v>1478</v>
      </c>
      <c r="M212" s="59">
        <v>10</v>
      </c>
      <c r="N212" s="59">
        <v>10</v>
      </c>
      <c r="O212" s="59" t="s">
        <v>3581</v>
      </c>
      <c r="P212" s="58">
        <v>155</v>
      </c>
      <c r="Q212" s="59">
        <v>0</v>
      </c>
      <c r="R212" s="59">
        <v>0</v>
      </c>
      <c r="S212" s="60">
        <f>tblJTL[[#This Row],[timeStamp]]/86400000+DATE(1970,1,1)+TIME(9,0,0)</f>
        <v>46296.417509837964</v>
      </c>
      <c r="T212" s="57">
        <f>tblJTL[[#This Row],[timeStamp]]+tblJTL[[#This Row],[elapsed]]</f>
        <v>1790816473008</v>
      </c>
      <c r="U212" s="61">
        <f>(tblJTL[[#This Row],[timeStamp]]-'17_分析サンプル'!$E$18)/1000</f>
        <v>72.67</v>
      </c>
      <c r="V212" s="57">
        <f>INT(tblJTL[[#This Row],[経過秒]]/60)</f>
        <v>1</v>
      </c>
      <c r="W212" s="57">
        <f>IF(OR(tblJTL[[#This Row],[success]]=FALSE,tblJTL[[#This Row],[success]]="false"),1,0)</f>
        <v>0</v>
      </c>
      <c r="X212" s="57">
        <f>IF(AND(tblJTL[[#This Row],[経過秒]]&gt;='17_分析サンプル'!$E$11,tblJTL[[#This Row],[経過秒]]&lt;'17_分析サンプル'!$E$12),1,0)</f>
        <v>1</v>
      </c>
    </row>
    <row r="213" spans="2:24" ht="14.4" x14ac:dyDescent="0.3">
      <c r="B213" s="57">
        <v>1790816473144</v>
      </c>
      <c r="C213" s="58">
        <v>83</v>
      </c>
      <c r="D213" s="59" t="s">
        <v>1658</v>
      </c>
      <c r="E213" s="59" t="s">
        <v>1577</v>
      </c>
      <c r="F213" s="59" t="s">
        <v>2275</v>
      </c>
      <c r="G213" s="59" t="s">
        <v>2278</v>
      </c>
      <c r="H213" s="59" t="s">
        <v>2281</v>
      </c>
      <c r="I213" s="59" t="b">
        <v>1</v>
      </c>
      <c r="J213" s="59"/>
      <c r="K213" s="58">
        <v>1885</v>
      </c>
      <c r="L213" s="58">
        <v>1342</v>
      </c>
      <c r="M213" s="59">
        <v>10</v>
      </c>
      <c r="N213" s="59">
        <v>10</v>
      </c>
      <c r="O213" s="59" t="s">
        <v>3578</v>
      </c>
      <c r="P213" s="58">
        <v>79</v>
      </c>
      <c r="Q213" s="59">
        <v>0</v>
      </c>
      <c r="R213" s="59">
        <v>0</v>
      </c>
      <c r="S213" s="60">
        <f>tblJTL[[#This Row],[timeStamp]]/86400000+DATE(1970,1,1)+TIME(9,0,0)</f>
        <v>46296.41751324074</v>
      </c>
      <c r="T213" s="57">
        <f>tblJTL[[#This Row],[timeStamp]]+tblJTL[[#This Row],[elapsed]]</f>
        <v>1790816473227</v>
      </c>
      <c r="U213" s="61">
        <f>(tblJTL[[#This Row],[timeStamp]]-'17_分析サンプル'!$E$18)/1000</f>
        <v>72.963999999999999</v>
      </c>
      <c r="V213" s="57">
        <f>INT(tblJTL[[#This Row],[経過秒]]/60)</f>
        <v>1</v>
      </c>
      <c r="W213" s="57">
        <f>IF(OR(tblJTL[[#This Row],[success]]=FALSE,tblJTL[[#This Row],[success]]="false"),1,0)</f>
        <v>0</v>
      </c>
      <c r="X213" s="57">
        <f>IF(AND(tblJTL[[#This Row],[経過秒]]&gt;='17_分析サンプル'!$E$11,tblJTL[[#This Row],[経過秒]]&lt;'17_分析サンプル'!$E$12),1,0)</f>
        <v>1</v>
      </c>
    </row>
    <row r="214" spans="2:24" ht="14.4" x14ac:dyDescent="0.3">
      <c r="B214" s="57">
        <v>1790816473186</v>
      </c>
      <c r="C214" s="58">
        <v>135</v>
      </c>
      <c r="D214" s="59" t="s">
        <v>1658</v>
      </c>
      <c r="E214" s="59" t="s">
        <v>1577</v>
      </c>
      <c r="F214" s="59" t="s">
        <v>2275</v>
      </c>
      <c r="G214" s="59" t="s">
        <v>3588</v>
      </c>
      <c r="H214" s="59" t="s">
        <v>2281</v>
      </c>
      <c r="I214" s="59" t="b">
        <v>1</v>
      </c>
      <c r="J214" s="59"/>
      <c r="K214" s="58">
        <v>1896</v>
      </c>
      <c r="L214" s="58">
        <v>1342</v>
      </c>
      <c r="M214" s="59">
        <v>10</v>
      </c>
      <c r="N214" s="59">
        <v>10</v>
      </c>
      <c r="O214" s="59" t="s">
        <v>3578</v>
      </c>
      <c r="P214" s="58">
        <v>127</v>
      </c>
      <c r="Q214" s="59">
        <v>0</v>
      </c>
      <c r="R214" s="59">
        <v>0</v>
      </c>
      <c r="S214" s="60">
        <f>tblJTL[[#This Row],[timeStamp]]/86400000+DATE(1970,1,1)+TIME(9,0,0)</f>
        <v>46296.417513726847</v>
      </c>
      <c r="T214" s="57">
        <f>tblJTL[[#This Row],[timeStamp]]+tblJTL[[#This Row],[elapsed]]</f>
        <v>1790816473321</v>
      </c>
      <c r="U214" s="61">
        <f>(tblJTL[[#This Row],[timeStamp]]-'17_分析サンプル'!$E$18)/1000</f>
        <v>73.006</v>
      </c>
      <c r="V214" s="57">
        <f>INT(tblJTL[[#This Row],[経過秒]]/60)</f>
        <v>1</v>
      </c>
      <c r="W214" s="57">
        <f>IF(OR(tblJTL[[#This Row],[success]]=FALSE,tblJTL[[#This Row],[success]]="false"),1,0)</f>
        <v>0</v>
      </c>
      <c r="X214" s="57">
        <f>IF(AND(tblJTL[[#This Row],[経過秒]]&gt;='17_分析サンプル'!$E$11,tblJTL[[#This Row],[経過秒]]&lt;'17_分析サンプル'!$E$12),1,0)</f>
        <v>1</v>
      </c>
    </row>
    <row r="215" spans="2:24" ht="14.4" x14ac:dyDescent="0.3">
      <c r="B215" s="57">
        <v>1790816473171</v>
      </c>
      <c r="C215" s="58">
        <v>213</v>
      </c>
      <c r="D215" s="59" t="s">
        <v>1677</v>
      </c>
      <c r="E215" s="59" t="s">
        <v>3579</v>
      </c>
      <c r="F215" s="59" t="s">
        <v>3580</v>
      </c>
      <c r="G215" s="59" t="s">
        <v>3586</v>
      </c>
      <c r="H215" s="59" t="s">
        <v>2281</v>
      </c>
      <c r="I215" s="59" t="b">
        <v>1</v>
      </c>
      <c r="J215" s="59"/>
      <c r="K215" s="58">
        <v>424</v>
      </c>
      <c r="L215" s="58">
        <v>1478</v>
      </c>
      <c r="M215" s="59">
        <v>10</v>
      </c>
      <c r="N215" s="59">
        <v>10</v>
      </c>
      <c r="O215" s="59" t="s">
        <v>3581</v>
      </c>
      <c r="P215" s="58">
        <v>210</v>
      </c>
      <c r="Q215" s="59">
        <v>0</v>
      </c>
      <c r="R215" s="59">
        <v>0</v>
      </c>
      <c r="S215" s="60">
        <f>tblJTL[[#This Row],[timeStamp]]/86400000+DATE(1970,1,1)+TIME(9,0,0)</f>
        <v>46296.417513553242</v>
      </c>
      <c r="T215" s="57">
        <f>tblJTL[[#This Row],[timeStamp]]+tblJTL[[#This Row],[elapsed]]</f>
        <v>1790816473384</v>
      </c>
      <c r="U215" s="61">
        <f>(tblJTL[[#This Row],[timeStamp]]-'17_分析サンプル'!$E$18)/1000</f>
        <v>72.991</v>
      </c>
      <c r="V215" s="57">
        <f>INT(tblJTL[[#This Row],[経過秒]]/60)</f>
        <v>1</v>
      </c>
      <c r="W215" s="57">
        <f>IF(OR(tblJTL[[#This Row],[success]]=FALSE,tblJTL[[#This Row],[success]]="false"),1,0)</f>
        <v>0</v>
      </c>
      <c r="X215" s="57">
        <f>IF(AND(tblJTL[[#This Row],[経過秒]]&gt;='17_分析サンプル'!$E$11,tblJTL[[#This Row],[経過秒]]&lt;'17_分析サンプル'!$E$12),1,0)</f>
        <v>1</v>
      </c>
    </row>
    <row r="216" spans="2:24" ht="14.4" x14ac:dyDescent="0.3">
      <c r="B216" s="57">
        <v>1790816473980</v>
      </c>
      <c r="C216" s="58">
        <v>143</v>
      </c>
      <c r="D216" s="59" t="s">
        <v>1677</v>
      </c>
      <c r="E216" s="59" t="s">
        <v>3579</v>
      </c>
      <c r="F216" s="59" t="s">
        <v>3580</v>
      </c>
      <c r="G216" s="59" t="s">
        <v>3585</v>
      </c>
      <c r="H216" s="59" t="s">
        <v>2281</v>
      </c>
      <c r="I216" s="59" t="b">
        <v>1</v>
      </c>
      <c r="J216" s="59"/>
      <c r="K216" s="58">
        <v>436</v>
      </c>
      <c r="L216" s="58">
        <v>1478</v>
      </c>
      <c r="M216" s="59">
        <v>10</v>
      </c>
      <c r="N216" s="59">
        <v>10</v>
      </c>
      <c r="O216" s="59" t="s">
        <v>3581</v>
      </c>
      <c r="P216" s="58">
        <v>141</v>
      </c>
      <c r="Q216" s="59">
        <v>0</v>
      </c>
      <c r="R216" s="59">
        <v>0</v>
      </c>
      <c r="S216" s="60">
        <f>tblJTL[[#This Row],[timeStamp]]/86400000+DATE(1970,1,1)+TIME(9,0,0)</f>
        <v>46296.417522916665</v>
      </c>
      <c r="T216" s="57">
        <f>tblJTL[[#This Row],[timeStamp]]+tblJTL[[#This Row],[elapsed]]</f>
        <v>1790816474123</v>
      </c>
      <c r="U216" s="61">
        <f>(tblJTL[[#This Row],[timeStamp]]-'17_分析サンプル'!$E$18)/1000</f>
        <v>73.8</v>
      </c>
      <c r="V216" s="57">
        <f>INT(tblJTL[[#This Row],[経過秒]]/60)</f>
        <v>1</v>
      </c>
      <c r="W216" s="57">
        <f>IF(OR(tblJTL[[#This Row],[success]]=FALSE,tblJTL[[#This Row],[success]]="false"),1,0)</f>
        <v>0</v>
      </c>
      <c r="X216" s="57">
        <f>IF(AND(tblJTL[[#This Row],[経過秒]]&gt;='17_分析サンプル'!$E$11,tblJTL[[#This Row],[経過秒]]&lt;'17_分析サンプル'!$E$12),1,0)</f>
        <v>1</v>
      </c>
    </row>
    <row r="217" spans="2:24" ht="14.4" x14ac:dyDescent="0.3">
      <c r="B217" s="57">
        <v>1790816474063</v>
      </c>
      <c r="C217" s="58">
        <v>165</v>
      </c>
      <c r="D217" s="59" t="s">
        <v>1677</v>
      </c>
      <c r="E217" s="59" t="s">
        <v>3579</v>
      </c>
      <c r="F217" s="59" t="s">
        <v>3580</v>
      </c>
      <c r="G217" s="59" t="s">
        <v>3587</v>
      </c>
      <c r="H217" s="59" t="s">
        <v>2281</v>
      </c>
      <c r="I217" s="59" t="b">
        <v>1</v>
      </c>
      <c r="J217" s="59"/>
      <c r="K217" s="58">
        <v>440</v>
      </c>
      <c r="L217" s="58">
        <v>1478</v>
      </c>
      <c r="M217" s="59">
        <v>10</v>
      </c>
      <c r="N217" s="59">
        <v>10</v>
      </c>
      <c r="O217" s="59" t="s">
        <v>3581</v>
      </c>
      <c r="P217" s="58">
        <v>160</v>
      </c>
      <c r="Q217" s="59">
        <v>0</v>
      </c>
      <c r="R217" s="59">
        <v>0</v>
      </c>
      <c r="S217" s="60">
        <f>tblJTL[[#This Row],[timeStamp]]/86400000+DATE(1970,1,1)+TIME(9,0,0)</f>
        <v>46296.417523877317</v>
      </c>
      <c r="T217" s="57">
        <f>tblJTL[[#This Row],[timeStamp]]+tblJTL[[#This Row],[elapsed]]</f>
        <v>1790816474228</v>
      </c>
      <c r="U217" s="61">
        <f>(tblJTL[[#This Row],[timeStamp]]-'17_分析サンプル'!$E$18)/1000</f>
        <v>73.882999999999996</v>
      </c>
      <c r="V217" s="57">
        <f>INT(tblJTL[[#This Row],[経過秒]]/60)</f>
        <v>1</v>
      </c>
      <c r="W217" s="57">
        <f>IF(OR(tblJTL[[#This Row],[success]]=FALSE,tblJTL[[#This Row],[success]]="false"),1,0)</f>
        <v>0</v>
      </c>
      <c r="X217" s="57">
        <f>IF(AND(tblJTL[[#This Row],[経過秒]]&gt;='17_分析サンプル'!$E$11,tblJTL[[#This Row],[経過秒]]&lt;'17_分析サンプル'!$E$12),1,0)</f>
        <v>1</v>
      </c>
    </row>
    <row r="218" spans="2:24" ht="14.4" x14ac:dyDescent="0.3">
      <c r="B218" s="57">
        <v>1790816474081</v>
      </c>
      <c r="C218" s="58">
        <v>272</v>
      </c>
      <c r="D218" s="59" t="s">
        <v>1677</v>
      </c>
      <c r="E218" s="59" t="s">
        <v>3579</v>
      </c>
      <c r="F218" s="59" t="s">
        <v>3580</v>
      </c>
      <c r="G218" s="59" t="s">
        <v>3584</v>
      </c>
      <c r="H218" s="59" t="s">
        <v>2281</v>
      </c>
      <c r="I218" s="59" t="b">
        <v>1</v>
      </c>
      <c r="J218" s="59"/>
      <c r="K218" s="58">
        <v>418</v>
      </c>
      <c r="L218" s="58">
        <v>1478</v>
      </c>
      <c r="M218" s="59">
        <v>10</v>
      </c>
      <c r="N218" s="59">
        <v>10</v>
      </c>
      <c r="O218" s="59" t="s">
        <v>3581</v>
      </c>
      <c r="P218" s="58">
        <v>268</v>
      </c>
      <c r="Q218" s="59">
        <v>0</v>
      </c>
      <c r="R218" s="59">
        <v>0</v>
      </c>
      <c r="S218" s="60">
        <f>tblJTL[[#This Row],[timeStamp]]/86400000+DATE(1970,1,1)+TIME(9,0,0)</f>
        <v>46296.417524085649</v>
      </c>
      <c r="T218" s="57">
        <f>tblJTL[[#This Row],[timeStamp]]+tblJTL[[#This Row],[elapsed]]</f>
        <v>1790816474353</v>
      </c>
      <c r="U218" s="61">
        <f>(tblJTL[[#This Row],[timeStamp]]-'17_分析サンプル'!$E$18)/1000</f>
        <v>73.900999999999996</v>
      </c>
      <c r="V218" s="57">
        <f>INT(tblJTL[[#This Row],[経過秒]]/60)</f>
        <v>1</v>
      </c>
      <c r="W218" s="57">
        <f>IF(OR(tblJTL[[#This Row],[success]]=FALSE,tblJTL[[#This Row],[success]]="false"),1,0)</f>
        <v>0</v>
      </c>
      <c r="X218" s="57">
        <f>IF(AND(tblJTL[[#This Row],[経過秒]]&gt;='17_分析サンプル'!$E$11,tblJTL[[#This Row],[経過秒]]&lt;'17_分析サンプル'!$E$12),1,0)</f>
        <v>1</v>
      </c>
    </row>
    <row r="219" spans="2:24" ht="14.4" x14ac:dyDescent="0.3">
      <c r="B219" s="57">
        <v>1790816474338</v>
      </c>
      <c r="C219" s="58">
        <v>144</v>
      </c>
      <c r="D219" s="59" t="s">
        <v>1658</v>
      </c>
      <c r="E219" s="59" t="s">
        <v>1577</v>
      </c>
      <c r="F219" s="59" t="s">
        <v>2275</v>
      </c>
      <c r="G219" s="59" t="s">
        <v>3583</v>
      </c>
      <c r="H219" s="59" t="s">
        <v>2281</v>
      </c>
      <c r="I219" s="59" t="b">
        <v>1</v>
      </c>
      <c r="J219" s="59"/>
      <c r="K219" s="58">
        <v>1859</v>
      </c>
      <c r="L219" s="58">
        <v>1342</v>
      </c>
      <c r="M219" s="59">
        <v>10</v>
      </c>
      <c r="N219" s="59">
        <v>10</v>
      </c>
      <c r="O219" s="59" t="s">
        <v>3578</v>
      </c>
      <c r="P219" s="58">
        <v>137</v>
      </c>
      <c r="Q219" s="59">
        <v>0</v>
      </c>
      <c r="R219" s="59">
        <v>0</v>
      </c>
      <c r="S219" s="60">
        <f>tblJTL[[#This Row],[timeStamp]]/86400000+DATE(1970,1,1)+TIME(9,0,0)</f>
        <v>46296.417527060185</v>
      </c>
      <c r="T219" s="57">
        <f>tblJTL[[#This Row],[timeStamp]]+tblJTL[[#This Row],[elapsed]]</f>
        <v>1790816474482</v>
      </c>
      <c r="U219" s="61">
        <f>(tblJTL[[#This Row],[timeStamp]]-'17_分析サンプル'!$E$18)/1000</f>
        <v>74.158000000000001</v>
      </c>
      <c r="V219" s="57">
        <f>INT(tblJTL[[#This Row],[経過秒]]/60)</f>
        <v>1</v>
      </c>
      <c r="W219" s="57">
        <f>IF(OR(tblJTL[[#This Row],[success]]=FALSE,tblJTL[[#This Row],[success]]="false"),1,0)</f>
        <v>0</v>
      </c>
      <c r="X219" s="57">
        <f>IF(AND(tblJTL[[#This Row],[経過秒]]&gt;='17_分析サンプル'!$E$11,tblJTL[[#This Row],[経過秒]]&lt;'17_分析サンプル'!$E$12),1,0)</f>
        <v>1</v>
      </c>
    </row>
    <row r="220" spans="2:24" ht="14.4" x14ac:dyDescent="0.3">
      <c r="B220" s="57">
        <v>1790816474463</v>
      </c>
      <c r="C220" s="58">
        <v>118</v>
      </c>
      <c r="D220" s="59" t="s">
        <v>1658</v>
      </c>
      <c r="E220" s="59" t="s">
        <v>1577</v>
      </c>
      <c r="F220" s="59" t="s">
        <v>2275</v>
      </c>
      <c r="G220" s="59" t="s">
        <v>3589</v>
      </c>
      <c r="H220" s="59" t="s">
        <v>2281</v>
      </c>
      <c r="I220" s="59" t="b">
        <v>1</v>
      </c>
      <c r="J220" s="59"/>
      <c r="K220" s="58">
        <v>1896</v>
      </c>
      <c r="L220" s="58">
        <v>1342</v>
      </c>
      <c r="M220" s="59">
        <v>10</v>
      </c>
      <c r="N220" s="59">
        <v>10</v>
      </c>
      <c r="O220" s="59" t="s">
        <v>3578</v>
      </c>
      <c r="P220" s="58">
        <v>114</v>
      </c>
      <c r="Q220" s="59">
        <v>0</v>
      </c>
      <c r="R220" s="59">
        <v>0</v>
      </c>
      <c r="S220" s="60">
        <f>tblJTL[[#This Row],[timeStamp]]/86400000+DATE(1970,1,1)+TIME(9,0,0)</f>
        <v>46296.417528506943</v>
      </c>
      <c r="T220" s="57">
        <f>tblJTL[[#This Row],[timeStamp]]+tblJTL[[#This Row],[elapsed]]</f>
        <v>1790816474581</v>
      </c>
      <c r="U220" s="61">
        <f>(tblJTL[[#This Row],[timeStamp]]-'17_分析サンプル'!$E$18)/1000</f>
        <v>74.283000000000001</v>
      </c>
      <c r="V220" s="57">
        <f>INT(tblJTL[[#This Row],[経過秒]]/60)</f>
        <v>1</v>
      </c>
      <c r="W220" s="57">
        <f>IF(OR(tblJTL[[#This Row],[success]]=FALSE,tblJTL[[#This Row],[success]]="false"),1,0)</f>
        <v>0</v>
      </c>
      <c r="X220" s="57">
        <f>IF(AND(tblJTL[[#This Row],[経過秒]]&gt;='17_分析サンプル'!$E$11,tblJTL[[#This Row],[経過秒]]&lt;'17_分析サンプル'!$E$12),1,0)</f>
        <v>1</v>
      </c>
    </row>
    <row r="221" spans="2:24" ht="14.4" x14ac:dyDescent="0.3">
      <c r="B221" s="57">
        <v>1790816474716</v>
      </c>
      <c r="C221" s="58">
        <v>76</v>
      </c>
      <c r="D221" s="59" t="s">
        <v>1658</v>
      </c>
      <c r="E221" s="59" t="s">
        <v>1577</v>
      </c>
      <c r="F221" s="59" t="s">
        <v>2275</v>
      </c>
      <c r="G221" s="59" t="s">
        <v>3577</v>
      </c>
      <c r="H221" s="59" t="s">
        <v>2281</v>
      </c>
      <c r="I221" s="59" t="b">
        <v>1</v>
      </c>
      <c r="J221" s="59"/>
      <c r="K221" s="58">
        <v>1868</v>
      </c>
      <c r="L221" s="58">
        <v>1342</v>
      </c>
      <c r="M221" s="59">
        <v>10</v>
      </c>
      <c r="N221" s="59">
        <v>10</v>
      </c>
      <c r="O221" s="59" t="s">
        <v>3578</v>
      </c>
      <c r="P221" s="58">
        <v>73</v>
      </c>
      <c r="Q221" s="59">
        <v>0</v>
      </c>
      <c r="R221" s="59">
        <v>0</v>
      </c>
      <c r="S221" s="60">
        <f>tblJTL[[#This Row],[timeStamp]]/86400000+DATE(1970,1,1)+TIME(9,0,0)</f>
        <v>46296.417531435189</v>
      </c>
      <c r="T221" s="57">
        <f>tblJTL[[#This Row],[timeStamp]]+tblJTL[[#This Row],[elapsed]]</f>
        <v>1790816474792</v>
      </c>
      <c r="U221" s="61">
        <f>(tblJTL[[#This Row],[timeStamp]]-'17_分析サンプル'!$E$18)/1000</f>
        <v>74.536000000000001</v>
      </c>
      <c r="V221" s="57">
        <f>INT(tblJTL[[#This Row],[経過秒]]/60)</f>
        <v>1</v>
      </c>
      <c r="W221" s="57">
        <f>IF(OR(tblJTL[[#This Row],[success]]=FALSE,tblJTL[[#This Row],[success]]="false"),1,0)</f>
        <v>0</v>
      </c>
      <c r="X221" s="57">
        <f>IF(AND(tblJTL[[#This Row],[経過秒]]&gt;='17_分析サンプル'!$E$11,tblJTL[[#This Row],[経過秒]]&lt;'17_分析サンプル'!$E$12),1,0)</f>
        <v>1</v>
      </c>
    </row>
    <row r="222" spans="2:24" ht="14.4" x14ac:dyDescent="0.3">
      <c r="B222" s="57">
        <v>1790816474852</v>
      </c>
      <c r="C222" s="58">
        <v>93</v>
      </c>
      <c r="D222" s="59" t="s">
        <v>1658</v>
      </c>
      <c r="E222" s="59" t="s">
        <v>1577</v>
      </c>
      <c r="F222" s="59" t="s">
        <v>2275</v>
      </c>
      <c r="G222" s="59" t="s">
        <v>3582</v>
      </c>
      <c r="H222" s="59" t="s">
        <v>2281</v>
      </c>
      <c r="I222" s="59" t="b">
        <v>1</v>
      </c>
      <c r="J222" s="59"/>
      <c r="K222" s="58">
        <v>1851</v>
      </c>
      <c r="L222" s="58">
        <v>1342</v>
      </c>
      <c r="M222" s="59">
        <v>10</v>
      </c>
      <c r="N222" s="59">
        <v>10</v>
      </c>
      <c r="O222" s="59" t="s">
        <v>3578</v>
      </c>
      <c r="P222" s="58">
        <v>91</v>
      </c>
      <c r="Q222" s="59">
        <v>0</v>
      </c>
      <c r="R222" s="59">
        <v>0</v>
      </c>
      <c r="S222" s="60">
        <f>tblJTL[[#This Row],[timeStamp]]/86400000+DATE(1970,1,1)+TIME(9,0,0)</f>
        <v>46296.417533009255</v>
      </c>
      <c r="T222" s="57">
        <f>tblJTL[[#This Row],[timeStamp]]+tblJTL[[#This Row],[elapsed]]</f>
        <v>1790816474945</v>
      </c>
      <c r="U222" s="61">
        <f>(tblJTL[[#This Row],[timeStamp]]-'17_分析サンプル'!$E$18)/1000</f>
        <v>74.671999999999997</v>
      </c>
      <c r="V222" s="57">
        <f>INT(tblJTL[[#This Row],[経過秒]]/60)</f>
        <v>1</v>
      </c>
      <c r="W222" s="57">
        <f>IF(OR(tblJTL[[#This Row],[success]]=FALSE,tblJTL[[#This Row],[success]]="false"),1,0)</f>
        <v>0</v>
      </c>
      <c r="X222" s="57">
        <f>IF(AND(tblJTL[[#This Row],[経過秒]]&gt;='17_分析サンプル'!$E$11,tblJTL[[#This Row],[経過秒]]&lt;'17_分析サンプル'!$E$12),1,0)</f>
        <v>1</v>
      </c>
    </row>
    <row r="223" spans="2:24" ht="14.4" x14ac:dyDescent="0.3">
      <c r="B223" s="57">
        <v>1790816475618</v>
      </c>
      <c r="C223" s="58">
        <v>97</v>
      </c>
      <c r="D223" s="59" t="s">
        <v>1658</v>
      </c>
      <c r="E223" s="59" t="s">
        <v>1577</v>
      </c>
      <c r="F223" s="59" t="s">
        <v>2275</v>
      </c>
      <c r="G223" s="59" t="s">
        <v>3586</v>
      </c>
      <c r="H223" s="59" t="s">
        <v>2281</v>
      </c>
      <c r="I223" s="59" t="b">
        <v>1</v>
      </c>
      <c r="J223" s="59"/>
      <c r="K223" s="58">
        <v>1831</v>
      </c>
      <c r="L223" s="58">
        <v>1342</v>
      </c>
      <c r="M223" s="59">
        <v>10</v>
      </c>
      <c r="N223" s="59">
        <v>10</v>
      </c>
      <c r="O223" s="59" t="s">
        <v>3578</v>
      </c>
      <c r="P223" s="58">
        <v>89</v>
      </c>
      <c r="Q223" s="59">
        <v>0</v>
      </c>
      <c r="R223" s="59">
        <v>0</v>
      </c>
      <c r="S223" s="60">
        <f>tblJTL[[#This Row],[timeStamp]]/86400000+DATE(1970,1,1)+TIME(9,0,0)</f>
        <v>46296.417541874995</v>
      </c>
      <c r="T223" s="57">
        <f>tblJTL[[#This Row],[timeStamp]]+tblJTL[[#This Row],[elapsed]]</f>
        <v>1790816475715</v>
      </c>
      <c r="U223" s="61">
        <f>(tblJTL[[#This Row],[timeStamp]]-'17_分析サンプル'!$E$18)/1000</f>
        <v>75.438000000000002</v>
      </c>
      <c r="V223" s="57">
        <f>INT(tblJTL[[#This Row],[経過秒]]/60)</f>
        <v>1</v>
      </c>
      <c r="W223" s="57">
        <f>IF(OR(tblJTL[[#This Row],[success]]=FALSE,tblJTL[[#This Row],[success]]="false"),1,0)</f>
        <v>0</v>
      </c>
      <c r="X223" s="57">
        <f>IF(AND(tblJTL[[#This Row],[経過秒]]&gt;='17_分析サンプル'!$E$11,tblJTL[[#This Row],[経過秒]]&lt;'17_分析サンプル'!$E$12),1,0)</f>
        <v>1</v>
      </c>
    </row>
    <row r="224" spans="2:24" ht="14.4" x14ac:dyDescent="0.3">
      <c r="B224" s="57">
        <v>1790816475625</v>
      </c>
      <c r="C224" s="58">
        <v>114</v>
      </c>
      <c r="D224" s="59" t="s">
        <v>1658</v>
      </c>
      <c r="E224" s="59" t="s">
        <v>1577</v>
      </c>
      <c r="F224" s="59" t="s">
        <v>2275</v>
      </c>
      <c r="G224" s="59" t="s">
        <v>3585</v>
      </c>
      <c r="H224" s="59" t="s">
        <v>2281</v>
      </c>
      <c r="I224" s="59" t="b">
        <v>1</v>
      </c>
      <c r="J224" s="59"/>
      <c r="K224" s="58">
        <v>1892</v>
      </c>
      <c r="L224" s="58">
        <v>1342</v>
      </c>
      <c r="M224" s="59">
        <v>10</v>
      </c>
      <c r="N224" s="59">
        <v>10</v>
      </c>
      <c r="O224" s="59" t="s">
        <v>3578</v>
      </c>
      <c r="P224" s="58">
        <v>111</v>
      </c>
      <c r="Q224" s="59">
        <v>0</v>
      </c>
      <c r="R224" s="59">
        <v>0</v>
      </c>
      <c r="S224" s="60">
        <f>tblJTL[[#This Row],[timeStamp]]/86400000+DATE(1970,1,1)+TIME(9,0,0)</f>
        <v>46296.41754195602</v>
      </c>
      <c r="T224" s="57">
        <f>tblJTL[[#This Row],[timeStamp]]+tblJTL[[#This Row],[elapsed]]</f>
        <v>1790816475739</v>
      </c>
      <c r="U224" s="61">
        <f>(tblJTL[[#This Row],[timeStamp]]-'17_分析サンプル'!$E$18)/1000</f>
        <v>75.444999999999993</v>
      </c>
      <c r="V224" s="57">
        <f>INT(tblJTL[[#This Row],[経過秒]]/60)</f>
        <v>1</v>
      </c>
      <c r="W224" s="57">
        <f>IF(OR(tblJTL[[#This Row],[success]]=FALSE,tblJTL[[#This Row],[success]]="false"),1,0)</f>
        <v>0</v>
      </c>
      <c r="X224" s="57">
        <f>IF(AND(tblJTL[[#This Row],[経過秒]]&gt;='17_分析サンプル'!$E$11,tblJTL[[#This Row],[経過秒]]&lt;'17_分析サンプル'!$E$12),1,0)</f>
        <v>1</v>
      </c>
    </row>
    <row r="225" spans="2:24" ht="14.4" x14ac:dyDescent="0.3">
      <c r="B225" s="57">
        <v>1790816475564</v>
      </c>
      <c r="C225" s="58">
        <v>325</v>
      </c>
      <c r="D225" s="59" t="s">
        <v>1677</v>
      </c>
      <c r="E225" s="59" t="s">
        <v>3579</v>
      </c>
      <c r="F225" s="59" t="s">
        <v>3580</v>
      </c>
      <c r="G225" s="59" t="s">
        <v>2278</v>
      </c>
      <c r="H225" s="59" t="s">
        <v>2281</v>
      </c>
      <c r="I225" s="59" t="b">
        <v>1</v>
      </c>
      <c r="J225" s="59"/>
      <c r="K225" s="58">
        <v>421</v>
      </c>
      <c r="L225" s="58">
        <v>1478</v>
      </c>
      <c r="M225" s="59">
        <v>10</v>
      </c>
      <c r="N225" s="59">
        <v>10</v>
      </c>
      <c r="O225" s="59" t="s">
        <v>3581</v>
      </c>
      <c r="P225" s="58">
        <v>318</v>
      </c>
      <c r="Q225" s="59">
        <v>0</v>
      </c>
      <c r="R225" s="59">
        <v>63</v>
      </c>
      <c r="S225" s="60">
        <f>tblJTL[[#This Row],[timeStamp]]/86400000+DATE(1970,1,1)+TIME(9,0,0)</f>
        <v>46296.417541250004</v>
      </c>
      <c r="T225" s="57">
        <f>tblJTL[[#This Row],[timeStamp]]+tblJTL[[#This Row],[elapsed]]</f>
        <v>1790816475889</v>
      </c>
      <c r="U225" s="61">
        <f>(tblJTL[[#This Row],[timeStamp]]-'17_分析サンプル'!$E$18)/1000</f>
        <v>75.384</v>
      </c>
      <c r="V225" s="57">
        <f>INT(tblJTL[[#This Row],[経過秒]]/60)</f>
        <v>1</v>
      </c>
      <c r="W225" s="57">
        <f>IF(OR(tblJTL[[#This Row],[success]]=FALSE,tblJTL[[#This Row],[success]]="false"),1,0)</f>
        <v>0</v>
      </c>
      <c r="X225" s="57">
        <f>IF(AND(tblJTL[[#This Row],[経過秒]]&gt;='17_分析サンプル'!$E$11,tblJTL[[#This Row],[経過秒]]&lt;'17_分析サンプル'!$E$12),1,0)</f>
        <v>1</v>
      </c>
    </row>
    <row r="226" spans="2:24" ht="14.4" x14ac:dyDescent="0.3">
      <c r="B226" s="57">
        <v>1790816475589</v>
      </c>
      <c r="C226" s="58">
        <v>300</v>
      </c>
      <c r="D226" s="59" t="s">
        <v>1677</v>
      </c>
      <c r="E226" s="59" t="s">
        <v>3579</v>
      </c>
      <c r="F226" s="59" t="s">
        <v>3580</v>
      </c>
      <c r="G226" s="59" t="s">
        <v>3588</v>
      </c>
      <c r="H226" s="59" t="s">
        <v>2281</v>
      </c>
      <c r="I226" s="59" t="b">
        <v>1</v>
      </c>
      <c r="J226" s="59"/>
      <c r="K226" s="58">
        <v>416</v>
      </c>
      <c r="L226" s="58">
        <v>1478</v>
      </c>
      <c r="M226" s="59">
        <v>10</v>
      </c>
      <c r="N226" s="59">
        <v>10</v>
      </c>
      <c r="O226" s="59" t="s">
        <v>3581</v>
      </c>
      <c r="P226" s="58">
        <v>292</v>
      </c>
      <c r="Q226" s="59">
        <v>0</v>
      </c>
      <c r="R226" s="59">
        <v>0</v>
      </c>
      <c r="S226" s="60">
        <f>tblJTL[[#This Row],[timeStamp]]/86400000+DATE(1970,1,1)+TIME(9,0,0)</f>
        <v>46296.417541539355</v>
      </c>
      <c r="T226" s="57">
        <f>tblJTL[[#This Row],[timeStamp]]+tblJTL[[#This Row],[elapsed]]</f>
        <v>1790816475889</v>
      </c>
      <c r="U226" s="61">
        <f>(tblJTL[[#This Row],[timeStamp]]-'17_分析サンプル'!$E$18)/1000</f>
        <v>75.409000000000006</v>
      </c>
      <c r="V226" s="57">
        <f>INT(tblJTL[[#This Row],[経過秒]]/60)</f>
        <v>1</v>
      </c>
      <c r="W226" s="57">
        <f>IF(OR(tblJTL[[#This Row],[success]]=FALSE,tblJTL[[#This Row],[success]]="false"),1,0)</f>
        <v>0</v>
      </c>
      <c r="X226" s="57">
        <f>IF(AND(tblJTL[[#This Row],[経過秒]]&gt;='17_分析サンプル'!$E$11,tblJTL[[#This Row],[経過秒]]&lt;'17_分析サンプル'!$E$12),1,0)</f>
        <v>1</v>
      </c>
    </row>
    <row r="227" spans="2:24" ht="14.4" x14ac:dyDescent="0.3">
      <c r="B227" s="57">
        <v>1790816475811</v>
      </c>
      <c r="C227" s="58">
        <v>161</v>
      </c>
      <c r="D227" s="59" t="s">
        <v>1677</v>
      </c>
      <c r="E227" s="59" t="s">
        <v>3579</v>
      </c>
      <c r="F227" s="59" t="s">
        <v>3580</v>
      </c>
      <c r="G227" s="59" t="s">
        <v>3589</v>
      </c>
      <c r="H227" s="59" t="s">
        <v>2281</v>
      </c>
      <c r="I227" s="59" t="b">
        <v>1</v>
      </c>
      <c r="J227" s="59"/>
      <c r="K227" s="58">
        <v>423</v>
      </c>
      <c r="L227" s="58">
        <v>1478</v>
      </c>
      <c r="M227" s="59">
        <v>10</v>
      </c>
      <c r="N227" s="59">
        <v>10</v>
      </c>
      <c r="O227" s="59" t="s">
        <v>3581</v>
      </c>
      <c r="P227" s="58">
        <v>155</v>
      </c>
      <c r="Q227" s="59">
        <v>0</v>
      </c>
      <c r="R227" s="59">
        <v>0</v>
      </c>
      <c r="S227" s="60">
        <f>tblJTL[[#This Row],[timeStamp]]/86400000+DATE(1970,1,1)+TIME(9,0,0)</f>
        <v>46296.417544108801</v>
      </c>
      <c r="T227" s="57">
        <f>tblJTL[[#This Row],[timeStamp]]+tblJTL[[#This Row],[elapsed]]</f>
        <v>1790816475972</v>
      </c>
      <c r="U227" s="61">
        <f>(tblJTL[[#This Row],[timeStamp]]-'17_分析サンプル'!$E$18)/1000</f>
        <v>75.631</v>
      </c>
      <c r="V227" s="57">
        <f>INT(tblJTL[[#This Row],[経過秒]]/60)</f>
        <v>1</v>
      </c>
      <c r="W227" s="57">
        <f>IF(OR(tblJTL[[#This Row],[success]]=FALSE,tblJTL[[#This Row],[success]]="false"),1,0)</f>
        <v>0</v>
      </c>
      <c r="X227" s="57">
        <f>IF(AND(tblJTL[[#This Row],[経過秒]]&gt;='17_分析サンプル'!$E$11,tblJTL[[#This Row],[経過秒]]&lt;'17_分析サンプル'!$E$12),1,0)</f>
        <v>1</v>
      </c>
    </row>
    <row r="228" spans="2:24" ht="14.4" x14ac:dyDescent="0.3">
      <c r="B228" s="57">
        <v>1790816475936</v>
      </c>
      <c r="C228" s="58">
        <v>116</v>
      </c>
      <c r="D228" s="59" t="s">
        <v>1658</v>
      </c>
      <c r="E228" s="59" t="s">
        <v>1577</v>
      </c>
      <c r="F228" s="59" t="s">
        <v>2275</v>
      </c>
      <c r="G228" s="59" t="s">
        <v>3584</v>
      </c>
      <c r="H228" s="59" t="s">
        <v>2281</v>
      </c>
      <c r="I228" s="59" t="b">
        <v>1</v>
      </c>
      <c r="J228" s="59"/>
      <c r="K228" s="58">
        <v>1831</v>
      </c>
      <c r="L228" s="58">
        <v>1342</v>
      </c>
      <c r="M228" s="59">
        <v>10</v>
      </c>
      <c r="N228" s="59">
        <v>10</v>
      </c>
      <c r="O228" s="59" t="s">
        <v>3578</v>
      </c>
      <c r="P228" s="58">
        <v>113</v>
      </c>
      <c r="Q228" s="59">
        <v>0</v>
      </c>
      <c r="R228" s="59">
        <v>0</v>
      </c>
      <c r="S228" s="60">
        <f>tblJTL[[#This Row],[timeStamp]]/86400000+DATE(1970,1,1)+TIME(9,0,0)</f>
        <v>46296.417545555552</v>
      </c>
      <c r="T228" s="57">
        <f>tblJTL[[#This Row],[timeStamp]]+tblJTL[[#This Row],[elapsed]]</f>
        <v>1790816476052</v>
      </c>
      <c r="U228" s="61">
        <f>(tblJTL[[#This Row],[timeStamp]]-'17_分析サンプル'!$E$18)/1000</f>
        <v>75.756</v>
      </c>
      <c r="V228" s="57">
        <f>INT(tblJTL[[#This Row],[経過秒]]/60)</f>
        <v>1</v>
      </c>
      <c r="W228" s="57">
        <f>IF(OR(tblJTL[[#This Row],[success]]=FALSE,tblJTL[[#This Row],[success]]="false"),1,0)</f>
        <v>0</v>
      </c>
      <c r="X228" s="57">
        <f>IF(AND(tblJTL[[#This Row],[経過秒]]&gt;='17_分析サンプル'!$E$11,tblJTL[[#This Row],[経過秒]]&lt;'17_分析サンプル'!$E$12),1,0)</f>
        <v>1</v>
      </c>
    </row>
    <row r="229" spans="2:24" ht="14.4" x14ac:dyDescent="0.3">
      <c r="B229" s="57">
        <v>1790816476023</v>
      </c>
      <c r="C229" s="58">
        <v>176</v>
      </c>
      <c r="D229" s="59" t="s">
        <v>1677</v>
      </c>
      <c r="E229" s="59" t="s">
        <v>3579</v>
      </c>
      <c r="F229" s="59" t="s">
        <v>3580</v>
      </c>
      <c r="G229" s="59" t="s">
        <v>3577</v>
      </c>
      <c r="H229" s="59" t="s">
        <v>2281</v>
      </c>
      <c r="I229" s="59" t="b">
        <v>1</v>
      </c>
      <c r="J229" s="59"/>
      <c r="K229" s="58">
        <v>415</v>
      </c>
      <c r="L229" s="58">
        <v>1478</v>
      </c>
      <c r="M229" s="59">
        <v>10</v>
      </c>
      <c r="N229" s="59">
        <v>10</v>
      </c>
      <c r="O229" s="59" t="s">
        <v>3581</v>
      </c>
      <c r="P229" s="58">
        <v>171</v>
      </c>
      <c r="Q229" s="59">
        <v>0</v>
      </c>
      <c r="R229" s="59">
        <v>0</v>
      </c>
      <c r="S229" s="60">
        <f>tblJTL[[#This Row],[timeStamp]]/86400000+DATE(1970,1,1)+TIME(9,0,0)</f>
        <v>46296.417546562501</v>
      </c>
      <c r="T229" s="57">
        <f>tblJTL[[#This Row],[timeStamp]]+tblJTL[[#This Row],[elapsed]]</f>
        <v>1790816476199</v>
      </c>
      <c r="U229" s="61">
        <f>(tblJTL[[#This Row],[timeStamp]]-'17_分析サンプル'!$E$18)/1000</f>
        <v>75.843000000000004</v>
      </c>
      <c r="V229" s="57">
        <f>INT(tblJTL[[#This Row],[経過秒]]/60)</f>
        <v>1</v>
      </c>
      <c r="W229" s="57">
        <f>IF(OR(tblJTL[[#This Row],[success]]=FALSE,tblJTL[[#This Row],[success]]="false"),1,0)</f>
        <v>0</v>
      </c>
      <c r="X229" s="57">
        <f>IF(AND(tblJTL[[#This Row],[経過秒]]&gt;='17_分析サンプル'!$E$11,tblJTL[[#This Row],[経過秒]]&lt;'17_分析サンプル'!$E$12),1,0)</f>
        <v>1</v>
      </c>
    </row>
    <row r="230" spans="2:24" ht="14.4" x14ac:dyDescent="0.3">
      <c r="B230" s="57">
        <v>1790816476612</v>
      </c>
      <c r="C230" s="58">
        <v>93</v>
      </c>
      <c r="D230" s="59" t="s">
        <v>1658</v>
      </c>
      <c r="E230" s="59" t="s">
        <v>1577</v>
      </c>
      <c r="F230" s="59" t="s">
        <v>2275</v>
      </c>
      <c r="G230" s="59" t="s">
        <v>3587</v>
      </c>
      <c r="H230" s="59" t="s">
        <v>2281</v>
      </c>
      <c r="I230" s="59" t="b">
        <v>1</v>
      </c>
      <c r="J230" s="59"/>
      <c r="K230" s="58">
        <v>1870</v>
      </c>
      <c r="L230" s="58">
        <v>1342</v>
      </c>
      <c r="M230" s="59">
        <v>10</v>
      </c>
      <c r="N230" s="59">
        <v>10</v>
      </c>
      <c r="O230" s="59" t="s">
        <v>3578</v>
      </c>
      <c r="P230" s="58">
        <v>89</v>
      </c>
      <c r="Q230" s="59">
        <v>0</v>
      </c>
      <c r="R230" s="59">
        <v>0</v>
      </c>
      <c r="S230" s="60">
        <f>tblJTL[[#This Row],[timeStamp]]/86400000+DATE(1970,1,1)+TIME(9,0,0)</f>
        <v>46296.41755337963</v>
      </c>
      <c r="T230" s="57">
        <f>tblJTL[[#This Row],[timeStamp]]+tblJTL[[#This Row],[elapsed]]</f>
        <v>1790816476705</v>
      </c>
      <c r="U230" s="61">
        <f>(tblJTL[[#This Row],[timeStamp]]-'17_分析サンプル'!$E$18)/1000</f>
        <v>76.432000000000002</v>
      </c>
      <c r="V230" s="57">
        <f>INT(tblJTL[[#This Row],[経過秒]]/60)</f>
        <v>1</v>
      </c>
      <c r="W230" s="57">
        <f>IF(OR(tblJTL[[#This Row],[success]]=FALSE,tblJTL[[#This Row],[success]]="false"),1,0)</f>
        <v>0</v>
      </c>
      <c r="X230" s="57">
        <f>IF(AND(tblJTL[[#This Row],[経過秒]]&gt;='17_分析サンプル'!$E$11,tblJTL[[#This Row],[経過秒]]&lt;'17_分析サンプル'!$E$12),1,0)</f>
        <v>1</v>
      </c>
    </row>
    <row r="231" spans="2:24" ht="14.4" x14ac:dyDescent="0.3">
      <c r="B231" s="57">
        <v>1790816476643</v>
      </c>
      <c r="C231" s="58">
        <v>256</v>
      </c>
      <c r="D231" s="59" t="s">
        <v>1677</v>
      </c>
      <c r="E231" s="59" t="s">
        <v>3579</v>
      </c>
      <c r="F231" s="59" t="s">
        <v>3580</v>
      </c>
      <c r="G231" s="59" t="s">
        <v>3583</v>
      </c>
      <c r="H231" s="59" t="s">
        <v>2281</v>
      </c>
      <c r="I231" s="59" t="b">
        <v>1</v>
      </c>
      <c r="J231" s="59"/>
      <c r="K231" s="58">
        <v>432</v>
      </c>
      <c r="L231" s="58">
        <v>1478</v>
      </c>
      <c r="M231" s="59">
        <v>10</v>
      </c>
      <c r="N231" s="59">
        <v>10</v>
      </c>
      <c r="O231" s="59" t="s">
        <v>3581</v>
      </c>
      <c r="P231" s="58">
        <v>248</v>
      </c>
      <c r="Q231" s="59">
        <v>0</v>
      </c>
      <c r="R231" s="59">
        <v>0</v>
      </c>
      <c r="S231" s="60">
        <f>tblJTL[[#This Row],[timeStamp]]/86400000+DATE(1970,1,1)+TIME(9,0,0)</f>
        <v>46296.417553738429</v>
      </c>
      <c r="T231" s="57">
        <f>tblJTL[[#This Row],[timeStamp]]+tblJTL[[#This Row],[elapsed]]</f>
        <v>1790816476899</v>
      </c>
      <c r="U231" s="61">
        <f>(tblJTL[[#This Row],[timeStamp]]-'17_分析サンプル'!$E$18)/1000</f>
        <v>76.462999999999994</v>
      </c>
      <c r="V231" s="57">
        <f>INT(tblJTL[[#This Row],[経過秒]]/60)</f>
        <v>1</v>
      </c>
      <c r="W231" s="57">
        <f>IF(OR(tblJTL[[#This Row],[success]]=FALSE,tblJTL[[#This Row],[success]]="false"),1,0)</f>
        <v>0</v>
      </c>
      <c r="X231" s="57">
        <f>IF(AND(tblJTL[[#This Row],[経過秒]]&gt;='17_分析サンプル'!$E$11,tblJTL[[#This Row],[経過秒]]&lt;'17_分析サンプル'!$E$12),1,0)</f>
        <v>1</v>
      </c>
    </row>
    <row r="232" spans="2:24" ht="14.4" x14ac:dyDescent="0.3">
      <c r="B232" s="57">
        <v>1790816477152</v>
      </c>
      <c r="C232" s="58">
        <v>87</v>
      </c>
      <c r="D232" s="59" t="s">
        <v>1658</v>
      </c>
      <c r="E232" s="59" t="s">
        <v>1577</v>
      </c>
      <c r="F232" s="59" t="s">
        <v>2275</v>
      </c>
      <c r="G232" s="59" t="s">
        <v>3588</v>
      </c>
      <c r="H232" s="59" t="s">
        <v>2281</v>
      </c>
      <c r="I232" s="59" t="b">
        <v>1</v>
      </c>
      <c r="J232" s="59"/>
      <c r="K232" s="58">
        <v>1853</v>
      </c>
      <c r="L232" s="58">
        <v>1342</v>
      </c>
      <c r="M232" s="59">
        <v>10</v>
      </c>
      <c r="N232" s="59">
        <v>10</v>
      </c>
      <c r="O232" s="59" t="s">
        <v>3578</v>
      </c>
      <c r="P232" s="58">
        <v>80</v>
      </c>
      <c r="Q232" s="59">
        <v>0</v>
      </c>
      <c r="R232" s="59">
        <v>0</v>
      </c>
      <c r="S232" s="60">
        <f>tblJTL[[#This Row],[timeStamp]]/86400000+DATE(1970,1,1)+TIME(9,0,0)</f>
        <v>46296.417559629626</v>
      </c>
      <c r="T232" s="57">
        <f>tblJTL[[#This Row],[timeStamp]]+tblJTL[[#This Row],[elapsed]]</f>
        <v>1790816477239</v>
      </c>
      <c r="U232" s="61">
        <f>(tblJTL[[#This Row],[timeStamp]]-'17_分析サンプル'!$E$18)/1000</f>
        <v>76.971999999999994</v>
      </c>
      <c r="V232" s="57">
        <f>INT(tblJTL[[#This Row],[経過秒]]/60)</f>
        <v>1</v>
      </c>
      <c r="W232" s="57">
        <f>IF(OR(tblJTL[[#This Row],[success]]=FALSE,tblJTL[[#This Row],[success]]="false"),1,0)</f>
        <v>0</v>
      </c>
      <c r="X232" s="57">
        <f>IF(AND(tblJTL[[#This Row],[経過秒]]&gt;='17_分析サンプル'!$E$11,tblJTL[[#This Row],[経過秒]]&lt;'17_分析サンプル'!$E$12),1,0)</f>
        <v>1</v>
      </c>
    </row>
    <row r="233" spans="2:24" ht="14.4" x14ac:dyDescent="0.3">
      <c r="B233" s="57">
        <v>1790816477121</v>
      </c>
      <c r="C233" s="58">
        <v>249</v>
      </c>
      <c r="D233" s="59" t="s">
        <v>1677</v>
      </c>
      <c r="E233" s="59" t="s">
        <v>3579</v>
      </c>
      <c r="F233" s="59" t="s">
        <v>3580</v>
      </c>
      <c r="G233" s="59" t="s">
        <v>3586</v>
      </c>
      <c r="H233" s="59" t="s">
        <v>2281</v>
      </c>
      <c r="I233" s="59" t="b">
        <v>1</v>
      </c>
      <c r="J233" s="59"/>
      <c r="K233" s="58">
        <v>431</v>
      </c>
      <c r="L233" s="58">
        <v>1478</v>
      </c>
      <c r="M233" s="59">
        <v>10</v>
      </c>
      <c r="N233" s="59">
        <v>10</v>
      </c>
      <c r="O233" s="59" t="s">
        <v>3581</v>
      </c>
      <c r="P233" s="58">
        <v>245</v>
      </c>
      <c r="Q233" s="59">
        <v>0</v>
      </c>
      <c r="R233" s="59">
        <v>0</v>
      </c>
      <c r="S233" s="60">
        <f>tblJTL[[#This Row],[timeStamp]]/86400000+DATE(1970,1,1)+TIME(9,0,0)</f>
        <v>46296.417559270834</v>
      </c>
      <c r="T233" s="57">
        <f>tblJTL[[#This Row],[timeStamp]]+tblJTL[[#This Row],[elapsed]]</f>
        <v>1790816477370</v>
      </c>
      <c r="U233" s="61">
        <f>(tblJTL[[#This Row],[timeStamp]]-'17_分析サンプル'!$E$18)/1000</f>
        <v>76.941000000000003</v>
      </c>
      <c r="V233" s="57">
        <f>INT(tblJTL[[#This Row],[経過秒]]/60)</f>
        <v>1</v>
      </c>
      <c r="W233" s="57">
        <f>IF(OR(tblJTL[[#This Row],[success]]=FALSE,tblJTL[[#This Row],[success]]="false"),1,0)</f>
        <v>0</v>
      </c>
      <c r="X233" s="57">
        <f>IF(AND(tblJTL[[#This Row],[経過秒]]&gt;='17_分析サンプル'!$E$11,tblJTL[[#This Row],[経過秒]]&lt;'17_分析サンプル'!$E$12),1,0)</f>
        <v>1</v>
      </c>
    </row>
    <row r="234" spans="2:24" ht="14.4" x14ac:dyDescent="0.3">
      <c r="B234" s="57">
        <v>1790816477240</v>
      </c>
      <c r="C234" s="58">
        <v>213</v>
      </c>
      <c r="D234" s="59" t="s">
        <v>1677</v>
      </c>
      <c r="E234" s="59" t="s">
        <v>3579</v>
      </c>
      <c r="F234" s="59" t="s">
        <v>3580</v>
      </c>
      <c r="G234" s="59" t="s">
        <v>3582</v>
      </c>
      <c r="H234" s="59" t="s">
        <v>2281</v>
      </c>
      <c r="I234" s="59" t="b">
        <v>1</v>
      </c>
      <c r="J234" s="59"/>
      <c r="K234" s="58">
        <v>432</v>
      </c>
      <c r="L234" s="58">
        <v>1478</v>
      </c>
      <c r="M234" s="59">
        <v>10</v>
      </c>
      <c r="N234" s="59">
        <v>10</v>
      </c>
      <c r="O234" s="59" t="s">
        <v>3581</v>
      </c>
      <c r="P234" s="58">
        <v>210</v>
      </c>
      <c r="Q234" s="59">
        <v>0</v>
      </c>
      <c r="R234" s="59">
        <v>0</v>
      </c>
      <c r="S234" s="60">
        <f>tblJTL[[#This Row],[timeStamp]]/86400000+DATE(1970,1,1)+TIME(9,0,0)</f>
        <v>46296.417560648144</v>
      </c>
      <c r="T234" s="57">
        <f>tblJTL[[#This Row],[timeStamp]]+tblJTL[[#This Row],[elapsed]]</f>
        <v>1790816477453</v>
      </c>
      <c r="U234" s="61">
        <f>(tblJTL[[#This Row],[timeStamp]]-'17_分析サンプル'!$E$18)/1000</f>
        <v>77.06</v>
      </c>
      <c r="V234" s="57">
        <f>INT(tblJTL[[#This Row],[経過秒]]/60)</f>
        <v>1</v>
      </c>
      <c r="W234" s="57">
        <f>IF(OR(tblJTL[[#This Row],[success]]=FALSE,tblJTL[[#This Row],[success]]="false"),1,0)</f>
        <v>0</v>
      </c>
      <c r="X234" s="57">
        <f>IF(AND(tblJTL[[#This Row],[経過秒]]&gt;='17_分析サンプル'!$E$11,tblJTL[[#This Row],[経過秒]]&lt;'17_分析サンプル'!$E$12),1,0)</f>
        <v>1</v>
      </c>
    </row>
    <row r="235" spans="2:24" ht="14.4" x14ac:dyDescent="0.3">
      <c r="B235" s="57">
        <v>1790816477871</v>
      </c>
      <c r="C235" s="58">
        <v>252</v>
      </c>
      <c r="D235" s="59" t="s">
        <v>1677</v>
      </c>
      <c r="E235" s="59" t="s">
        <v>3579</v>
      </c>
      <c r="F235" s="59" t="s">
        <v>3580</v>
      </c>
      <c r="G235" s="59" t="s">
        <v>3587</v>
      </c>
      <c r="H235" s="59" t="s">
        <v>2281</v>
      </c>
      <c r="I235" s="59" t="b">
        <v>1</v>
      </c>
      <c r="J235" s="59"/>
      <c r="K235" s="58">
        <v>411</v>
      </c>
      <c r="L235" s="58">
        <v>1478</v>
      </c>
      <c r="M235" s="59">
        <v>10</v>
      </c>
      <c r="N235" s="59">
        <v>10</v>
      </c>
      <c r="O235" s="59" t="s">
        <v>3581</v>
      </c>
      <c r="P235" s="58">
        <v>249</v>
      </c>
      <c r="Q235" s="59">
        <v>0</v>
      </c>
      <c r="R235" s="59">
        <v>0</v>
      </c>
      <c r="S235" s="60">
        <f>tblJTL[[#This Row],[timeStamp]]/86400000+DATE(1970,1,1)+TIME(9,0,0)</f>
        <v>46296.417567951386</v>
      </c>
      <c r="T235" s="57">
        <f>tblJTL[[#This Row],[timeStamp]]+tblJTL[[#This Row],[elapsed]]</f>
        <v>1790816478123</v>
      </c>
      <c r="U235" s="61">
        <f>(tblJTL[[#This Row],[timeStamp]]-'17_分析サンプル'!$E$18)/1000</f>
        <v>77.691000000000003</v>
      </c>
      <c r="V235" s="57">
        <f>INT(tblJTL[[#This Row],[経過秒]]/60)</f>
        <v>1</v>
      </c>
      <c r="W235" s="57">
        <f>IF(OR(tblJTL[[#This Row],[success]]=FALSE,tblJTL[[#This Row],[success]]="false"),1,0)</f>
        <v>0</v>
      </c>
      <c r="X235" s="57">
        <f>IF(AND(tblJTL[[#This Row],[経過秒]]&gt;='17_分析サンプル'!$E$11,tblJTL[[#This Row],[経過秒]]&lt;'17_分析サンプル'!$E$12),1,0)</f>
        <v>1</v>
      </c>
    </row>
    <row r="236" spans="2:24" ht="14.4" x14ac:dyDescent="0.3">
      <c r="B236" s="57">
        <v>1790816477912</v>
      </c>
      <c r="C236" s="58">
        <v>278</v>
      </c>
      <c r="D236" s="59" t="s">
        <v>1677</v>
      </c>
      <c r="E236" s="59" t="s">
        <v>3579</v>
      </c>
      <c r="F236" s="59" t="s">
        <v>3580</v>
      </c>
      <c r="G236" s="59" t="s">
        <v>3584</v>
      </c>
      <c r="H236" s="59" t="s">
        <v>2281</v>
      </c>
      <c r="I236" s="59" t="b">
        <v>1</v>
      </c>
      <c r="J236" s="59"/>
      <c r="K236" s="58">
        <v>438</v>
      </c>
      <c r="L236" s="58">
        <v>1478</v>
      </c>
      <c r="M236" s="59">
        <v>10</v>
      </c>
      <c r="N236" s="59">
        <v>10</v>
      </c>
      <c r="O236" s="59" t="s">
        <v>3581</v>
      </c>
      <c r="P236" s="58">
        <v>273</v>
      </c>
      <c r="Q236" s="59">
        <v>0</v>
      </c>
      <c r="R236" s="59">
        <v>0</v>
      </c>
      <c r="S236" s="60">
        <f>tblJTL[[#This Row],[timeStamp]]/86400000+DATE(1970,1,1)+TIME(9,0,0)</f>
        <v>46296.417568425924</v>
      </c>
      <c r="T236" s="57">
        <f>tblJTL[[#This Row],[timeStamp]]+tblJTL[[#This Row],[elapsed]]</f>
        <v>1790816478190</v>
      </c>
      <c r="U236" s="61">
        <f>(tblJTL[[#This Row],[timeStamp]]-'17_分析サンプル'!$E$18)/1000</f>
        <v>77.731999999999999</v>
      </c>
      <c r="V236" s="57">
        <f>INT(tblJTL[[#This Row],[経過秒]]/60)</f>
        <v>1</v>
      </c>
      <c r="W236" s="57">
        <f>IF(OR(tblJTL[[#This Row],[success]]=FALSE,tblJTL[[#This Row],[success]]="false"),1,0)</f>
        <v>0</v>
      </c>
      <c r="X236" s="57">
        <f>IF(AND(tblJTL[[#This Row],[経過秒]]&gt;='17_分析サンプル'!$E$11,tblJTL[[#This Row],[経過秒]]&lt;'17_分析サンプル'!$E$12),1,0)</f>
        <v>1</v>
      </c>
    </row>
    <row r="237" spans="2:24" ht="14.4" x14ac:dyDescent="0.3">
      <c r="B237" s="57">
        <v>1790816478189</v>
      </c>
      <c r="C237" s="58">
        <v>143</v>
      </c>
      <c r="D237" s="59" t="s">
        <v>1658</v>
      </c>
      <c r="E237" s="59" t="s">
        <v>1577</v>
      </c>
      <c r="F237" s="59" t="s">
        <v>2275</v>
      </c>
      <c r="G237" s="59" t="s">
        <v>2278</v>
      </c>
      <c r="H237" s="59" t="s">
        <v>2281</v>
      </c>
      <c r="I237" s="59" t="b">
        <v>1</v>
      </c>
      <c r="J237" s="59"/>
      <c r="K237" s="58">
        <v>1831</v>
      </c>
      <c r="L237" s="58">
        <v>1342</v>
      </c>
      <c r="M237" s="59">
        <v>10</v>
      </c>
      <c r="N237" s="59">
        <v>10</v>
      </c>
      <c r="O237" s="59" t="s">
        <v>3578</v>
      </c>
      <c r="P237" s="58">
        <v>138</v>
      </c>
      <c r="Q237" s="59">
        <v>0</v>
      </c>
      <c r="R237" s="59">
        <v>0</v>
      </c>
      <c r="S237" s="60">
        <f>tblJTL[[#This Row],[timeStamp]]/86400000+DATE(1970,1,1)+TIME(9,0,0)</f>
        <v>46296.417571631944</v>
      </c>
      <c r="T237" s="57">
        <f>tblJTL[[#This Row],[timeStamp]]+tblJTL[[#This Row],[elapsed]]</f>
        <v>1790816478332</v>
      </c>
      <c r="U237" s="61">
        <f>(tblJTL[[#This Row],[timeStamp]]-'17_分析サンプル'!$E$18)/1000</f>
        <v>78.009</v>
      </c>
      <c r="V237" s="57">
        <f>INT(tblJTL[[#This Row],[経過秒]]/60)</f>
        <v>1</v>
      </c>
      <c r="W237" s="57">
        <f>IF(OR(tblJTL[[#This Row],[success]]=FALSE,tblJTL[[#This Row],[success]]="false"),1,0)</f>
        <v>0</v>
      </c>
      <c r="X237" s="57">
        <f>IF(AND(tblJTL[[#This Row],[経過秒]]&gt;='17_分析サンプル'!$E$11,tblJTL[[#This Row],[経過秒]]&lt;'17_分析サンプル'!$E$12),1,0)</f>
        <v>1</v>
      </c>
    </row>
    <row r="238" spans="2:24" ht="14.4" x14ac:dyDescent="0.3">
      <c r="B238" s="57">
        <v>1790816478324</v>
      </c>
      <c r="C238" s="58">
        <v>152</v>
      </c>
      <c r="D238" s="59" t="s">
        <v>1658</v>
      </c>
      <c r="E238" s="59" t="s">
        <v>1577</v>
      </c>
      <c r="F238" s="59" t="s">
        <v>2275</v>
      </c>
      <c r="G238" s="59" t="s">
        <v>3589</v>
      </c>
      <c r="H238" s="59" t="s">
        <v>2281</v>
      </c>
      <c r="I238" s="59" t="b">
        <v>1</v>
      </c>
      <c r="J238" s="59"/>
      <c r="K238" s="58">
        <v>1885</v>
      </c>
      <c r="L238" s="58">
        <v>1342</v>
      </c>
      <c r="M238" s="59">
        <v>10</v>
      </c>
      <c r="N238" s="59">
        <v>10</v>
      </c>
      <c r="O238" s="59" t="s">
        <v>3578</v>
      </c>
      <c r="P238" s="58">
        <v>150</v>
      </c>
      <c r="Q238" s="59">
        <v>0</v>
      </c>
      <c r="R238" s="59">
        <v>0</v>
      </c>
      <c r="S238" s="60">
        <f>tblJTL[[#This Row],[timeStamp]]/86400000+DATE(1970,1,1)+TIME(9,0,0)</f>
        <v>46296.417573194442</v>
      </c>
      <c r="T238" s="57">
        <f>tblJTL[[#This Row],[timeStamp]]+tblJTL[[#This Row],[elapsed]]</f>
        <v>1790816478476</v>
      </c>
      <c r="U238" s="61">
        <f>(tblJTL[[#This Row],[timeStamp]]-'17_分析サンプル'!$E$18)/1000</f>
        <v>78.144000000000005</v>
      </c>
      <c r="V238" s="57">
        <f>INT(tblJTL[[#This Row],[経過秒]]/60)</f>
        <v>1</v>
      </c>
      <c r="W238" s="57">
        <f>IF(OR(tblJTL[[#This Row],[success]]=FALSE,tblJTL[[#This Row],[success]]="false"),1,0)</f>
        <v>0</v>
      </c>
      <c r="X238" s="57">
        <f>IF(AND(tblJTL[[#This Row],[経過秒]]&gt;='17_分析サンプル'!$E$11,tblJTL[[#This Row],[経過秒]]&lt;'17_分析サンプル'!$E$12),1,0)</f>
        <v>1</v>
      </c>
    </row>
    <row r="239" spans="2:24" ht="14.4" x14ac:dyDescent="0.3">
      <c r="B239" s="57">
        <v>1790816478373</v>
      </c>
      <c r="C239" s="58">
        <v>114</v>
      </c>
      <c r="D239" s="59" t="s">
        <v>1658</v>
      </c>
      <c r="E239" s="59" t="s">
        <v>1577</v>
      </c>
      <c r="F239" s="59" t="s">
        <v>2275</v>
      </c>
      <c r="G239" s="59" t="s">
        <v>3583</v>
      </c>
      <c r="H239" s="59" t="s">
        <v>2281</v>
      </c>
      <c r="I239" s="59" t="b">
        <v>1</v>
      </c>
      <c r="J239" s="59"/>
      <c r="K239" s="58">
        <v>1833</v>
      </c>
      <c r="L239" s="58">
        <v>1342</v>
      </c>
      <c r="M239" s="59">
        <v>10</v>
      </c>
      <c r="N239" s="59">
        <v>10</v>
      </c>
      <c r="O239" s="59" t="s">
        <v>3578</v>
      </c>
      <c r="P239" s="58">
        <v>107</v>
      </c>
      <c r="Q239" s="59">
        <v>0</v>
      </c>
      <c r="R239" s="59">
        <v>0</v>
      </c>
      <c r="S239" s="60">
        <f>tblJTL[[#This Row],[timeStamp]]/86400000+DATE(1970,1,1)+TIME(9,0,0)</f>
        <v>46296.417573761573</v>
      </c>
      <c r="T239" s="57">
        <f>tblJTL[[#This Row],[timeStamp]]+tblJTL[[#This Row],[elapsed]]</f>
        <v>1790816478487</v>
      </c>
      <c r="U239" s="61">
        <f>(tblJTL[[#This Row],[timeStamp]]-'17_分析サンプル'!$E$18)/1000</f>
        <v>78.192999999999998</v>
      </c>
      <c r="V239" s="57">
        <f>INT(tblJTL[[#This Row],[経過秒]]/60)</f>
        <v>1</v>
      </c>
      <c r="W239" s="57">
        <f>IF(OR(tblJTL[[#This Row],[success]]=FALSE,tblJTL[[#This Row],[success]]="false"),1,0)</f>
        <v>0</v>
      </c>
      <c r="X239" s="57">
        <f>IF(AND(tblJTL[[#This Row],[経過秒]]&gt;='17_分析サンプル'!$E$11,tblJTL[[#This Row],[経過秒]]&lt;'17_分析サンプル'!$E$12),1,0)</f>
        <v>1</v>
      </c>
    </row>
    <row r="240" spans="2:24" ht="14.4" x14ac:dyDescent="0.3">
      <c r="B240" s="57">
        <v>1790816478699</v>
      </c>
      <c r="C240" s="58">
        <v>163</v>
      </c>
      <c r="D240" s="59" t="s">
        <v>1677</v>
      </c>
      <c r="E240" s="59" t="s">
        <v>3579</v>
      </c>
      <c r="F240" s="59" t="s">
        <v>3580</v>
      </c>
      <c r="G240" s="59" t="s">
        <v>3585</v>
      </c>
      <c r="H240" s="59" t="s">
        <v>2281</v>
      </c>
      <c r="I240" s="59" t="b">
        <v>1</v>
      </c>
      <c r="J240" s="59"/>
      <c r="K240" s="58">
        <v>436</v>
      </c>
      <c r="L240" s="58">
        <v>1478</v>
      </c>
      <c r="M240" s="59">
        <v>10</v>
      </c>
      <c r="N240" s="59">
        <v>10</v>
      </c>
      <c r="O240" s="59" t="s">
        <v>3581</v>
      </c>
      <c r="P240" s="58">
        <v>157</v>
      </c>
      <c r="Q240" s="59">
        <v>0</v>
      </c>
      <c r="R240" s="59">
        <v>0</v>
      </c>
      <c r="S240" s="60">
        <f>tblJTL[[#This Row],[timeStamp]]/86400000+DATE(1970,1,1)+TIME(9,0,0)</f>
        <v>46296.417577534725</v>
      </c>
      <c r="T240" s="57">
        <f>tblJTL[[#This Row],[timeStamp]]+tblJTL[[#This Row],[elapsed]]</f>
        <v>1790816478862</v>
      </c>
      <c r="U240" s="61">
        <f>(tblJTL[[#This Row],[timeStamp]]-'17_分析サンプル'!$E$18)/1000</f>
        <v>78.519000000000005</v>
      </c>
      <c r="V240" s="57">
        <f>INT(tblJTL[[#This Row],[経過秒]]/60)</f>
        <v>1</v>
      </c>
      <c r="W240" s="57">
        <f>IF(OR(tblJTL[[#This Row],[success]]=FALSE,tblJTL[[#This Row],[success]]="false"),1,0)</f>
        <v>0</v>
      </c>
      <c r="X240" s="57">
        <f>IF(AND(tblJTL[[#This Row],[経過秒]]&gt;='17_分析サンプル'!$E$11,tblJTL[[#This Row],[経過秒]]&lt;'17_分析サンプル'!$E$12),1,0)</f>
        <v>1</v>
      </c>
    </row>
    <row r="241" spans="2:24" ht="14.4" x14ac:dyDescent="0.3">
      <c r="B241" s="57">
        <v>1790816479008</v>
      </c>
      <c r="C241" s="58">
        <v>140</v>
      </c>
      <c r="D241" s="59" t="s">
        <v>1658</v>
      </c>
      <c r="E241" s="59" t="s">
        <v>1577</v>
      </c>
      <c r="F241" s="59" t="s">
        <v>2275</v>
      </c>
      <c r="G241" s="59" t="s">
        <v>3577</v>
      </c>
      <c r="H241" s="59" t="s">
        <v>2281</v>
      </c>
      <c r="I241" s="59" t="b">
        <v>1</v>
      </c>
      <c r="J241" s="59"/>
      <c r="K241" s="58">
        <v>1881</v>
      </c>
      <c r="L241" s="58">
        <v>1342</v>
      </c>
      <c r="M241" s="59">
        <v>10</v>
      </c>
      <c r="N241" s="59">
        <v>10</v>
      </c>
      <c r="O241" s="59" t="s">
        <v>3578</v>
      </c>
      <c r="P241" s="58">
        <v>132</v>
      </c>
      <c r="Q241" s="59">
        <v>0</v>
      </c>
      <c r="R241" s="59">
        <v>0</v>
      </c>
      <c r="S241" s="60">
        <f>tblJTL[[#This Row],[timeStamp]]/86400000+DATE(1970,1,1)+TIME(9,0,0)</f>
        <v>46296.417581111113</v>
      </c>
      <c r="T241" s="57">
        <f>tblJTL[[#This Row],[timeStamp]]+tblJTL[[#This Row],[elapsed]]</f>
        <v>1790816479148</v>
      </c>
      <c r="U241" s="61">
        <f>(tblJTL[[#This Row],[timeStamp]]-'17_分析サンプル'!$E$18)/1000</f>
        <v>78.828000000000003</v>
      </c>
      <c r="V241" s="57">
        <f>INT(tblJTL[[#This Row],[経過秒]]/60)</f>
        <v>1</v>
      </c>
      <c r="W241" s="57">
        <f>IF(OR(tblJTL[[#This Row],[success]]=FALSE,tblJTL[[#This Row],[success]]="false"),1,0)</f>
        <v>0</v>
      </c>
      <c r="X241" s="57">
        <f>IF(AND(tblJTL[[#This Row],[経過秒]]&gt;='17_分析サンプル'!$E$11,tblJTL[[#This Row],[経過秒]]&lt;'17_分析サンプル'!$E$12),1,0)</f>
        <v>1</v>
      </c>
    </row>
    <row r="242" spans="2:24" ht="14.4" x14ac:dyDescent="0.3">
      <c r="B242" s="57">
        <v>1790816479171</v>
      </c>
      <c r="C242" s="58">
        <v>198</v>
      </c>
      <c r="D242" s="59" t="s">
        <v>1677</v>
      </c>
      <c r="E242" s="59" t="s">
        <v>3579</v>
      </c>
      <c r="F242" s="59" t="s">
        <v>3580</v>
      </c>
      <c r="G242" s="59" t="s">
        <v>3588</v>
      </c>
      <c r="H242" s="59" t="s">
        <v>2281</v>
      </c>
      <c r="I242" s="59" t="b">
        <v>1</v>
      </c>
      <c r="J242" s="59"/>
      <c r="K242" s="58">
        <v>411</v>
      </c>
      <c r="L242" s="58">
        <v>1478</v>
      </c>
      <c r="M242" s="59">
        <v>10</v>
      </c>
      <c r="N242" s="59">
        <v>10</v>
      </c>
      <c r="O242" s="59" t="s">
        <v>3581</v>
      </c>
      <c r="P242" s="58">
        <v>194</v>
      </c>
      <c r="Q242" s="59">
        <v>0</v>
      </c>
      <c r="R242" s="59">
        <v>0</v>
      </c>
      <c r="S242" s="60">
        <f>tblJTL[[#This Row],[timeStamp]]/86400000+DATE(1970,1,1)+TIME(9,0,0)</f>
        <v>46296.417582997688</v>
      </c>
      <c r="T242" s="57">
        <f>tblJTL[[#This Row],[timeStamp]]+tblJTL[[#This Row],[elapsed]]</f>
        <v>1790816479369</v>
      </c>
      <c r="U242" s="61">
        <f>(tblJTL[[#This Row],[timeStamp]]-'17_分析サンプル'!$E$18)/1000</f>
        <v>78.991</v>
      </c>
      <c r="V242" s="57">
        <f>INT(tblJTL[[#This Row],[経過秒]]/60)</f>
        <v>1</v>
      </c>
      <c r="W242" s="57">
        <f>IF(OR(tblJTL[[#This Row],[success]]=FALSE,tblJTL[[#This Row],[success]]="false"),1,0)</f>
        <v>0</v>
      </c>
      <c r="X242" s="57">
        <f>IF(AND(tblJTL[[#This Row],[経過秒]]&gt;='17_分析サンプル'!$E$11,tblJTL[[#This Row],[経過秒]]&lt;'17_分析サンプル'!$E$12),1,0)</f>
        <v>1</v>
      </c>
    </row>
    <row r="243" spans="2:24" ht="14.4" x14ac:dyDescent="0.3">
      <c r="B243" s="57">
        <v>1790816479678</v>
      </c>
      <c r="C243" s="58">
        <v>83</v>
      </c>
      <c r="D243" s="59" t="s">
        <v>1658</v>
      </c>
      <c r="E243" s="59" t="s">
        <v>1577</v>
      </c>
      <c r="F243" s="59" t="s">
        <v>2275</v>
      </c>
      <c r="G243" s="59" t="s">
        <v>3582</v>
      </c>
      <c r="H243" s="59" t="s">
        <v>2281</v>
      </c>
      <c r="I243" s="59" t="b">
        <v>1</v>
      </c>
      <c r="J243" s="59"/>
      <c r="K243" s="58">
        <v>1899</v>
      </c>
      <c r="L243" s="58">
        <v>1342</v>
      </c>
      <c r="M243" s="59">
        <v>10</v>
      </c>
      <c r="N243" s="59">
        <v>10</v>
      </c>
      <c r="O243" s="59" t="s">
        <v>3578</v>
      </c>
      <c r="P243" s="58">
        <v>75</v>
      </c>
      <c r="Q243" s="59">
        <v>0</v>
      </c>
      <c r="R243" s="59">
        <v>0</v>
      </c>
      <c r="S243" s="60">
        <f>tblJTL[[#This Row],[timeStamp]]/86400000+DATE(1970,1,1)+TIME(9,0,0)</f>
        <v>46296.417588865741</v>
      </c>
      <c r="T243" s="57">
        <f>tblJTL[[#This Row],[timeStamp]]+tblJTL[[#This Row],[elapsed]]</f>
        <v>1790816479761</v>
      </c>
      <c r="U243" s="61">
        <f>(tblJTL[[#This Row],[timeStamp]]-'17_分析サンプル'!$E$18)/1000</f>
        <v>79.498000000000005</v>
      </c>
      <c r="V243" s="57">
        <f>INT(tblJTL[[#This Row],[経過秒]]/60)</f>
        <v>1</v>
      </c>
      <c r="W243" s="57">
        <f>IF(OR(tblJTL[[#This Row],[success]]=FALSE,tblJTL[[#This Row],[success]]="false"),1,0)</f>
        <v>0</v>
      </c>
      <c r="X243" s="57">
        <f>IF(AND(tblJTL[[#This Row],[経過秒]]&gt;='17_分析サンプル'!$E$11,tblJTL[[#This Row],[経過秒]]&lt;'17_分析サンプル'!$E$12),1,0)</f>
        <v>1</v>
      </c>
    </row>
    <row r="244" spans="2:24" ht="14.4" x14ac:dyDescent="0.3">
      <c r="B244" s="57">
        <v>1790816480239</v>
      </c>
      <c r="C244" s="58">
        <v>60</v>
      </c>
      <c r="D244" s="59" t="s">
        <v>1658</v>
      </c>
      <c r="E244" s="59" t="s">
        <v>1577</v>
      </c>
      <c r="F244" s="59" t="s">
        <v>2275</v>
      </c>
      <c r="G244" s="59" t="s">
        <v>3584</v>
      </c>
      <c r="H244" s="59" t="s">
        <v>2281</v>
      </c>
      <c r="I244" s="59" t="b">
        <v>1</v>
      </c>
      <c r="J244" s="59"/>
      <c r="K244" s="58">
        <v>1826</v>
      </c>
      <c r="L244" s="58">
        <v>1342</v>
      </c>
      <c r="M244" s="59">
        <v>10</v>
      </c>
      <c r="N244" s="59">
        <v>10</v>
      </c>
      <c r="O244" s="59" t="s">
        <v>3578</v>
      </c>
      <c r="P244" s="58">
        <v>52</v>
      </c>
      <c r="Q244" s="59">
        <v>0</v>
      </c>
      <c r="R244" s="59">
        <v>0</v>
      </c>
      <c r="S244" s="60">
        <f>tblJTL[[#This Row],[timeStamp]]/86400000+DATE(1970,1,1)+TIME(9,0,0)</f>
        <v>46296.417595358798</v>
      </c>
      <c r="T244" s="57">
        <f>tblJTL[[#This Row],[timeStamp]]+tblJTL[[#This Row],[elapsed]]</f>
        <v>1790816480299</v>
      </c>
      <c r="U244" s="61">
        <f>(tblJTL[[#This Row],[timeStamp]]-'17_分析サンプル'!$E$18)/1000</f>
        <v>80.058999999999997</v>
      </c>
      <c r="V244" s="57">
        <f>INT(tblJTL[[#This Row],[経過秒]]/60)</f>
        <v>1</v>
      </c>
      <c r="W244" s="57">
        <f>IF(OR(tblJTL[[#This Row],[success]]=FALSE,tblJTL[[#This Row],[success]]="false"),1,0)</f>
        <v>0</v>
      </c>
      <c r="X244" s="57">
        <f>IF(AND(tblJTL[[#This Row],[経過秒]]&gt;='17_分析サンプル'!$E$11,tblJTL[[#This Row],[経過秒]]&lt;'17_分析サンプル'!$E$12),1,0)</f>
        <v>1</v>
      </c>
    </row>
    <row r="245" spans="2:24" ht="14.4" x14ac:dyDescent="0.3">
      <c r="B245" s="57">
        <v>1790816480282</v>
      </c>
      <c r="C245" s="58">
        <v>125</v>
      </c>
      <c r="D245" s="59" t="s">
        <v>1658</v>
      </c>
      <c r="E245" s="59" t="s">
        <v>1577</v>
      </c>
      <c r="F245" s="59" t="s">
        <v>2275</v>
      </c>
      <c r="G245" s="59" t="s">
        <v>3586</v>
      </c>
      <c r="H245" s="59" t="s">
        <v>2281</v>
      </c>
      <c r="I245" s="59" t="b">
        <v>1</v>
      </c>
      <c r="J245" s="59"/>
      <c r="K245" s="58">
        <v>1835</v>
      </c>
      <c r="L245" s="58">
        <v>1342</v>
      </c>
      <c r="M245" s="59">
        <v>10</v>
      </c>
      <c r="N245" s="59">
        <v>10</v>
      </c>
      <c r="O245" s="59" t="s">
        <v>3578</v>
      </c>
      <c r="P245" s="58">
        <v>117</v>
      </c>
      <c r="Q245" s="59">
        <v>0</v>
      </c>
      <c r="R245" s="59">
        <v>0</v>
      </c>
      <c r="S245" s="60">
        <f>tblJTL[[#This Row],[timeStamp]]/86400000+DATE(1970,1,1)+TIME(9,0,0)</f>
        <v>46296.417595856481</v>
      </c>
      <c r="T245" s="57">
        <f>tblJTL[[#This Row],[timeStamp]]+tblJTL[[#This Row],[elapsed]]</f>
        <v>1790816480407</v>
      </c>
      <c r="U245" s="61">
        <f>(tblJTL[[#This Row],[timeStamp]]-'17_分析サンプル'!$E$18)/1000</f>
        <v>80.102000000000004</v>
      </c>
      <c r="V245" s="57">
        <f>INT(tblJTL[[#This Row],[経過秒]]/60)</f>
        <v>1</v>
      </c>
      <c r="W245" s="57">
        <f>IF(OR(tblJTL[[#This Row],[success]]=FALSE,tblJTL[[#This Row],[success]]="false"),1,0)</f>
        <v>0</v>
      </c>
      <c r="X245" s="57">
        <f>IF(AND(tblJTL[[#This Row],[経過秒]]&gt;='17_分析サンプル'!$E$11,tblJTL[[#This Row],[経過秒]]&lt;'17_分析サンプル'!$E$12),1,0)</f>
        <v>1</v>
      </c>
    </row>
    <row r="246" spans="2:24" ht="14.4" x14ac:dyDescent="0.3">
      <c r="B246" s="57">
        <v>1790816480195</v>
      </c>
      <c r="C246" s="58">
        <v>275</v>
      </c>
      <c r="D246" s="59" t="s">
        <v>1677</v>
      </c>
      <c r="E246" s="59" t="s">
        <v>3579</v>
      </c>
      <c r="F246" s="59" t="s">
        <v>3580</v>
      </c>
      <c r="G246" s="59" t="s">
        <v>3583</v>
      </c>
      <c r="H246" s="59" t="s">
        <v>2281</v>
      </c>
      <c r="I246" s="59" t="b">
        <v>1</v>
      </c>
      <c r="J246" s="59"/>
      <c r="K246" s="58">
        <v>410</v>
      </c>
      <c r="L246" s="58">
        <v>1478</v>
      </c>
      <c r="M246" s="59">
        <v>10</v>
      </c>
      <c r="N246" s="59">
        <v>10</v>
      </c>
      <c r="O246" s="59" t="s">
        <v>3581</v>
      </c>
      <c r="P246" s="58">
        <v>271</v>
      </c>
      <c r="Q246" s="59">
        <v>0</v>
      </c>
      <c r="R246" s="59">
        <v>0</v>
      </c>
      <c r="S246" s="60">
        <f>tblJTL[[#This Row],[timeStamp]]/86400000+DATE(1970,1,1)+TIME(9,0,0)</f>
        <v>46296.417594849539</v>
      </c>
      <c r="T246" s="57">
        <f>tblJTL[[#This Row],[timeStamp]]+tblJTL[[#This Row],[elapsed]]</f>
        <v>1790816480470</v>
      </c>
      <c r="U246" s="61">
        <f>(tblJTL[[#This Row],[timeStamp]]-'17_分析サンプル'!$E$18)/1000</f>
        <v>80.015000000000001</v>
      </c>
      <c r="V246" s="57">
        <f>INT(tblJTL[[#This Row],[経過秒]]/60)</f>
        <v>1</v>
      </c>
      <c r="W246" s="57">
        <f>IF(OR(tblJTL[[#This Row],[success]]=FALSE,tblJTL[[#This Row],[success]]="false"),1,0)</f>
        <v>0</v>
      </c>
      <c r="X246" s="57">
        <f>IF(AND(tblJTL[[#This Row],[経過秒]]&gt;='17_分析サンプル'!$E$11,tblJTL[[#This Row],[経過秒]]&lt;'17_分析サンプル'!$E$12),1,0)</f>
        <v>1</v>
      </c>
    </row>
    <row r="247" spans="2:24" ht="14.4" x14ac:dyDescent="0.3">
      <c r="B247" s="57">
        <v>1790816480452</v>
      </c>
      <c r="C247" s="58">
        <v>167</v>
      </c>
      <c r="D247" s="59" t="s">
        <v>1658</v>
      </c>
      <c r="E247" s="59" t="s">
        <v>1577</v>
      </c>
      <c r="F247" s="59" t="s">
        <v>2275</v>
      </c>
      <c r="G247" s="59" t="s">
        <v>3587</v>
      </c>
      <c r="H247" s="59" t="s">
        <v>2281</v>
      </c>
      <c r="I247" s="59" t="b">
        <v>1</v>
      </c>
      <c r="J247" s="59"/>
      <c r="K247" s="58">
        <v>1871</v>
      </c>
      <c r="L247" s="58">
        <v>1342</v>
      </c>
      <c r="M247" s="59">
        <v>10</v>
      </c>
      <c r="N247" s="59">
        <v>10</v>
      </c>
      <c r="O247" s="59" t="s">
        <v>3578</v>
      </c>
      <c r="P247" s="58">
        <v>159</v>
      </c>
      <c r="Q247" s="59">
        <v>0</v>
      </c>
      <c r="R247" s="59">
        <v>0</v>
      </c>
      <c r="S247" s="60">
        <f>tblJTL[[#This Row],[timeStamp]]/86400000+DATE(1970,1,1)+TIME(9,0,0)</f>
        <v>46296.417597824075</v>
      </c>
      <c r="T247" s="57">
        <f>tblJTL[[#This Row],[timeStamp]]+tblJTL[[#This Row],[elapsed]]</f>
        <v>1790816480619</v>
      </c>
      <c r="U247" s="61">
        <f>(tblJTL[[#This Row],[timeStamp]]-'17_分析サンプル'!$E$18)/1000</f>
        <v>80.272000000000006</v>
      </c>
      <c r="V247" s="57">
        <f>INT(tblJTL[[#This Row],[経過秒]]/60)</f>
        <v>1</v>
      </c>
      <c r="W247" s="57">
        <f>IF(OR(tblJTL[[#This Row],[success]]=FALSE,tblJTL[[#This Row],[success]]="false"),1,0)</f>
        <v>0</v>
      </c>
      <c r="X247" s="57">
        <f>IF(AND(tblJTL[[#This Row],[経過秒]]&gt;='17_分析サンプル'!$E$11,tblJTL[[#This Row],[経過秒]]&lt;'17_分析サンプル'!$E$12),1,0)</f>
        <v>1</v>
      </c>
    </row>
    <row r="248" spans="2:24" ht="14.4" x14ac:dyDescent="0.3">
      <c r="B248" s="57">
        <v>1790816480464</v>
      </c>
      <c r="C248" s="58">
        <v>225</v>
      </c>
      <c r="D248" s="59" t="s">
        <v>1677</v>
      </c>
      <c r="E248" s="59" t="s">
        <v>3579</v>
      </c>
      <c r="F248" s="59" t="s">
        <v>3580</v>
      </c>
      <c r="G248" s="59" t="s">
        <v>2278</v>
      </c>
      <c r="H248" s="59" t="s">
        <v>2281</v>
      </c>
      <c r="I248" s="59" t="b">
        <v>1</v>
      </c>
      <c r="J248" s="59"/>
      <c r="K248" s="58">
        <v>420</v>
      </c>
      <c r="L248" s="58">
        <v>1478</v>
      </c>
      <c r="M248" s="59">
        <v>10</v>
      </c>
      <c r="N248" s="59">
        <v>10</v>
      </c>
      <c r="O248" s="59" t="s">
        <v>3581</v>
      </c>
      <c r="P248" s="58">
        <v>221</v>
      </c>
      <c r="Q248" s="59">
        <v>0</v>
      </c>
      <c r="R248" s="59">
        <v>0</v>
      </c>
      <c r="S248" s="60">
        <f>tblJTL[[#This Row],[timeStamp]]/86400000+DATE(1970,1,1)+TIME(9,0,0)</f>
        <v>46296.417597962965</v>
      </c>
      <c r="T248" s="57">
        <f>tblJTL[[#This Row],[timeStamp]]+tblJTL[[#This Row],[elapsed]]</f>
        <v>1790816480689</v>
      </c>
      <c r="U248" s="61">
        <f>(tblJTL[[#This Row],[timeStamp]]-'17_分析サンプル'!$E$18)/1000</f>
        <v>80.284000000000006</v>
      </c>
      <c r="V248" s="57">
        <f>INT(tblJTL[[#This Row],[経過秒]]/60)</f>
        <v>1</v>
      </c>
      <c r="W248" s="57">
        <f>IF(OR(tblJTL[[#This Row],[success]]=FALSE,tblJTL[[#This Row],[success]]="false"),1,0)</f>
        <v>0</v>
      </c>
      <c r="X248" s="57">
        <f>IF(AND(tblJTL[[#This Row],[経過秒]]&gt;='17_分析サンプル'!$E$11,tblJTL[[#This Row],[経過秒]]&lt;'17_分析サンプル'!$E$12),1,0)</f>
        <v>1</v>
      </c>
    </row>
    <row r="249" spans="2:24" ht="14.4" x14ac:dyDescent="0.3">
      <c r="B249" s="57">
        <v>1790816480899</v>
      </c>
      <c r="C249" s="58">
        <v>115</v>
      </c>
      <c r="D249" s="59" t="s">
        <v>1658</v>
      </c>
      <c r="E249" s="59" t="s">
        <v>1577</v>
      </c>
      <c r="F249" s="59" t="s">
        <v>2275</v>
      </c>
      <c r="G249" s="59" t="s">
        <v>3585</v>
      </c>
      <c r="H249" s="59" t="s">
        <v>2281</v>
      </c>
      <c r="I249" s="59" t="b">
        <v>1</v>
      </c>
      <c r="J249" s="59"/>
      <c r="K249" s="58">
        <v>1834</v>
      </c>
      <c r="L249" s="58">
        <v>1342</v>
      </c>
      <c r="M249" s="59">
        <v>10</v>
      </c>
      <c r="N249" s="59">
        <v>10</v>
      </c>
      <c r="O249" s="59" t="s">
        <v>3578</v>
      </c>
      <c r="P249" s="58">
        <v>112</v>
      </c>
      <c r="Q249" s="59">
        <v>0</v>
      </c>
      <c r="R249" s="59">
        <v>0</v>
      </c>
      <c r="S249" s="60">
        <f>tblJTL[[#This Row],[timeStamp]]/86400000+DATE(1970,1,1)+TIME(9,0,0)</f>
        <v>46296.417602997681</v>
      </c>
      <c r="T249" s="57">
        <f>tblJTL[[#This Row],[timeStamp]]+tblJTL[[#This Row],[elapsed]]</f>
        <v>1790816481014</v>
      </c>
      <c r="U249" s="61">
        <f>(tblJTL[[#This Row],[timeStamp]]-'17_分析サンプル'!$E$18)/1000</f>
        <v>80.718999999999994</v>
      </c>
      <c r="V249" s="57">
        <f>INT(tblJTL[[#This Row],[経過秒]]/60)</f>
        <v>1</v>
      </c>
      <c r="W249" s="57">
        <f>IF(OR(tblJTL[[#This Row],[success]]=FALSE,tblJTL[[#This Row],[success]]="false"),1,0)</f>
        <v>0</v>
      </c>
      <c r="X249" s="57">
        <f>IF(AND(tblJTL[[#This Row],[経過秒]]&gt;='17_分析サンプル'!$E$11,tblJTL[[#This Row],[経過秒]]&lt;'17_分析サンプル'!$E$12),1,0)</f>
        <v>1</v>
      </c>
    </row>
    <row r="250" spans="2:24" ht="14.4" x14ac:dyDescent="0.3">
      <c r="B250" s="57">
        <v>1790816481011</v>
      </c>
      <c r="C250" s="58">
        <v>110</v>
      </c>
      <c r="D250" s="59" t="s">
        <v>1658</v>
      </c>
      <c r="E250" s="59" t="s">
        <v>1577</v>
      </c>
      <c r="F250" s="59" t="s">
        <v>2275</v>
      </c>
      <c r="G250" s="59" t="s">
        <v>3588</v>
      </c>
      <c r="H250" s="59" t="s">
        <v>2281</v>
      </c>
      <c r="I250" s="59" t="b">
        <v>1</v>
      </c>
      <c r="J250" s="59"/>
      <c r="K250" s="58">
        <v>1844</v>
      </c>
      <c r="L250" s="58">
        <v>1342</v>
      </c>
      <c r="M250" s="59">
        <v>10</v>
      </c>
      <c r="N250" s="59">
        <v>10</v>
      </c>
      <c r="O250" s="59" t="s">
        <v>3578</v>
      </c>
      <c r="P250" s="58">
        <v>105</v>
      </c>
      <c r="Q250" s="59">
        <v>0</v>
      </c>
      <c r="R250" s="59">
        <v>0</v>
      </c>
      <c r="S250" s="60">
        <f>tblJTL[[#This Row],[timeStamp]]/86400000+DATE(1970,1,1)+TIME(9,0,0)</f>
        <v>46296.41760429398</v>
      </c>
      <c r="T250" s="57">
        <f>tblJTL[[#This Row],[timeStamp]]+tblJTL[[#This Row],[elapsed]]</f>
        <v>1790816481121</v>
      </c>
      <c r="U250" s="61">
        <f>(tblJTL[[#This Row],[timeStamp]]-'17_分析サンプル'!$E$18)/1000</f>
        <v>80.831000000000003</v>
      </c>
      <c r="V250" s="57">
        <f>INT(tblJTL[[#This Row],[経過秒]]/60)</f>
        <v>1</v>
      </c>
      <c r="W250" s="57">
        <f>IF(OR(tblJTL[[#This Row],[success]]=FALSE,tblJTL[[#This Row],[success]]="false"),1,0)</f>
        <v>0</v>
      </c>
      <c r="X250" s="57">
        <f>IF(AND(tblJTL[[#This Row],[経過秒]]&gt;='17_分析サンプル'!$E$11,tblJTL[[#This Row],[経過秒]]&lt;'17_分析サンプル'!$E$12),1,0)</f>
        <v>1</v>
      </c>
    </row>
    <row r="251" spans="2:24" ht="14.4" x14ac:dyDescent="0.3">
      <c r="B251" s="57">
        <v>1790816481286</v>
      </c>
      <c r="C251" s="58">
        <v>146</v>
      </c>
      <c r="D251" s="59" t="s">
        <v>1677</v>
      </c>
      <c r="E251" s="59" t="s">
        <v>3579</v>
      </c>
      <c r="F251" s="59" t="s">
        <v>3580</v>
      </c>
      <c r="G251" s="59" t="s">
        <v>3589</v>
      </c>
      <c r="H251" s="59" t="s">
        <v>2281</v>
      </c>
      <c r="I251" s="59" t="b">
        <v>1</v>
      </c>
      <c r="J251" s="59"/>
      <c r="K251" s="58">
        <v>439</v>
      </c>
      <c r="L251" s="58">
        <v>1478</v>
      </c>
      <c r="M251" s="59">
        <v>10</v>
      </c>
      <c r="N251" s="59">
        <v>10</v>
      </c>
      <c r="O251" s="59" t="s">
        <v>3581</v>
      </c>
      <c r="P251" s="58">
        <v>140</v>
      </c>
      <c r="Q251" s="59">
        <v>0</v>
      </c>
      <c r="R251" s="59">
        <v>0</v>
      </c>
      <c r="S251" s="60">
        <f>tblJTL[[#This Row],[timeStamp]]/86400000+DATE(1970,1,1)+TIME(9,0,0)</f>
        <v>46296.417607476847</v>
      </c>
      <c r="T251" s="57">
        <f>tblJTL[[#This Row],[timeStamp]]+tblJTL[[#This Row],[elapsed]]</f>
        <v>1790816481432</v>
      </c>
      <c r="U251" s="61">
        <f>(tblJTL[[#This Row],[timeStamp]]-'17_分析サンプル'!$E$18)/1000</f>
        <v>81.105999999999995</v>
      </c>
      <c r="V251" s="57">
        <f>INT(tblJTL[[#This Row],[経過秒]]/60)</f>
        <v>1</v>
      </c>
      <c r="W251" s="57">
        <f>IF(OR(tblJTL[[#This Row],[success]]=FALSE,tblJTL[[#This Row],[success]]="false"),1,0)</f>
        <v>0</v>
      </c>
      <c r="X251" s="57">
        <f>IF(AND(tblJTL[[#This Row],[経過秒]]&gt;='17_分析サンプル'!$E$11,tblJTL[[#This Row],[経過秒]]&lt;'17_分析サンプル'!$E$12),1,0)</f>
        <v>1</v>
      </c>
    </row>
    <row r="252" spans="2:24" ht="14.4" x14ac:dyDescent="0.3">
      <c r="B252" s="57">
        <v>1790816481321</v>
      </c>
      <c r="C252" s="58">
        <v>310</v>
      </c>
      <c r="D252" s="59" t="s">
        <v>1677</v>
      </c>
      <c r="E252" s="59" t="s">
        <v>3579</v>
      </c>
      <c r="F252" s="59" t="s">
        <v>3580</v>
      </c>
      <c r="G252" s="59" t="s">
        <v>3582</v>
      </c>
      <c r="H252" s="59" t="s">
        <v>2281</v>
      </c>
      <c r="I252" s="59" t="b">
        <v>1</v>
      </c>
      <c r="J252" s="59"/>
      <c r="K252" s="58">
        <v>435</v>
      </c>
      <c r="L252" s="58">
        <v>1478</v>
      </c>
      <c r="M252" s="59">
        <v>10</v>
      </c>
      <c r="N252" s="59">
        <v>10</v>
      </c>
      <c r="O252" s="59" t="s">
        <v>3581</v>
      </c>
      <c r="P252" s="58">
        <v>306</v>
      </c>
      <c r="Q252" s="59">
        <v>0</v>
      </c>
      <c r="R252" s="59">
        <v>0</v>
      </c>
      <c r="S252" s="60">
        <f>tblJTL[[#This Row],[timeStamp]]/86400000+DATE(1970,1,1)+TIME(9,0,0)</f>
        <v>46296.417607881944</v>
      </c>
      <c r="T252" s="57">
        <f>tblJTL[[#This Row],[timeStamp]]+tblJTL[[#This Row],[elapsed]]</f>
        <v>1790816481631</v>
      </c>
      <c r="U252" s="61">
        <f>(tblJTL[[#This Row],[timeStamp]]-'17_分析サンプル'!$E$18)/1000</f>
        <v>81.141000000000005</v>
      </c>
      <c r="V252" s="57">
        <f>INT(tblJTL[[#This Row],[経過秒]]/60)</f>
        <v>1</v>
      </c>
      <c r="W252" s="57">
        <f>IF(OR(tblJTL[[#This Row],[success]]=FALSE,tblJTL[[#This Row],[success]]="false"),1,0)</f>
        <v>0</v>
      </c>
      <c r="X252" s="57">
        <f>IF(AND(tblJTL[[#This Row],[経過秒]]&gt;='17_分析サンプル'!$E$11,tblJTL[[#This Row],[経過秒]]&lt;'17_分析サンプル'!$E$12),1,0)</f>
        <v>1</v>
      </c>
    </row>
    <row r="253" spans="2:24" ht="14.4" x14ac:dyDescent="0.3">
      <c r="B253" s="57">
        <v>1790816481473</v>
      </c>
      <c r="C253" s="58">
        <v>330</v>
      </c>
      <c r="D253" s="59" t="s">
        <v>1677</v>
      </c>
      <c r="E253" s="59" t="s">
        <v>3579</v>
      </c>
      <c r="F253" s="59" t="s">
        <v>3580</v>
      </c>
      <c r="G253" s="59" t="s">
        <v>3577</v>
      </c>
      <c r="H253" s="59" t="s">
        <v>2281</v>
      </c>
      <c r="I253" s="59" t="b">
        <v>1</v>
      </c>
      <c r="J253" s="59"/>
      <c r="K253" s="58">
        <v>415</v>
      </c>
      <c r="L253" s="58">
        <v>1478</v>
      </c>
      <c r="M253" s="59">
        <v>10</v>
      </c>
      <c r="N253" s="59">
        <v>10</v>
      </c>
      <c r="O253" s="59" t="s">
        <v>3581</v>
      </c>
      <c r="P253" s="58">
        <v>323</v>
      </c>
      <c r="Q253" s="59">
        <v>0</v>
      </c>
      <c r="R253" s="59">
        <v>0</v>
      </c>
      <c r="S253" s="60">
        <f>tblJTL[[#This Row],[timeStamp]]/86400000+DATE(1970,1,1)+TIME(9,0,0)</f>
        <v>46296.417609641205</v>
      </c>
      <c r="T253" s="57">
        <f>tblJTL[[#This Row],[timeStamp]]+tblJTL[[#This Row],[elapsed]]</f>
        <v>1790816481803</v>
      </c>
      <c r="U253" s="61">
        <f>(tblJTL[[#This Row],[timeStamp]]-'17_分析サンプル'!$E$18)/1000</f>
        <v>81.293000000000006</v>
      </c>
      <c r="V253" s="57">
        <f>INT(tblJTL[[#This Row],[経過秒]]/60)</f>
        <v>1</v>
      </c>
      <c r="W253" s="57">
        <f>IF(OR(tblJTL[[#This Row],[success]]=FALSE,tblJTL[[#This Row],[success]]="false"),1,0)</f>
        <v>0</v>
      </c>
      <c r="X253" s="57">
        <f>IF(AND(tblJTL[[#This Row],[経過秒]]&gt;='17_分析サンプル'!$E$11,tblJTL[[#This Row],[経過秒]]&lt;'17_分析サンプル'!$E$12),1,0)</f>
        <v>1</v>
      </c>
    </row>
    <row r="254" spans="2:24" ht="14.4" x14ac:dyDescent="0.3">
      <c r="B254" s="57">
        <v>1790816482425</v>
      </c>
      <c r="C254" s="58">
        <v>153</v>
      </c>
      <c r="D254" s="59" t="s">
        <v>1677</v>
      </c>
      <c r="E254" s="59" t="s">
        <v>3579</v>
      </c>
      <c r="F254" s="59" t="s">
        <v>3580</v>
      </c>
      <c r="G254" s="59" t="s">
        <v>3587</v>
      </c>
      <c r="H254" s="59" t="s">
        <v>2281</v>
      </c>
      <c r="I254" s="59" t="b">
        <v>1</v>
      </c>
      <c r="J254" s="59"/>
      <c r="K254" s="58">
        <v>413</v>
      </c>
      <c r="L254" s="58">
        <v>1478</v>
      </c>
      <c r="M254" s="59">
        <v>10</v>
      </c>
      <c r="N254" s="59">
        <v>10</v>
      </c>
      <c r="O254" s="59" t="s">
        <v>3581</v>
      </c>
      <c r="P254" s="58">
        <v>146</v>
      </c>
      <c r="Q254" s="59">
        <v>0</v>
      </c>
      <c r="R254" s="59">
        <v>0</v>
      </c>
      <c r="S254" s="60">
        <f>tblJTL[[#This Row],[timeStamp]]/86400000+DATE(1970,1,1)+TIME(9,0,0)</f>
        <v>46296.417620659719</v>
      </c>
      <c r="T254" s="57">
        <f>tblJTL[[#This Row],[timeStamp]]+tblJTL[[#This Row],[elapsed]]</f>
        <v>1790816482578</v>
      </c>
      <c r="U254" s="61">
        <f>(tblJTL[[#This Row],[timeStamp]]-'17_分析サンプル'!$E$18)/1000</f>
        <v>82.245000000000005</v>
      </c>
      <c r="V254" s="57">
        <f>INT(tblJTL[[#This Row],[経過秒]]/60)</f>
        <v>1</v>
      </c>
      <c r="W254" s="57">
        <f>IF(OR(tblJTL[[#This Row],[success]]=FALSE,tblJTL[[#This Row],[success]]="false"),1,0)</f>
        <v>0</v>
      </c>
      <c r="X254" s="57">
        <f>IF(AND(tblJTL[[#This Row],[経過秒]]&gt;='17_分析サンプル'!$E$11,tblJTL[[#This Row],[経過秒]]&lt;'17_分析サンプル'!$E$12),1,0)</f>
        <v>1</v>
      </c>
    </row>
    <row r="255" spans="2:24" ht="14.4" x14ac:dyDescent="0.3">
      <c r="B255" s="57">
        <v>1790816482511</v>
      </c>
      <c r="C255" s="58">
        <v>125</v>
      </c>
      <c r="D255" s="59" t="s">
        <v>1658</v>
      </c>
      <c r="E255" s="59" t="s">
        <v>1577</v>
      </c>
      <c r="F255" s="59" t="s">
        <v>2275</v>
      </c>
      <c r="G255" s="59" t="s">
        <v>2278</v>
      </c>
      <c r="H255" s="59" t="s">
        <v>2281</v>
      </c>
      <c r="I255" s="59" t="b">
        <v>1</v>
      </c>
      <c r="J255" s="59"/>
      <c r="K255" s="58">
        <v>1845</v>
      </c>
      <c r="L255" s="58">
        <v>1342</v>
      </c>
      <c r="M255" s="59">
        <v>10</v>
      </c>
      <c r="N255" s="59">
        <v>10</v>
      </c>
      <c r="O255" s="59" t="s">
        <v>3578</v>
      </c>
      <c r="P255" s="58">
        <v>117</v>
      </c>
      <c r="Q255" s="59">
        <v>0</v>
      </c>
      <c r="R255" s="59">
        <v>0</v>
      </c>
      <c r="S255" s="60">
        <f>tblJTL[[#This Row],[timeStamp]]/86400000+DATE(1970,1,1)+TIME(9,0,0)</f>
        <v>46296.417621655091</v>
      </c>
      <c r="T255" s="57">
        <f>tblJTL[[#This Row],[timeStamp]]+tblJTL[[#This Row],[elapsed]]</f>
        <v>1790816482636</v>
      </c>
      <c r="U255" s="61">
        <f>(tblJTL[[#This Row],[timeStamp]]-'17_分析サンプル'!$E$18)/1000</f>
        <v>82.331000000000003</v>
      </c>
      <c r="V255" s="57">
        <f>INT(tblJTL[[#This Row],[経過秒]]/60)</f>
        <v>1</v>
      </c>
      <c r="W255" s="57">
        <f>IF(OR(tblJTL[[#This Row],[success]]=FALSE,tblJTL[[#This Row],[success]]="false"),1,0)</f>
        <v>0</v>
      </c>
      <c r="X255" s="57">
        <f>IF(AND(tblJTL[[#This Row],[経過秒]]&gt;='17_分析サンプル'!$E$11,tblJTL[[#This Row],[経過秒]]&lt;'17_分析サンプル'!$E$12),1,0)</f>
        <v>1</v>
      </c>
    </row>
    <row r="256" spans="2:24" ht="14.4" x14ac:dyDescent="0.3">
      <c r="B256" s="57">
        <v>1790816482456</v>
      </c>
      <c r="C256" s="58">
        <v>207</v>
      </c>
      <c r="D256" s="59" t="s">
        <v>1677</v>
      </c>
      <c r="E256" s="59" t="s">
        <v>3579</v>
      </c>
      <c r="F256" s="59" t="s">
        <v>3580</v>
      </c>
      <c r="G256" s="59" t="s">
        <v>3586</v>
      </c>
      <c r="H256" s="59" t="s">
        <v>2281</v>
      </c>
      <c r="I256" s="59" t="b">
        <v>1</v>
      </c>
      <c r="J256" s="59"/>
      <c r="K256" s="58">
        <v>412</v>
      </c>
      <c r="L256" s="58">
        <v>1478</v>
      </c>
      <c r="M256" s="59">
        <v>10</v>
      </c>
      <c r="N256" s="59">
        <v>10</v>
      </c>
      <c r="O256" s="59" t="s">
        <v>3581</v>
      </c>
      <c r="P256" s="58">
        <v>200</v>
      </c>
      <c r="Q256" s="59">
        <v>0</v>
      </c>
      <c r="R256" s="59">
        <v>0</v>
      </c>
      <c r="S256" s="60">
        <f>tblJTL[[#This Row],[timeStamp]]/86400000+DATE(1970,1,1)+TIME(9,0,0)</f>
        <v>46296.417621018518</v>
      </c>
      <c r="T256" s="57">
        <f>tblJTL[[#This Row],[timeStamp]]+tblJTL[[#This Row],[elapsed]]</f>
        <v>1790816482663</v>
      </c>
      <c r="U256" s="61">
        <f>(tblJTL[[#This Row],[timeStamp]]-'17_分析サンプル'!$E$18)/1000</f>
        <v>82.275999999999996</v>
      </c>
      <c r="V256" s="57">
        <f>INT(tblJTL[[#This Row],[経過秒]]/60)</f>
        <v>1</v>
      </c>
      <c r="W256" s="57">
        <f>IF(OR(tblJTL[[#This Row],[success]]=FALSE,tblJTL[[#This Row],[success]]="false"),1,0)</f>
        <v>0</v>
      </c>
      <c r="X256" s="57">
        <f>IF(AND(tblJTL[[#This Row],[経過秒]]&gt;='17_分析サンプル'!$E$11,tblJTL[[#This Row],[経過秒]]&lt;'17_分析サンプル'!$E$12),1,0)</f>
        <v>1</v>
      </c>
    </row>
    <row r="257" spans="2:24" ht="14.4" x14ac:dyDescent="0.3">
      <c r="B257" s="57">
        <v>1790816481841</v>
      </c>
      <c r="C257" s="58">
        <v>1303</v>
      </c>
      <c r="D257" s="59" t="s">
        <v>1677</v>
      </c>
      <c r="E257" s="59" t="s">
        <v>3579</v>
      </c>
      <c r="F257" s="59" t="s">
        <v>3580</v>
      </c>
      <c r="G257" s="59" t="s">
        <v>3584</v>
      </c>
      <c r="H257" s="59" t="s">
        <v>2281</v>
      </c>
      <c r="I257" s="59" t="b">
        <v>1</v>
      </c>
      <c r="J257" s="59"/>
      <c r="K257" s="58">
        <v>412</v>
      </c>
      <c r="L257" s="58">
        <v>1478</v>
      </c>
      <c r="M257" s="59">
        <v>10</v>
      </c>
      <c r="N257" s="59">
        <v>10</v>
      </c>
      <c r="O257" s="59" t="s">
        <v>3581</v>
      </c>
      <c r="P257" s="58">
        <v>1296</v>
      </c>
      <c r="Q257" s="59">
        <v>0</v>
      </c>
      <c r="R257" s="59">
        <v>0</v>
      </c>
      <c r="S257" s="60">
        <f>tblJTL[[#This Row],[timeStamp]]/86400000+DATE(1970,1,1)+TIME(9,0,0)</f>
        <v>46296.417613900463</v>
      </c>
      <c r="T257" s="57">
        <f>tblJTL[[#This Row],[timeStamp]]+tblJTL[[#This Row],[elapsed]]</f>
        <v>1790816483144</v>
      </c>
      <c r="U257" s="61">
        <f>(tblJTL[[#This Row],[timeStamp]]-'17_分析サンプル'!$E$18)/1000</f>
        <v>81.661000000000001</v>
      </c>
      <c r="V257" s="57">
        <f>INT(tblJTL[[#This Row],[経過秒]]/60)</f>
        <v>1</v>
      </c>
      <c r="W257" s="57">
        <f>IF(OR(tblJTL[[#This Row],[success]]=FALSE,tblJTL[[#This Row],[success]]="false"),1,0)</f>
        <v>0</v>
      </c>
      <c r="X257" s="57">
        <f>IF(AND(tblJTL[[#This Row],[経過秒]]&gt;='17_分析サンプル'!$E$11,tblJTL[[#This Row],[経過秒]]&lt;'17_分析サンプル'!$E$12),1,0)</f>
        <v>1</v>
      </c>
    </row>
    <row r="258" spans="2:24" ht="14.4" x14ac:dyDescent="0.3">
      <c r="B258" s="57">
        <v>1790816483013</v>
      </c>
      <c r="C258" s="58">
        <v>171</v>
      </c>
      <c r="D258" s="59" t="s">
        <v>1658</v>
      </c>
      <c r="E258" s="59" t="s">
        <v>1577</v>
      </c>
      <c r="F258" s="59" t="s">
        <v>2275</v>
      </c>
      <c r="G258" s="59" t="s">
        <v>3583</v>
      </c>
      <c r="H258" s="59" t="s">
        <v>2281</v>
      </c>
      <c r="I258" s="59" t="b">
        <v>1</v>
      </c>
      <c r="J258" s="59"/>
      <c r="K258" s="58">
        <v>1863</v>
      </c>
      <c r="L258" s="58">
        <v>1342</v>
      </c>
      <c r="M258" s="59">
        <v>10</v>
      </c>
      <c r="N258" s="59">
        <v>10</v>
      </c>
      <c r="O258" s="59" t="s">
        <v>3578</v>
      </c>
      <c r="P258" s="58">
        <v>168</v>
      </c>
      <c r="Q258" s="59">
        <v>0</v>
      </c>
      <c r="R258" s="59">
        <v>70</v>
      </c>
      <c r="S258" s="60">
        <f>tblJTL[[#This Row],[timeStamp]]/86400000+DATE(1970,1,1)+TIME(9,0,0)</f>
        <v>46296.417627465278</v>
      </c>
      <c r="T258" s="57">
        <f>tblJTL[[#This Row],[timeStamp]]+tblJTL[[#This Row],[elapsed]]</f>
        <v>1790816483184</v>
      </c>
      <c r="U258" s="61">
        <f>(tblJTL[[#This Row],[timeStamp]]-'17_分析サンプル'!$E$18)/1000</f>
        <v>82.832999999999998</v>
      </c>
      <c r="V258" s="57">
        <f>INT(tblJTL[[#This Row],[経過秒]]/60)</f>
        <v>1</v>
      </c>
      <c r="W258" s="57">
        <f>IF(OR(tblJTL[[#This Row],[success]]=FALSE,tblJTL[[#This Row],[success]]="false"),1,0)</f>
        <v>0</v>
      </c>
      <c r="X258" s="57">
        <f>IF(AND(tblJTL[[#This Row],[経過秒]]&gt;='17_分析サンプル'!$E$11,tblJTL[[#This Row],[経過秒]]&lt;'17_分析サンプル'!$E$12),1,0)</f>
        <v>1</v>
      </c>
    </row>
    <row r="259" spans="2:24" ht="14.4" x14ac:dyDescent="0.3">
      <c r="B259" s="57">
        <v>1790816483041</v>
      </c>
      <c r="C259" s="58">
        <v>200</v>
      </c>
      <c r="D259" s="59" t="s">
        <v>1677</v>
      </c>
      <c r="E259" s="59" t="s">
        <v>3579</v>
      </c>
      <c r="F259" s="59" t="s">
        <v>3580</v>
      </c>
      <c r="G259" s="59" t="s">
        <v>3588</v>
      </c>
      <c r="H259" s="59" t="s">
        <v>2281</v>
      </c>
      <c r="I259" s="59" t="b">
        <v>1</v>
      </c>
      <c r="J259" s="59"/>
      <c r="K259" s="58">
        <v>416</v>
      </c>
      <c r="L259" s="58">
        <v>1478</v>
      </c>
      <c r="M259" s="59">
        <v>10</v>
      </c>
      <c r="N259" s="59">
        <v>10</v>
      </c>
      <c r="O259" s="59" t="s">
        <v>3581</v>
      </c>
      <c r="P259" s="58">
        <v>196</v>
      </c>
      <c r="Q259" s="59">
        <v>0</v>
      </c>
      <c r="R259" s="59">
        <v>0</v>
      </c>
      <c r="S259" s="60">
        <f>tblJTL[[#This Row],[timeStamp]]/86400000+DATE(1970,1,1)+TIME(9,0,0)</f>
        <v>46296.417627789357</v>
      </c>
      <c r="T259" s="57">
        <f>tblJTL[[#This Row],[timeStamp]]+tblJTL[[#This Row],[elapsed]]</f>
        <v>1790816483241</v>
      </c>
      <c r="U259" s="61">
        <f>(tblJTL[[#This Row],[timeStamp]]-'17_分析サンプル'!$E$18)/1000</f>
        <v>82.861000000000004</v>
      </c>
      <c r="V259" s="57">
        <f>INT(tblJTL[[#This Row],[経過秒]]/60)</f>
        <v>1</v>
      </c>
      <c r="W259" s="57">
        <f>IF(OR(tblJTL[[#This Row],[success]]=FALSE,tblJTL[[#This Row],[success]]="false"),1,0)</f>
        <v>0</v>
      </c>
      <c r="X259" s="57">
        <f>IF(AND(tblJTL[[#This Row],[経過秒]]&gt;='17_分析サンプル'!$E$11,tblJTL[[#This Row],[経過秒]]&lt;'17_分析サンプル'!$E$12),1,0)</f>
        <v>1</v>
      </c>
    </row>
    <row r="260" spans="2:24" ht="14.4" x14ac:dyDescent="0.3">
      <c r="B260" s="57">
        <v>1790816483310</v>
      </c>
      <c r="C260" s="58">
        <v>217</v>
      </c>
      <c r="D260" s="59" t="s">
        <v>1658</v>
      </c>
      <c r="E260" s="59" t="s">
        <v>1577</v>
      </c>
      <c r="F260" s="59" t="s">
        <v>2275</v>
      </c>
      <c r="G260" s="59" t="s">
        <v>3577</v>
      </c>
      <c r="H260" s="59" t="s">
        <v>2281</v>
      </c>
      <c r="I260" s="59" t="b">
        <v>1</v>
      </c>
      <c r="J260" s="59"/>
      <c r="K260" s="58">
        <v>1859</v>
      </c>
      <c r="L260" s="58">
        <v>1342</v>
      </c>
      <c r="M260" s="59">
        <v>10</v>
      </c>
      <c r="N260" s="59">
        <v>10</v>
      </c>
      <c r="O260" s="59" t="s">
        <v>3578</v>
      </c>
      <c r="P260" s="58">
        <v>209</v>
      </c>
      <c r="Q260" s="59">
        <v>0</v>
      </c>
      <c r="R260" s="59">
        <v>0</v>
      </c>
      <c r="S260" s="60">
        <f>tblJTL[[#This Row],[timeStamp]]/86400000+DATE(1970,1,1)+TIME(9,0,0)</f>
        <v>46296.417630902783</v>
      </c>
      <c r="T260" s="57">
        <f>tblJTL[[#This Row],[timeStamp]]+tblJTL[[#This Row],[elapsed]]</f>
        <v>1790816483527</v>
      </c>
      <c r="U260" s="61">
        <f>(tblJTL[[#This Row],[timeStamp]]-'17_分析サンプル'!$E$18)/1000</f>
        <v>83.13</v>
      </c>
      <c r="V260" s="57">
        <f>INT(tblJTL[[#This Row],[経過秒]]/60)</f>
        <v>1</v>
      </c>
      <c r="W260" s="57">
        <f>IF(OR(tblJTL[[#This Row],[success]]=FALSE,tblJTL[[#This Row],[success]]="false"),1,0)</f>
        <v>0</v>
      </c>
      <c r="X260" s="57">
        <f>IF(AND(tblJTL[[#This Row],[経過秒]]&gt;='17_分析サンプル'!$E$11,tblJTL[[#This Row],[経過秒]]&lt;'17_分析サンプル'!$E$12),1,0)</f>
        <v>1</v>
      </c>
    </row>
    <row r="261" spans="2:24" ht="14.4" x14ac:dyDescent="0.3">
      <c r="B261" s="57">
        <v>1790816483729</v>
      </c>
      <c r="C261" s="58">
        <v>92</v>
      </c>
      <c r="D261" s="59" t="s">
        <v>1658</v>
      </c>
      <c r="E261" s="59" t="s">
        <v>1577</v>
      </c>
      <c r="F261" s="59" t="s">
        <v>2275</v>
      </c>
      <c r="G261" s="59" t="s">
        <v>3587</v>
      </c>
      <c r="H261" s="59" t="s">
        <v>2281</v>
      </c>
      <c r="I261" s="59" t="b">
        <v>1</v>
      </c>
      <c r="J261" s="59"/>
      <c r="K261" s="58">
        <v>1900</v>
      </c>
      <c r="L261" s="58">
        <v>1342</v>
      </c>
      <c r="M261" s="59">
        <v>10</v>
      </c>
      <c r="N261" s="59">
        <v>10</v>
      </c>
      <c r="O261" s="59" t="s">
        <v>3578</v>
      </c>
      <c r="P261" s="58">
        <v>84</v>
      </c>
      <c r="Q261" s="59">
        <v>0</v>
      </c>
      <c r="R261" s="59">
        <v>0</v>
      </c>
      <c r="S261" s="60">
        <f>tblJTL[[#This Row],[timeStamp]]/86400000+DATE(1970,1,1)+TIME(9,0,0)</f>
        <v>46296.41763575231</v>
      </c>
      <c r="T261" s="57">
        <f>tblJTL[[#This Row],[timeStamp]]+tblJTL[[#This Row],[elapsed]]</f>
        <v>1790816483821</v>
      </c>
      <c r="U261" s="61">
        <f>(tblJTL[[#This Row],[timeStamp]]-'17_分析サンプル'!$E$18)/1000</f>
        <v>83.549000000000007</v>
      </c>
      <c r="V261" s="57">
        <f>INT(tblJTL[[#This Row],[経過秒]]/60)</f>
        <v>1</v>
      </c>
      <c r="W261" s="57">
        <f>IF(OR(tblJTL[[#This Row],[success]]=FALSE,tblJTL[[#This Row],[success]]="false"),1,0)</f>
        <v>0</v>
      </c>
      <c r="X261" s="57">
        <f>IF(AND(tblJTL[[#This Row],[経過秒]]&gt;='17_分析サンプル'!$E$11,tblJTL[[#This Row],[経過秒]]&lt;'17_分析サンプル'!$E$12),1,0)</f>
        <v>1</v>
      </c>
    </row>
    <row r="262" spans="2:24" ht="14.4" x14ac:dyDescent="0.3">
      <c r="B262" s="57">
        <v>1790816483574</v>
      </c>
      <c r="C262" s="58">
        <v>287</v>
      </c>
      <c r="D262" s="59" t="s">
        <v>1677</v>
      </c>
      <c r="E262" s="59" t="s">
        <v>3579</v>
      </c>
      <c r="F262" s="59" t="s">
        <v>3580</v>
      </c>
      <c r="G262" s="59" t="s">
        <v>3585</v>
      </c>
      <c r="H262" s="59" t="s">
        <v>2281</v>
      </c>
      <c r="I262" s="59" t="b">
        <v>1</v>
      </c>
      <c r="J262" s="59"/>
      <c r="K262" s="58">
        <v>433</v>
      </c>
      <c r="L262" s="58">
        <v>1478</v>
      </c>
      <c r="M262" s="59">
        <v>10</v>
      </c>
      <c r="N262" s="59">
        <v>10</v>
      </c>
      <c r="O262" s="59" t="s">
        <v>3581</v>
      </c>
      <c r="P262" s="58">
        <v>280</v>
      </c>
      <c r="Q262" s="59">
        <v>0</v>
      </c>
      <c r="R262" s="59">
        <v>0</v>
      </c>
      <c r="S262" s="60">
        <f>tblJTL[[#This Row],[timeStamp]]/86400000+DATE(1970,1,1)+TIME(9,0,0)</f>
        <v>46296.417633958336</v>
      </c>
      <c r="T262" s="57">
        <f>tblJTL[[#This Row],[timeStamp]]+tblJTL[[#This Row],[elapsed]]</f>
        <v>1790816483861</v>
      </c>
      <c r="U262" s="61">
        <f>(tblJTL[[#This Row],[timeStamp]]-'17_分析サンプル'!$E$18)/1000</f>
        <v>83.394000000000005</v>
      </c>
      <c r="V262" s="57">
        <f>INT(tblJTL[[#This Row],[経過秒]]/60)</f>
        <v>1</v>
      </c>
      <c r="W262" s="57">
        <f>IF(OR(tblJTL[[#This Row],[success]]=FALSE,tblJTL[[#This Row],[success]]="false"),1,0)</f>
        <v>0</v>
      </c>
      <c r="X262" s="57">
        <f>IF(AND(tblJTL[[#This Row],[経過秒]]&gt;='17_分析サンプル'!$E$11,tblJTL[[#This Row],[経過秒]]&lt;'17_分析サンプル'!$E$12),1,0)</f>
        <v>1</v>
      </c>
    </row>
    <row r="263" spans="2:24" ht="14.4" x14ac:dyDescent="0.3">
      <c r="B263" s="57">
        <v>1790816483779</v>
      </c>
      <c r="C263" s="58">
        <v>112</v>
      </c>
      <c r="D263" s="59" t="s">
        <v>1658</v>
      </c>
      <c r="E263" s="59" t="s">
        <v>1577</v>
      </c>
      <c r="F263" s="59" t="s">
        <v>2275</v>
      </c>
      <c r="G263" s="59" t="s">
        <v>3582</v>
      </c>
      <c r="H263" s="59" t="s">
        <v>2281</v>
      </c>
      <c r="I263" s="59" t="b">
        <v>1</v>
      </c>
      <c r="J263" s="59"/>
      <c r="K263" s="58">
        <v>1831</v>
      </c>
      <c r="L263" s="58">
        <v>1342</v>
      </c>
      <c r="M263" s="59">
        <v>10</v>
      </c>
      <c r="N263" s="59">
        <v>10</v>
      </c>
      <c r="O263" s="59" t="s">
        <v>3578</v>
      </c>
      <c r="P263" s="58">
        <v>107</v>
      </c>
      <c r="Q263" s="59">
        <v>0</v>
      </c>
      <c r="R263" s="59">
        <v>0</v>
      </c>
      <c r="S263" s="60">
        <f>tblJTL[[#This Row],[timeStamp]]/86400000+DATE(1970,1,1)+TIME(9,0,0)</f>
        <v>46296.417636331018</v>
      </c>
      <c r="T263" s="57">
        <f>tblJTL[[#This Row],[timeStamp]]+tblJTL[[#This Row],[elapsed]]</f>
        <v>1790816483891</v>
      </c>
      <c r="U263" s="61">
        <f>(tblJTL[[#This Row],[timeStamp]]-'17_分析サンプル'!$E$18)/1000</f>
        <v>83.599000000000004</v>
      </c>
      <c r="V263" s="57">
        <f>INT(tblJTL[[#This Row],[経過秒]]/60)</f>
        <v>1</v>
      </c>
      <c r="W263" s="57">
        <f>IF(OR(tblJTL[[#This Row],[success]]=FALSE,tblJTL[[#This Row],[success]]="false"),1,0)</f>
        <v>0</v>
      </c>
      <c r="X263" s="57">
        <f>IF(AND(tblJTL[[#This Row],[経過秒]]&gt;='17_分析サンプル'!$E$11,tblJTL[[#This Row],[経過秒]]&lt;'17_分析サンプル'!$E$12),1,0)</f>
        <v>1</v>
      </c>
    </row>
    <row r="264" spans="2:24" ht="14.4" x14ac:dyDescent="0.3">
      <c r="B264" s="57">
        <v>1790816483920</v>
      </c>
      <c r="C264" s="58">
        <v>73</v>
      </c>
      <c r="D264" s="59" t="s">
        <v>1658</v>
      </c>
      <c r="E264" s="59" t="s">
        <v>1577</v>
      </c>
      <c r="F264" s="59" t="s">
        <v>2275</v>
      </c>
      <c r="G264" s="59" t="s">
        <v>3586</v>
      </c>
      <c r="H264" s="59" t="s">
        <v>2281</v>
      </c>
      <c r="I264" s="59" t="b">
        <v>1</v>
      </c>
      <c r="J264" s="59"/>
      <c r="K264" s="58">
        <v>1867</v>
      </c>
      <c r="L264" s="58">
        <v>1342</v>
      </c>
      <c r="M264" s="59">
        <v>10</v>
      </c>
      <c r="N264" s="59">
        <v>10</v>
      </c>
      <c r="O264" s="59" t="s">
        <v>3578</v>
      </c>
      <c r="P264" s="58">
        <v>67</v>
      </c>
      <c r="Q264" s="59">
        <v>0</v>
      </c>
      <c r="R264" s="59">
        <v>0</v>
      </c>
      <c r="S264" s="60">
        <f>tblJTL[[#This Row],[timeStamp]]/86400000+DATE(1970,1,1)+TIME(9,0,0)</f>
        <v>46296.417637962964</v>
      </c>
      <c r="T264" s="57">
        <f>tblJTL[[#This Row],[timeStamp]]+tblJTL[[#This Row],[elapsed]]</f>
        <v>1790816483993</v>
      </c>
      <c r="U264" s="61">
        <f>(tblJTL[[#This Row],[timeStamp]]-'17_分析サンプル'!$E$18)/1000</f>
        <v>83.74</v>
      </c>
      <c r="V264" s="57">
        <f>INT(tblJTL[[#This Row],[経過秒]]/60)</f>
        <v>1</v>
      </c>
      <c r="W264" s="57">
        <f>IF(OR(tblJTL[[#This Row],[success]]=FALSE,tblJTL[[#This Row],[success]]="false"),1,0)</f>
        <v>0</v>
      </c>
      <c r="X264" s="57">
        <f>IF(AND(tblJTL[[#This Row],[経過秒]]&gt;='17_分析サンプル'!$E$11,tblJTL[[#This Row],[経過秒]]&lt;'17_分析サンプル'!$E$12),1,0)</f>
        <v>1</v>
      </c>
    </row>
    <row r="265" spans="2:24" ht="14.4" x14ac:dyDescent="0.3">
      <c r="B265" s="57">
        <v>1790816484157</v>
      </c>
      <c r="C265" s="58">
        <v>88</v>
      </c>
      <c r="D265" s="59" t="s">
        <v>1658</v>
      </c>
      <c r="E265" s="59" t="s">
        <v>1577</v>
      </c>
      <c r="F265" s="59" t="s">
        <v>2275</v>
      </c>
      <c r="G265" s="59" t="s">
        <v>3589</v>
      </c>
      <c r="H265" s="59" t="s">
        <v>2281</v>
      </c>
      <c r="I265" s="59" t="b">
        <v>1</v>
      </c>
      <c r="J265" s="59"/>
      <c r="K265" s="58">
        <v>1825</v>
      </c>
      <c r="L265" s="58">
        <v>1342</v>
      </c>
      <c r="M265" s="59">
        <v>10</v>
      </c>
      <c r="N265" s="59">
        <v>10</v>
      </c>
      <c r="O265" s="59" t="s">
        <v>3578</v>
      </c>
      <c r="P265" s="58">
        <v>81</v>
      </c>
      <c r="Q265" s="59">
        <v>0</v>
      </c>
      <c r="R265" s="59">
        <v>0</v>
      </c>
      <c r="S265" s="60">
        <f>tblJTL[[#This Row],[timeStamp]]/86400000+DATE(1970,1,1)+TIME(9,0,0)</f>
        <v>46296.417640706015</v>
      </c>
      <c r="T265" s="57">
        <f>tblJTL[[#This Row],[timeStamp]]+tblJTL[[#This Row],[elapsed]]</f>
        <v>1790816484245</v>
      </c>
      <c r="U265" s="61">
        <f>(tblJTL[[#This Row],[timeStamp]]-'17_分析サンプル'!$E$18)/1000</f>
        <v>83.977000000000004</v>
      </c>
      <c r="V265" s="57">
        <f>INT(tblJTL[[#This Row],[経過秒]]/60)</f>
        <v>1</v>
      </c>
      <c r="W265" s="57">
        <f>IF(OR(tblJTL[[#This Row],[success]]=FALSE,tblJTL[[#This Row],[success]]="false"),1,0)</f>
        <v>0</v>
      </c>
      <c r="X265" s="57">
        <f>IF(AND(tblJTL[[#This Row],[経過秒]]&gt;='17_分析サンプル'!$E$11,tblJTL[[#This Row],[経過秒]]&lt;'17_分析サンプル'!$E$12),1,0)</f>
        <v>1</v>
      </c>
    </row>
    <row r="266" spans="2:24" ht="14.4" x14ac:dyDescent="0.3">
      <c r="B266" s="57">
        <v>1790816484385</v>
      </c>
      <c r="C266" s="58">
        <v>110</v>
      </c>
      <c r="D266" s="59" t="s">
        <v>1658</v>
      </c>
      <c r="E266" s="59" t="s">
        <v>1577</v>
      </c>
      <c r="F266" s="59" t="s">
        <v>2275</v>
      </c>
      <c r="G266" s="59" t="s">
        <v>3588</v>
      </c>
      <c r="H266" s="59" t="s">
        <v>2281</v>
      </c>
      <c r="I266" s="59" t="b">
        <v>1</v>
      </c>
      <c r="J266" s="59"/>
      <c r="K266" s="58">
        <v>1873</v>
      </c>
      <c r="L266" s="58">
        <v>1342</v>
      </c>
      <c r="M266" s="59">
        <v>10</v>
      </c>
      <c r="N266" s="59">
        <v>10</v>
      </c>
      <c r="O266" s="59" t="s">
        <v>3578</v>
      </c>
      <c r="P266" s="58">
        <v>103</v>
      </c>
      <c r="Q266" s="59">
        <v>0</v>
      </c>
      <c r="R266" s="59">
        <v>0</v>
      </c>
      <c r="S266" s="60">
        <f>tblJTL[[#This Row],[timeStamp]]/86400000+DATE(1970,1,1)+TIME(9,0,0)</f>
        <v>46296.417643344903</v>
      </c>
      <c r="T266" s="57">
        <f>tblJTL[[#This Row],[timeStamp]]+tblJTL[[#This Row],[elapsed]]</f>
        <v>1790816484495</v>
      </c>
      <c r="U266" s="61">
        <f>(tblJTL[[#This Row],[timeStamp]]-'17_分析サンプル'!$E$18)/1000</f>
        <v>84.204999999999998</v>
      </c>
      <c r="V266" s="57">
        <f>INT(tblJTL[[#This Row],[経過秒]]/60)</f>
        <v>1</v>
      </c>
      <c r="W266" s="57">
        <f>IF(OR(tblJTL[[#This Row],[success]]=FALSE,tblJTL[[#This Row],[success]]="false"),1,0)</f>
        <v>0</v>
      </c>
      <c r="X266" s="57">
        <f>IF(AND(tblJTL[[#This Row],[経過秒]]&gt;='17_分析サンプル'!$E$11,tblJTL[[#This Row],[経過秒]]&lt;'17_分析サンプル'!$E$12),1,0)</f>
        <v>1</v>
      </c>
    </row>
    <row r="267" spans="2:24" ht="14.4" x14ac:dyDescent="0.3">
      <c r="B267" s="57">
        <v>1790816484325</v>
      </c>
      <c r="C267" s="58">
        <v>331</v>
      </c>
      <c r="D267" s="59" t="s">
        <v>1677</v>
      </c>
      <c r="E267" s="59" t="s">
        <v>3579</v>
      </c>
      <c r="F267" s="59" t="s">
        <v>3580</v>
      </c>
      <c r="G267" s="59" t="s">
        <v>2278</v>
      </c>
      <c r="H267" s="59" t="s">
        <v>2281</v>
      </c>
      <c r="I267" s="59" t="b">
        <v>1</v>
      </c>
      <c r="J267" s="59"/>
      <c r="K267" s="58">
        <v>434</v>
      </c>
      <c r="L267" s="58">
        <v>1478</v>
      </c>
      <c r="M267" s="59">
        <v>10</v>
      </c>
      <c r="N267" s="59">
        <v>10</v>
      </c>
      <c r="O267" s="59" t="s">
        <v>3581</v>
      </c>
      <c r="P267" s="58">
        <v>328</v>
      </c>
      <c r="Q267" s="59">
        <v>0</v>
      </c>
      <c r="R267" s="59">
        <v>0</v>
      </c>
      <c r="S267" s="60">
        <f>tblJTL[[#This Row],[timeStamp]]/86400000+DATE(1970,1,1)+TIME(9,0,0)</f>
        <v>46296.417642650464</v>
      </c>
      <c r="T267" s="57">
        <f>tblJTL[[#This Row],[timeStamp]]+tblJTL[[#This Row],[elapsed]]</f>
        <v>1790816484656</v>
      </c>
      <c r="U267" s="61">
        <f>(tblJTL[[#This Row],[timeStamp]]-'17_分析サンプル'!$E$18)/1000</f>
        <v>84.144999999999996</v>
      </c>
      <c r="V267" s="57">
        <f>INT(tblJTL[[#This Row],[経過秒]]/60)</f>
        <v>1</v>
      </c>
      <c r="W267" s="57">
        <f>IF(OR(tblJTL[[#This Row],[success]]=FALSE,tblJTL[[#This Row],[success]]="false"),1,0)</f>
        <v>0</v>
      </c>
      <c r="X267" s="57">
        <f>IF(AND(tblJTL[[#This Row],[経過秒]]&gt;='17_分析サンプル'!$E$11,tblJTL[[#This Row],[経過秒]]&lt;'17_分析サンプル'!$E$12),1,0)</f>
        <v>1</v>
      </c>
    </row>
    <row r="268" spans="2:24" ht="14.4" x14ac:dyDescent="0.3">
      <c r="B268" s="57">
        <v>1790816485036</v>
      </c>
      <c r="C268" s="58">
        <v>192</v>
      </c>
      <c r="D268" s="59" t="s">
        <v>1677</v>
      </c>
      <c r="E268" s="59" t="s">
        <v>3579</v>
      </c>
      <c r="F268" s="59" t="s">
        <v>3580</v>
      </c>
      <c r="G268" s="59" t="s">
        <v>3583</v>
      </c>
      <c r="H268" s="59" t="s">
        <v>2281</v>
      </c>
      <c r="I268" s="59" t="b">
        <v>1</v>
      </c>
      <c r="J268" s="59"/>
      <c r="K268" s="58">
        <v>435</v>
      </c>
      <c r="L268" s="58">
        <v>1478</v>
      </c>
      <c r="M268" s="59">
        <v>10</v>
      </c>
      <c r="N268" s="59">
        <v>10</v>
      </c>
      <c r="O268" s="59" t="s">
        <v>3581</v>
      </c>
      <c r="P268" s="58">
        <v>186</v>
      </c>
      <c r="Q268" s="59">
        <v>0</v>
      </c>
      <c r="R268" s="59">
        <v>0</v>
      </c>
      <c r="S268" s="60">
        <f>tblJTL[[#This Row],[timeStamp]]/86400000+DATE(1970,1,1)+TIME(9,0,0)</f>
        <v>46296.41765087963</v>
      </c>
      <c r="T268" s="57">
        <f>tblJTL[[#This Row],[timeStamp]]+tblJTL[[#This Row],[elapsed]]</f>
        <v>1790816485228</v>
      </c>
      <c r="U268" s="61">
        <f>(tblJTL[[#This Row],[timeStamp]]-'17_分析サンプル'!$E$18)/1000</f>
        <v>84.855999999999995</v>
      </c>
      <c r="V268" s="57">
        <f>INT(tblJTL[[#This Row],[経過秒]]/60)</f>
        <v>1</v>
      </c>
      <c r="W268" s="57">
        <f>IF(OR(tblJTL[[#This Row],[success]]=FALSE,tblJTL[[#This Row],[success]]="false"),1,0)</f>
        <v>0</v>
      </c>
      <c r="X268" s="57">
        <f>IF(AND(tblJTL[[#This Row],[経過秒]]&gt;='17_分析サンプル'!$E$11,tblJTL[[#This Row],[経過秒]]&lt;'17_分析サンプル'!$E$12),1,0)</f>
        <v>1</v>
      </c>
    </row>
    <row r="269" spans="2:24" ht="14.4" x14ac:dyDescent="0.3">
      <c r="B269" s="57">
        <v>1790816485561</v>
      </c>
      <c r="C269" s="58">
        <v>95</v>
      </c>
      <c r="D269" s="59" t="s">
        <v>1658</v>
      </c>
      <c r="E269" s="59" t="s">
        <v>1577</v>
      </c>
      <c r="F269" s="59" t="s">
        <v>2275</v>
      </c>
      <c r="G269" s="59" t="s">
        <v>3585</v>
      </c>
      <c r="H269" s="59" t="s">
        <v>2281</v>
      </c>
      <c r="I269" s="59" t="b">
        <v>1</v>
      </c>
      <c r="J269" s="59"/>
      <c r="K269" s="58">
        <v>1823</v>
      </c>
      <c r="L269" s="58">
        <v>1342</v>
      </c>
      <c r="M269" s="59">
        <v>10</v>
      </c>
      <c r="N269" s="59">
        <v>10</v>
      </c>
      <c r="O269" s="59" t="s">
        <v>3578</v>
      </c>
      <c r="P269" s="58">
        <v>93</v>
      </c>
      <c r="Q269" s="59">
        <v>0</v>
      </c>
      <c r="R269" s="59">
        <v>0</v>
      </c>
      <c r="S269" s="60">
        <f>tblJTL[[#This Row],[timeStamp]]/86400000+DATE(1970,1,1)+TIME(9,0,0)</f>
        <v>46296.417656956022</v>
      </c>
      <c r="T269" s="57">
        <f>tblJTL[[#This Row],[timeStamp]]+tblJTL[[#This Row],[elapsed]]</f>
        <v>1790816485656</v>
      </c>
      <c r="U269" s="61">
        <f>(tblJTL[[#This Row],[timeStamp]]-'17_分析サンプル'!$E$18)/1000</f>
        <v>85.381</v>
      </c>
      <c r="V269" s="57">
        <f>INT(tblJTL[[#This Row],[経過秒]]/60)</f>
        <v>1</v>
      </c>
      <c r="W269" s="57">
        <f>IF(OR(tblJTL[[#This Row],[success]]=FALSE,tblJTL[[#This Row],[success]]="false"),1,0)</f>
        <v>0</v>
      </c>
      <c r="X269" s="57">
        <f>IF(AND(tblJTL[[#This Row],[経過秒]]&gt;='17_分析サンプル'!$E$11,tblJTL[[#This Row],[経過秒]]&lt;'17_分析サンプル'!$E$12),1,0)</f>
        <v>1</v>
      </c>
    </row>
    <row r="270" spans="2:24" ht="14.4" x14ac:dyDescent="0.3">
      <c r="B270" s="57">
        <v>1790816485499</v>
      </c>
      <c r="C270" s="58">
        <v>202</v>
      </c>
      <c r="D270" s="59" t="s">
        <v>1677</v>
      </c>
      <c r="E270" s="59" t="s">
        <v>3579</v>
      </c>
      <c r="F270" s="59" t="s">
        <v>3580</v>
      </c>
      <c r="G270" s="59" t="s">
        <v>3586</v>
      </c>
      <c r="H270" s="59" t="s">
        <v>2281</v>
      </c>
      <c r="I270" s="59" t="b">
        <v>1</v>
      </c>
      <c r="J270" s="59"/>
      <c r="K270" s="58">
        <v>416</v>
      </c>
      <c r="L270" s="58">
        <v>1478</v>
      </c>
      <c r="M270" s="59">
        <v>10</v>
      </c>
      <c r="N270" s="59">
        <v>10</v>
      </c>
      <c r="O270" s="59" t="s">
        <v>3581</v>
      </c>
      <c r="P270" s="58">
        <v>199</v>
      </c>
      <c r="Q270" s="59">
        <v>0</v>
      </c>
      <c r="R270" s="59">
        <v>0</v>
      </c>
      <c r="S270" s="60">
        <f>tblJTL[[#This Row],[timeStamp]]/86400000+DATE(1970,1,1)+TIME(9,0,0)</f>
        <v>46296.417656238424</v>
      </c>
      <c r="T270" s="57">
        <f>tblJTL[[#This Row],[timeStamp]]+tblJTL[[#This Row],[elapsed]]</f>
        <v>1790816485701</v>
      </c>
      <c r="U270" s="61">
        <f>(tblJTL[[#This Row],[timeStamp]]-'17_分析サンプル'!$E$18)/1000</f>
        <v>85.319000000000003</v>
      </c>
      <c r="V270" s="57">
        <f>INT(tblJTL[[#This Row],[経過秒]]/60)</f>
        <v>1</v>
      </c>
      <c r="W270" s="57">
        <f>IF(OR(tblJTL[[#This Row],[success]]=FALSE,tblJTL[[#This Row],[success]]="false"),1,0)</f>
        <v>0</v>
      </c>
      <c r="X270" s="57">
        <f>IF(AND(tblJTL[[#This Row],[経過秒]]&gt;='17_分析サンプル'!$E$11,tblJTL[[#This Row],[経過秒]]&lt;'17_分析サンプル'!$E$12),1,0)</f>
        <v>1</v>
      </c>
    </row>
    <row r="271" spans="2:24" ht="14.4" x14ac:dyDescent="0.3">
      <c r="B271" s="57">
        <v>1790816485570</v>
      </c>
      <c r="C271" s="58">
        <v>161</v>
      </c>
      <c r="D271" s="59" t="s">
        <v>1677</v>
      </c>
      <c r="E271" s="59" t="s">
        <v>3579</v>
      </c>
      <c r="F271" s="59" t="s">
        <v>3580</v>
      </c>
      <c r="G271" s="59" t="s">
        <v>3588</v>
      </c>
      <c r="H271" s="59" t="s">
        <v>2281</v>
      </c>
      <c r="I271" s="59" t="b">
        <v>1</v>
      </c>
      <c r="J271" s="59"/>
      <c r="K271" s="58">
        <v>436</v>
      </c>
      <c r="L271" s="58">
        <v>1478</v>
      </c>
      <c r="M271" s="59">
        <v>10</v>
      </c>
      <c r="N271" s="59">
        <v>10</v>
      </c>
      <c r="O271" s="59" t="s">
        <v>3581</v>
      </c>
      <c r="P271" s="58">
        <v>158</v>
      </c>
      <c r="Q271" s="59">
        <v>0</v>
      </c>
      <c r="R271" s="59">
        <v>0</v>
      </c>
      <c r="S271" s="60">
        <f>tblJTL[[#This Row],[timeStamp]]/86400000+DATE(1970,1,1)+TIME(9,0,0)</f>
        <v>46296.417657060185</v>
      </c>
      <c r="T271" s="57">
        <f>tblJTL[[#This Row],[timeStamp]]+tblJTL[[#This Row],[elapsed]]</f>
        <v>1790816485731</v>
      </c>
      <c r="U271" s="61">
        <f>(tblJTL[[#This Row],[timeStamp]]-'17_分析サンプル'!$E$18)/1000</f>
        <v>85.39</v>
      </c>
      <c r="V271" s="57">
        <f>INT(tblJTL[[#This Row],[経過秒]]/60)</f>
        <v>1</v>
      </c>
      <c r="W271" s="57">
        <f>IF(OR(tblJTL[[#This Row],[success]]=FALSE,tblJTL[[#This Row],[success]]="false"),1,0)</f>
        <v>0</v>
      </c>
      <c r="X271" s="57">
        <f>IF(AND(tblJTL[[#This Row],[経過秒]]&gt;='17_分析サンプル'!$E$11,tblJTL[[#This Row],[経過秒]]&lt;'17_分析サンプル'!$E$12),1,0)</f>
        <v>1</v>
      </c>
    </row>
    <row r="272" spans="2:24" ht="14.4" x14ac:dyDescent="0.3">
      <c r="B272" s="57">
        <v>1790816485566</v>
      </c>
      <c r="C272" s="58">
        <v>229</v>
      </c>
      <c r="D272" s="59" t="s">
        <v>1677</v>
      </c>
      <c r="E272" s="59" t="s">
        <v>3579</v>
      </c>
      <c r="F272" s="59" t="s">
        <v>3580</v>
      </c>
      <c r="G272" s="59" t="s">
        <v>3587</v>
      </c>
      <c r="H272" s="59" t="s">
        <v>2281</v>
      </c>
      <c r="I272" s="59" t="b">
        <v>1</v>
      </c>
      <c r="J272" s="59"/>
      <c r="K272" s="58">
        <v>419</v>
      </c>
      <c r="L272" s="58">
        <v>1478</v>
      </c>
      <c r="M272" s="59">
        <v>10</v>
      </c>
      <c r="N272" s="59">
        <v>10</v>
      </c>
      <c r="O272" s="59" t="s">
        <v>3581</v>
      </c>
      <c r="P272" s="58">
        <v>227</v>
      </c>
      <c r="Q272" s="59">
        <v>0</v>
      </c>
      <c r="R272" s="59">
        <v>0</v>
      </c>
      <c r="S272" s="60">
        <f>tblJTL[[#This Row],[timeStamp]]/86400000+DATE(1970,1,1)+TIME(9,0,0)</f>
        <v>46296.417657013888</v>
      </c>
      <c r="T272" s="57">
        <f>tblJTL[[#This Row],[timeStamp]]+tblJTL[[#This Row],[elapsed]]</f>
        <v>1790816485795</v>
      </c>
      <c r="U272" s="61">
        <f>(tblJTL[[#This Row],[timeStamp]]-'17_分析サンプル'!$E$18)/1000</f>
        <v>85.385999999999996</v>
      </c>
      <c r="V272" s="57">
        <f>INT(tblJTL[[#This Row],[経過秒]]/60)</f>
        <v>1</v>
      </c>
      <c r="W272" s="57">
        <f>IF(OR(tblJTL[[#This Row],[success]]=FALSE,tblJTL[[#This Row],[success]]="false"),1,0)</f>
        <v>0</v>
      </c>
      <c r="X272" s="57">
        <f>IF(AND(tblJTL[[#This Row],[経過秒]]&gt;='17_分析サンプル'!$E$11,tblJTL[[#This Row],[経過秒]]&lt;'17_分析サンプル'!$E$12),1,0)</f>
        <v>1</v>
      </c>
    </row>
    <row r="273" spans="2:24" ht="14.4" x14ac:dyDescent="0.3">
      <c r="B273" s="57">
        <v>1790816485806</v>
      </c>
      <c r="C273" s="58">
        <v>144</v>
      </c>
      <c r="D273" s="59" t="s">
        <v>1677</v>
      </c>
      <c r="E273" s="59" t="s">
        <v>3579</v>
      </c>
      <c r="F273" s="59" t="s">
        <v>3580</v>
      </c>
      <c r="G273" s="59" t="s">
        <v>3589</v>
      </c>
      <c r="H273" s="59" t="s">
        <v>2281</v>
      </c>
      <c r="I273" s="59" t="b">
        <v>1</v>
      </c>
      <c r="J273" s="59"/>
      <c r="K273" s="58">
        <v>436</v>
      </c>
      <c r="L273" s="58">
        <v>1478</v>
      </c>
      <c r="M273" s="59">
        <v>10</v>
      </c>
      <c r="N273" s="59">
        <v>10</v>
      </c>
      <c r="O273" s="59" t="s">
        <v>3581</v>
      </c>
      <c r="P273" s="58">
        <v>138</v>
      </c>
      <c r="Q273" s="59">
        <v>0</v>
      </c>
      <c r="R273" s="59">
        <v>0</v>
      </c>
      <c r="S273" s="60">
        <f>tblJTL[[#This Row],[timeStamp]]/86400000+DATE(1970,1,1)+TIME(9,0,0)</f>
        <v>46296.417659791667</v>
      </c>
      <c r="T273" s="57">
        <f>tblJTL[[#This Row],[timeStamp]]+tblJTL[[#This Row],[elapsed]]</f>
        <v>1790816485950</v>
      </c>
      <c r="U273" s="61">
        <f>(tblJTL[[#This Row],[timeStamp]]-'17_分析サンプル'!$E$18)/1000</f>
        <v>85.626000000000005</v>
      </c>
      <c r="V273" s="57">
        <f>INT(tblJTL[[#This Row],[経過秒]]/60)</f>
        <v>1</v>
      </c>
      <c r="W273" s="57">
        <f>IF(OR(tblJTL[[#This Row],[success]]=FALSE,tblJTL[[#This Row],[success]]="false"),1,0)</f>
        <v>0</v>
      </c>
      <c r="X273" s="57">
        <f>IF(AND(tblJTL[[#This Row],[経過秒]]&gt;='17_分析サンプル'!$E$11,tblJTL[[#This Row],[経過秒]]&lt;'17_分析サンプル'!$E$12),1,0)</f>
        <v>1</v>
      </c>
    </row>
    <row r="274" spans="2:24" ht="14.4" x14ac:dyDescent="0.3">
      <c r="B274" s="57">
        <v>1790816485949</v>
      </c>
      <c r="C274" s="58">
        <v>151</v>
      </c>
      <c r="D274" s="59" t="s">
        <v>1677</v>
      </c>
      <c r="E274" s="59" t="s">
        <v>3579</v>
      </c>
      <c r="F274" s="59" t="s">
        <v>3580</v>
      </c>
      <c r="G274" s="59" t="s">
        <v>3582</v>
      </c>
      <c r="H274" s="59" t="s">
        <v>2281</v>
      </c>
      <c r="I274" s="59" t="b">
        <v>1</v>
      </c>
      <c r="J274" s="59"/>
      <c r="K274" s="58">
        <v>430</v>
      </c>
      <c r="L274" s="58">
        <v>1478</v>
      </c>
      <c r="M274" s="59">
        <v>10</v>
      </c>
      <c r="N274" s="59">
        <v>10</v>
      </c>
      <c r="O274" s="59" t="s">
        <v>3581</v>
      </c>
      <c r="P274" s="58">
        <v>145</v>
      </c>
      <c r="Q274" s="59">
        <v>0</v>
      </c>
      <c r="R274" s="59">
        <v>0</v>
      </c>
      <c r="S274" s="60">
        <f>tblJTL[[#This Row],[timeStamp]]/86400000+DATE(1970,1,1)+TIME(9,0,0)</f>
        <v>46296.417661446758</v>
      </c>
      <c r="T274" s="57">
        <f>tblJTL[[#This Row],[timeStamp]]+tblJTL[[#This Row],[elapsed]]</f>
        <v>1790816486100</v>
      </c>
      <c r="U274" s="61">
        <f>(tblJTL[[#This Row],[timeStamp]]-'17_分析サンプル'!$E$18)/1000</f>
        <v>85.769000000000005</v>
      </c>
      <c r="V274" s="57">
        <f>INT(tblJTL[[#This Row],[経過秒]]/60)</f>
        <v>1</v>
      </c>
      <c r="W274" s="57">
        <f>IF(OR(tblJTL[[#This Row],[success]]=FALSE,tblJTL[[#This Row],[success]]="false"),1,0)</f>
        <v>0</v>
      </c>
      <c r="X274" s="57">
        <f>IF(AND(tblJTL[[#This Row],[経過秒]]&gt;='17_分析サンプル'!$E$11,tblJTL[[#This Row],[経過秒]]&lt;'17_分析サンプル'!$E$12),1,0)</f>
        <v>1</v>
      </c>
    </row>
    <row r="275" spans="2:24" ht="14.4" x14ac:dyDescent="0.3">
      <c r="B275" s="57">
        <v>1790816486141</v>
      </c>
      <c r="C275" s="58">
        <v>104</v>
      </c>
      <c r="D275" s="59" t="s">
        <v>1658</v>
      </c>
      <c r="E275" s="59" t="s">
        <v>1577</v>
      </c>
      <c r="F275" s="59" t="s">
        <v>2275</v>
      </c>
      <c r="G275" s="59" t="s">
        <v>3584</v>
      </c>
      <c r="H275" s="59" t="s">
        <v>2281</v>
      </c>
      <c r="I275" s="59" t="b">
        <v>1</v>
      </c>
      <c r="J275" s="59"/>
      <c r="K275" s="58">
        <v>1842</v>
      </c>
      <c r="L275" s="58">
        <v>1342</v>
      </c>
      <c r="M275" s="59">
        <v>10</v>
      </c>
      <c r="N275" s="59">
        <v>10</v>
      </c>
      <c r="O275" s="59" t="s">
        <v>3578</v>
      </c>
      <c r="P275" s="58">
        <v>96</v>
      </c>
      <c r="Q275" s="59">
        <v>0</v>
      </c>
      <c r="R275" s="59">
        <v>0</v>
      </c>
      <c r="S275" s="60">
        <f>tblJTL[[#This Row],[timeStamp]]/86400000+DATE(1970,1,1)+TIME(9,0,0)</f>
        <v>46296.417663668981</v>
      </c>
      <c r="T275" s="57">
        <f>tblJTL[[#This Row],[timeStamp]]+tblJTL[[#This Row],[elapsed]]</f>
        <v>1790816486245</v>
      </c>
      <c r="U275" s="61">
        <f>(tblJTL[[#This Row],[timeStamp]]-'17_分析サンプル'!$E$18)/1000</f>
        <v>85.960999999999999</v>
      </c>
      <c r="V275" s="57">
        <f>INT(tblJTL[[#This Row],[経過秒]]/60)</f>
        <v>1</v>
      </c>
      <c r="W275" s="57">
        <f>IF(OR(tblJTL[[#This Row],[success]]=FALSE,tblJTL[[#This Row],[success]]="false"),1,0)</f>
        <v>0</v>
      </c>
      <c r="X275" s="57">
        <f>IF(AND(tblJTL[[#This Row],[経過秒]]&gt;='17_分析サンプル'!$E$11,tblJTL[[#This Row],[経過秒]]&lt;'17_分析サンプル'!$E$12),1,0)</f>
        <v>1</v>
      </c>
    </row>
    <row r="276" spans="2:24" ht="14.4" x14ac:dyDescent="0.3">
      <c r="B276" s="57">
        <v>1790816486038</v>
      </c>
      <c r="C276" s="58">
        <v>237</v>
      </c>
      <c r="D276" s="59" t="s">
        <v>1677</v>
      </c>
      <c r="E276" s="59" t="s">
        <v>3579</v>
      </c>
      <c r="F276" s="59" t="s">
        <v>3580</v>
      </c>
      <c r="G276" s="59" t="s">
        <v>3577</v>
      </c>
      <c r="H276" s="59" t="s">
        <v>2281</v>
      </c>
      <c r="I276" s="59" t="b">
        <v>1</v>
      </c>
      <c r="J276" s="59"/>
      <c r="K276" s="58">
        <v>439</v>
      </c>
      <c r="L276" s="58">
        <v>1478</v>
      </c>
      <c r="M276" s="59">
        <v>10</v>
      </c>
      <c r="N276" s="59">
        <v>10</v>
      </c>
      <c r="O276" s="59" t="s">
        <v>3581</v>
      </c>
      <c r="P276" s="58">
        <v>229</v>
      </c>
      <c r="Q276" s="59">
        <v>0</v>
      </c>
      <c r="R276" s="59">
        <v>0</v>
      </c>
      <c r="S276" s="60">
        <f>tblJTL[[#This Row],[timeStamp]]/86400000+DATE(1970,1,1)+TIME(9,0,0)</f>
        <v>46296.417662476852</v>
      </c>
      <c r="T276" s="57">
        <f>tblJTL[[#This Row],[timeStamp]]+tblJTL[[#This Row],[elapsed]]</f>
        <v>1790816486275</v>
      </c>
      <c r="U276" s="61">
        <f>(tblJTL[[#This Row],[timeStamp]]-'17_分析サンプル'!$E$18)/1000</f>
        <v>85.858000000000004</v>
      </c>
      <c r="V276" s="57">
        <f>INT(tblJTL[[#This Row],[経過秒]]/60)</f>
        <v>1</v>
      </c>
      <c r="W276" s="57">
        <f>IF(OR(tblJTL[[#This Row],[success]]=FALSE,tblJTL[[#This Row],[success]]="false"),1,0)</f>
        <v>0</v>
      </c>
      <c r="X276" s="57">
        <f>IF(AND(tblJTL[[#This Row],[経過秒]]&gt;='17_分析サンプル'!$E$11,tblJTL[[#This Row],[経過秒]]&lt;'17_分析サンプル'!$E$12),1,0)</f>
        <v>1</v>
      </c>
    </row>
    <row r="277" spans="2:24" ht="14.4" x14ac:dyDescent="0.3">
      <c r="B277" s="57">
        <v>1790816487147</v>
      </c>
      <c r="C277" s="58">
        <v>176</v>
      </c>
      <c r="D277" s="59" t="s">
        <v>1677</v>
      </c>
      <c r="E277" s="59" t="s">
        <v>3579</v>
      </c>
      <c r="F277" s="59" t="s">
        <v>3580</v>
      </c>
      <c r="G277" s="59" t="s">
        <v>3585</v>
      </c>
      <c r="H277" s="59" t="s">
        <v>2281</v>
      </c>
      <c r="I277" s="59" t="b">
        <v>1</v>
      </c>
      <c r="J277" s="59"/>
      <c r="K277" s="58">
        <v>435</v>
      </c>
      <c r="L277" s="58">
        <v>1478</v>
      </c>
      <c r="M277" s="59">
        <v>10</v>
      </c>
      <c r="N277" s="59">
        <v>10</v>
      </c>
      <c r="O277" s="59" t="s">
        <v>3581</v>
      </c>
      <c r="P277" s="58">
        <v>172</v>
      </c>
      <c r="Q277" s="59">
        <v>0</v>
      </c>
      <c r="R277" s="59">
        <v>0</v>
      </c>
      <c r="S277" s="60">
        <f>tblJTL[[#This Row],[timeStamp]]/86400000+DATE(1970,1,1)+TIME(9,0,0)</f>
        <v>46296.417675312499</v>
      </c>
      <c r="T277" s="57">
        <f>tblJTL[[#This Row],[timeStamp]]+tblJTL[[#This Row],[elapsed]]</f>
        <v>1790816487323</v>
      </c>
      <c r="U277" s="61">
        <f>(tblJTL[[#This Row],[timeStamp]]-'17_分析サンプル'!$E$18)/1000</f>
        <v>86.966999999999999</v>
      </c>
      <c r="V277" s="57">
        <f>INT(tblJTL[[#This Row],[経過秒]]/60)</f>
        <v>1</v>
      </c>
      <c r="W277" s="57">
        <f>IF(OR(tblJTL[[#This Row],[success]]=FALSE,tblJTL[[#This Row],[success]]="false"),1,0)</f>
        <v>0</v>
      </c>
      <c r="X277" s="57">
        <f>IF(AND(tblJTL[[#This Row],[経過秒]]&gt;='17_分析サンプル'!$E$11,tblJTL[[#This Row],[経過秒]]&lt;'17_分析サンプル'!$E$12),1,0)</f>
        <v>1</v>
      </c>
    </row>
    <row r="278" spans="2:24" ht="14.4" x14ac:dyDescent="0.3">
      <c r="B278" s="57">
        <v>1790816487388</v>
      </c>
      <c r="C278" s="58">
        <v>153</v>
      </c>
      <c r="D278" s="59" t="s">
        <v>1658</v>
      </c>
      <c r="E278" s="59" t="s">
        <v>1577</v>
      </c>
      <c r="F278" s="59" t="s">
        <v>2275</v>
      </c>
      <c r="G278" s="59" t="s">
        <v>2278</v>
      </c>
      <c r="H278" s="59" t="s">
        <v>2281</v>
      </c>
      <c r="I278" s="59" t="b">
        <v>1</v>
      </c>
      <c r="J278" s="59"/>
      <c r="K278" s="58">
        <v>1863</v>
      </c>
      <c r="L278" s="58">
        <v>1342</v>
      </c>
      <c r="M278" s="59">
        <v>10</v>
      </c>
      <c r="N278" s="59">
        <v>10</v>
      </c>
      <c r="O278" s="59" t="s">
        <v>3578</v>
      </c>
      <c r="P278" s="58">
        <v>147</v>
      </c>
      <c r="Q278" s="59">
        <v>0</v>
      </c>
      <c r="R278" s="59">
        <v>0</v>
      </c>
      <c r="S278" s="60">
        <f>tblJTL[[#This Row],[timeStamp]]/86400000+DATE(1970,1,1)+TIME(9,0,0)</f>
        <v>46296.417678101847</v>
      </c>
      <c r="T278" s="57">
        <f>tblJTL[[#This Row],[timeStamp]]+tblJTL[[#This Row],[elapsed]]</f>
        <v>1790816487541</v>
      </c>
      <c r="U278" s="61">
        <f>(tblJTL[[#This Row],[timeStamp]]-'17_分析サンプル'!$E$18)/1000</f>
        <v>87.207999999999998</v>
      </c>
      <c r="V278" s="57">
        <f>INT(tblJTL[[#This Row],[経過秒]]/60)</f>
        <v>1</v>
      </c>
      <c r="W278" s="57">
        <f>IF(OR(tblJTL[[#This Row],[success]]=FALSE,tblJTL[[#This Row],[success]]="false"),1,0)</f>
        <v>0</v>
      </c>
      <c r="X278" s="57">
        <f>IF(AND(tblJTL[[#This Row],[経過秒]]&gt;='17_分析サンプル'!$E$11,tblJTL[[#This Row],[経過秒]]&lt;'17_分析サンプル'!$E$12),1,0)</f>
        <v>1</v>
      </c>
    </row>
    <row r="279" spans="2:24" ht="14.4" x14ac:dyDescent="0.3">
      <c r="B279" s="57">
        <v>1790816487601</v>
      </c>
      <c r="C279" s="58">
        <v>120</v>
      </c>
      <c r="D279" s="59" t="s">
        <v>1658</v>
      </c>
      <c r="E279" s="59" t="s">
        <v>1577</v>
      </c>
      <c r="F279" s="59" t="s">
        <v>2275</v>
      </c>
      <c r="G279" s="59" t="s">
        <v>3587</v>
      </c>
      <c r="H279" s="59" t="s">
        <v>2281</v>
      </c>
      <c r="I279" s="59" t="b">
        <v>1</v>
      </c>
      <c r="J279" s="59"/>
      <c r="K279" s="58">
        <v>1898</v>
      </c>
      <c r="L279" s="58">
        <v>1342</v>
      </c>
      <c r="M279" s="59">
        <v>10</v>
      </c>
      <c r="N279" s="59">
        <v>10</v>
      </c>
      <c r="O279" s="59" t="s">
        <v>3578</v>
      </c>
      <c r="P279" s="58">
        <v>115</v>
      </c>
      <c r="Q279" s="59">
        <v>0</v>
      </c>
      <c r="R279" s="59">
        <v>0</v>
      </c>
      <c r="S279" s="60">
        <f>tblJTL[[#This Row],[timeStamp]]/86400000+DATE(1970,1,1)+TIME(9,0,0)</f>
        <v>46296.41768056713</v>
      </c>
      <c r="T279" s="57">
        <f>tblJTL[[#This Row],[timeStamp]]+tblJTL[[#This Row],[elapsed]]</f>
        <v>1790816487721</v>
      </c>
      <c r="U279" s="61">
        <f>(tblJTL[[#This Row],[timeStamp]]-'17_分析サンプル'!$E$18)/1000</f>
        <v>87.421000000000006</v>
      </c>
      <c r="V279" s="57">
        <f>INT(tblJTL[[#This Row],[経過秒]]/60)</f>
        <v>1</v>
      </c>
      <c r="W279" s="57">
        <f>IF(OR(tblJTL[[#This Row],[success]]=FALSE,tblJTL[[#This Row],[success]]="false"),1,0)</f>
        <v>0</v>
      </c>
      <c r="X279" s="57">
        <f>IF(AND(tblJTL[[#This Row],[経過秒]]&gt;='17_分析サンプル'!$E$11,tblJTL[[#This Row],[経過秒]]&lt;'17_分析サンプル'!$E$12),1,0)</f>
        <v>1</v>
      </c>
    </row>
    <row r="280" spans="2:24" ht="14.4" x14ac:dyDescent="0.3">
      <c r="B280" s="57">
        <v>1790816487623</v>
      </c>
      <c r="C280" s="58">
        <v>121</v>
      </c>
      <c r="D280" s="59" t="s">
        <v>1658</v>
      </c>
      <c r="E280" s="59" t="s">
        <v>1577</v>
      </c>
      <c r="F280" s="59" t="s">
        <v>2275</v>
      </c>
      <c r="G280" s="59" t="s">
        <v>3589</v>
      </c>
      <c r="H280" s="59" t="s">
        <v>2281</v>
      </c>
      <c r="I280" s="59" t="b">
        <v>1</v>
      </c>
      <c r="J280" s="59"/>
      <c r="K280" s="58">
        <v>1842</v>
      </c>
      <c r="L280" s="58">
        <v>1342</v>
      </c>
      <c r="M280" s="59">
        <v>10</v>
      </c>
      <c r="N280" s="59">
        <v>10</v>
      </c>
      <c r="O280" s="59" t="s">
        <v>3578</v>
      </c>
      <c r="P280" s="58">
        <v>119</v>
      </c>
      <c r="Q280" s="59">
        <v>0</v>
      </c>
      <c r="R280" s="59">
        <v>0</v>
      </c>
      <c r="S280" s="60">
        <f>tblJTL[[#This Row],[timeStamp]]/86400000+DATE(1970,1,1)+TIME(9,0,0)</f>
        <v>46296.41768082176</v>
      </c>
      <c r="T280" s="57">
        <f>tblJTL[[#This Row],[timeStamp]]+tblJTL[[#This Row],[elapsed]]</f>
        <v>1790816487744</v>
      </c>
      <c r="U280" s="61">
        <f>(tblJTL[[#This Row],[timeStamp]]-'17_分析サンプル'!$E$18)/1000</f>
        <v>87.442999999999998</v>
      </c>
      <c r="V280" s="57">
        <f>INT(tblJTL[[#This Row],[経過秒]]/60)</f>
        <v>1</v>
      </c>
      <c r="W280" s="57">
        <f>IF(OR(tblJTL[[#This Row],[success]]=FALSE,tblJTL[[#This Row],[success]]="false"),1,0)</f>
        <v>0</v>
      </c>
      <c r="X280" s="57">
        <f>IF(AND(tblJTL[[#This Row],[経過秒]]&gt;='17_分析サンプル'!$E$11,tblJTL[[#This Row],[経過秒]]&lt;'17_分析サンプル'!$E$12),1,0)</f>
        <v>1</v>
      </c>
    </row>
    <row r="281" spans="2:24" ht="14.4" x14ac:dyDescent="0.3">
      <c r="B281" s="57">
        <v>1790816487791</v>
      </c>
      <c r="C281" s="58">
        <v>130</v>
      </c>
      <c r="D281" s="59" t="s">
        <v>1658</v>
      </c>
      <c r="E281" s="59" t="s">
        <v>1577</v>
      </c>
      <c r="F281" s="59" t="s">
        <v>2275</v>
      </c>
      <c r="G281" s="59" t="s">
        <v>3583</v>
      </c>
      <c r="H281" s="59" t="s">
        <v>2281</v>
      </c>
      <c r="I281" s="59" t="b">
        <v>1</v>
      </c>
      <c r="J281" s="59"/>
      <c r="K281" s="58">
        <v>1874</v>
      </c>
      <c r="L281" s="58">
        <v>1342</v>
      </c>
      <c r="M281" s="59">
        <v>10</v>
      </c>
      <c r="N281" s="59">
        <v>10</v>
      </c>
      <c r="O281" s="59" t="s">
        <v>3578</v>
      </c>
      <c r="P281" s="58">
        <v>123</v>
      </c>
      <c r="Q281" s="59">
        <v>0</v>
      </c>
      <c r="R281" s="59">
        <v>0</v>
      </c>
      <c r="S281" s="60">
        <f>tblJTL[[#This Row],[timeStamp]]/86400000+DATE(1970,1,1)+TIME(9,0,0)</f>
        <v>46296.417682766201</v>
      </c>
      <c r="T281" s="57">
        <f>tblJTL[[#This Row],[timeStamp]]+tblJTL[[#This Row],[elapsed]]</f>
        <v>1790816487921</v>
      </c>
      <c r="U281" s="61">
        <f>(tblJTL[[#This Row],[timeStamp]]-'17_分析サンプル'!$E$18)/1000</f>
        <v>87.611000000000004</v>
      </c>
      <c r="V281" s="57">
        <f>INT(tblJTL[[#This Row],[経過秒]]/60)</f>
        <v>1</v>
      </c>
      <c r="W281" s="57">
        <f>IF(OR(tblJTL[[#This Row],[success]]=FALSE,tblJTL[[#This Row],[success]]="false"),1,0)</f>
        <v>0</v>
      </c>
      <c r="X281" s="57">
        <f>IF(AND(tblJTL[[#This Row],[経過秒]]&gt;='17_分析サンプル'!$E$11,tblJTL[[#This Row],[経過秒]]&lt;'17_分析サンプル'!$E$12),1,0)</f>
        <v>1</v>
      </c>
    </row>
    <row r="282" spans="2:24" ht="14.4" x14ac:dyDescent="0.3">
      <c r="B282" s="57">
        <v>1790816487853</v>
      </c>
      <c r="C282" s="58">
        <v>162</v>
      </c>
      <c r="D282" s="59" t="s">
        <v>1658</v>
      </c>
      <c r="E282" s="59" t="s">
        <v>1577</v>
      </c>
      <c r="F282" s="59" t="s">
        <v>2275</v>
      </c>
      <c r="G282" s="59" t="s">
        <v>3588</v>
      </c>
      <c r="H282" s="59" t="s">
        <v>2281</v>
      </c>
      <c r="I282" s="59" t="b">
        <v>1</v>
      </c>
      <c r="J282" s="59"/>
      <c r="K282" s="58">
        <v>1883</v>
      </c>
      <c r="L282" s="58">
        <v>1342</v>
      </c>
      <c r="M282" s="59">
        <v>10</v>
      </c>
      <c r="N282" s="59">
        <v>10</v>
      </c>
      <c r="O282" s="59" t="s">
        <v>3578</v>
      </c>
      <c r="P282" s="58">
        <v>160</v>
      </c>
      <c r="Q282" s="59">
        <v>0</v>
      </c>
      <c r="R282" s="59">
        <v>0</v>
      </c>
      <c r="S282" s="60">
        <f>tblJTL[[#This Row],[timeStamp]]/86400000+DATE(1970,1,1)+TIME(9,0,0)</f>
        <v>46296.4176834838</v>
      </c>
      <c r="T282" s="57">
        <f>tblJTL[[#This Row],[timeStamp]]+tblJTL[[#This Row],[elapsed]]</f>
        <v>1790816488015</v>
      </c>
      <c r="U282" s="61">
        <f>(tblJTL[[#This Row],[timeStamp]]-'17_分析サンプル'!$E$18)/1000</f>
        <v>87.673000000000002</v>
      </c>
      <c r="V282" s="57">
        <f>INT(tblJTL[[#This Row],[経過秒]]/60)</f>
        <v>1</v>
      </c>
      <c r="W282" s="57">
        <f>IF(OR(tblJTL[[#This Row],[success]]=FALSE,tblJTL[[#This Row],[success]]="false"),1,0)</f>
        <v>0</v>
      </c>
      <c r="X282" s="57">
        <f>IF(AND(tblJTL[[#This Row],[経過秒]]&gt;='17_分析サンプル'!$E$11,tblJTL[[#This Row],[経過秒]]&lt;'17_分析サンプル'!$E$12),1,0)</f>
        <v>1</v>
      </c>
    </row>
    <row r="283" spans="2:24" ht="14.4" x14ac:dyDescent="0.3">
      <c r="B283" s="57">
        <v>1790816488028</v>
      </c>
      <c r="C283" s="58">
        <v>67</v>
      </c>
      <c r="D283" s="59" t="s">
        <v>1658</v>
      </c>
      <c r="E283" s="59" t="s">
        <v>1577</v>
      </c>
      <c r="F283" s="59" t="s">
        <v>2275</v>
      </c>
      <c r="G283" s="59" t="s">
        <v>3582</v>
      </c>
      <c r="H283" s="59" t="s">
        <v>2281</v>
      </c>
      <c r="I283" s="59" t="b">
        <v>1</v>
      </c>
      <c r="J283" s="59"/>
      <c r="K283" s="58">
        <v>1837</v>
      </c>
      <c r="L283" s="58">
        <v>1342</v>
      </c>
      <c r="M283" s="59">
        <v>10</v>
      </c>
      <c r="N283" s="59">
        <v>10</v>
      </c>
      <c r="O283" s="59" t="s">
        <v>3578</v>
      </c>
      <c r="P283" s="58">
        <v>65</v>
      </c>
      <c r="Q283" s="59">
        <v>0</v>
      </c>
      <c r="R283" s="59">
        <v>0</v>
      </c>
      <c r="S283" s="60">
        <f>tblJTL[[#This Row],[timeStamp]]/86400000+DATE(1970,1,1)+TIME(9,0,0)</f>
        <v>46296.417685509259</v>
      </c>
      <c r="T283" s="57">
        <f>tblJTL[[#This Row],[timeStamp]]+tblJTL[[#This Row],[elapsed]]</f>
        <v>1790816488095</v>
      </c>
      <c r="U283" s="61">
        <f>(tblJTL[[#This Row],[timeStamp]]-'17_分析サンプル'!$E$18)/1000</f>
        <v>87.847999999999999</v>
      </c>
      <c r="V283" s="57">
        <f>INT(tblJTL[[#This Row],[経過秒]]/60)</f>
        <v>1</v>
      </c>
      <c r="W283" s="57">
        <f>IF(OR(tblJTL[[#This Row],[success]]=FALSE,tblJTL[[#This Row],[success]]="false"),1,0)</f>
        <v>0</v>
      </c>
      <c r="X283" s="57">
        <f>IF(AND(tblJTL[[#This Row],[経過秒]]&gt;='17_分析サンプル'!$E$11,tblJTL[[#This Row],[経過秒]]&lt;'17_分析サンプル'!$E$12),1,0)</f>
        <v>1</v>
      </c>
    </row>
    <row r="284" spans="2:24" ht="14.4" x14ac:dyDescent="0.3">
      <c r="B284" s="57">
        <v>1790816488084</v>
      </c>
      <c r="C284" s="58">
        <v>71</v>
      </c>
      <c r="D284" s="59" t="s">
        <v>1658</v>
      </c>
      <c r="E284" s="59" t="s">
        <v>1577</v>
      </c>
      <c r="F284" s="59" t="s">
        <v>2275</v>
      </c>
      <c r="G284" s="59" t="s">
        <v>3586</v>
      </c>
      <c r="H284" s="59" t="s">
        <v>2281</v>
      </c>
      <c r="I284" s="59" t="b">
        <v>1</v>
      </c>
      <c r="J284" s="59"/>
      <c r="K284" s="58">
        <v>1891</v>
      </c>
      <c r="L284" s="58">
        <v>1342</v>
      </c>
      <c r="M284" s="59">
        <v>10</v>
      </c>
      <c r="N284" s="59">
        <v>10</v>
      </c>
      <c r="O284" s="59" t="s">
        <v>3578</v>
      </c>
      <c r="P284" s="58">
        <v>68</v>
      </c>
      <c r="Q284" s="59">
        <v>0</v>
      </c>
      <c r="R284" s="59">
        <v>0</v>
      </c>
      <c r="S284" s="60">
        <f>tblJTL[[#This Row],[timeStamp]]/86400000+DATE(1970,1,1)+TIME(9,0,0)</f>
        <v>46296.417686157409</v>
      </c>
      <c r="T284" s="57">
        <f>tblJTL[[#This Row],[timeStamp]]+tblJTL[[#This Row],[elapsed]]</f>
        <v>1790816488155</v>
      </c>
      <c r="U284" s="61">
        <f>(tblJTL[[#This Row],[timeStamp]]-'17_分析サンプル'!$E$18)/1000</f>
        <v>87.903999999999996</v>
      </c>
      <c r="V284" s="57">
        <f>INT(tblJTL[[#This Row],[経過秒]]/60)</f>
        <v>1</v>
      </c>
      <c r="W284" s="57">
        <f>IF(OR(tblJTL[[#This Row],[success]]=FALSE,tblJTL[[#This Row],[success]]="false"),1,0)</f>
        <v>0</v>
      </c>
      <c r="X284" s="57">
        <f>IF(AND(tblJTL[[#This Row],[経過秒]]&gt;='17_分析サンプル'!$E$11,tblJTL[[#This Row],[経過秒]]&lt;'17_分析サンプル'!$E$12),1,0)</f>
        <v>1</v>
      </c>
    </row>
    <row r="285" spans="2:24" ht="14.4" x14ac:dyDescent="0.3">
      <c r="B285" s="57">
        <v>1790816488640</v>
      </c>
      <c r="C285" s="58">
        <v>102</v>
      </c>
      <c r="D285" s="59" t="s">
        <v>1658</v>
      </c>
      <c r="E285" s="59" t="s">
        <v>1577</v>
      </c>
      <c r="F285" s="59" t="s">
        <v>2275</v>
      </c>
      <c r="G285" s="59" t="s">
        <v>3585</v>
      </c>
      <c r="H285" s="59" t="s">
        <v>2281</v>
      </c>
      <c r="I285" s="59" t="b">
        <v>1</v>
      </c>
      <c r="J285" s="59"/>
      <c r="K285" s="58">
        <v>1882</v>
      </c>
      <c r="L285" s="58">
        <v>1342</v>
      </c>
      <c r="M285" s="59">
        <v>10</v>
      </c>
      <c r="N285" s="59">
        <v>10</v>
      </c>
      <c r="O285" s="59" t="s">
        <v>3578</v>
      </c>
      <c r="P285" s="58">
        <v>95</v>
      </c>
      <c r="Q285" s="59">
        <v>0</v>
      </c>
      <c r="R285" s="59">
        <v>0</v>
      </c>
      <c r="S285" s="60">
        <f>tblJTL[[#This Row],[timeStamp]]/86400000+DATE(1970,1,1)+TIME(9,0,0)</f>
        <v>46296.417692592593</v>
      </c>
      <c r="T285" s="57">
        <f>tblJTL[[#This Row],[timeStamp]]+tblJTL[[#This Row],[elapsed]]</f>
        <v>1790816488742</v>
      </c>
      <c r="U285" s="61">
        <f>(tblJTL[[#This Row],[timeStamp]]-'17_分析サンプル'!$E$18)/1000</f>
        <v>88.46</v>
      </c>
      <c r="V285" s="57">
        <f>INT(tblJTL[[#This Row],[経過秒]]/60)</f>
        <v>1</v>
      </c>
      <c r="W285" s="57">
        <f>IF(OR(tblJTL[[#This Row],[success]]=FALSE,tblJTL[[#This Row],[success]]="false"),1,0)</f>
        <v>0</v>
      </c>
      <c r="X285" s="57">
        <f>IF(AND(tblJTL[[#This Row],[経過秒]]&gt;='17_分析サンプル'!$E$11,tblJTL[[#This Row],[経過秒]]&lt;'17_分析サンプル'!$E$12),1,0)</f>
        <v>1</v>
      </c>
    </row>
    <row r="286" spans="2:24" ht="14.4" x14ac:dyDescent="0.3">
      <c r="B286" s="57">
        <v>1790816488685</v>
      </c>
      <c r="C286" s="58">
        <v>194</v>
      </c>
      <c r="D286" s="59" t="s">
        <v>1658</v>
      </c>
      <c r="E286" s="59" t="s">
        <v>1577</v>
      </c>
      <c r="F286" s="59" t="s">
        <v>2275</v>
      </c>
      <c r="G286" s="59" t="s">
        <v>3577</v>
      </c>
      <c r="H286" s="59" t="s">
        <v>2281</v>
      </c>
      <c r="I286" s="59" t="b">
        <v>1</v>
      </c>
      <c r="J286" s="59"/>
      <c r="K286" s="58">
        <v>1837</v>
      </c>
      <c r="L286" s="58">
        <v>1342</v>
      </c>
      <c r="M286" s="59">
        <v>10</v>
      </c>
      <c r="N286" s="59">
        <v>10</v>
      </c>
      <c r="O286" s="59" t="s">
        <v>3578</v>
      </c>
      <c r="P286" s="58">
        <v>186</v>
      </c>
      <c r="Q286" s="59">
        <v>0</v>
      </c>
      <c r="R286" s="59">
        <v>0</v>
      </c>
      <c r="S286" s="60">
        <f>tblJTL[[#This Row],[timeStamp]]/86400000+DATE(1970,1,1)+TIME(9,0,0)</f>
        <v>46296.417693113428</v>
      </c>
      <c r="T286" s="57">
        <f>tblJTL[[#This Row],[timeStamp]]+tblJTL[[#This Row],[elapsed]]</f>
        <v>1790816488879</v>
      </c>
      <c r="U286" s="61">
        <f>(tblJTL[[#This Row],[timeStamp]]-'17_分析サンプル'!$E$18)/1000</f>
        <v>88.504999999999995</v>
      </c>
      <c r="V286" s="57">
        <f>INT(tblJTL[[#This Row],[経過秒]]/60)</f>
        <v>1</v>
      </c>
      <c r="W286" s="57">
        <f>IF(OR(tblJTL[[#This Row],[success]]=FALSE,tblJTL[[#This Row],[success]]="false"),1,0)</f>
        <v>0</v>
      </c>
      <c r="X286" s="57">
        <f>IF(AND(tblJTL[[#This Row],[経過秒]]&gt;='17_分析サンプル'!$E$11,tblJTL[[#This Row],[経過秒]]&lt;'17_分析サンプル'!$E$12),1,0)</f>
        <v>1</v>
      </c>
    </row>
    <row r="287" spans="2:24" ht="14.4" x14ac:dyDescent="0.3">
      <c r="B287" s="57">
        <v>1790816488754</v>
      </c>
      <c r="C287" s="58">
        <v>226</v>
      </c>
      <c r="D287" s="59" t="s">
        <v>1677</v>
      </c>
      <c r="E287" s="59" t="s">
        <v>3579</v>
      </c>
      <c r="F287" s="59" t="s">
        <v>3580</v>
      </c>
      <c r="G287" s="59" t="s">
        <v>3584</v>
      </c>
      <c r="H287" s="59" t="s">
        <v>2281</v>
      </c>
      <c r="I287" s="59" t="b">
        <v>1</v>
      </c>
      <c r="J287" s="59"/>
      <c r="K287" s="58">
        <v>419</v>
      </c>
      <c r="L287" s="58">
        <v>1478</v>
      </c>
      <c r="M287" s="59">
        <v>10</v>
      </c>
      <c r="N287" s="59">
        <v>10</v>
      </c>
      <c r="O287" s="59" t="s">
        <v>3581</v>
      </c>
      <c r="P287" s="58">
        <v>220</v>
      </c>
      <c r="Q287" s="59">
        <v>0</v>
      </c>
      <c r="R287" s="59">
        <v>64</v>
      </c>
      <c r="S287" s="60">
        <f>tblJTL[[#This Row],[timeStamp]]/86400000+DATE(1970,1,1)+TIME(9,0,0)</f>
        <v>46296.417693912037</v>
      </c>
      <c r="T287" s="57">
        <f>tblJTL[[#This Row],[timeStamp]]+tblJTL[[#This Row],[elapsed]]</f>
        <v>1790816488980</v>
      </c>
      <c r="U287" s="61">
        <f>(tblJTL[[#This Row],[timeStamp]]-'17_分析サンプル'!$E$18)/1000</f>
        <v>88.573999999999998</v>
      </c>
      <c r="V287" s="57">
        <f>INT(tblJTL[[#This Row],[経過秒]]/60)</f>
        <v>1</v>
      </c>
      <c r="W287" s="57">
        <f>IF(OR(tblJTL[[#This Row],[success]]=FALSE,tblJTL[[#This Row],[success]]="false"),1,0)</f>
        <v>0</v>
      </c>
      <c r="X287" s="57">
        <f>IF(AND(tblJTL[[#This Row],[経過秒]]&gt;='17_分析サンプル'!$E$11,tblJTL[[#This Row],[経過秒]]&lt;'17_分析サンプル'!$E$12),1,0)</f>
        <v>1</v>
      </c>
    </row>
    <row r="288" spans="2:24" ht="14.4" x14ac:dyDescent="0.3">
      <c r="B288" s="57">
        <v>1790816488739</v>
      </c>
      <c r="C288" s="58">
        <v>263</v>
      </c>
      <c r="D288" s="59" t="s">
        <v>1677</v>
      </c>
      <c r="E288" s="59" t="s">
        <v>3579</v>
      </c>
      <c r="F288" s="59" t="s">
        <v>3580</v>
      </c>
      <c r="G288" s="59" t="s">
        <v>2278</v>
      </c>
      <c r="H288" s="59" t="s">
        <v>2281</v>
      </c>
      <c r="I288" s="59" t="b">
        <v>1</v>
      </c>
      <c r="J288" s="59"/>
      <c r="K288" s="58">
        <v>410</v>
      </c>
      <c r="L288" s="58">
        <v>1478</v>
      </c>
      <c r="M288" s="59">
        <v>10</v>
      </c>
      <c r="N288" s="59">
        <v>10</v>
      </c>
      <c r="O288" s="59" t="s">
        <v>3581</v>
      </c>
      <c r="P288" s="58">
        <v>260</v>
      </c>
      <c r="Q288" s="59">
        <v>0</v>
      </c>
      <c r="R288" s="59">
        <v>0</v>
      </c>
      <c r="S288" s="60">
        <f>tblJTL[[#This Row],[timeStamp]]/86400000+DATE(1970,1,1)+TIME(9,0,0)</f>
        <v>46296.417693738425</v>
      </c>
      <c r="T288" s="57">
        <f>tblJTL[[#This Row],[timeStamp]]+tblJTL[[#This Row],[elapsed]]</f>
        <v>1790816489002</v>
      </c>
      <c r="U288" s="61">
        <f>(tblJTL[[#This Row],[timeStamp]]-'17_分析サンプル'!$E$18)/1000</f>
        <v>88.558999999999997</v>
      </c>
      <c r="V288" s="57">
        <f>INT(tblJTL[[#This Row],[経過秒]]/60)</f>
        <v>1</v>
      </c>
      <c r="W288" s="57">
        <f>IF(OR(tblJTL[[#This Row],[success]]=FALSE,tblJTL[[#This Row],[success]]="false"),1,0)</f>
        <v>0</v>
      </c>
      <c r="X288" s="57">
        <f>IF(AND(tblJTL[[#This Row],[経過秒]]&gt;='17_分析サンプル'!$E$11,tblJTL[[#This Row],[経過秒]]&lt;'17_分析サンプル'!$E$12),1,0)</f>
        <v>1</v>
      </c>
    </row>
    <row r="289" spans="2:24" ht="14.4" x14ac:dyDescent="0.3">
      <c r="B289" s="57">
        <v>1790816489278</v>
      </c>
      <c r="C289" s="58">
        <v>255</v>
      </c>
      <c r="D289" s="59" t="s">
        <v>1677</v>
      </c>
      <c r="E289" s="59" t="s">
        <v>3579</v>
      </c>
      <c r="F289" s="59" t="s">
        <v>3580</v>
      </c>
      <c r="G289" s="59" t="s">
        <v>3582</v>
      </c>
      <c r="H289" s="59" t="s">
        <v>2281</v>
      </c>
      <c r="I289" s="59" t="b">
        <v>1</v>
      </c>
      <c r="J289" s="59"/>
      <c r="K289" s="58">
        <v>415</v>
      </c>
      <c r="L289" s="58">
        <v>1478</v>
      </c>
      <c r="M289" s="59">
        <v>10</v>
      </c>
      <c r="N289" s="59">
        <v>10</v>
      </c>
      <c r="O289" s="59" t="s">
        <v>3581</v>
      </c>
      <c r="P289" s="58">
        <v>247</v>
      </c>
      <c r="Q289" s="59">
        <v>0</v>
      </c>
      <c r="R289" s="59">
        <v>0</v>
      </c>
      <c r="S289" s="60">
        <f>tblJTL[[#This Row],[timeStamp]]/86400000+DATE(1970,1,1)+TIME(9,0,0)</f>
        <v>46296.417699976853</v>
      </c>
      <c r="T289" s="57">
        <f>tblJTL[[#This Row],[timeStamp]]+tblJTL[[#This Row],[elapsed]]</f>
        <v>1790816489533</v>
      </c>
      <c r="U289" s="61">
        <f>(tblJTL[[#This Row],[timeStamp]]-'17_分析サンプル'!$E$18)/1000</f>
        <v>89.097999999999999</v>
      </c>
      <c r="V289" s="57">
        <f>INT(tblJTL[[#This Row],[経過秒]]/60)</f>
        <v>1</v>
      </c>
      <c r="W289" s="57">
        <f>IF(OR(tblJTL[[#This Row],[success]]=FALSE,tblJTL[[#This Row],[success]]="false"),1,0)</f>
        <v>0</v>
      </c>
      <c r="X289" s="57">
        <f>IF(AND(tblJTL[[#This Row],[経過秒]]&gt;='17_分析サンプル'!$E$11,tblJTL[[#This Row],[経過秒]]&lt;'17_分析サンプル'!$E$12),1,0)</f>
        <v>1</v>
      </c>
    </row>
    <row r="290" spans="2:24" ht="14.4" x14ac:dyDescent="0.3">
      <c r="B290" s="57">
        <v>1790816489584</v>
      </c>
      <c r="C290" s="58">
        <v>266</v>
      </c>
      <c r="D290" s="59" t="s">
        <v>1677</v>
      </c>
      <c r="E290" s="59" t="s">
        <v>3579</v>
      </c>
      <c r="F290" s="59" t="s">
        <v>3580</v>
      </c>
      <c r="G290" s="59" t="s">
        <v>3586</v>
      </c>
      <c r="H290" s="59" t="s">
        <v>2281</v>
      </c>
      <c r="I290" s="59" t="b">
        <v>1</v>
      </c>
      <c r="J290" s="59"/>
      <c r="K290" s="58">
        <v>432</v>
      </c>
      <c r="L290" s="58">
        <v>1478</v>
      </c>
      <c r="M290" s="59">
        <v>10</v>
      </c>
      <c r="N290" s="59">
        <v>10</v>
      </c>
      <c r="O290" s="59" t="s">
        <v>3581</v>
      </c>
      <c r="P290" s="58">
        <v>262</v>
      </c>
      <c r="Q290" s="59">
        <v>0</v>
      </c>
      <c r="R290" s="59">
        <v>0</v>
      </c>
      <c r="S290" s="60">
        <f>tblJTL[[#This Row],[timeStamp]]/86400000+DATE(1970,1,1)+TIME(9,0,0)</f>
        <v>46296.41770351852</v>
      </c>
      <c r="T290" s="57">
        <f>tblJTL[[#This Row],[timeStamp]]+tblJTL[[#This Row],[elapsed]]</f>
        <v>1790816489850</v>
      </c>
      <c r="U290" s="61">
        <f>(tblJTL[[#This Row],[timeStamp]]-'17_分析サンプル'!$E$18)/1000</f>
        <v>89.403999999999996</v>
      </c>
      <c r="V290" s="57">
        <f>INT(tblJTL[[#This Row],[経過秒]]/60)</f>
        <v>1</v>
      </c>
      <c r="W290" s="57">
        <f>IF(OR(tblJTL[[#This Row],[success]]=FALSE,tblJTL[[#This Row],[success]]="false"),1,0)</f>
        <v>0</v>
      </c>
      <c r="X290" s="57">
        <f>IF(AND(tblJTL[[#This Row],[経過秒]]&gt;='17_分析サンプル'!$E$11,tblJTL[[#This Row],[経過秒]]&lt;'17_分析サンプル'!$E$12),1,0)</f>
        <v>1</v>
      </c>
    </row>
    <row r="291" spans="2:24" ht="14.4" x14ac:dyDescent="0.3">
      <c r="B291" s="57">
        <v>1790816490058</v>
      </c>
      <c r="C291" s="58">
        <v>265</v>
      </c>
      <c r="D291" s="59" t="s">
        <v>1677</v>
      </c>
      <c r="E291" s="59" t="s">
        <v>3579</v>
      </c>
      <c r="F291" s="59" t="s">
        <v>3580</v>
      </c>
      <c r="G291" s="59" t="s">
        <v>3589</v>
      </c>
      <c r="H291" s="59" t="s">
        <v>2281</v>
      </c>
      <c r="I291" s="59" t="b">
        <v>1</v>
      </c>
      <c r="J291" s="59"/>
      <c r="K291" s="58">
        <v>437</v>
      </c>
      <c r="L291" s="58">
        <v>1478</v>
      </c>
      <c r="M291" s="59">
        <v>10</v>
      </c>
      <c r="N291" s="59">
        <v>10</v>
      </c>
      <c r="O291" s="59" t="s">
        <v>3581</v>
      </c>
      <c r="P291" s="58">
        <v>263</v>
      </c>
      <c r="Q291" s="59">
        <v>0</v>
      </c>
      <c r="R291" s="59">
        <v>0</v>
      </c>
      <c r="S291" s="60">
        <f>tblJTL[[#This Row],[timeStamp]]/86400000+DATE(1970,1,1)+TIME(9,0,0)</f>
        <v>46296.417709004629</v>
      </c>
      <c r="T291" s="57">
        <f>tblJTL[[#This Row],[timeStamp]]+tblJTL[[#This Row],[elapsed]]</f>
        <v>1790816490323</v>
      </c>
      <c r="U291" s="61">
        <f>(tblJTL[[#This Row],[timeStamp]]-'17_分析サンプル'!$E$18)/1000</f>
        <v>89.878</v>
      </c>
      <c r="V291" s="57">
        <f>INT(tblJTL[[#This Row],[経過秒]]/60)</f>
        <v>1</v>
      </c>
      <c r="W291" s="57">
        <f>IF(OR(tblJTL[[#This Row],[success]]=FALSE,tblJTL[[#This Row],[success]]="false"),1,0)</f>
        <v>0</v>
      </c>
      <c r="X291" s="57">
        <f>IF(AND(tblJTL[[#This Row],[経過秒]]&gt;='17_分析サンプル'!$E$11,tblJTL[[#This Row],[経過秒]]&lt;'17_分析サンプル'!$E$12),1,0)</f>
        <v>1</v>
      </c>
    </row>
    <row r="292" spans="2:24" ht="14.4" x14ac:dyDescent="0.3">
      <c r="B292" s="57">
        <v>1790816490204</v>
      </c>
      <c r="C292" s="58">
        <v>273</v>
      </c>
      <c r="D292" s="59" t="s">
        <v>1677</v>
      </c>
      <c r="E292" s="59" t="s">
        <v>3579</v>
      </c>
      <c r="F292" s="59" t="s">
        <v>3580</v>
      </c>
      <c r="G292" s="59" t="s">
        <v>3588</v>
      </c>
      <c r="H292" s="59" t="s">
        <v>2281</v>
      </c>
      <c r="I292" s="59" t="b">
        <v>1</v>
      </c>
      <c r="J292" s="59"/>
      <c r="K292" s="58">
        <v>418</v>
      </c>
      <c r="L292" s="58">
        <v>1478</v>
      </c>
      <c r="M292" s="59">
        <v>10</v>
      </c>
      <c r="N292" s="59">
        <v>10</v>
      </c>
      <c r="O292" s="59" t="s">
        <v>3581</v>
      </c>
      <c r="P292" s="58">
        <v>269</v>
      </c>
      <c r="Q292" s="59">
        <v>0</v>
      </c>
      <c r="R292" s="59">
        <v>0</v>
      </c>
      <c r="S292" s="60">
        <f>tblJTL[[#This Row],[timeStamp]]/86400000+DATE(1970,1,1)+TIME(9,0,0)</f>
        <v>46296.417710694441</v>
      </c>
      <c r="T292" s="57">
        <f>tblJTL[[#This Row],[timeStamp]]+tblJTL[[#This Row],[elapsed]]</f>
        <v>1790816490477</v>
      </c>
      <c r="U292" s="61">
        <f>(tblJTL[[#This Row],[timeStamp]]-'17_分析サンプル'!$E$18)/1000</f>
        <v>90.024000000000001</v>
      </c>
      <c r="V292" s="57">
        <f>INT(tblJTL[[#This Row],[経過秒]]/60)</f>
        <v>1</v>
      </c>
      <c r="W292" s="57">
        <f>IF(OR(tblJTL[[#This Row],[success]]=FALSE,tblJTL[[#This Row],[success]]="false"),1,0)</f>
        <v>0</v>
      </c>
      <c r="X292" s="57">
        <f>IF(AND(tblJTL[[#This Row],[経過秒]]&gt;='17_分析サンプル'!$E$11,tblJTL[[#This Row],[経過秒]]&lt;'17_分析サンプル'!$E$12),1,0)</f>
        <v>1</v>
      </c>
    </row>
    <row r="293" spans="2:24" ht="14.4" x14ac:dyDescent="0.3">
      <c r="B293" s="57">
        <v>1790816490372</v>
      </c>
      <c r="C293" s="58">
        <v>237</v>
      </c>
      <c r="D293" s="59" t="s">
        <v>1677</v>
      </c>
      <c r="E293" s="59" t="s">
        <v>3579</v>
      </c>
      <c r="F293" s="59" t="s">
        <v>3580</v>
      </c>
      <c r="G293" s="59" t="s">
        <v>3585</v>
      </c>
      <c r="H293" s="59" t="s">
        <v>2281</v>
      </c>
      <c r="I293" s="59" t="b">
        <v>1</v>
      </c>
      <c r="J293" s="59"/>
      <c r="K293" s="58">
        <v>418</v>
      </c>
      <c r="L293" s="58">
        <v>1478</v>
      </c>
      <c r="M293" s="59">
        <v>10</v>
      </c>
      <c r="N293" s="59">
        <v>10</v>
      </c>
      <c r="O293" s="59" t="s">
        <v>3581</v>
      </c>
      <c r="P293" s="58">
        <v>234</v>
      </c>
      <c r="Q293" s="59">
        <v>0</v>
      </c>
      <c r="R293" s="59">
        <v>0</v>
      </c>
      <c r="S293" s="60">
        <f>tblJTL[[#This Row],[timeStamp]]/86400000+DATE(1970,1,1)+TIME(9,0,0)</f>
        <v>46296.417712638889</v>
      </c>
      <c r="T293" s="57">
        <f>tblJTL[[#This Row],[timeStamp]]+tblJTL[[#This Row],[elapsed]]</f>
        <v>1790816490609</v>
      </c>
      <c r="U293" s="61">
        <f>(tblJTL[[#This Row],[timeStamp]]-'17_分析サンプル'!$E$18)/1000</f>
        <v>90.191999999999993</v>
      </c>
      <c r="V293" s="57">
        <f>INT(tblJTL[[#This Row],[経過秒]]/60)</f>
        <v>1</v>
      </c>
      <c r="W293" s="57">
        <f>IF(OR(tblJTL[[#This Row],[success]]=FALSE,tblJTL[[#This Row],[success]]="false"),1,0)</f>
        <v>0</v>
      </c>
      <c r="X293" s="57">
        <f>IF(AND(tblJTL[[#This Row],[経過秒]]&gt;='17_分析サンプル'!$E$11,tblJTL[[#This Row],[経過秒]]&lt;'17_分析サンプル'!$E$12),1,0)</f>
        <v>1</v>
      </c>
    </row>
    <row r="294" spans="2:24" ht="14.4" x14ac:dyDescent="0.3">
      <c r="B294" s="57">
        <v>1790816490592</v>
      </c>
      <c r="C294" s="58">
        <v>89</v>
      </c>
      <c r="D294" s="59" t="s">
        <v>1658</v>
      </c>
      <c r="E294" s="59" t="s">
        <v>1577</v>
      </c>
      <c r="F294" s="59" t="s">
        <v>2275</v>
      </c>
      <c r="G294" s="59" t="s">
        <v>3584</v>
      </c>
      <c r="H294" s="59" t="s">
        <v>2281</v>
      </c>
      <c r="I294" s="59" t="b">
        <v>1</v>
      </c>
      <c r="J294" s="59"/>
      <c r="K294" s="58">
        <v>1841</v>
      </c>
      <c r="L294" s="58">
        <v>1342</v>
      </c>
      <c r="M294" s="59">
        <v>10</v>
      </c>
      <c r="N294" s="59">
        <v>10</v>
      </c>
      <c r="O294" s="59" t="s">
        <v>3578</v>
      </c>
      <c r="P294" s="58">
        <v>86</v>
      </c>
      <c r="Q294" s="59">
        <v>0</v>
      </c>
      <c r="R294" s="59">
        <v>0</v>
      </c>
      <c r="S294" s="60">
        <f>tblJTL[[#This Row],[timeStamp]]/86400000+DATE(1970,1,1)+TIME(9,0,0)</f>
        <v>46296.417715185184</v>
      </c>
      <c r="T294" s="57">
        <f>tblJTL[[#This Row],[timeStamp]]+tblJTL[[#This Row],[elapsed]]</f>
        <v>1790816490681</v>
      </c>
      <c r="U294" s="61">
        <f>(tblJTL[[#This Row],[timeStamp]]-'17_分析サンプル'!$E$18)/1000</f>
        <v>90.412000000000006</v>
      </c>
      <c r="V294" s="57">
        <f>INT(tblJTL[[#This Row],[経過秒]]/60)</f>
        <v>1</v>
      </c>
      <c r="W294" s="57">
        <f>IF(OR(tblJTL[[#This Row],[success]]=FALSE,tblJTL[[#This Row],[success]]="false"),1,0)</f>
        <v>0</v>
      </c>
      <c r="X294" s="57">
        <f>IF(AND(tblJTL[[#This Row],[経過秒]]&gt;='17_分析サンプル'!$E$11,tblJTL[[#This Row],[経過秒]]&lt;'17_分析サンプル'!$E$12),1,0)</f>
        <v>1</v>
      </c>
    </row>
    <row r="295" spans="2:24" ht="14.4" x14ac:dyDescent="0.3">
      <c r="B295" s="57">
        <v>1790816490371</v>
      </c>
      <c r="C295" s="58">
        <v>336</v>
      </c>
      <c r="D295" s="59" t="s">
        <v>1677</v>
      </c>
      <c r="E295" s="59" t="s">
        <v>3579</v>
      </c>
      <c r="F295" s="59" t="s">
        <v>3580</v>
      </c>
      <c r="G295" s="59" t="s">
        <v>3587</v>
      </c>
      <c r="H295" s="59" t="s">
        <v>2281</v>
      </c>
      <c r="I295" s="59" t="b">
        <v>1</v>
      </c>
      <c r="J295" s="59"/>
      <c r="K295" s="58">
        <v>427</v>
      </c>
      <c r="L295" s="58">
        <v>1478</v>
      </c>
      <c r="M295" s="59">
        <v>10</v>
      </c>
      <c r="N295" s="59">
        <v>10</v>
      </c>
      <c r="O295" s="59" t="s">
        <v>3581</v>
      </c>
      <c r="P295" s="58">
        <v>328</v>
      </c>
      <c r="Q295" s="59">
        <v>0</v>
      </c>
      <c r="R295" s="59">
        <v>0</v>
      </c>
      <c r="S295" s="60">
        <f>tblJTL[[#This Row],[timeStamp]]/86400000+DATE(1970,1,1)+TIME(9,0,0)</f>
        <v>46296.417712627313</v>
      </c>
      <c r="T295" s="57">
        <f>tblJTL[[#This Row],[timeStamp]]+tblJTL[[#This Row],[elapsed]]</f>
        <v>1790816490707</v>
      </c>
      <c r="U295" s="61">
        <f>(tblJTL[[#This Row],[timeStamp]]-'17_分析サンプル'!$E$18)/1000</f>
        <v>90.191000000000003</v>
      </c>
      <c r="V295" s="57">
        <f>INT(tblJTL[[#This Row],[経過秒]]/60)</f>
        <v>1</v>
      </c>
      <c r="W295" s="57">
        <f>IF(OR(tblJTL[[#This Row],[success]]=FALSE,tblJTL[[#This Row],[success]]="false"),1,0)</f>
        <v>0</v>
      </c>
      <c r="X295" s="57">
        <f>IF(AND(tblJTL[[#This Row],[経過秒]]&gt;='17_分析サンプル'!$E$11,tblJTL[[#This Row],[経過秒]]&lt;'17_分析サンプル'!$E$12),1,0)</f>
        <v>1</v>
      </c>
    </row>
    <row r="296" spans="2:24" ht="14.4" x14ac:dyDescent="0.3">
      <c r="B296" s="57">
        <v>1790816490475</v>
      </c>
      <c r="C296" s="58">
        <v>250</v>
      </c>
      <c r="D296" s="59" t="s">
        <v>1677</v>
      </c>
      <c r="E296" s="59" t="s">
        <v>3579</v>
      </c>
      <c r="F296" s="59" t="s">
        <v>3580</v>
      </c>
      <c r="G296" s="59" t="s">
        <v>3577</v>
      </c>
      <c r="H296" s="59" t="s">
        <v>2281</v>
      </c>
      <c r="I296" s="59" t="b">
        <v>1</v>
      </c>
      <c r="J296" s="59"/>
      <c r="K296" s="58">
        <v>424</v>
      </c>
      <c r="L296" s="58">
        <v>1478</v>
      </c>
      <c r="M296" s="59">
        <v>10</v>
      </c>
      <c r="N296" s="59">
        <v>10</v>
      </c>
      <c r="O296" s="59" t="s">
        <v>3581</v>
      </c>
      <c r="P296" s="58">
        <v>248</v>
      </c>
      <c r="Q296" s="59">
        <v>0</v>
      </c>
      <c r="R296" s="59">
        <v>0</v>
      </c>
      <c r="S296" s="60">
        <f>tblJTL[[#This Row],[timeStamp]]/86400000+DATE(1970,1,1)+TIME(9,0,0)</f>
        <v>46296.417713831019</v>
      </c>
      <c r="T296" s="57">
        <f>tblJTL[[#This Row],[timeStamp]]+tblJTL[[#This Row],[elapsed]]</f>
        <v>1790816490725</v>
      </c>
      <c r="U296" s="61">
        <f>(tblJTL[[#This Row],[timeStamp]]-'17_分析サンプル'!$E$18)/1000</f>
        <v>90.295000000000002</v>
      </c>
      <c r="V296" s="57">
        <f>INT(tblJTL[[#This Row],[経過秒]]/60)</f>
        <v>1</v>
      </c>
      <c r="W296" s="57">
        <f>IF(OR(tblJTL[[#This Row],[success]]=FALSE,tblJTL[[#This Row],[success]]="false"),1,0)</f>
        <v>0</v>
      </c>
      <c r="X296" s="57">
        <f>IF(AND(tblJTL[[#This Row],[経過秒]]&gt;='17_分析サンプル'!$E$11,tblJTL[[#This Row],[経過秒]]&lt;'17_分析サンプル'!$E$12),1,0)</f>
        <v>1</v>
      </c>
    </row>
    <row r="297" spans="2:24" ht="14.4" x14ac:dyDescent="0.3">
      <c r="B297" s="57">
        <v>1790816490573</v>
      </c>
      <c r="C297" s="58">
        <v>260</v>
      </c>
      <c r="D297" s="59" t="s">
        <v>1677</v>
      </c>
      <c r="E297" s="59" t="s">
        <v>3579</v>
      </c>
      <c r="F297" s="59" t="s">
        <v>3580</v>
      </c>
      <c r="G297" s="59" t="s">
        <v>3583</v>
      </c>
      <c r="H297" s="59" t="s">
        <v>2281</v>
      </c>
      <c r="I297" s="59" t="b">
        <v>1</v>
      </c>
      <c r="J297" s="59"/>
      <c r="K297" s="58">
        <v>421</v>
      </c>
      <c r="L297" s="58">
        <v>1478</v>
      </c>
      <c r="M297" s="59">
        <v>10</v>
      </c>
      <c r="N297" s="59">
        <v>10</v>
      </c>
      <c r="O297" s="59" t="s">
        <v>3581</v>
      </c>
      <c r="P297" s="58">
        <v>257</v>
      </c>
      <c r="Q297" s="59">
        <v>0</v>
      </c>
      <c r="R297" s="59">
        <v>0</v>
      </c>
      <c r="S297" s="60">
        <f>tblJTL[[#This Row],[timeStamp]]/86400000+DATE(1970,1,1)+TIME(9,0,0)</f>
        <v>46296.417714965282</v>
      </c>
      <c r="T297" s="57">
        <f>tblJTL[[#This Row],[timeStamp]]+tblJTL[[#This Row],[elapsed]]</f>
        <v>1790816490833</v>
      </c>
      <c r="U297" s="61">
        <f>(tblJTL[[#This Row],[timeStamp]]-'17_分析サンプル'!$E$18)/1000</f>
        <v>90.393000000000001</v>
      </c>
      <c r="V297" s="57">
        <f>INT(tblJTL[[#This Row],[経過秒]]/60)</f>
        <v>1</v>
      </c>
      <c r="W297" s="57">
        <f>IF(OR(tblJTL[[#This Row],[success]]=FALSE,tblJTL[[#This Row],[success]]="false"),1,0)</f>
        <v>0</v>
      </c>
      <c r="X297" s="57">
        <f>IF(AND(tblJTL[[#This Row],[経過秒]]&gt;='17_分析サンプル'!$E$11,tblJTL[[#This Row],[経過秒]]&lt;'17_分析サンプル'!$E$12),1,0)</f>
        <v>1</v>
      </c>
    </row>
    <row r="298" spans="2:24" ht="14.4" x14ac:dyDescent="0.3">
      <c r="B298" s="57">
        <v>1790816490991</v>
      </c>
      <c r="C298" s="58">
        <v>133</v>
      </c>
      <c r="D298" s="59" t="s">
        <v>1658</v>
      </c>
      <c r="E298" s="59" t="s">
        <v>1577</v>
      </c>
      <c r="F298" s="59" t="s">
        <v>2275</v>
      </c>
      <c r="G298" s="59" t="s">
        <v>3582</v>
      </c>
      <c r="H298" s="59" t="s">
        <v>2281</v>
      </c>
      <c r="I298" s="59" t="b">
        <v>1</v>
      </c>
      <c r="J298" s="59"/>
      <c r="K298" s="58">
        <v>1882</v>
      </c>
      <c r="L298" s="58">
        <v>1342</v>
      </c>
      <c r="M298" s="59">
        <v>10</v>
      </c>
      <c r="N298" s="59">
        <v>10</v>
      </c>
      <c r="O298" s="59" t="s">
        <v>3578</v>
      </c>
      <c r="P298" s="58">
        <v>125</v>
      </c>
      <c r="Q298" s="59">
        <v>0</v>
      </c>
      <c r="R298" s="59">
        <v>0</v>
      </c>
      <c r="S298" s="60">
        <f>tblJTL[[#This Row],[timeStamp]]/86400000+DATE(1970,1,1)+TIME(9,0,0)</f>
        <v>46296.417719803241</v>
      </c>
      <c r="T298" s="57">
        <f>tblJTL[[#This Row],[timeStamp]]+tblJTL[[#This Row],[elapsed]]</f>
        <v>1790816491124</v>
      </c>
      <c r="U298" s="61">
        <f>(tblJTL[[#This Row],[timeStamp]]-'17_分析サンプル'!$E$18)/1000</f>
        <v>90.811000000000007</v>
      </c>
      <c r="V298" s="57">
        <f>INT(tblJTL[[#This Row],[経過秒]]/60)</f>
        <v>1</v>
      </c>
      <c r="W298" s="57">
        <f>IF(OR(tblJTL[[#This Row],[success]]=FALSE,tblJTL[[#This Row],[success]]="false"),1,0)</f>
        <v>0</v>
      </c>
      <c r="X298" s="57">
        <f>IF(AND(tblJTL[[#This Row],[経過秒]]&gt;='17_分析サンプル'!$E$11,tblJTL[[#This Row],[経過秒]]&lt;'17_分析サンプル'!$E$12),1,0)</f>
        <v>1</v>
      </c>
    </row>
    <row r="299" spans="2:24" ht="14.4" x14ac:dyDescent="0.3">
      <c r="B299" s="57">
        <v>1790816491058</v>
      </c>
      <c r="C299" s="58">
        <v>75</v>
      </c>
      <c r="D299" s="59" t="s">
        <v>1658</v>
      </c>
      <c r="E299" s="59" t="s">
        <v>1577</v>
      </c>
      <c r="F299" s="59" t="s">
        <v>2275</v>
      </c>
      <c r="G299" s="59" t="s">
        <v>2278</v>
      </c>
      <c r="H299" s="59" t="s">
        <v>2281</v>
      </c>
      <c r="I299" s="59" t="b">
        <v>1</v>
      </c>
      <c r="J299" s="59"/>
      <c r="K299" s="58">
        <v>1821</v>
      </c>
      <c r="L299" s="58">
        <v>1342</v>
      </c>
      <c r="M299" s="59">
        <v>10</v>
      </c>
      <c r="N299" s="59">
        <v>10</v>
      </c>
      <c r="O299" s="59" t="s">
        <v>3578</v>
      </c>
      <c r="P299" s="58">
        <v>69</v>
      </c>
      <c r="Q299" s="59">
        <v>0</v>
      </c>
      <c r="R299" s="59">
        <v>0</v>
      </c>
      <c r="S299" s="60">
        <f>tblJTL[[#This Row],[timeStamp]]/86400000+DATE(1970,1,1)+TIME(9,0,0)</f>
        <v>46296.417720578705</v>
      </c>
      <c r="T299" s="57">
        <f>tblJTL[[#This Row],[timeStamp]]+tblJTL[[#This Row],[elapsed]]</f>
        <v>1790816491133</v>
      </c>
      <c r="U299" s="61">
        <f>(tblJTL[[#This Row],[timeStamp]]-'17_分析サンプル'!$E$18)/1000</f>
        <v>90.878</v>
      </c>
      <c r="V299" s="57">
        <f>INT(tblJTL[[#This Row],[経過秒]]/60)</f>
        <v>1</v>
      </c>
      <c r="W299" s="57">
        <f>IF(OR(tblJTL[[#This Row],[success]]=FALSE,tblJTL[[#This Row],[success]]="false"),1,0)</f>
        <v>0</v>
      </c>
      <c r="X299" s="57">
        <f>IF(AND(tblJTL[[#This Row],[経過秒]]&gt;='17_分析サンプル'!$E$11,tblJTL[[#This Row],[経過秒]]&lt;'17_分析サンプル'!$E$12),1,0)</f>
        <v>1</v>
      </c>
    </row>
    <row r="300" spans="2:24" ht="14.4" x14ac:dyDescent="0.3">
      <c r="B300" s="57">
        <v>1790816492174</v>
      </c>
      <c r="C300" s="58">
        <v>168</v>
      </c>
      <c r="D300" s="59" t="s">
        <v>1677</v>
      </c>
      <c r="E300" s="59" t="s">
        <v>3579</v>
      </c>
      <c r="F300" s="59" t="s">
        <v>3580</v>
      </c>
      <c r="G300" s="59" t="s">
        <v>3584</v>
      </c>
      <c r="H300" s="59" t="s">
        <v>2281</v>
      </c>
      <c r="I300" s="59" t="b">
        <v>1</v>
      </c>
      <c r="J300" s="59"/>
      <c r="K300" s="58">
        <v>435</v>
      </c>
      <c r="L300" s="58">
        <v>1478</v>
      </c>
      <c r="M300" s="59">
        <v>10</v>
      </c>
      <c r="N300" s="59">
        <v>10</v>
      </c>
      <c r="O300" s="59" t="s">
        <v>3581</v>
      </c>
      <c r="P300" s="58">
        <v>166</v>
      </c>
      <c r="Q300" s="59">
        <v>0</v>
      </c>
      <c r="R300" s="59">
        <v>0</v>
      </c>
      <c r="S300" s="60">
        <f>tblJTL[[#This Row],[timeStamp]]/86400000+DATE(1970,1,1)+TIME(9,0,0)</f>
        <v>46296.417733495371</v>
      </c>
      <c r="T300" s="57">
        <f>tblJTL[[#This Row],[timeStamp]]+tblJTL[[#This Row],[elapsed]]</f>
        <v>1790816492342</v>
      </c>
      <c r="U300" s="61">
        <f>(tblJTL[[#This Row],[timeStamp]]-'17_分析サンプル'!$E$18)/1000</f>
        <v>91.994</v>
      </c>
      <c r="V300" s="57">
        <f>INT(tblJTL[[#This Row],[経過秒]]/60)</f>
        <v>1</v>
      </c>
      <c r="W300" s="57">
        <f>IF(OR(tblJTL[[#This Row],[success]]=FALSE,tblJTL[[#This Row],[success]]="false"),1,0)</f>
        <v>0</v>
      </c>
      <c r="X300" s="57">
        <f>IF(AND(tblJTL[[#This Row],[経過秒]]&gt;='17_分析サンプル'!$E$11,tblJTL[[#This Row],[経過秒]]&lt;'17_分析サンプル'!$E$12),1,0)</f>
        <v>1</v>
      </c>
    </row>
    <row r="301" spans="2:24" ht="14.4" x14ac:dyDescent="0.3">
      <c r="B301" s="57">
        <v>1790816492348</v>
      </c>
      <c r="C301" s="58">
        <v>82</v>
      </c>
      <c r="D301" s="59" t="s">
        <v>1658</v>
      </c>
      <c r="E301" s="59" t="s">
        <v>1577</v>
      </c>
      <c r="F301" s="59" t="s">
        <v>2275</v>
      </c>
      <c r="G301" s="59" t="s">
        <v>3587</v>
      </c>
      <c r="H301" s="59" t="s">
        <v>2281</v>
      </c>
      <c r="I301" s="59" t="b">
        <v>1</v>
      </c>
      <c r="J301" s="59"/>
      <c r="K301" s="58">
        <v>1839</v>
      </c>
      <c r="L301" s="58">
        <v>1342</v>
      </c>
      <c r="M301" s="59">
        <v>10</v>
      </c>
      <c r="N301" s="59">
        <v>10</v>
      </c>
      <c r="O301" s="59" t="s">
        <v>3578</v>
      </c>
      <c r="P301" s="58">
        <v>78</v>
      </c>
      <c r="Q301" s="59">
        <v>0</v>
      </c>
      <c r="R301" s="59">
        <v>0</v>
      </c>
      <c r="S301" s="60">
        <f>tblJTL[[#This Row],[timeStamp]]/86400000+DATE(1970,1,1)+TIME(9,0,0)</f>
        <v>46296.417735509254</v>
      </c>
      <c r="T301" s="57">
        <f>tblJTL[[#This Row],[timeStamp]]+tblJTL[[#This Row],[elapsed]]</f>
        <v>1790816492430</v>
      </c>
      <c r="U301" s="61">
        <f>(tblJTL[[#This Row],[timeStamp]]-'17_分析サンプル'!$E$18)/1000</f>
        <v>92.168000000000006</v>
      </c>
      <c r="V301" s="57">
        <f>INT(tblJTL[[#This Row],[経過秒]]/60)</f>
        <v>1</v>
      </c>
      <c r="W301" s="57">
        <f>IF(OR(tblJTL[[#This Row],[success]]=FALSE,tblJTL[[#This Row],[success]]="false"),1,0)</f>
        <v>0</v>
      </c>
      <c r="X301" s="57">
        <f>IF(AND(tblJTL[[#This Row],[経過秒]]&gt;='17_分析サンプル'!$E$11,tblJTL[[#This Row],[経過秒]]&lt;'17_分析サンプル'!$E$12),1,0)</f>
        <v>1</v>
      </c>
    </row>
    <row r="302" spans="2:24" ht="14.4" x14ac:dyDescent="0.3">
      <c r="B302" s="57">
        <v>1790816492274</v>
      </c>
      <c r="C302" s="58">
        <v>161</v>
      </c>
      <c r="D302" s="59" t="s">
        <v>1658</v>
      </c>
      <c r="E302" s="59" t="s">
        <v>1577</v>
      </c>
      <c r="F302" s="59" t="s">
        <v>2275</v>
      </c>
      <c r="G302" s="59" t="s">
        <v>3586</v>
      </c>
      <c r="H302" s="59" t="s">
        <v>2281</v>
      </c>
      <c r="I302" s="59" t="b">
        <v>1</v>
      </c>
      <c r="J302" s="59"/>
      <c r="K302" s="58">
        <v>1820</v>
      </c>
      <c r="L302" s="58">
        <v>1342</v>
      </c>
      <c r="M302" s="59">
        <v>10</v>
      </c>
      <c r="N302" s="59">
        <v>10</v>
      </c>
      <c r="O302" s="59" t="s">
        <v>3578</v>
      </c>
      <c r="P302" s="58">
        <v>155</v>
      </c>
      <c r="Q302" s="59">
        <v>0</v>
      </c>
      <c r="R302" s="59">
        <v>0</v>
      </c>
      <c r="S302" s="60">
        <f>tblJTL[[#This Row],[timeStamp]]/86400000+DATE(1970,1,1)+TIME(9,0,0)</f>
        <v>46296.417734652779</v>
      </c>
      <c r="T302" s="57">
        <f>tblJTL[[#This Row],[timeStamp]]+tblJTL[[#This Row],[elapsed]]</f>
        <v>1790816492435</v>
      </c>
      <c r="U302" s="61">
        <f>(tblJTL[[#This Row],[timeStamp]]-'17_分析サンプル'!$E$18)/1000</f>
        <v>92.093999999999994</v>
      </c>
      <c r="V302" s="57">
        <f>INT(tblJTL[[#This Row],[経過秒]]/60)</f>
        <v>1</v>
      </c>
      <c r="W302" s="57">
        <f>IF(OR(tblJTL[[#This Row],[success]]=FALSE,tblJTL[[#This Row],[success]]="false"),1,0)</f>
        <v>0</v>
      </c>
      <c r="X302" s="57">
        <f>IF(AND(tblJTL[[#This Row],[経過秒]]&gt;='17_分析サンプル'!$E$11,tblJTL[[#This Row],[経過秒]]&lt;'17_分析サンプル'!$E$12),1,0)</f>
        <v>1</v>
      </c>
    </row>
    <row r="303" spans="2:24" ht="14.4" x14ac:dyDescent="0.3">
      <c r="B303" s="57">
        <v>1790816492434</v>
      </c>
      <c r="C303" s="58">
        <v>107</v>
      </c>
      <c r="D303" s="59" t="s">
        <v>1658</v>
      </c>
      <c r="E303" s="59" t="s">
        <v>1577</v>
      </c>
      <c r="F303" s="59" t="s">
        <v>2275</v>
      </c>
      <c r="G303" s="59" t="s">
        <v>3585</v>
      </c>
      <c r="H303" s="59" t="s">
        <v>2281</v>
      </c>
      <c r="I303" s="59" t="b">
        <v>1</v>
      </c>
      <c r="J303" s="59"/>
      <c r="K303" s="58">
        <v>1864</v>
      </c>
      <c r="L303" s="58">
        <v>1342</v>
      </c>
      <c r="M303" s="59">
        <v>10</v>
      </c>
      <c r="N303" s="59">
        <v>10</v>
      </c>
      <c r="O303" s="59" t="s">
        <v>3578</v>
      </c>
      <c r="P303" s="58">
        <v>103</v>
      </c>
      <c r="Q303" s="59">
        <v>0</v>
      </c>
      <c r="R303" s="59">
        <v>0</v>
      </c>
      <c r="S303" s="60">
        <f>tblJTL[[#This Row],[timeStamp]]/86400000+DATE(1970,1,1)+TIME(9,0,0)</f>
        <v>46296.417736504634</v>
      </c>
      <c r="T303" s="57">
        <f>tblJTL[[#This Row],[timeStamp]]+tblJTL[[#This Row],[elapsed]]</f>
        <v>1790816492541</v>
      </c>
      <c r="U303" s="61">
        <f>(tblJTL[[#This Row],[timeStamp]]-'17_分析サンプル'!$E$18)/1000</f>
        <v>92.254000000000005</v>
      </c>
      <c r="V303" s="57">
        <f>INT(tblJTL[[#This Row],[経過秒]]/60)</f>
        <v>1</v>
      </c>
      <c r="W303" s="57">
        <f>IF(OR(tblJTL[[#This Row],[success]]=FALSE,tblJTL[[#This Row],[success]]="false"),1,0)</f>
        <v>0</v>
      </c>
      <c r="X303" s="57">
        <f>IF(AND(tblJTL[[#This Row],[経過秒]]&gt;='17_分析サンプル'!$E$11,tblJTL[[#This Row],[経過秒]]&lt;'17_分析サンプル'!$E$12),1,0)</f>
        <v>1</v>
      </c>
    </row>
    <row r="304" spans="2:24" ht="14.4" x14ac:dyDescent="0.3">
      <c r="B304" s="57">
        <v>1790816492518</v>
      </c>
      <c r="C304" s="58">
        <v>134</v>
      </c>
      <c r="D304" s="59" t="s">
        <v>1658</v>
      </c>
      <c r="E304" s="59" t="s">
        <v>1577</v>
      </c>
      <c r="F304" s="59" t="s">
        <v>2275</v>
      </c>
      <c r="G304" s="59" t="s">
        <v>3588</v>
      </c>
      <c r="H304" s="59" t="s">
        <v>2281</v>
      </c>
      <c r="I304" s="59" t="b">
        <v>1</v>
      </c>
      <c r="J304" s="59"/>
      <c r="K304" s="58">
        <v>1874</v>
      </c>
      <c r="L304" s="58">
        <v>1342</v>
      </c>
      <c r="M304" s="59">
        <v>10</v>
      </c>
      <c r="N304" s="59">
        <v>10</v>
      </c>
      <c r="O304" s="59" t="s">
        <v>3578</v>
      </c>
      <c r="P304" s="58">
        <v>128</v>
      </c>
      <c r="Q304" s="59">
        <v>0</v>
      </c>
      <c r="R304" s="59">
        <v>0</v>
      </c>
      <c r="S304" s="60">
        <f>tblJTL[[#This Row],[timeStamp]]/86400000+DATE(1970,1,1)+TIME(9,0,0)</f>
        <v>46296.417737476848</v>
      </c>
      <c r="T304" s="57">
        <f>tblJTL[[#This Row],[timeStamp]]+tblJTL[[#This Row],[elapsed]]</f>
        <v>1790816492652</v>
      </c>
      <c r="U304" s="61">
        <f>(tblJTL[[#This Row],[timeStamp]]-'17_分析サンプル'!$E$18)/1000</f>
        <v>92.337999999999994</v>
      </c>
      <c r="V304" s="57">
        <f>INT(tblJTL[[#This Row],[経過秒]]/60)</f>
        <v>1</v>
      </c>
      <c r="W304" s="57">
        <f>IF(OR(tblJTL[[#This Row],[success]]=FALSE,tblJTL[[#This Row],[success]]="false"),1,0)</f>
        <v>0</v>
      </c>
      <c r="X304" s="57">
        <f>IF(AND(tblJTL[[#This Row],[経過秒]]&gt;='17_分析サンプル'!$E$11,tblJTL[[#This Row],[経過秒]]&lt;'17_分析サンプル'!$E$12),1,0)</f>
        <v>1</v>
      </c>
    </row>
    <row r="305" spans="2:24" ht="14.4" x14ac:dyDescent="0.3">
      <c r="B305" s="57">
        <v>1790816492609</v>
      </c>
      <c r="C305" s="58">
        <v>134</v>
      </c>
      <c r="D305" s="59" t="s">
        <v>1658</v>
      </c>
      <c r="E305" s="59" t="s">
        <v>1577</v>
      </c>
      <c r="F305" s="59" t="s">
        <v>2275</v>
      </c>
      <c r="G305" s="59" t="s">
        <v>3577</v>
      </c>
      <c r="H305" s="59" t="s">
        <v>2281</v>
      </c>
      <c r="I305" s="59" t="b">
        <v>1</v>
      </c>
      <c r="J305" s="59"/>
      <c r="K305" s="58">
        <v>1834</v>
      </c>
      <c r="L305" s="58">
        <v>1342</v>
      </c>
      <c r="M305" s="59">
        <v>10</v>
      </c>
      <c r="N305" s="59">
        <v>10</v>
      </c>
      <c r="O305" s="59" t="s">
        <v>3578</v>
      </c>
      <c r="P305" s="58">
        <v>131</v>
      </c>
      <c r="Q305" s="59">
        <v>0</v>
      </c>
      <c r="R305" s="59">
        <v>0</v>
      </c>
      <c r="S305" s="60">
        <f>tblJTL[[#This Row],[timeStamp]]/86400000+DATE(1970,1,1)+TIME(9,0,0)</f>
        <v>46296.417738530094</v>
      </c>
      <c r="T305" s="57">
        <f>tblJTL[[#This Row],[timeStamp]]+tblJTL[[#This Row],[elapsed]]</f>
        <v>1790816492743</v>
      </c>
      <c r="U305" s="61">
        <f>(tblJTL[[#This Row],[timeStamp]]-'17_分析サンプル'!$E$18)/1000</f>
        <v>92.429000000000002</v>
      </c>
      <c r="V305" s="57">
        <f>INT(tblJTL[[#This Row],[経過秒]]/60)</f>
        <v>1</v>
      </c>
      <c r="W305" s="57">
        <f>IF(OR(tblJTL[[#This Row],[success]]=FALSE,tblJTL[[#This Row],[success]]="false"),1,0)</f>
        <v>0</v>
      </c>
      <c r="X305" s="57">
        <f>IF(AND(tblJTL[[#This Row],[経過秒]]&gt;='17_分析サンプル'!$E$11,tblJTL[[#This Row],[経過秒]]&lt;'17_分析サンプル'!$E$12),1,0)</f>
        <v>1</v>
      </c>
    </row>
    <row r="306" spans="2:24" ht="14.4" x14ac:dyDescent="0.3">
      <c r="B306" s="57">
        <v>1790816492653</v>
      </c>
      <c r="C306" s="58">
        <v>111</v>
      </c>
      <c r="D306" s="59" t="s">
        <v>1658</v>
      </c>
      <c r="E306" s="59" t="s">
        <v>1577</v>
      </c>
      <c r="F306" s="59" t="s">
        <v>2275</v>
      </c>
      <c r="G306" s="59" t="s">
        <v>3583</v>
      </c>
      <c r="H306" s="59" t="s">
        <v>2281</v>
      </c>
      <c r="I306" s="59" t="b">
        <v>1</v>
      </c>
      <c r="J306" s="59"/>
      <c r="K306" s="58">
        <v>1897</v>
      </c>
      <c r="L306" s="58">
        <v>1342</v>
      </c>
      <c r="M306" s="59">
        <v>10</v>
      </c>
      <c r="N306" s="59">
        <v>10</v>
      </c>
      <c r="O306" s="59" t="s">
        <v>3578</v>
      </c>
      <c r="P306" s="58">
        <v>109</v>
      </c>
      <c r="Q306" s="59">
        <v>0</v>
      </c>
      <c r="R306" s="59">
        <v>0</v>
      </c>
      <c r="S306" s="60">
        <f>tblJTL[[#This Row],[timeStamp]]/86400000+DATE(1970,1,1)+TIME(9,0,0)</f>
        <v>46296.417739039352</v>
      </c>
      <c r="T306" s="57">
        <f>tblJTL[[#This Row],[timeStamp]]+tblJTL[[#This Row],[elapsed]]</f>
        <v>1790816492764</v>
      </c>
      <c r="U306" s="61">
        <f>(tblJTL[[#This Row],[timeStamp]]-'17_分析サンプル'!$E$18)/1000</f>
        <v>92.472999999999999</v>
      </c>
      <c r="V306" s="57">
        <f>INT(tblJTL[[#This Row],[経過秒]]/60)</f>
        <v>1</v>
      </c>
      <c r="W306" s="57">
        <f>IF(OR(tblJTL[[#This Row],[success]]=FALSE,tblJTL[[#This Row],[success]]="false"),1,0)</f>
        <v>0</v>
      </c>
      <c r="X306" s="57">
        <f>IF(AND(tblJTL[[#This Row],[経過秒]]&gt;='17_分析サンプル'!$E$11,tblJTL[[#This Row],[経過秒]]&lt;'17_分析サンプル'!$E$12),1,0)</f>
        <v>1</v>
      </c>
    </row>
    <row r="307" spans="2:24" ht="14.4" x14ac:dyDescent="0.3">
      <c r="B307" s="57">
        <v>1790816492741</v>
      </c>
      <c r="C307" s="58">
        <v>98</v>
      </c>
      <c r="D307" s="59" t="s">
        <v>1658</v>
      </c>
      <c r="E307" s="59" t="s">
        <v>1577</v>
      </c>
      <c r="F307" s="59" t="s">
        <v>2275</v>
      </c>
      <c r="G307" s="59" t="s">
        <v>3589</v>
      </c>
      <c r="H307" s="59" t="s">
        <v>2281</v>
      </c>
      <c r="I307" s="59" t="b">
        <v>1</v>
      </c>
      <c r="J307" s="59"/>
      <c r="K307" s="58">
        <v>1873</v>
      </c>
      <c r="L307" s="58">
        <v>1342</v>
      </c>
      <c r="M307" s="59">
        <v>10</v>
      </c>
      <c r="N307" s="59">
        <v>10</v>
      </c>
      <c r="O307" s="59" t="s">
        <v>3578</v>
      </c>
      <c r="P307" s="58">
        <v>91</v>
      </c>
      <c r="Q307" s="59">
        <v>0</v>
      </c>
      <c r="R307" s="59">
        <v>0</v>
      </c>
      <c r="S307" s="60">
        <f>tblJTL[[#This Row],[timeStamp]]/86400000+DATE(1970,1,1)+TIME(9,0,0)</f>
        <v>46296.41774005787</v>
      </c>
      <c r="T307" s="57">
        <f>tblJTL[[#This Row],[timeStamp]]+tblJTL[[#This Row],[elapsed]]</f>
        <v>1790816492839</v>
      </c>
      <c r="U307" s="61">
        <f>(tblJTL[[#This Row],[timeStamp]]-'17_分析サンプル'!$E$18)/1000</f>
        <v>92.561000000000007</v>
      </c>
      <c r="V307" s="57">
        <f>INT(tblJTL[[#This Row],[経過秒]]/60)</f>
        <v>1</v>
      </c>
      <c r="W307" s="57">
        <f>IF(OR(tblJTL[[#This Row],[success]]=FALSE,tblJTL[[#This Row],[success]]="false"),1,0)</f>
        <v>0</v>
      </c>
      <c r="X307" s="57">
        <f>IF(AND(tblJTL[[#This Row],[経過秒]]&gt;='17_分析サンプル'!$E$11,tblJTL[[#This Row],[経過秒]]&lt;'17_分析サンプル'!$E$12),1,0)</f>
        <v>1</v>
      </c>
    </row>
    <row r="308" spans="2:24" ht="14.4" x14ac:dyDescent="0.3">
      <c r="B308" s="57">
        <v>1790816493470</v>
      </c>
      <c r="C308" s="58">
        <v>194</v>
      </c>
      <c r="D308" s="59" t="s">
        <v>1677</v>
      </c>
      <c r="E308" s="59" t="s">
        <v>3579</v>
      </c>
      <c r="F308" s="59" t="s">
        <v>3580</v>
      </c>
      <c r="G308" s="59" t="s">
        <v>3586</v>
      </c>
      <c r="H308" s="59" t="s">
        <v>2281</v>
      </c>
      <c r="I308" s="59" t="b">
        <v>1</v>
      </c>
      <c r="J308" s="59"/>
      <c r="K308" s="58">
        <v>416</v>
      </c>
      <c r="L308" s="58">
        <v>1478</v>
      </c>
      <c r="M308" s="59">
        <v>10</v>
      </c>
      <c r="N308" s="59">
        <v>10</v>
      </c>
      <c r="O308" s="59" t="s">
        <v>3581</v>
      </c>
      <c r="P308" s="58">
        <v>191</v>
      </c>
      <c r="Q308" s="59">
        <v>0</v>
      </c>
      <c r="R308" s="59">
        <v>0</v>
      </c>
      <c r="S308" s="60">
        <f>tblJTL[[#This Row],[timeStamp]]/86400000+DATE(1970,1,1)+TIME(9,0,0)</f>
        <v>46296.417748495369</v>
      </c>
      <c r="T308" s="57">
        <f>tblJTL[[#This Row],[timeStamp]]+tblJTL[[#This Row],[elapsed]]</f>
        <v>1790816493664</v>
      </c>
      <c r="U308" s="61">
        <f>(tblJTL[[#This Row],[timeStamp]]-'17_分析サンプル'!$E$18)/1000</f>
        <v>93.29</v>
      </c>
      <c r="V308" s="57">
        <f>INT(tblJTL[[#This Row],[経過秒]]/60)</f>
        <v>1</v>
      </c>
      <c r="W308" s="57">
        <f>IF(OR(tblJTL[[#This Row],[success]]=FALSE,tblJTL[[#This Row],[success]]="false"),1,0)</f>
        <v>0</v>
      </c>
      <c r="X308" s="57">
        <f>IF(AND(tblJTL[[#This Row],[経過秒]]&gt;='17_分析サンプル'!$E$11,tblJTL[[#This Row],[経過秒]]&lt;'17_分析サンプル'!$E$12),1,0)</f>
        <v>1</v>
      </c>
    </row>
    <row r="309" spans="2:24" ht="14.4" x14ac:dyDescent="0.3">
      <c r="B309" s="57">
        <v>1790816493717</v>
      </c>
      <c r="C309" s="58">
        <v>300</v>
      </c>
      <c r="D309" s="59" t="s">
        <v>1677</v>
      </c>
      <c r="E309" s="59" t="s">
        <v>3579</v>
      </c>
      <c r="F309" s="59" t="s">
        <v>3580</v>
      </c>
      <c r="G309" s="59" t="s">
        <v>3582</v>
      </c>
      <c r="H309" s="59" t="s">
        <v>2281</v>
      </c>
      <c r="I309" s="59" t="b">
        <v>1</v>
      </c>
      <c r="J309" s="59"/>
      <c r="K309" s="58">
        <v>425</v>
      </c>
      <c r="L309" s="58">
        <v>1478</v>
      </c>
      <c r="M309" s="59">
        <v>10</v>
      </c>
      <c r="N309" s="59">
        <v>10</v>
      </c>
      <c r="O309" s="59" t="s">
        <v>3581</v>
      </c>
      <c r="P309" s="58">
        <v>296</v>
      </c>
      <c r="Q309" s="59">
        <v>0</v>
      </c>
      <c r="R309" s="59">
        <v>0</v>
      </c>
      <c r="S309" s="60">
        <f>tblJTL[[#This Row],[timeStamp]]/86400000+DATE(1970,1,1)+TIME(9,0,0)</f>
        <v>46296.417751354165</v>
      </c>
      <c r="T309" s="57">
        <f>tblJTL[[#This Row],[timeStamp]]+tblJTL[[#This Row],[elapsed]]</f>
        <v>1790816494017</v>
      </c>
      <c r="U309" s="61">
        <f>(tblJTL[[#This Row],[timeStamp]]-'17_分析サンプル'!$E$18)/1000</f>
        <v>93.537000000000006</v>
      </c>
      <c r="V309" s="57">
        <f>INT(tblJTL[[#This Row],[経過秒]]/60)</f>
        <v>1</v>
      </c>
      <c r="W309" s="57">
        <f>IF(OR(tblJTL[[#This Row],[success]]=FALSE,tblJTL[[#This Row],[success]]="false"),1,0)</f>
        <v>0</v>
      </c>
      <c r="X309" s="57">
        <f>IF(AND(tblJTL[[#This Row],[経過秒]]&gt;='17_分析サンプル'!$E$11,tblJTL[[#This Row],[経過秒]]&lt;'17_分析サンプル'!$E$12),1,0)</f>
        <v>1</v>
      </c>
    </row>
    <row r="310" spans="2:24" ht="14.4" x14ac:dyDescent="0.3">
      <c r="B310" s="57">
        <v>1790816493891</v>
      </c>
      <c r="C310" s="58">
        <v>227</v>
      </c>
      <c r="D310" s="59" t="s">
        <v>1677</v>
      </c>
      <c r="E310" s="59" t="s">
        <v>3579</v>
      </c>
      <c r="F310" s="59" t="s">
        <v>3580</v>
      </c>
      <c r="G310" s="59" t="s">
        <v>2278</v>
      </c>
      <c r="H310" s="59" t="s">
        <v>2281</v>
      </c>
      <c r="I310" s="59" t="b">
        <v>1</v>
      </c>
      <c r="J310" s="59"/>
      <c r="K310" s="58">
        <v>425</v>
      </c>
      <c r="L310" s="58">
        <v>1478</v>
      </c>
      <c r="M310" s="59">
        <v>10</v>
      </c>
      <c r="N310" s="59">
        <v>10</v>
      </c>
      <c r="O310" s="59" t="s">
        <v>3581</v>
      </c>
      <c r="P310" s="58">
        <v>223</v>
      </c>
      <c r="Q310" s="59">
        <v>0</v>
      </c>
      <c r="R310" s="59">
        <v>0</v>
      </c>
      <c r="S310" s="60">
        <f>tblJTL[[#This Row],[timeStamp]]/86400000+DATE(1970,1,1)+TIME(9,0,0)</f>
        <v>46296.417753368056</v>
      </c>
      <c r="T310" s="57">
        <f>tblJTL[[#This Row],[timeStamp]]+tblJTL[[#This Row],[elapsed]]</f>
        <v>1790816494118</v>
      </c>
      <c r="U310" s="61">
        <f>(tblJTL[[#This Row],[timeStamp]]-'17_分析サンプル'!$E$18)/1000</f>
        <v>93.710999999999999</v>
      </c>
      <c r="V310" s="57">
        <f>INT(tblJTL[[#This Row],[経過秒]]/60)</f>
        <v>1</v>
      </c>
      <c r="W310" s="57">
        <f>IF(OR(tblJTL[[#This Row],[success]]=FALSE,tblJTL[[#This Row],[success]]="false"),1,0)</f>
        <v>0</v>
      </c>
      <c r="X310" s="57">
        <f>IF(AND(tblJTL[[#This Row],[経過秒]]&gt;='17_分析サンプル'!$E$11,tblJTL[[#This Row],[経過秒]]&lt;'17_分析サンプル'!$E$12),1,0)</f>
        <v>1</v>
      </c>
    </row>
    <row r="311" spans="2:24" ht="14.4" x14ac:dyDescent="0.3">
      <c r="B311" s="57">
        <v>1790816493852</v>
      </c>
      <c r="C311" s="58">
        <v>337</v>
      </c>
      <c r="D311" s="59" t="s">
        <v>1677</v>
      </c>
      <c r="E311" s="59" t="s">
        <v>3579</v>
      </c>
      <c r="F311" s="59" t="s">
        <v>3580</v>
      </c>
      <c r="G311" s="59" t="s">
        <v>3577</v>
      </c>
      <c r="H311" s="59" t="s">
        <v>2281</v>
      </c>
      <c r="I311" s="59" t="b">
        <v>1</v>
      </c>
      <c r="J311" s="59"/>
      <c r="K311" s="58">
        <v>423</v>
      </c>
      <c r="L311" s="58">
        <v>1478</v>
      </c>
      <c r="M311" s="59">
        <v>10</v>
      </c>
      <c r="N311" s="59">
        <v>10</v>
      </c>
      <c r="O311" s="59" t="s">
        <v>3581</v>
      </c>
      <c r="P311" s="58">
        <v>330</v>
      </c>
      <c r="Q311" s="59">
        <v>0</v>
      </c>
      <c r="R311" s="59">
        <v>0</v>
      </c>
      <c r="S311" s="60">
        <f>tblJTL[[#This Row],[timeStamp]]/86400000+DATE(1970,1,1)+TIME(9,0,0)</f>
        <v>46296.417752916663</v>
      </c>
      <c r="T311" s="57">
        <f>tblJTL[[#This Row],[timeStamp]]+tblJTL[[#This Row],[elapsed]]</f>
        <v>1790816494189</v>
      </c>
      <c r="U311" s="61">
        <f>(tblJTL[[#This Row],[timeStamp]]-'17_分析サンプル'!$E$18)/1000</f>
        <v>93.671999999999997</v>
      </c>
      <c r="V311" s="57">
        <f>INT(tblJTL[[#This Row],[経過秒]]/60)</f>
        <v>1</v>
      </c>
      <c r="W311" s="57">
        <f>IF(OR(tblJTL[[#This Row],[success]]=FALSE,tblJTL[[#This Row],[success]]="false"),1,0)</f>
        <v>0</v>
      </c>
      <c r="X311" s="57">
        <f>IF(AND(tblJTL[[#This Row],[経過秒]]&gt;='17_分析サンプル'!$E$11,tblJTL[[#This Row],[経過秒]]&lt;'17_分析サンプル'!$E$12),1,0)</f>
        <v>1</v>
      </c>
    </row>
    <row r="312" spans="2:24" ht="14.4" x14ac:dyDescent="0.3">
      <c r="B312" s="57">
        <v>1790816494105</v>
      </c>
      <c r="C312" s="58">
        <v>247</v>
      </c>
      <c r="D312" s="59" t="s">
        <v>1677</v>
      </c>
      <c r="E312" s="59" t="s">
        <v>3579</v>
      </c>
      <c r="F312" s="59" t="s">
        <v>3580</v>
      </c>
      <c r="G312" s="59" t="s">
        <v>3589</v>
      </c>
      <c r="H312" s="59" t="s">
        <v>2281</v>
      </c>
      <c r="I312" s="59" t="b">
        <v>1</v>
      </c>
      <c r="J312" s="59"/>
      <c r="K312" s="58">
        <v>421</v>
      </c>
      <c r="L312" s="58">
        <v>1478</v>
      </c>
      <c r="M312" s="59">
        <v>10</v>
      </c>
      <c r="N312" s="59">
        <v>10</v>
      </c>
      <c r="O312" s="59" t="s">
        <v>3581</v>
      </c>
      <c r="P312" s="58">
        <v>239</v>
      </c>
      <c r="Q312" s="59">
        <v>0</v>
      </c>
      <c r="R312" s="59">
        <v>0</v>
      </c>
      <c r="S312" s="60">
        <f>tblJTL[[#This Row],[timeStamp]]/86400000+DATE(1970,1,1)+TIME(9,0,0)</f>
        <v>46296.417755844908</v>
      </c>
      <c r="T312" s="57">
        <f>tblJTL[[#This Row],[timeStamp]]+tblJTL[[#This Row],[elapsed]]</f>
        <v>1790816494352</v>
      </c>
      <c r="U312" s="61">
        <f>(tblJTL[[#This Row],[timeStamp]]-'17_分析サンプル'!$E$18)/1000</f>
        <v>93.924999999999997</v>
      </c>
      <c r="V312" s="57">
        <f>INT(tblJTL[[#This Row],[経過秒]]/60)</f>
        <v>1</v>
      </c>
      <c r="W312" s="57">
        <f>IF(OR(tblJTL[[#This Row],[success]]=FALSE,tblJTL[[#This Row],[success]]="false"),1,0)</f>
        <v>0</v>
      </c>
      <c r="X312" s="57">
        <f>IF(AND(tblJTL[[#This Row],[経過秒]]&gt;='17_分析サンプル'!$E$11,tblJTL[[#This Row],[経過秒]]&lt;'17_分析サンプル'!$E$12),1,0)</f>
        <v>1</v>
      </c>
    </row>
    <row r="313" spans="2:24" ht="14.4" x14ac:dyDescent="0.3">
      <c r="B313" s="57">
        <v>1790816494799</v>
      </c>
      <c r="C313" s="58">
        <v>143</v>
      </c>
      <c r="D313" s="59" t="s">
        <v>1677</v>
      </c>
      <c r="E313" s="59" t="s">
        <v>3579</v>
      </c>
      <c r="F313" s="59" t="s">
        <v>3580</v>
      </c>
      <c r="G313" s="59" t="s">
        <v>3587</v>
      </c>
      <c r="H313" s="59" t="s">
        <v>2281</v>
      </c>
      <c r="I313" s="59" t="b">
        <v>1</v>
      </c>
      <c r="J313" s="59"/>
      <c r="K313" s="58">
        <v>436</v>
      </c>
      <c r="L313" s="58">
        <v>1478</v>
      </c>
      <c r="M313" s="59">
        <v>10</v>
      </c>
      <c r="N313" s="59">
        <v>10</v>
      </c>
      <c r="O313" s="59" t="s">
        <v>3581</v>
      </c>
      <c r="P313" s="58">
        <v>140</v>
      </c>
      <c r="Q313" s="59">
        <v>0</v>
      </c>
      <c r="R313" s="59">
        <v>0</v>
      </c>
      <c r="S313" s="60">
        <f>tblJTL[[#This Row],[timeStamp]]/86400000+DATE(1970,1,1)+TIME(9,0,0)</f>
        <v>46296.417763877311</v>
      </c>
      <c r="T313" s="57">
        <f>tblJTL[[#This Row],[timeStamp]]+tblJTL[[#This Row],[elapsed]]</f>
        <v>1790816494942</v>
      </c>
      <c r="U313" s="61">
        <f>(tblJTL[[#This Row],[timeStamp]]-'17_分析サンプル'!$E$18)/1000</f>
        <v>94.619</v>
      </c>
      <c r="V313" s="57">
        <f>INT(tblJTL[[#This Row],[経過秒]]/60)</f>
        <v>1</v>
      </c>
      <c r="W313" s="57">
        <f>IF(OR(tblJTL[[#This Row],[success]]=FALSE,tblJTL[[#This Row],[success]]="false"),1,0)</f>
        <v>0</v>
      </c>
      <c r="X313" s="57">
        <f>IF(AND(tblJTL[[#This Row],[経過秒]]&gt;='17_分析サンプル'!$E$11,tblJTL[[#This Row],[経過秒]]&lt;'17_分析サンプル'!$E$12),1,0)</f>
        <v>1</v>
      </c>
    </row>
    <row r="314" spans="2:24" ht="14.4" x14ac:dyDescent="0.3">
      <c r="B314" s="57">
        <v>1790816494817</v>
      </c>
      <c r="C314" s="58">
        <v>126</v>
      </c>
      <c r="D314" s="59" t="s">
        <v>1658</v>
      </c>
      <c r="E314" s="59" t="s">
        <v>1577</v>
      </c>
      <c r="F314" s="59" t="s">
        <v>2275</v>
      </c>
      <c r="G314" s="59" t="s">
        <v>3584</v>
      </c>
      <c r="H314" s="59" t="s">
        <v>2281</v>
      </c>
      <c r="I314" s="59" t="b">
        <v>1</v>
      </c>
      <c r="J314" s="59"/>
      <c r="K314" s="58">
        <v>1862</v>
      </c>
      <c r="L314" s="58">
        <v>1342</v>
      </c>
      <c r="M314" s="59">
        <v>10</v>
      </c>
      <c r="N314" s="59">
        <v>10</v>
      </c>
      <c r="O314" s="59" t="s">
        <v>3578</v>
      </c>
      <c r="P314" s="58">
        <v>118</v>
      </c>
      <c r="Q314" s="59">
        <v>0</v>
      </c>
      <c r="R314" s="59">
        <v>0</v>
      </c>
      <c r="S314" s="60">
        <f>tblJTL[[#This Row],[timeStamp]]/86400000+DATE(1970,1,1)+TIME(9,0,0)</f>
        <v>46296.417764085651</v>
      </c>
      <c r="T314" s="57">
        <f>tblJTL[[#This Row],[timeStamp]]+tblJTL[[#This Row],[elapsed]]</f>
        <v>1790816494943</v>
      </c>
      <c r="U314" s="61">
        <f>(tblJTL[[#This Row],[timeStamp]]-'17_分析サンプル'!$E$18)/1000</f>
        <v>94.637</v>
      </c>
      <c r="V314" s="57">
        <f>INT(tblJTL[[#This Row],[経過秒]]/60)</f>
        <v>1</v>
      </c>
      <c r="W314" s="57">
        <f>IF(OR(tblJTL[[#This Row],[success]]=FALSE,tblJTL[[#This Row],[success]]="false"),1,0)</f>
        <v>0</v>
      </c>
      <c r="X314" s="57">
        <f>IF(AND(tblJTL[[#This Row],[経過秒]]&gt;='17_分析サンプル'!$E$11,tblJTL[[#This Row],[経過秒]]&lt;'17_分析サンプル'!$E$12),1,0)</f>
        <v>1</v>
      </c>
    </row>
    <row r="315" spans="2:24" ht="14.4" x14ac:dyDescent="0.3">
      <c r="B315" s="57">
        <v>1790816494805</v>
      </c>
      <c r="C315" s="58">
        <v>169</v>
      </c>
      <c r="D315" s="59" t="s">
        <v>1677</v>
      </c>
      <c r="E315" s="59" t="s">
        <v>3579</v>
      </c>
      <c r="F315" s="59" t="s">
        <v>3580</v>
      </c>
      <c r="G315" s="59" t="s">
        <v>3585</v>
      </c>
      <c r="H315" s="59" t="s">
        <v>2281</v>
      </c>
      <c r="I315" s="59" t="b">
        <v>1</v>
      </c>
      <c r="J315" s="59"/>
      <c r="K315" s="58">
        <v>425</v>
      </c>
      <c r="L315" s="58">
        <v>1478</v>
      </c>
      <c r="M315" s="59">
        <v>10</v>
      </c>
      <c r="N315" s="59">
        <v>10</v>
      </c>
      <c r="O315" s="59" t="s">
        <v>3581</v>
      </c>
      <c r="P315" s="58">
        <v>164</v>
      </c>
      <c r="Q315" s="59">
        <v>0</v>
      </c>
      <c r="R315" s="59">
        <v>45</v>
      </c>
      <c r="S315" s="60">
        <f>tblJTL[[#This Row],[timeStamp]]/86400000+DATE(1970,1,1)+TIME(9,0,0)</f>
        <v>46296.41776394676</v>
      </c>
      <c r="T315" s="57">
        <f>tblJTL[[#This Row],[timeStamp]]+tblJTL[[#This Row],[elapsed]]</f>
        <v>1790816494974</v>
      </c>
      <c r="U315" s="61">
        <f>(tblJTL[[#This Row],[timeStamp]]-'17_分析サンプル'!$E$18)/1000</f>
        <v>94.625</v>
      </c>
      <c r="V315" s="57">
        <f>INT(tblJTL[[#This Row],[経過秒]]/60)</f>
        <v>1</v>
      </c>
      <c r="W315" s="57">
        <f>IF(OR(tblJTL[[#This Row],[success]]=FALSE,tblJTL[[#This Row],[success]]="false"),1,0)</f>
        <v>0</v>
      </c>
      <c r="X315" s="57">
        <f>IF(AND(tblJTL[[#This Row],[経過秒]]&gt;='17_分析サンプル'!$E$11,tblJTL[[#This Row],[経過秒]]&lt;'17_分析サンプル'!$E$12),1,0)</f>
        <v>1</v>
      </c>
    </row>
    <row r="316" spans="2:24" ht="14.4" x14ac:dyDescent="0.3">
      <c r="B316" s="57">
        <v>1790816495185</v>
      </c>
      <c r="C316" s="58">
        <v>224</v>
      </c>
      <c r="D316" s="59" t="s">
        <v>1677</v>
      </c>
      <c r="E316" s="59" t="s">
        <v>3579</v>
      </c>
      <c r="F316" s="59" t="s">
        <v>3580</v>
      </c>
      <c r="G316" s="59" t="s">
        <v>3583</v>
      </c>
      <c r="H316" s="59" t="s">
        <v>2281</v>
      </c>
      <c r="I316" s="59" t="b">
        <v>1</v>
      </c>
      <c r="J316" s="59"/>
      <c r="K316" s="58">
        <v>430</v>
      </c>
      <c r="L316" s="58">
        <v>1478</v>
      </c>
      <c r="M316" s="59">
        <v>10</v>
      </c>
      <c r="N316" s="59">
        <v>10</v>
      </c>
      <c r="O316" s="59" t="s">
        <v>3581</v>
      </c>
      <c r="P316" s="58">
        <v>221</v>
      </c>
      <c r="Q316" s="59">
        <v>0</v>
      </c>
      <c r="R316" s="59">
        <v>0</v>
      </c>
      <c r="S316" s="60">
        <f>tblJTL[[#This Row],[timeStamp]]/86400000+DATE(1970,1,1)+TIME(9,0,0)</f>
        <v>46296.417768344909</v>
      </c>
      <c r="T316" s="57">
        <f>tblJTL[[#This Row],[timeStamp]]+tblJTL[[#This Row],[elapsed]]</f>
        <v>1790816495409</v>
      </c>
      <c r="U316" s="61">
        <f>(tblJTL[[#This Row],[timeStamp]]-'17_分析サンプル'!$E$18)/1000</f>
        <v>95.004999999999995</v>
      </c>
      <c r="V316" s="57">
        <f>INT(tblJTL[[#This Row],[経過秒]]/60)</f>
        <v>1</v>
      </c>
      <c r="W316" s="57">
        <f>IF(OR(tblJTL[[#This Row],[success]]=FALSE,tblJTL[[#This Row],[success]]="false"),1,0)</f>
        <v>0</v>
      </c>
      <c r="X316" s="57">
        <f>IF(AND(tblJTL[[#This Row],[経過秒]]&gt;='17_分析サンプル'!$E$11,tblJTL[[#This Row],[経過秒]]&lt;'17_分析サンプル'!$E$12),1,0)</f>
        <v>1</v>
      </c>
    </row>
    <row r="317" spans="2:24" ht="14.4" x14ac:dyDescent="0.3">
      <c r="B317" s="57">
        <v>1790816495384</v>
      </c>
      <c r="C317" s="58">
        <v>231</v>
      </c>
      <c r="D317" s="59" t="s">
        <v>1677</v>
      </c>
      <c r="E317" s="59" t="s">
        <v>3579</v>
      </c>
      <c r="F317" s="59" t="s">
        <v>3580</v>
      </c>
      <c r="G317" s="59" t="s">
        <v>3588</v>
      </c>
      <c r="H317" s="59" t="s">
        <v>2281</v>
      </c>
      <c r="I317" s="59" t="b">
        <v>1</v>
      </c>
      <c r="J317" s="59"/>
      <c r="K317" s="58">
        <v>420</v>
      </c>
      <c r="L317" s="58">
        <v>1478</v>
      </c>
      <c r="M317" s="59">
        <v>10</v>
      </c>
      <c r="N317" s="59">
        <v>10</v>
      </c>
      <c r="O317" s="59" t="s">
        <v>3581</v>
      </c>
      <c r="P317" s="58">
        <v>224</v>
      </c>
      <c r="Q317" s="59">
        <v>0</v>
      </c>
      <c r="R317" s="59">
        <v>0</v>
      </c>
      <c r="S317" s="60">
        <f>tblJTL[[#This Row],[timeStamp]]/86400000+DATE(1970,1,1)+TIME(9,0,0)</f>
        <v>46296.41777064815</v>
      </c>
      <c r="T317" s="57">
        <f>tblJTL[[#This Row],[timeStamp]]+tblJTL[[#This Row],[elapsed]]</f>
        <v>1790816495615</v>
      </c>
      <c r="U317" s="61">
        <f>(tblJTL[[#This Row],[timeStamp]]-'17_分析サンプル'!$E$18)/1000</f>
        <v>95.203999999999994</v>
      </c>
      <c r="V317" s="57">
        <f>INT(tblJTL[[#This Row],[経過秒]]/60)</f>
        <v>1</v>
      </c>
      <c r="W317" s="57">
        <f>IF(OR(tblJTL[[#This Row],[success]]=FALSE,tblJTL[[#This Row],[success]]="false"),1,0)</f>
        <v>0</v>
      </c>
      <c r="X317" s="57">
        <f>IF(AND(tblJTL[[#This Row],[経過秒]]&gt;='17_分析サンプル'!$E$11,tblJTL[[#This Row],[経過秒]]&lt;'17_分析サンプル'!$E$12),1,0)</f>
        <v>1</v>
      </c>
    </row>
    <row r="318" spans="2:24" ht="14.4" x14ac:dyDescent="0.3">
      <c r="B318" s="57">
        <v>1790816495685</v>
      </c>
      <c r="C318" s="58">
        <v>121</v>
      </c>
      <c r="D318" s="59" t="s">
        <v>1658</v>
      </c>
      <c r="E318" s="59" t="s">
        <v>1577</v>
      </c>
      <c r="F318" s="59" t="s">
        <v>2275</v>
      </c>
      <c r="G318" s="59" t="s">
        <v>3577</v>
      </c>
      <c r="H318" s="59" t="s">
        <v>2281</v>
      </c>
      <c r="I318" s="59" t="b">
        <v>1</v>
      </c>
      <c r="J318" s="59"/>
      <c r="K318" s="58">
        <v>1860</v>
      </c>
      <c r="L318" s="58">
        <v>1342</v>
      </c>
      <c r="M318" s="59">
        <v>10</v>
      </c>
      <c r="N318" s="59">
        <v>10</v>
      </c>
      <c r="O318" s="59" t="s">
        <v>3578</v>
      </c>
      <c r="P318" s="58">
        <v>115</v>
      </c>
      <c r="Q318" s="59">
        <v>0</v>
      </c>
      <c r="R318" s="59">
        <v>0</v>
      </c>
      <c r="S318" s="60">
        <f>tblJTL[[#This Row],[timeStamp]]/86400000+DATE(1970,1,1)+TIME(9,0,0)</f>
        <v>46296.417774131944</v>
      </c>
      <c r="T318" s="57">
        <f>tblJTL[[#This Row],[timeStamp]]+tblJTL[[#This Row],[elapsed]]</f>
        <v>1790816495806</v>
      </c>
      <c r="U318" s="61">
        <f>(tblJTL[[#This Row],[timeStamp]]-'17_分析サンプル'!$E$18)/1000</f>
        <v>95.504999999999995</v>
      </c>
      <c r="V318" s="57">
        <f>INT(tblJTL[[#This Row],[経過秒]]/60)</f>
        <v>1</v>
      </c>
      <c r="W318" s="57">
        <f>IF(OR(tblJTL[[#This Row],[success]]=FALSE,tblJTL[[#This Row],[success]]="false"),1,0)</f>
        <v>0</v>
      </c>
      <c r="X318" s="57">
        <f>IF(AND(tblJTL[[#This Row],[経過秒]]&gt;='17_分析サンプル'!$E$11,tblJTL[[#This Row],[経過秒]]&lt;'17_分析サンプル'!$E$12),1,0)</f>
        <v>1</v>
      </c>
    </row>
    <row r="319" spans="2:24" ht="14.4" x14ac:dyDescent="0.3">
      <c r="B319" s="57">
        <v>1790816495821</v>
      </c>
      <c r="C319" s="58">
        <v>122</v>
      </c>
      <c r="D319" s="59" t="s">
        <v>1658</v>
      </c>
      <c r="E319" s="59" t="s">
        <v>1577</v>
      </c>
      <c r="F319" s="59" t="s">
        <v>2275</v>
      </c>
      <c r="G319" s="59" t="s">
        <v>3589</v>
      </c>
      <c r="H319" s="59" t="s">
        <v>2281</v>
      </c>
      <c r="I319" s="59" t="b">
        <v>1</v>
      </c>
      <c r="J319" s="59"/>
      <c r="K319" s="58">
        <v>1891</v>
      </c>
      <c r="L319" s="58">
        <v>1342</v>
      </c>
      <c r="M319" s="59">
        <v>10</v>
      </c>
      <c r="N319" s="59">
        <v>10</v>
      </c>
      <c r="O319" s="59" t="s">
        <v>3578</v>
      </c>
      <c r="P319" s="58">
        <v>114</v>
      </c>
      <c r="Q319" s="59">
        <v>0</v>
      </c>
      <c r="R319" s="59">
        <v>0</v>
      </c>
      <c r="S319" s="60">
        <f>tblJTL[[#This Row],[timeStamp]]/86400000+DATE(1970,1,1)+TIME(9,0,0)</f>
        <v>46296.417775706017</v>
      </c>
      <c r="T319" s="57">
        <f>tblJTL[[#This Row],[timeStamp]]+tblJTL[[#This Row],[elapsed]]</f>
        <v>1790816495943</v>
      </c>
      <c r="U319" s="61">
        <f>(tblJTL[[#This Row],[timeStamp]]-'17_分析サンプル'!$E$18)/1000</f>
        <v>95.641000000000005</v>
      </c>
      <c r="V319" s="57">
        <f>INT(tblJTL[[#This Row],[経過秒]]/60)</f>
        <v>1</v>
      </c>
      <c r="W319" s="57">
        <f>IF(OR(tblJTL[[#This Row],[success]]=FALSE,tblJTL[[#This Row],[success]]="false"),1,0)</f>
        <v>0</v>
      </c>
      <c r="X319" s="57">
        <f>IF(AND(tblJTL[[#This Row],[経過秒]]&gt;='17_分析サンプル'!$E$11,tblJTL[[#This Row],[経過秒]]&lt;'17_分析サンプル'!$E$12),1,0)</f>
        <v>1</v>
      </c>
    </row>
    <row r="320" spans="2:24" ht="14.4" x14ac:dyDescent="0.3">
      <c r="B320" s="57">
        <v>1790816496114</v>
      </c>
      <c r="C320" s="58">
        <v>126</v>
      </c>
      <c r="D320" s="59" t="s">
        <v>1658</v>
      </c>
      <c r="E320" s="59" t="s">
        <v>1577</v>
      </c>
      <c r="F320" s="59" t="s">
        <v>2275</v>
      </c>
      <c r="G320" s="59" t="s">
        <v>3586</v>
      </c>
      <c r="H320" s="59" t="s">
        <v>2281</v>
      </c>
      <c r="I320" s="59" t="b">
        <v>1</v>
      </c>
      <c r="J320" s="59"/>
      <c r="K320" s="58">
        <v>1863</v>
      </c>
      <c r="L320" s="58">
        <v>1342</v>
      </c>
      <c r="M320" s="59">
        <v>10</v>
      </c>
      <c r="N320" s="59">
        <v>10</v>
      </c>
      <c r="O320" s="59" t="s">
        <v>3578</v>
      </c>
      <c r="P320" s="58">
        <v>122</v>
      </c>
      <c r="Q320" s="59">
        <v>0</v>
      </c>
      <c r="R320" s="59">
        <v>0</v>
      </c>
      <c r="S320" s="60">
        <f>tblJTL[[#This Row],[timeStamp]]/86400000+DATE(1970,1,1)+TIME(9,0,0)</f>
        <v>46296.417779097217</v>
      </c>
      <c r="T320" s="57">
        <f>tblJTL[[#This Row],[timeStamp]]+tblJTL[[#This Row],[elapsed]]</f>
        <v>1790816496240</v>
      </c>
      <c r="U320" s="61">
        <f>(tblJTL[[#This Row],[timeStamp]]-'17_分析サンプル'!$E$18)/1000</f>
        <v>95.933999999999997</v>
      </c>
      <c r="V320" s="57">
        <f>INT(tblJTL[[#This Row],[経過秒]]/60)</f>
        <v>1</v>
      </c>
      <c r="W320" s="57">
        <f>IF(OR(tblJTL[[#This Row],[success]]=FALSE,tblJTL[[#This Row],[success]]="false"),1,0)</f>
        <v>0</v>
      </c>
      <c r="X320" s="57">
        <f>IF(AND(tblJTL[[#This Row],[経過秒]]&gt;='17_分析サンプル'!$E$11,tblJTL[[#This Row],[経過秒]]&lt;'17_分析サンプル'!$E$12),1,0)</f>
        <v>1</v>
      </c>
    </row>
    <row r="321" spans="2:24" ht="14.4" x14ac:dyDescent="0.3">
      <c r="B321" s="57">
        <v>1790816496353</v>
      </c>
      <c r="C321" s="58">
        <v>178</v>
      </c>
      <c r="D321" s="59" t="s">
        <v>1658</v>
      </c>
      <c r="E321" s="59" t="s">
        <v>1577</v>
      </c>
      <c r="F321" s="59" t="s">
        <v>2275</v>
      </c>
      <c r="G321" s="59" t="s">
        <v>3582</v>
      </c>
      <c r="H321" s="59" t="s">
        <v>2281</v>
      </c>
      <c r="I321" s="59" t="b">
        <v>1</v>
      </c>
      <c r="J321" s="59"/>
      <c r="K321" s="58">
        <v>1836</v>
      </c>
      <c r="L321" s="58">
        <v>1342</v>
      </c>
      <c r="M321" s="59">
        <v>10</v>
      </c>
      <c r="N321" s="59">
        <v>10</v>
      </c>
      <c r="O321" s="59" t="s">
        <v>3578</v>
      </c>
      <c r="P321" s="58">
        <v>170</v>
      </c>
      <c r="Q321" s="59">
        <v>0</v>
      </c>
      <c r="R321" s="59">
        <v>0</v>
      </c>
      <c r="S321" s="60">
        <f>tblJTL[[#This Row],[timeStamp]]/86400000+DATE(1970,1,1)+TIME(9,0,0)</f>
        <v>46296.417781863427</v>
      </c>
      <c r="T321" s="57">
        <f>tblJTL[[#This Row],[timeStamp]]+tblJTL[[#This Row],[elapsed]]</f>
        <v>1790816496531</v>
      </c>
      <c r="U321" s="61">
        <f>(tblJTL[[#This Row],[timeStamp]]-'17_分析サンプル'!$E$18)/1000</f>
        <v>96.173000000000002</v>
      </c>
      <c r="V321" s="57">
        <f>INT(tblJTL[[#This Row],[経過秒]]/60)</f>
        <v>1</v>
      </c>
      <c r="W321" s="57">
        <f>IF(OR(tblJTL[[#This Row],[success]]=FALSE,tblJTL[[#This Row],[success]]="false"),1,0)</f>
        <v>0</v>
      </c>
      <c r="X321" s="57">
        <f>IF(AND(tblJTL[[#This Row],[経過秒]]&gt;='17_分析サンプル'!$E$11,tblJTL[[#This Row],[経過秒]]&lt;'17_分析サンプル'!$E$12),1,0)</f>
        <v>1</v>
      </c>
    </row>
    <row r="322" spans="2:24" ht="14.4" x14ac:dyDescent="0.3">
      <c r="B322" s="57">
        <v>1790816496620</v>
      </c>
      <c r="C322" s="58">
        <v>339</v>
      </c>
      <c r="D322" s="59" t="s">
        <v>1677</v>
      </c>
      <c r="E322" s="59" t="s">
        <v>3579</v>
      </c>
      <c r="F322" s="59" t="s">
        <v>3580</v>
      </c>
      <c r="G322" s="59" t="s">
        <v>3584</v>
      </c>
      <c r="H322" s="59" t="s">
        <v>2281</v>
      </c>
      <c r="I322" s="59" t="b">
        <v>1</v>
      </c>
      <c r="J322" s="59"/>
      <c r="K322" s="58">
        <v>413</v>
      </c>
      <c r="L322" s="58">
        <v>1478</v>
      </c>
      <c r="M322" s="59">
        <v>10</v>
      </c>
      <c r="N322" s="59">
        <v>10</v>
      </c>
      <c r="O322" s="59" t="s">
        <v>3581</v>
      </c>
      <c r="P322" s="58">
        <v>333</v>
      </c>
      <c r="Q322" s="59">
        <v>0</v>
      </c>
      <c r="R322" s="59">
        <v>0</v>
      </c>
      <c r="S322" s="60">
        <f>tblJTL[[#This Row],[timeStamp]]/86400000+DATE(1970,1,1)+TIME(9,0,0)</f>
        <v>46296.417784953708</v>
      </c>
      <c r="T322" s="57">
        <f>tblJTL[[#This Row],[timeStamp]]+tblJTL[[#This Row],[elapsed]]</f>
        <v>1790816496959</v>
      </c>
      <c r="U322" s="61">
        <f>(tblJTL[[#This Row],[timeStamp]]-'17_分析サンプル'!$E$18)/1000</f>
        <v>96.44</v>
      </c>
      <c r="V322" s="57">
        <f>INT(tblJTL[[#This Row],[経過秒]]/60)</f>
        <v>1</v>
      </c>
      <c r="W322" s="57">
        <f>IF(OR(tblJTL[[#This Row],[success]]=FALSE,tblJTL[[#This Row],[success]]="false"),1,0)</f>
        <v>0</v>
      </c>
      <c r="X322" s="57">
        <f>IF(AND(tblJTL[[#This Row],[経過秒]]&gt;='17_分析サンプル'!$E$11,tblJTL[[#This Row],[経過秒]]&lt;'17_分析サンプル'!$E$12),1,0)</f>
        <v>1</v>
      </c>
    </row>
    <row r="323" spans="2:24" ht="14.4" x14ac:dyDescent="0.3">
      <c r="B323" s="57">
        <v>1790816497032</v>
      </c>
      <c r="C323" s="58">
        <v>151</v>
      </c>
      <c r="D323" s="59" t="s">
        <v>1658</v>
      </c>
      <c r="E323" s="59" t="s">
        <v>1577</v>
      </c>
      <c r="F323" s="59" t="s">
        <v>2275</v>
      </c>
      <c r="G323" s="59" t="s">
        <v>2278</v>
      </c>
      <c r="H323" s="59" t="s">
        <v>2281</v>
      </c>
      <c r="I323" s="59" t="b">
        <v>1</v>
      </c>
      <c r="J323" s="59"/>
      <c r="K323" s="58">
        <v>1852</v>
      </c>
      <c r="L323" s="58">
        <v>1342</v>
      </c>
      <c r="M323" s="59">
        <v>10</v>
      </c>
      <c r="N323" s="59">
        <v>10</v>
      </c>
      <c r="O323" s="59" t="s">
        <v>3578</v>
      </c>
      <c r="P323" s="58">
        <v>147</v>
      </c>
      <c r="Q323" s="59">
        <v>0</v>
      </c>
      <c r="R323" s="59">
        <v>0</v>
      </c>
      <c r="S323" s="60">
        <f>tblJTL[[#This Row],[timeStamp]]/86400000+DATE(1970,1,1)+TIME(9,0,0)</f>
        <v>46296.417789722225</v>
      </c>
      <c r="T323" s="57">
        <f>tblJTL[[#This Row],[timeStamp]]+tblJTL[[#This Row],[elapsed]]</f>
        <v>1790816497183</v>
      </c>
      <c r="U323" s="61">
        <f>(tblJTL[[#This Row],[timeStamp]]-'17_分析サンプル'!$E$18)/1000</f>
        <v>96.852000000000004</v>
      </c>
      <c r="V323" s="57">
        <f>INT(tblJTL[[#This Row],[経過秒]]/60)</f>
        <v>1</v>
      </c>
      <c r="W323" s="57">
        <f>IF(OR(tblJTL[[#This Row],[success]]=FALSE,tblJTL[[#This Row],[success]]="false"),1,0)</f>
        <v>0</v>
      </c>
      <c r="X323" s="57">
        <f>IF(AND(tblJTL[[#This Row],[経過秒]]&gt;='17_分析サンプル'!$E$11,tblJTL[[#This Row],[経過秒]]&lt;'17_分析サンプル'!$E$12),1,0)</f>
        <v>1</v>
      </c>
    </row>
    <row r="324" spans="2:24" ht="14.4" x14ac:dyDescent="0.3">
      <c r="B324" s="57">
        <v>1790816497112</v>
      </c>
      <c r="C324" s="58">
        <v>79</v>
      </c>
      <c r="D324" s="59" t="s">
        <v>1658</v>
      </c>
      <c r="E324" s="59" t="s">
        <v>1577</v>
      </c>
      <c r="F324" s="59" t="s">
        <v>2275</v>
      </c>
      <c r="G324" s="59" t="s">
        <v>3587</v>
      </c>
      <c r="H324" s="59" t="s">
        <v>2281</v>
      </c>
      <c r="I324" s="59" t="b">
        <v>1</v>
      </c>
      <c r="J324" s="59"/>
      <c r="K324" s="58">
        <v>1827</v>
      </c>
      <c r="L324" s="58">
        <v>1342</v>
      </c>
      <c r="M324" s="59">
        <v>10</v>
      </c>
      <c r="N324" s="59">
        <v>10</v>
      </c>
      <c r="O324" s="59" t="s">
        <v>3578</v>
      </c>
      <c r="P324" s="58">
        <v>76</v>
      </c>
      <c r="Q324" s="59">
        <v>0</v>
      </c>
      <c r="R324" s="59">
        <v>0</v>
      </c>
      <c r="S324" s="60">
        <f>tblJTL[[#This Row],[timeStamp]]/86400000+DATE(1970,1,1)+TIME(9,0,0)</f>
        <v>46296.417790648149</v>
      </c>
      <c r="T324" s="57">
        <f>tblJTL[[#This Row],[timeStamp]]+tblJTL[[#This Row],[elapsed]]</f>
        <v>1790816497191</v>
      </c>
      <c r="U324" s="61">
        <f>(tblJTL[[#This Row],[timeStamp]]-'17_分析サンプル'!$E$18)/1000</f>
        <v>96.932000000000002</v>
      </c>
      <c r="V324" s="57">
        <f>INT(tblJTL[[#This Row],[経過秒]]/60)</f>
        <v>1</v>
      </c>
      <c r="W324" s="57">
        <f>IF(OR(tblJTL[[#This Row],[success]]=FALSE,tblJTL[[#This Row],[success]]="false"),1,0)</f>
        <v>0</v>
      </c>
      <c r="X324" s="57">
        <f>IF(AND(tblJTL[[#This Row],[経過秒]]&gt;='17_分析サンプル'!$E$11,tblJTL[[#This Row],[経過秒]]&lt;'17_分析サンプル'!$E$12),1,0)</f>
        <v>1</v>
      </c>
    </row>
    <row r="325" spans="2:24" ht="14.4" x14ac:dyDescent="0.3">
      <c r="B325" s="57">
        <v>1790816497604</v>
      </c>
      <c r="C325" s="58">
        <v>136</v>
      </c>
      <c r="D325" s="59" t="s">
        <v>1658</v>
      </c>
      <c r="E325" s="59" t="s">
        <v>1577</v>
      </c>
      <c r="F325" s="59" t="s">
        <v>2275</v>
      </c>
      <c r="G325" s="59" t="s">
        <v>3585</v>
      </c>
      <c r="H325" s="59" t="s">
        <v>2281</v>
      </c>
      <c r="I325" s="59" t="b">
        <v>1</v>
      </c>
      <c r="J325" s="59"/>
      <c r="K325" s="58">
        <v>1855</v>
      </c>
      <c r="L325" s="58">
        <v>1342</v>
      </c>
      <c r="M325" s="59">
        <v>10</v>
      </c>
      <c r="N325" s="59">
        <v>10</v>
      </c>
      <c r="O325" s="59" t="s">
        <v>3578</v>
      </c>
      <c r="P325" s="58">
        <v>128</v>
      </c>
      <c r="Q325" s="59">
        <v>0</v>
      </c>
      <c r="R325" s="59">
        <v>0</v>
      </c>
      <c r="S325" s="60">
        <f>tblJTL[[#This Row],[timeStamp]]/86400000+DATE(1970,1,1)+TIME(9,0,0)</f>
        <v>46296.41779634259</v>
      </c>
      <c r="T325" s="57">
        <f>tblJTL[[#This Row],[timeStamp]]+tblJTL[[#This Row],[elapsed]]</f>
        <v>1790816497740</v>
      </c>
      <c r="U325" s="61">
        <f>(tblJTL[[#This Row],[timeStamp]]-'17_分析サンプル'!$E$18)/1000</f>
        <v>97.424000000000007</v>
      </c>
      <c r="V325" s="57">
        <f>INT(tblJTL[[#This Row],[経過秒]]/60)</f>
        <v>1</v>
      </c>
      <c r="W325" s="57">
        <f>IF(OR(tblJTL[[#This Row],[success]]=FALSE,tblJTL[[#This Row],[success]]="false"),1,0)</f>
        <v>0</v>
      </c>
      <c r="X325" s="57">
        <f>IF(AND(tblJTL[[#This Row],[経過秒]]&gt;='17_分析サンプル'!$E$11,tblJTL[[#This Row],[経過秒]]&lt;'17_分析サンプル'!$E$12),1,0)</f>
        <v>1</v>
      </c>
    </row>
    <row r="326" spans="2:24" ht="14.4" x14ac:dyDescent="0.3">
      <c r="B326" s="57">
        <v>1790816497600</v>
      </c>
      <c r="C326" s="58">
        <v>264</v>
      </c>
      <c r="D326" s="59" t="s">
        <v>1677</v>
      </c>
      <c r="E326" s="59" t="s">
        <v>3579</v>
      </c>
      <c r="F326" s="59" t="s">
        <v>3580</v>
      </c>
      <c r="G326" s="59" t="s">
        <v>3582</v>
      </c>
      <c r="H326" s="59" t="s">
        <v>2281</v>
      </c>
      <c r="I326" s="59" t="b">
        <v>1</v>
      </c>
      <c r="J326" s="59"/>
      <c r="K326" s="58">
        <v>436</v>
      </c>
      <c r="L326" s="58">
        <v>1478</v>
      </c>
      <c r="M326" s="59">
        <v>10</v>
      </c>
      <c r="N326" s="59">
        <v>10</v>
      </c>
      <c r="O326" s="59" t="s">
        <v>3581</v>
      </c>
      <c r="P326" s="58">
        <v>262</v>
      </c>
      <c r="Q326" s="59">
        <v>0</v>
      </c>
      <c r="R326" s="59">
        <v>0</v>
      </c>
      <c r="S326" s="60">
        <f>tblJTL[[#This Row],[timeStamp]]/86400000+DATE(1970,1,1)+TIME(9,0,0)</f>
        <v>46296.4177962963</v>
      </c>
      <c r="T326" s="57">
        <f>tblJTL[[#This Row],[timeStamp]]+tblJTL[[#This Row],[elapsed]]</f>
        <v>1790816497864</v>
      </c>
      <c r="U326" s="61">
        <f>(tblJTL[[#This Row],[timeStamp]]-'17_分析サンプル'!$E$18)/1000</f>
        <v>97.42</v>
      </c>
      <c r="V326" s="57">
        <f>INT(tblJTL[[#This Row],[経過秒]]/60)</f>
        <v>1</v>
      </c>
      <c r="W326" s="57">
        <f>IF(OR(tblJTL[[#This Row],[success]]=FALSE,tblJTL[[#This Row],[success]]="false"),1,0)</f>
        <v>0</v>
      </c>
      <c r="X326" s="57">
        <f>IF(AND(tblJTL[[#This Row],[経過秒]]&gt;='17_分析サンプル'!$E$11,tblJTL[[#This Row],[経過秒]]&lt;'17_分析サンプル'!$E$12),1,0)</f>
        <v>1</v>
      </c>
    </row>
    <row r="327" spans="2:24" ht="14.4" x14ac:dyDescent="0.3">
      <c r="B327" s="57">
        <v>1790816497787</v>
      </c>
      <c r="C327" s="58">
        <v>150</v>
      </c>
      <c r="D327" s="59" t="s">
        <v>1658</v>
      </c>
      <c r="E327" s="59" t="s">
        <v>1577</v>
      </c>
      <c r="F327" s="59" t="s">
        <v>2275</v>
      </c>
      <c r="G327" s="59" t="s">
        <v>3583</v>
      </c>
      <c r="H327" s="59" t="s">
        <v>2281</v>
      </c>
      <c r="I327" s="59" t="b">
        <v>1</v>
      </c>
      <c r="J327" s="59"/>
      <c r="K327" s="58">
        <v>1857</v>
      </c>
      <c r="L327" s="58">
        <v>1342</v>
      </c>
      <c r="M327" s="59">
        <v>10</v>
      </c>
      <c r="N327" s="59">
        <v>10</v>
      </c>
      <c r="O327" s="59" t="s">
        <v>3578</v>
      </c>
      <c r="P327" s="58">
        <v>148</v>
      </c>
      <c r="Q327" s="59">
        <v>0</v>
      </c>
      <c r="R327" s="59">
        <v>0</v>
      </c>
      <c r="S327" s="60">
        <f>tblJTL[[#This Row],[timeStamp]]/86400000+DATE(1970,1,1)+TIME(9,0,0)</f>
        <v>46296.41779846065</v>
      </c>
      <c r="T327" s="57">
        <f>tblJTL[[#This Row],[timeStamp]]+tblJTL[[#This Row],[elapsed]]</f>
        <v>1790816497937</v>
      </c>
      <c r="U327" s="61">
        <f>(tblJTL[[#This Row],[timeStamp]]-'17_分析サンプル'!$E$18)/1000</f>
        <v>97.606999999999999</v>
      </c>
      <c r="V327" s="57">
        <f>INT(tblJTL[[#This Row],[経過秒]]/60)</f>
        <v>1</v>
      </c>
      <c r="W327" s="57">
        <f>IF(OR(tblJTL[[#This Row],[success]]=FALSE,tblJTL[[#This Row],[success]]="false"),1,0)</f>
        <v>0</v>
      </c>
      <c r="X327" s="57">
        <f>IF(AND(tblJTL[[#This Row],[経過秒]]&gt;='17_分析サンプル'!$E$11,tblJTL[[#This Row],[経過秒]]&lt;'17_分析サンプル'!$E$12),1,0)</f>
        <v>1</v>
      </c>
    </row>
    <row r="328" spans="2:24" ht="14.4" x14ac:dyDescent="0.3">
      <c r="B328" s="57">
        <v>1790816497908</v>
      </c>
      <c r="C328" s="58">
        <v>125</v>
      </c>
      <c r="D328" s="59" t="s">
        <v>1658</v>
      </c>
      <c r="E328" s="59" t="s">
        <v>1577</v>
      </c>
      <c r="F328" s="59" t="s">
        <v>2275</v>
      </c>
      <c r="G328" s="59" t="s">
        <v>3588</v>
      </c>
      <c r="H328" s="59" t="s">
        <v>2281</v>
      </c>
      <c r="I328" s="59" t="b">
        <v>1</v>
      </c>
      <c r="J328" s="59"/>
      <c r="K328" s="58">
        <v>1871</v>
      </c>
      <c r="L328" s="58">
        <v>1342</v>
      </c>
      <c r="M328" s="59">
        <v>10</v>
      </c>
      <c r="N328" s="59">
        <v>10</v>
      </c>
      <c r="O328" s="59" t="s">
        <v>3578</v>
      </c>
      <c r="P328" s="58">
        <v>121</v>
      </c>
      <c r="Q328" s="59">
        <v>0</v>
      </c>
      <c r="R328" s="59">
        <v>0</v>
      </c>
      <c r="S328" s="60">
        <f>tblJTL[[#This Row],[timeStamp]]/86400000+DATE(1970,1,1)+TIME(9,0,0)</f>
        <v>46296.417799861112</v>
      </c>
      <c r="T328" s="57">
        <f>tblJTL[[#This Row],[timeStamp]]+tblJTL[[#This Row],[elapsed]]</f>
        <v>1790816498033</v>
      </c>
      <c r="U328" s="61">
        <f>(tblJTL[[#This Row],[timeStamp]]-'17_分析サンプル'!$E$18)/1000</f>
        <v>97.727999999999994</v>
      </c>
      <c r="V328" s="57">
        <f>INT(tblJTL[[#This Row],[経過秒]]/60)</f>
        <v>1</v>
      </c>
      <c r="W328" s="57">
        <f>IF(OR(tblJTL[[#This Row],[success]]=FALSE,tblJTL[[#This Row],[success]]="false"),1,0)</f>
        <v>0</v>
      </c>
      <c r="X328" s="57">
        <f>IF(AND(tblJTL[[#This Row],[経過秒]]&gt;='17_分析サンプル'!$E$11,tblJTL[[#This Row],[経過秒]]&lt;'17_分析サンプル'!$E$12),1,0)</f>
        <v>1</v>
      </c>
    </row>
    <row r="329" spans="2:24" ht="14.4" x14ac:dyDescent="0.3">
      <c r="B329" s="57">
        <v>1790816497889</v>
      </c>
      <c r="C329" s="58">
        <v>311</v>
      </c>
      <c r="D329" s="59" t="s">
        <v>1677</v>
      </c>
      <c r="E329" s="59" t="s">
        <v>3579</v>
      </c>
      <c r="F329" s="59" t="s">
        <v>3580</v>
      </c>
      <c r="G329" s="59" t="s">
        <v>3589</v>
      </c>
      <c r="H329" s="59" t="s">
        <v>2281</v>
      </c>
      <c r="I329" s="59" t="b">
        <v>1</v>
      </c>
      <c r="J329" s="59"/>
      <c r="K329" s="58">
        <v>440</v>
      </c>
      <c r="L329" s="58">
        <v>1478</v>
      </c>
      <c r="M329" s="59">
        <v>10</v>
      </c>
      <c r="N329" s="59">
        <v>10</v>
      </c>
      <c r="O329" s="59" t="s">
        <v>3581</v>
      </c>
      <c r="P329" s="58">
        <v>303</v>
      </c>
      <c r="Q329" s="59">
        <v>0</v>
      </c>
      <c r="R329" s="59">
        <v>0</v>
      </c>
      <c r="S329" s="60">
        <f>tblJTL[[#This Row],[timeStamp]]/86400000+DATE(1970,1,1)+TIME(9,0,0)</f>
        <v>46296.417799641204</v>
      </c>
      <c r="T329" s="57">
        <f>tblJTL[[#This Row],[timeStamp]]+tblJTL[[#This Row],[elapsed]]</f>
        <v>1790816498200</v>
      </c>
      <c r="U329" s="61">
        <f>(tblJTL[[#This Row],[timeStamp]]-'17_分析サンプル'!$E$18)/1000</f>
        <v>97.709000000000003</v>
      </c>
      <c r="V329" s="57">
        <f>INT(tblJTL[[#This Row],[経過秒]]/60)</f>
        <v>1</v>
      </c>
      <c r="W329" s="57">
        <f>IF(OR(tblJTL[[#This Row],[success]]=FALSE,tblJTL[[#This Row],[success]]="false"),1,0)</f>
        <v>0</v>
      </c>
      <c r="X329" s="57">
        <f>IF(AND(tblJTL[[#This Row],[経過秒]]&gt;='17_分析サンプル'!$E$11,tblJTL[[#This Row],[経過秒]]&lt;'17_分析サンプル'!$E$12),1,0)</f>
        <v>1</v>
      </c>
    </row>
    <row r="330" spans="2:24" ht="14.4" x14ac:dyDescent="0.3">
      <c r="B330" s="57">
        <v>1790816498288</v>
      </c>
      <c r="C330" s="58">
        <v>154</v>
      </c>
      <c r="D330" s="59" t="s">
        <v>1677</v>
      </c>
      <c r="E330" s="59" t="s">
        <v>3579</v>
      </c>
      <c r="F330" s="59" t="s">
        <v>3580</v>
      </c>
      <c r="G330" s="59" t="s">
        <v>3577</v>
      </c>
      <c r="H330" s="59" t="s">
        <v>2281</v>
      </c>
      <c r="I330" s="59" t="b">
        <v>1</v>
      </c>
      <c r="J330" s="59"/>
      <c r="K330" s="58">
        <v>439</v>
      </c>
      <c r="L330" s="58">
        <v>1478</v>
      </c>
      <c r="M330" s="59">
        <v>10</v>
      </c>
      <c r="N330" s="59">
        <v>10</v>
      </c>
      <c r="O330" s="59" t="s">
        <v>3581</v>
      </c>
      <c r="P330" s="58">
        <v>146</v>
      </c>
      <c r="Q330" s="59">
        <v>0</v>
      </c>
      <c r="R330" s="59">
        <v>0</v>
      </c>
      <c r="S330" s="60">
        <f>tblJTL[[#This Row],[timeStamp]]/86400000+DATE(1970,1,1)+TIME(9,0,0)</f>
        <v>46296.417804259254</v>
      </c>
      <c r="T330" s="57">
        <f>tblJTL[[#This Row],[timeStamp]]+tblJTL[[#This Row],[elapsed]]</f>
        <v>1790816498442</v>
      </c>
      <c r="U330" s="61">
        <f>(tblJTL[[#This Row],[timeStamp]]-'17_分析サンプル'!$E$18)/1000</f>
        <v>98.108000000000004</v>
      </c>
      <c r="V330" s="57">
        <f>INT(tblJTL[[#This Row],[経過秒]]/60)</f>
        <v>1</v>
      </c>
      <c r="W330" s="57">
        <f>IF(OR(tblJTL[[#This Row],[success]]=FALSE,tblJTL[[#This Row],[success]]="false"),1,0)</f>
        <v>0</v>
      </c>
      <c r="X330" s="57">
        <f>IF(AND(tblJTL[[#This Row],[経過秒]]&gt;='17_分析サンプル'!$E$11,tblJTL[[#This Row],[経過秒]]&lt;'17_分析サンプル'!$E$12),1,0)</f>
        <v>1</v>
      </c>
    </row>
    <row r="331" spans="2:24" ht="14.4" x14ac:dyDescent="0.3">
      <c r="B331" s="57">
        <v>1790816498949</v>
      </c>
      <c r="C331" s="58">
        <v>132</v>
      </c>
      <c r="D331" s="59" t="s">
        <v>1658</v>
      </c>
      <c r="E331" s="59" t="s">
        <v>1577</v>
      </c>
      <c r="F331" s="59" t="s">
        <v>2275</v>
      </c>
      <c r="G331" s="59" t="s">
        <v>3584</v>
      </c>
      <c r="H331" s="59" t="s">
        <v>2281</v>
      </c>
      <c r="I331" s="59" t="b">
        <v>1</v>
      </c>
      <c r="J331" s="59"/>
      <c r="K331" s="58">
        <v>1828</v>
      </c>
      <c r="L331" s="58">
        <v>1342</v>
      </c>
      <c r="M331" s="59">
        <v>10</v>
      </c>
      <c r="N331" s="59">
        <v>10</v>
      </c>
      <c r="O331" s="59" t="s">
        <v>3578</v>
      </c>
      <c r="P331" s="58">
        <v>129</v>
      </c>
      <c r="Q331" s="59">
        <v>0</v>
      </c>
      <c r="R331" s="59">
        <v>0</v>
      </c>
      <c r="S331" s="60">
        <f>tblJTL[[#This Row],[timeStamp]]/86400000+DATE(1970,1,1)+TIME(9,0,0)</f>
        <v>46296.41781190972</v>
      </c>
      <c r="T331" s="57">
        <f>tblJTL[[#This Row],[timeStamp]]+tblJTL[[#This Row],[elapsed]]</f>
        <v>1790816499081</v>
      </c>
      <c r="U331" s="61">
        <f>(tblJTL[[#This Row],[timeStamp]]-'17_分析サンプル'!$E$18)/1000</f>
        <v>98.769000000000005</v>
      </c>
      <c r="V331" s="57">
        <f>INT(tblJTL[[#This Row],[経過秒]]/60)</f>
        <v>1</v>
      </c>
      <c r="W331" s="57">
        <f>IF(OR(tblJTL[[#This Row],[success]]=FALSE,tblJTL[[#This Row],[success]]="false"),1,0)</f>
        <v>0</v>
      </c>
      <c r="X331" s="57">
        <f>IF(AND(tblJTL[[#This Row],[経過秒]]&gt;='17_分析サンプル'!$E$11,tblJTL[[#This Row],[経過秒]]&lt;'17_分析サンプル'!$E$12),1,0)</f>
        <v>1</v>
      </c>
    </row>
    <row r="332" spans="2:24" ht="14.4" x14ac:dyDescent="0.3">
      <c r="B332" s="57">
        <v>1790816499001</v>
      </c>
      <c r="C332" s="58">
        <v>286</v>
      </c>
      <c r="D332" s="59" t="s">
        <v>1677</v>
      </c>
      <c r="E332" s="59" t="s">
        <v>3579</v>
      </c>
      <c r="F332" s="59" t="s">
        <v>3580</v>
      </c>
      <c r="G332" s="59" t="s">
        <v>3586</v>
      </c>
      <c r="H332" s="59" t="s">
        <v>2281</v>
      </c>
      <c r="I332" s="59" t="b">
        <v>1</v>
      </c>
      <c r="J332" s="59"/>
      <c r="K332" s="58">
        <v>440</v>
      </c>
      <c r="L332" s="58">
        <v>1478</v>
      </c>
      <c r="M332" s="59">
        <v>10</v>
      </c>
      <c r="N332" s="59">
        <v>10</v>
      </c>
      <c r="O332" s="59" t="s">
        <v>3581</v>
      </c>
      <c r="P332" s="58">
        <v>278</v>
      </c>
      <c r="Q332" s="59">
        <v>0</v>
      </c>
      <c r="R332" s="59">
        <v>0</v>
      </c>
      <c r="S332" s="60">
        <f>tblJTL[[#This Row],[timeStamp]]/86400000+DATE(1970,1,1)+TIME(9,0,0)</f>
        <v>46296.417812511572</v>
      </c>
      <c r="T332" s="57">
        <f>tblJTL[[#This Row],[timeStamp]]+tblJTL[[#This Row],[elapsed]]</f>
        <v>1790816499287</v>
      </c>
      <c r="U332" s="61">
        <f>(tblJTL[[#This Row],[timeStamp]]-'17_分析サンプル'!$E$18)/1000</f>
        <v>98.820999999999998</v>
      </c>
      <c r="V332" s="57">
        <f>INT(tblJTL[[#This Row],[経過秒]]/60)</f>
        <v>1</v>
      </c>
      <c r="W332" s="57">
        <f>IF(OR(tblJTL[[#This Row],[success]]=FALSE,tblJTL[[#This Row],[success]]="false"),1,0)</f>
        <v>0</v>
      </c>
      <c r="X332" s="57">
        <f>IF(AND(tblJTL[[#This Row],[経過秒]]&gt;='17_分析サンプル'!$E$11,tblJTL[[#This Row],[経過秒]]&lt;'17_分析サンプル'!$E$12),1,0)</f>
        <v>1</v>
      </c>
    </row>
    <row r="333" spans="2:24" ht="14.4" x14ac:dyDescent="0.3">
      <c r="B333" s="57">
        <v>1790816499335</v>
      </c>
      <c r="C333" s="58">
        <v>94</v>
      </c>
      <c r="D333" s="59" t="s">
        <v>1658</v>
      </c>
      <c r="E333" s="59" t="s">
        <v>1577</v>
      </c>
      <c r="F333" s="59" t="s">
        <v>2275</v>
      </c>
      <c r="G333" s="59" t="s">
        <v>3582</v>
      </c>
      <c r="H333" s="59" t="s">
        <v>2281</v>
      </c>
      <c r="I333" s="59" t="b">
        <v>1</v>
      </c>
      <c r="J333" s="59"/>
      <c r="K333" s="58">
        <v>1879</v>
      </c>
      <c r="L333" s="58">
        <v>1342</v>
      </c>
      <c r="M333" s="59">
        <v>10</v>
      </c>
      <c r="N333" s="59">
        <v>10</v>
      </c>
      <c r="O333" s="59" t="s">
        <v>3578</v>
      </c>
      <c r="P333" s="58">
        <v>90</v>
      </c>
      <c r="Q333" s="59">
        <v>0</v>
      </c>
      <c r="R333" s="59">
        <v>0</v>
      </c>
      <c r="S333" s="60">
        <f>tblJTL[[#This Row],[timeStamp]]/86400000+DATE(1970,1,1)+TIME(9,0,0)</f>
        <v>46296.417816377318</v>
      </c>
      <c r="T333" s="57">
        <f>tblJTL[[#This Row],[timeStamp]]+tblJTL[[#This Row],[elapsed]]</f>
        <v>1790816499429</v>
      </c>
      <c r="U333" s="61">
        <f>(tblJTL[[#This Row],[timeStamp]]-'17_分析サンプル'!$E$18)/1000</f>
        <v>99.155000000000001</v>
      </c>
      <c r="V333" s="57">
        <f>INT(tblJTL[[#This Row],[経過秒]]/60)</f>
        <v>1</v>
      </c>
      <c r="W333" s="57">
        <f>IF(OR(tblJTL[[#This Row],[success]]=FALSE,tblJTL[[#This Row],[success]]="false"),1,0)</f>
        <v>0</v>
      </c>
      <c r="X333" s="57">
        <f>IF(AND(tblJTL[[#This Row],[経過秒]]&gt;='17_分析サンプル'!$E$11,tblJTL[[#This Row],[経過秒]]&lt;'17_分析サンプル'!$E$12),1,0)</f>
        <v>1</v>
      </c>
    </row>
    <row r="334" spans="2:24" ht="14.4" x14ac:dyDescent="0.3">
      <c r="B334" s="57">
        <v>1790816499351</v>
      </c>
      <c r="C334" s="58">
        <v>195</v>
      </c>
      <c r="D334" s="59" t="s">
        <v>1677</v>
      </c>
      <c r="E334" s="59" t="s">
        <v>3579</v>
      </c>
      <c r="F334" s="59" t="s">
        <v>3580</v>
      </c>
      <c r="G334" s="59" t="s">
        <v>3585</v>
      </c>
      <c r="H334" s="59" t="s">
        <v>2281</v>
      </c>
      <c r="I334" s="59" t="b">
        <v>1</v>
      </c>
      <c r="J334" s="59"/>
      <c r="K334" s="58">
        <v>427</v>
      </c>
      <c r="L334" s="58">
        <v>1478</v>
      </c>
      <c r="M334" s="59">
        <v>10</v>
      </c>
      <c r="N334" s="59">
        <v>10</v>
      </c>
      <c r="O334" s="59" t="s">
        <v>3581</v>
      </c>
      <c r="P334" s="58">
        <v>188</v>
      </c>
      <c r="Q334" s="59">
        <v>0</v>
      </c>
      <c r="R334" s="59">
        <v>0</v>
      </c>
      <c r="S334" s="60">
        <f>tblJTL[[#This Row],[timeStamp]]/86400000+DATE(1970,1,1)+TIME(9,0,0)</f>
        <v>46296.417816562505</v>
      </c>
      <c r="T334" s="57">
        <f>tblJTL[[#This Row],[timeStamp]]+tblJTL[[#This Row],[elapsed]]</f>
        <v>1790816499546</v>
      </c>
      <c r="U334" s="61">
        <f>(tblJTL[[#This Row],[timeStamp]]-'17_分析サンプル'!$E$18)/1000</f>
        <v>99.171000000000006</v>
      </c>
      <c r="V334" s="57">
        <f>INT(tblJTL[[#This Row],[経過秒]]/60)</f>
        <v>1</v>
      </c>
      <c r="W334" s="57">
        <f>IF(OR(tblJTL[[#This Row],[success]]=FALSE,tblJTL[[#This Row],[success]]="false"),1,0)</f>
        <v>0</v>
      </c>
      <c r="X334" s="57">
        <f>IF(AND(tblJTL[[#This Row],[経過秒]]&gt;='17_分析サンプル'!$E$11,tblJTL[[#This Row],[経過秒]]&lt;'17_分析サンプル'!$E$12),1,0)</f>
        <v>1</v>
      </c>
    </row>
    <row r="335" spans="2:24" ht="14.4" x14ac:dyDescent="0.3">
      <c r="B335" s="57">
        <v>1790816499600</v>
      </c>
      <c r="C335" s="58">
        <v>193</v>
      </c>
      <c r="D335" s="59" t="s">
        <v>1677</v>
      </c>
      <c r="E335" s="59" t="s">
        <v>3579</v>
      </c>
      <c r="F335" s="59" t="s">
        <v>3580</v>
      </c>
      <c r="G335" s="59" t="s">
        <v>3587</v>
      </c>
      <c r="H335" s="59" t="s">
        <v>2281</v>
      </c>
      <c r="I335" s="59" t="b">
        <v>1</v>
      </c>
      <c r="J335" s="59"/>
      <c r="K335" s="58">
        <v>435</v>
      </c>
      <c r="L335" s="58">
        <v>1478</v>
      </c>
      <c r="M335" s="59">
        <v>10</v>
      </c>
      <c r="N335" s="59">
        <v>10</v>
      </c>
      <c r="O335" s="59" t="s">
        <v>3581</v>
      </c>
      <c r="P335" s="58">
        <v>186</v>
      </c>
      <c r="Q335" s="59">
        <v>0</v>
      </c>
      <c r="R335" s="59">
        <v>0</v>
      </c>
      <c r="S335" s="60">
        <f>tblJTL[[#This Row],[timeStamp]]/86400000+DATE(1970,1,1)+TIME(9,0,0)</f>
        <v>46296.417819444439</v>
      </c>
      <c r="T335" s="57">
        <f>tblJTL[[#This Row],[timeStamp]]+tblJTL[[#This Row],[elapsed]]</f>
        <v>1790816499793</v>
      </c>
      <c r="U335" s="61">
        <f>(tblJTL[[#This Row],[timeStamp]]-'17_分析サンプル'!$E$18)/1000</f>
        <v>99.42</v>
      </c>
      <c r="V335" s="57">
        <f>INT(tblJTL[[#This Row],[経過秒]]/60)</f>
        <v>1</v>
      </c>
      <c r="W335" s="57">
        <f>IF(OR(tblJTL[[#This Row],[success]]=FALSE,tblJTL[[#This Row],[success]]="false"),1,0)</f>
        <v>0</v>
      </c>
      <c r="X335" s="57">
        <f>IF(AND(tblJTL[[#This Row],[経過秒]]&gt;='17_分析サンプル'!$E$11,tblJTL[[#This Row],[経過秒]]&lt;'17_分析サンプル'!$E$12),1,0)</f>
        <v>1</v>
      </c>
    </row>
    <row r="336" spans="2:24" ht="14.4" x14ac:dyDescent="0.3">
      <c r="B336" s="57">
        <v>1790816499612</v>
      </c>
      <c r="C336" s="58">
        <v>214</v>
      </c>
      <c r="D336" s="59" t="s">
        <v>1677</v>
      </c>
      <c r="E336" s="59" t="s">
        <v>3579</v>
      </c>
      <c r="F336" s="59" t="s">
        <v>3580</v>
      </c>
      <c r="G336" s="59" t="s">
        <v>2278</v>
      </c>
      <c r="H336" s="59" t="s">
        <v>2281</v>
      </c>
      <c r="I336" s="59" t="b">
        <v>1</v>
      </c>
      <c r="J336" s="59"/>
      <c r="K336" s="58">
        <v>419</v>
      </c>
      <c r="L336" s="58">
        <v>1478</v>
      </c>
      <c r="M336" s="59">
        <v>10</v>
      </c>
      <c r="N336" s="59">
        <v>10</v>
      </c>
      <c r="O336" s="59" t="s">
        <v>3581</v>
      </c>
      <c r="P336" s="58">
        <v>211</v>
      </c>
      <c r="Q336" s="59">
        <v>0</v>
      </c>
      <c r="R336" s="59">
        <v>0</v>
      </c>
      <c r="S336" s="60">
        <f>tblJTL[[#This Row],[timeStamp]]/86400000+DATE(1970,1,1)+TIME(9,0,0)</f>
        <v>46296.417819583337</v>
      </c>
      <c r="T336" s="57">
        <f>tblJTL[[#This Row],[timeStamp]]+tblJTL[[#This Row],[elapsed]]</f>
        <v>1790816499826</v>
      </c>
      <c r="U336" s="61">
        <f>(tblJTL[[#This Row],[timeStamp]]-'17_分析サンプル'!$E$18)/1000</f>
        <v>99.432000000000002</v>
      </c>
      <c r="V336" s="57">
        <f>INT(tblJTL[[#This Row],[経過秒]]/60)</f>
        <v>1</v>
      </c>
      <c r="W336" s="57">
        <f>IF(OR(tblJTL[[#This Row],[success]]=FALSE,tblJTL[[#This Row],[success]]="false"),1,0)</f>
        <v>0</v>
      </c>
      <c r="X336" s="57">
        <f>IF(AND(tblJTL[[#This Row],[経過秒]]&gt;='17_分析サンプル'!$E$11,tblJTL[[#This Row],[経過秒]]&lt;'17_分析サンプル'!$E$12),1,0)</f>
        <v>1</v>
      </c>
    </row>
    <row r="337" spans="2:24" ht="14.4" x14ac:dyDescent="0.3">
      <c r="B337" s="57">
        <v>1790816499979</v>
      </c>
      <c r="C337" s="58">
        <v>170</v>
      </c>
      <c r="D337" s="59" t="s">
        <v>1677</v>
      </c>
      <c r="E337" s="59" t="s">
        <v>3579</v>
      </c>
      <c r="F337" s="59" t="s">
        <v>3580</v>
      </c>
      <c r="G337" s="59" t="s">
        <v>3583</v>
      </c>
      <c r="H337" s="59" t="s">
        <v>2281</v>
      </c>
      <c r="I337" s="59" t="b">
        <v>1</v>
      </c>
      <c r="J337" s="59"/>
      <c r="K337" s="58">
        <v>410</v>
      </c>
      <c r="L337" s="58">
        <v>1478</v>
      </c>
      <c r="M337" s="59">
        <v>10</v>
      </c>
      <c r="N337" s="59">
        <v>10</v>
      </c>
      <c r="O337" s="59" t="s">
        <v>3581</v>
      </c>
      <c r="P337" s="58">
        <v>168</v>
      </c>
      <c r="Q337" s="59">
        <v>0</v>
      </c>
      <c r="R337" s="59">
        <v>0</v>
      </c>
      <c r="S337" s="60">
        <f>tblJTL[[#This Row],[timeStamp]]/86400000+DATE(1970,1,1)+TIME(9,0,0)</f>
        <v>46296.41782383102</v>
      </c>
      <c r="T337" s="57">
        <f>tblJTL[[#This Row],[timeStamp]]+tblJTL[[#This Row],[elapsed]]</f>
        <v>1790816500149</v>
      </c>
      <c r="U337" s="61">
        <f>(tblJTL[[#This Row],[timeStamp]]-'17_分析サンプル'!$E$18)/1000</f>
        <v>99.799000000000007</v>
      </c>
      <c r="V337" s="57">
        <f>INT(tblJTL[[#This Row],[経過秒]]/60)</f>
        <v>1</v>
      </c>
      <c r="W337" s="57">
        <f>IF(OR(tblJTL[[#This Row],[success]]=FALSE,tblJTL[[#This Row],[success]]="false"),1,0)</f>
        <v>0</v>
      </c>
      <c r="X337" s="57">
        <f>IF(AND(tblJTL[[#This Row],[経過秒]]&gt;='17_分析サンプル'!$E$11,tblJTL[[#This Row],[経過秒]]&lt;'17_分析サンプル'!$E$12),1,0)</f>
        <v>1</v>
      </c>
    </row>
    <row r="338" spans="2:24" ht="14.4" x14ac:dyDescent="0.3">
      <c r="B338" s="57">
        <v>1790816500189</v>
      </c>
      <c r="C338" s="58">
        <v>104</v>
      </c>
      <c r="D338" s="59" t="s">
        <v>1658</v>
      </c>
      <c r="E338" s="59" t="s">
        <v>1577</v>
      </c>
      <c r="F338" s="59" t="s">
        <v>2275</v>
      </c>
      <c r="G338" s="59" t="s">
        <v>3589</v>
      </c>
      <c r="H338" s="59" t="s">
        <v>2281</v>
      </c>
      <c r="I338" s="59" t="b">
        <v>1</v>
      </c>
      <c r="J338" s="59"/>
      <c r="K338" s="58">
        <v>1836</v>
      </c>
      <c r="L338" s="58">
        <v>1342</v>
      </c>
      <c r="M338" s="59">
        <v>10</v>
      </c>
      <c r="N338" s="59">
        <v>10</v>
      </c>
      <c r="O338" s="59" t="s">
        <v>3578</v>
      </c>
      <c r="P338" s="58">
        <v>97</v>
      </c>
      <c r="Q338" s="59">
        <v>0</v>
      </c>
      <c r="R338" s="59">
        <v>0</v>
      </c>
      <c r="S338" s="60">
        <f>tblJTL[[#This Row],[timeStamp]]/86400000+DATE(1970,1,1)+TIME(9,0,0)</f>
        <v>46296.417826261575</v>
      </c>
      <c r="T338" s="57">
        <f>tblJTL[[#This Row],[timeStamp]]+tblJTL[[#This Row],[elapsed]]</f>
        <v>1790816500293</v>
      </c>
      <c r="U338" s="61">
        <f>(tblJTL[[#This Row],[timeStamp]]-'17_分析サンプル'!$E$18)/1000</f>
        <v>100.009</v>
      </c>
      <c r="V338" s="57">
        <f>INT(tblJTL[[#This Row],[経過秒]]/60)</f>
        <v>1</v>
      </c>
      <c r="W338" s="57">
        <f>IF(OR(tblJTL[[#This Row],[success]]=FALSE,tblJTL[[#This Row],[success]]="false"),1,0)</f>
        <v>0</v>
      </c>
      <c r="X338" s="57">
        <f>IF(AND(tblJTL[[#This Row],[経過秒]]&gt;='17_分析サンプル'!$E$11,tblJTL[[#This Row],[経過秒]]&lt;'17_分析サンプル'!$E$12),1,0)</f>
        <v>1</v>
      </c>
    </row>
    <row r="339" spans="2:24" ht="14.4" x14ac:dyDescent="0.3">
      <c r="B339" s="57">
        <v>1790816500716</v>
      </c>
      <c r="C339" s="58">
        <v>274</v>
      </c>
      <c r="D339" s="59" t="s">
        <v>1677</v>
      </c>
      <c r="E339" s="59" t="s">
        <v>3579</v>
      </c>
      <c r="F339" s="59" t="s">
        <v>3580</v>
      </c>
      <c r="G339" s="59" t="s">
        <v>3582</v>
      </c>
      <c r="H339" s="59" t="s">
        <v>2281</v>
      </c>
      <c r="I339" s="59" t="b">
        <v>1</v>
      </c>
      <c r="J339" s="59"/>
      <c r="K339" s="58">
        <v>431</v>
      </c>
      <c r="L339" s="58">
        <v>1478</v>
      </c>
      <c r="M339" s="59">
        <v>10</v>
      </c>
      <c r="N339" s="59">
        <v>10</v>
      </c>
      <c r="O339" s="59" t="s">
        <v>3581</v>
      </c>
      <c r="P339" s="58">
        <v>267</v>
      </c>
      <c r="Q339" s="59">
        <v>0</v>
      </c>
      <c r="R339" s="59">
        <v>0</v>
      </c>
      <c r="S339" s="60">
        <f>tblJTL[[#This Row],[timeStamp]]/86400000+DATE(1970,1,1)+TIME(9,0,0)</f>
        <v>46296.417832361112</v>
      </c>
      <c r="T339" s="57">
        <f>tblJTL[[#This Row],[timeStamp]]+tblJTL[[#This Row],[elapsed]]</f>
        <v>1790816500990</v>
      </c>
      <c r="U339" s="61">
        <f>(tblJTL[[#This Row],[timeStamp]]-'17_分析サンプル'!$E$18)/1000</f>
        <v>100.536</v>
      </c>
      <c r="V339" s="57">
        <f>INT(tblJTL[[#This Row],[経過秒]]/60)</f>
        <v>1</v>
      </c>
      <c r="W339" s="57">
        <f>IF(OR(tblJTL[[#This Row],[success]]=FALSE,tblJTL[[#This Row],[success]]="false"),1,0)</f>
        <v>0</v>
      </c>
      <c r="X339" s="57">
        <f>IF(AND(tblJTL[[#This Row],[経過秒]]&gt;='17_分析サンプル'!$E$11,tblJTL[[#This Row],[経過秒]]&lt;'17_分析サンプル'!$E$12),1,0)</f>
        <v>1</v>
      </c>
    </row>
    <row r="340" spans="2:24" ht="14.4" x14ac:dyDescent="0.3">
      <c r="B340" s="57">
        <v>1790816500822</v>
      </c>
      <c r="C340" s="58">
        <v>172</v>
      </c>
      <c r="D340" s="59" t="s">
        <v>1677</v>
      </c>
      <c r="E340" s="59" t="s">
        <v>3579</v>
      </c>
      <c r="F340" s="59" t="s">
        <v>3580</v>
      </c>
      <c r="G340" s="59" t="s">
        <v>3588</v>
      </c>
      <c r="H340" s="59" t="s">
        <v>2281</v>
      </c>
      <c r="I340" s="59" t="b">
        <v>1</v>
      </c>
      <c r="J340" s="59"/>
      <c r="K340" s="58">
        <v>421</v>
      </c>
      <c r="L340" s="58">
        <v>1478</v>
      </c>
      <c r="M340" s="59">
        <v>10</v>
      </c>
      <c r="N340" s="59">
        <v>10</v>
      </c>
      <c r="O340" s="59" t="s">
        <v>3581</v>
      </c>
      <c r="P340" s="58">
        <v>168</v>
      </c>
      <c r="Q340" s="59">
        <v>0</v>
      </c>
      <c r="R340" s="59">
        <v>0</v>
      </c>
      <c r="S340" s="60">
        <f>tblJTL[[#This Row],[timeStamp]]/86400000+DATE(1970,1,1)+TIME(9,0,0)</f>
        <v>46296.417833587962</v>
      </c>
      <c r="T340" s="57">
        <f>tblJTL[[#This Row],[timeStamp]]+tblJTL[[#This Row],[elapsed]]</f>
        <v>1790816500994</v>
      </c>
      <c r="U340" s="61">
        <f>(tblJTL[[#This Row],[timeStamp]]-'17_分析サンプル'!$E$18)/1000</f>
        <v>100.642</v>
      </c>
      <c r="V340" s="57">
        <f>INT(tblJTL[[#This Row],[経過秒]]/60)</f>
        <v>1</v>
      </c>
      <c r="W340" s="57">
        <f>IF(OR(tblJTL[[#This Row],[success]]=FALSE,tblJTL[[#This Row],[success]]="false"),1,0)</f>
        <v>0</v>
      </c>
      <c r="X340" s="57">
        <f>IF(AND(tblJTL[[#This Row],[経過秒]]&gt;='17_分析サンプル'!$E$11,tblJTL[[#This Row],[経過秒]]&lt;'17_分析サンプル'!$E$12),1,0)</f>
        <v>1</v>
      </c>
    </row>
    <row r="341" spans="2:24" ht="14.4" x14ac:dyDescent="0.3">
      <c r="B341" s="57">
        <v>1790816501073</v>
      </c>
      <c r="C341" s="58">
        <v>101</v>
      </c>
      <c r="D341" s="59" t="s">
        <v>1658</v>
      </c>
      <c r="E341" s="59" t="s">
        <v>1577</v>
      </c>
      <c r="F341" s="59" t="s">
        <v>2275</v>
      </c>
      <c r="G341" s="59" t="s">
        <v>3577</v>
      </c>
      <c r="H341" s="59" t="s">
        <v>2281</v>
      </c>
      <c r="I341" s="59" t="b">
        <v>1</v>
      </c>
      <c r="J341" s="59"/>
      <c r="K341" s="58">
        <v>1883</v>
      </c>
      <c r="L341" s="58">
        <v>1342</v>
      </c>
      <c r="M341" s="59">
        <v>10</v>
      </c>
      <c r="N341" s="59">
        <v>10</v>
      </c>
      <c r="O341" s="59" t="s">
        <v>3578</v>
      </c>
      <c r="P341" s="58">
        <v>98</v>
      </c>
      <c r="Q341" s="59">
        <v>0</v>
      </c>
      <c r="R341" s="59">
        <v>0</v>
      </c>
      <c r="S341" s="60">
        <f>tblJTL[[#This Row],[timeStamp]]/86400000+DATE(1970,1,1)+TIME(9,0,0)</f>
        <v>46296.417836493056</v>
      </c>
      <c r="T341" s="57">
        <f>tblJTL[[#This Row],[timeStamp]]+tblJTL[[#This Row],[elapsed]]</f>
        <v>1790816501174</v>
      </c>
      <c r="U341" s="61">
        <f>(tblJTL[[#This Row],[timeStamp]]-'17_分析サンプル'!$E$18)/1000</f>
        <v>100.893</v>
      </c>
      <c r="V341" s="57">
        <f>INT(tblJTL[[#This Row],[経過秒]]/60)</f>
        <v>1</v>
      </c>
      <c r="W341" s="57">
        <f>IF(OR(tblJTL[[#This Row],[success]]=FALSE,tblJTL[[#This Row],[success]]="false"),1,0)</f>
        <v>0</v>
      </c>
      <c r="X341" s="57">
        <f>IF(AND(tblJTL[[#This Row],[経過秒]]&gt;='17_分析サンプル'!$E$11,tblJTL[[#This Row],[経過秒]]&lt;'17_分析サンプル'!$E$12),1,0)</f>
        <v>1</v>
      </c>
    </row>
    <row r="342" spans="2:24" ht="14.4" x14ac:dyDescent="0.3">
      <c r="B342" s="57">
        <v>1790816501281</v>
      </c>
      <c r="C342" s="58">
        <v>81</v>
      </c>
      <c r="D342" s="59" t="s">
        <v>1658</v>
      </c>
      <c r="E342" s="59" t="s">
        <v>1577</v>
      </c>
      <c r="F342" s="59" t="s">
        <v>2275</v>
      </c>
      <c r="G342" s="59" t="s">
        <v>3587</v>
      </c>
      <c r="H342" s="59" t="s">
        <v>2281</v>
      </c>
      <c r="I342" s="59" t="b">
        <v>1</v>
      </c>
      <c r="J342" s="59"/>
      <c r="K342" s="58">
        <v>1890</v>
      </c>
      <c r="L342" s="58">
        <v>1342</v>
      </c>
      <c r="M342" s="59">
        <v>10</v>
      </c>
      <c r="N342" s="59">
        <v>10</v>
      </c>
      <c r="O342" s="59" t="s">
        <v>3578</v>
      </c>
      <c r="P342" s="58">
        <v>74</v>
      </c>
      <c r="Q342" s="59">
        <v>0</v>
      </c>
      <c r="R342" s="59">
        <v>0</v>
      </c>
      <c r="S342" s="60">
        <f>tblJTL[[#This Row],[timeStamp]]/86400000+DATE(1970,1,1)+TIME(9,0,0)</f>
        <v>46296.417838900466</v>
      </c>
      <c r="T342" s="57">
        <f>tblJTL[[#This Row],[timeStamp]]+tblJTL[[#This Row],[elapsed]]</f>
        <v>1790816501362</v>
      </c>
      <c r="U342" s="61">
        <f>(tblJTL[[#This Row],[timeStamp]]-'17_分析サンプル'!$E$18)/1000</f>
        <v>101.101</v>
      </c>
      <c r="V342" s="57">
        <f>INT(tblJTL[[#This Row],[経過秒]]/60)</f>
        <v>1</v>
      </c>
      <c r="W342" s="57">
        <f>IF(OR(tblJTL[[#This Row],[success]]=FALSE,tblJTL[[#This Row],[success]]="false"),1,0)</f>
        <v>0</v>
      </c>
      <c r="X342" s="57">
        <f>IF(AND(tblJTL[[#This Row],[経過秒]]&gt;='17_分析サンプル'!$E$11,tblJTL[[#This Row],[経過秒]]&lt;'17_分析サンプル'!$E$12),1,0)</f>
        <v>1</v>
      </c>
    </row>
    <row r="343" spans="2:24" ht="14.4" x14ac:dyDescent="0.3">
      <c r="B343" s="57">
        <v>1790816501244</v>
      </c>
      <c r="C343" s="58">
        <v>297</v>
      </c>
      <c r="D343" s="59" t="s">
        <v>1677</v>
      </c>
      <c r="E343" s="59" t="s">
        <v>3579</v>
      </c>
      <c r="F343" s="59" t="s">
        <v>3580</v>
      </c>
      <c r="G343" s="59" t="s">
        <v>3584</v>
      </c>
      <c r="H343" s="59" t="s">
        <v>2281</v>
      </c>
      <c r="I343" s="59" t="b">
        <v>1</v>
      </c>
      <c r="J343" s="59"/>
      <c r="K343" s="58">
        <v>433</v>
      </c>
      <c r="L343" s="58">
        <v>1478</v>
      </c>
      <c r="M343" s="59">
        <v>10</v>
      </c>
      <c r="N343" s="59">
        <v>10</v>
      </c>
      <c r="O343" s="59" t="s">
        <v>3581</v>
      </c>
      <c r="P343" s="58">
        <v>294</v>
      </c>
      <c r="Q343" s="59">
        <v>0</v>
      </c>
      <c r="R343" s="59">
        <v>0</v>
      </c>
      <c r="S343" s="60">
        <f>tblJTL[[#This Row],[timeStamp]]/86400000+DATE(1970,1,1)+TIME(9,0,0)</f>
        <v>46296.417838472218</v>
      </c>
      <c r="T343" s="57">
        <f>tblJTL[[#This Row],[timeStamp]]+tblJTL[[#This Row],[elapsed]]</f>
        <v>1790816501541</v>
      </c>
      <c r="U343" s="61">
        <f>(tblJTL[[#This Row],[timeStamp]]-'17_分析サンプル'!$E$18)/1000</f>
        <v>101.06399999999999</v>
      </c>
      <c r="V343" s="57">
        <f>INT(tblJTL[[#This Row],[経過秒]]/60)</f>
        <v>1</v>
      </c>
      <c r="W343" s="57">
        <f>IF(OR(tblJTL[[#This Row],[success]]=FALSE,tblJTL[[#This Row],[success]]="false"),1,0)</f>
        <v>0</v>
      </c>
      <c r="X343" s="57">
        <f>IF(AND(tblJTL[[#This Row],[経過秒]]&gt;='17_分析サンプル'!$E$11,tblJTL[[#This Row],[経過秒]]&lt;'17_分析サンプル'!$E$12),1,0)</f>
        <v>1</v>
      </c>
    </row>
    <row r="344" spans="2:24" ht="14.4" x14ac:dyDescent="0.3">
      <c r="B344" s="57">
        <v>1790816501644</v>
      </c>
      <c r="C344" s="58">
        <v>136</v>
      </c>
      <c r="D344" s="59" t="s">
        <v>1658</v>
      </c>
      <c r="E344" s="59" t="s">
        <v>1577</v>
      </c>
      <c r="F344" s="59" t="s">
        <v>2275</v>
      </c>
      <c r="G344" s="59" t="s">
        <v>3586</v>
      </c>
      <c r="H344" s="59" t="s">
        <v>2281</v>
      </c>
      <c r="I344" s="59" t="b">
        <v>1</v>
      </c>
      <c r="J344" s="59"/>
      <c r="K344" s="58">
        <v>1848</v>
      </c>
      <c r="L344" s="58">
        <v>1342</v>
      </c>
      <c r="M344" s="59">
        <v>10</v>
      </c>
      <c r="N344" s="59">
        <v>10</v>
      </c>
      <c r="O344" s="59" t="s">
        <v>3578</v>
      </c>
      <c r="P344" s="58">
        <v>132</v>
      </c>
      <c r="Q344" s="59">
        <v>0</v>
      </c>
      <c r="R344" s="59">
        <v>54</v>
      </c>
      <c r="S344" s="60">
        <f>tblJTL[[#This Row],[timeStamp]]/86400000+DATE(1970,1,1)+TIME(9,0,0)</f>
        <v>46296.417843101852</v>
      </c>
      <c r="T344" s="57">
        <f>tblJTL[[#This Row],[timeStamp]]+tblJTL[[#This Row],[elapsed]]</f>
        <v>1790816501780</v>
      </c>
      <c r="U344" s="61">
        <f>(tblJTL[[#This Row],[timeStamp]]-'17_分析サンプル'!$E$18)/1000</f>
        <v>101.464</v>
      </c>
      <c r="V344" s="57">
        <f>INT(tblJTL[[#This Row],[経過秒]]/60)</f>
        <v>1</v>
      </c>
      <c r="W344" s="57">
        <f>IF(OR(tblJTL[[#This Row],[success]]=FALSE,tblJTL[[#This Row],[success]]="false"),1,0)</f>
        <v>0</v>
      </c>
      <c r="X344" s="57">
        <f>IF(AND(tblJTL[[#This Row],[経過秒]]&gt;='17_分析サンプル'!$E$11,tblJTL[[#This Row],[経過秒]]&lt;'17_分析サンプル'!$E$12),1,0)</f>
        <v>1</v>
      </c>
    </row>
    <row r="345" spans="2:24" ht="14.4" x14ac:dyDescent="0.3">
      <c r="B345" s="57">
        <v>1790816502054</v>
      </c>
      <c r="C345" s="58">
        <v>246</v>
      </c>
      <c r="D345" s="59" t="s">
        <v>1677</v>
      </c>
      <c r="E345" s="59" t="s">
        <v>3579</v>
      </c>
      <c r="F345" s="59" t="s">
        <v>3580</v>
      </c>
      <c r="G345" s="59" t="s">
        <v>3589</v>
      </c>
      <c r="H345" s="59" t="s">
        <v>2281</v>
      </c>
      <c r="I345" s="59" t="b">
        <v>1</v>
      </c>
      <c r="J345" s="59"/>
      <c r="K345" s="58">
        <v>436</v>
      </c>
      <c r="L345" s="58">
        <v>1478</v>
      </c>
      <c r="M345" s="59">
        <v>10</v>
      </c>
      <c r="N345" s="59">
        <v>10</v>
      </c>
      <c r="O345" s="59" t="s">
        <v>3581</v>
      </c>
      <c r="P345" s="58">
        <v>244</v>
      </c>
      <c r="Q345" s="59">
        <v>0</v>
      </c>
      <c r="R345" s="59">
        <v>0</v>
      </c>
      <c r="S345" s="60">
        <f>tblJTL[[#This Row],[timeStamp]]/86400000+DATE(1970,1,1)+TIME(9,0,0)</f>
        <v>46296.417847847224</v>
      </c>
      <c r="T345" s="57">
        <f>tblJTL[[#This Row],[timeStamp]]+tblJTL[[#This Row],[elapsed]]</f>
        <v>1790816502300</v>
      </c>
      <c r="U345" s="61">
        <f>(tblJTL[[#This Row],[timeStamp]]-'17_分析サンプル'!$E$18)/1000</f>
        <v>101.874</v>
      </c>
      <c r="V345" s="57">
        <f>INT(tblJTL[[#This Row],[経過秒]]/60)</f>
        <v>1</v>
      </c>
      <c r="W345" s="57">
        <f>IF(OR(tblJTL[[#This Row],[success]]=FALSE,tblJTL[[#This Row],[success]]="false"),1,0)</f>
        <v>0</v>
      </c>
      <c r="X345" s="57">
        <f>IF(AND(tblJTL[[#This Row],[経過秒]]&gt;='17_分析サンプル'!$E$11,tblJTL[[#This Row],[経過秒]]&lt;'17_分析サンプル'!$E$12),1,0)</f>
        <v>1</v>
      </c>
    </row>
    <row r="346" spans="2:24" ht="14.4" x14ac:dyDescent="0.3">
      <c r="B346" s="57">
        <v>1790816502170</v>
      </c>
      <c r="C346" s="58">
        <v>132</v>
      </c>
      <c r="D346" s="59" t="s">
        <v>1658</v>
      </c>
      <c r="E346" s="59" t="s">
        <v>1577</v>
      </c>
      <c r="F346" s="59" t="s">
        <v>2275</v>
      </c>
      <c r="G346" s="59" t="s">
        <v>3585</v>
      </c>
      <c r="H346" s="59" t="s">
        <v>2281</v>
      </c>
      <c r="I346" s="59" t="b">
        <v>1</v>
      </c>
      <c r="J346" s="59"/>
      <c r="K346" s="58">
        <v>1873</v>
      </c>
      <c r="L346" s="58">
        <v>1342</v>
      </c>
      <c r="M346" s="59">
        <v>10</v>
      </c>
      <c r="N346" s="59">
        <v>10</v>
      </c>
      <c r="O346" s="59" t="s">
        <v>3578</v>
      </c>
      <c r="P346" s="58">
        <v>128</v>
      </c>
      <c r="Q346" s="59">
        <v>0</v>
      </c>
      <c r="R346" s="59">
        <v>0</v>
      </c>
      <c r="S346" s="60">
        <f>tblJTL[[#This Row],[timeStamp]]/86400000+DATE(1970,1,1)+TIME(9,0,0)</f>
        <v>46296.41784918982</v>
      </c>
      <c r="T346" s="57">
        <f>tblJTL[[#This Row],[timeStamp]]+tblJTL[[#This Row],[elapsed]]</f>
        <v>1790816502302</v>
      </c>
      <c r="U346" s="61">
        <f>(tblJTL[[#This Row],[timeStamp]]-'17_分析サンプル'!$E$18)/1000</f>
        <v>101.99</v>
      </c>
      <c r="V346" s="57">
        <f>INT(tblJTL[[#This Row],[経過秒]]/60)</f>
        <v>1</v>
      </c>
      <c r="W346" s="57">
        <f>IF(OR(tblJTL[[#This Row],[success]]=FALSE,tblJTL[[#This Row],[success]]="false"),1,0)</f>
        <v>0</v>
      </c>
      <c r="X346" s="57">
        <f>IF(AND(tblJTL[[#This Row],[経過秒]]&gt;='17_分析サンプル'!$E$11,tblJTL[[#This Row],[経過秒]]&lt;'17_分析サンプル'!$E$12),1,0)</f>
        <v>1</v>
      </c>
    </row>
    <row r="347" spans="2:24" ht="14.4" x14ac:dyDescent="0.3">
      <c r="B347" s="57">
        <v>1790816502292</v>
      </c>
      <c r="C347" s="58">
        <v>153</v>
      </c>
      <c r="D347" s="59" t="s">
        <v>1658</v>
      </c>
      <c r="E347" s="59" t="s">
        <v>1577</v>
      </c>
      <c r="F347" s="59" t="s">
        <v>2275</v>
      </c>
      <c r="G347" s="59" t="s">
        <v>2278</v>
      </c>
      <c r="H347" s="59" t="s">
        <v>2281</v>
      </c>
      <c r="I347" s="59" t="b">
        <v>1</v>
      </c>
      <c r="J347" s="59"/>
      <c r="K347" s="58">
        <v>1869</v>
      </c>
      <c r="L347" s="58">
        <v>1342</v>
      </c>
      <c r="M347" s="59">
        <v>10</v>
      </c>
      <c r="N347" s="59">
        <v>10</v>
      </c>
      <c r="O347" s="59" t="s">
        <v>3578</v>
      </c>
      <c r="P347" s="58">
        <v>148</v>
      </c>
      <c r="Q347" s="59">
        <v>0</v>
      </c>
      <c r="R347" s="59">
        <v>0</v>
      </c>
      <c r="S347" s="60">
        <f>tblJTL[[#This Row],[timeStamp]]/86400000+DATE(1970,1,1)+TIME(9,0,0)</f>
        <v>46296.417850601851</v>
      </c>
      <c r="T347" s="57">
        <f>tblJTL[[#This Row],[timeStamp]]+tblJTL[[#This Row],[elapsed]]</f>
        <v>1790816502445</v>
      </c>
      <c r="U347" s="61">
        <f>(tblJTL[[#This Row],[timeStamp]]-'17_分析サンプル'!$E$18)/1000</f>
        <v>102.11199999999999</v>
      </c>
      <c r="V347" s="57">
        <f>INT(tblJTL[[#This Row],[経過秒]]/60)</f>
        <v>1</v>
      </c>
      <c r="W347" s="57">
        <f>IF(OR(tblJTL[[#This Row],[success]]=FALSE,tblJTL[[#This Row],[success]]="false"),1,0)</f>
        <v>0</v>
      </c>
      <c r="X347" s="57">
        <f>IF(AND(tblJTL[[#This Row],[経過秒]]&gt;='17_分析サンプル'!$E$11,tblJTL[[#This Row],[経過秒]]&lt;'17_分析サンプル'!$E$12),1,0)</f>
        <v>1</v>
      </c>
    </row>
    <row r="348" spans="2:24" ht="14.4" x14ac:dyDescent="0.3">
      <c r="B348" s="57">
        <v>1790816502781</v>
      </c>
      <c r="C348" s="58">
        <v>128</v>
      </c>
      <c r="D348" s="59" t="s">
        <v>1658</v>
      </c>
      <c r="E348" s="59" t="s">
        <v>1577</v>
      </c>
      <c r="F348" s="59" t="s">
        <v>2275</v>
      </c>
      <c r="G348" s="59" t="s">
        <v>3588</v>
      </c>
      <c r="H348" s="59" t="s">
        <v>2281</v>
      </c>
      <c r="I348" s="59" t="b">
        <v>1</v>
      </c>
      <c r="J348" s="59"/>
      <c r="K348" s="58">
        <v>1829</v>
      </c>
      <c r="L348" s="58">
        <v>1342</v>
      </c>
      <c r="M348" s="59">
        <v>10</v>
      </c>
      <c r="N348" s="59">
        <v>10</v>
      </c>
      <c r="O348" s="59" t="s">
        <v>3578</v>
      </c>
      <c r="P348" s="58">
        <v>124</v>
      </c>
      <c r="Q348" s="59">
        <v>0</v>
      </c>
      <c r="R348" s="59">
        <v>0</v>
      </c>
      <c r="S348" s="60">
        <f>tblJTL[[#This Row],[timeStamp]]/86400000+DATE(1970,1,1)+TIME(9,0,0)</f>
        <v>46296.417856261571</v>
      </c>
      <c r="T348" s="57">
        <f>tblJTL[[#This Row],[timeStamp]]+tblJTL[[#This Row],[elapsed]]</f>
        <v>1790816502909</v>
      </c>
      <c r="U348" s="61">
        <f>(tblJTL[[#This Row],[timeStamp]]-'17_分析サンプル'!$E$18)/1000</f>
        <v>102.601</v>
      </c>
      <c r="V348" s="57">
        <f>INT(tblJTL[[#This Row],[経過秒]]/60)</f>
        <v>1</v>
      </c>
      <c r="W348" s="57">
        <f>IF(OR(tblJTL[[#This Row],[success]]=FALSE,tblJTL[[#This Row],[success]]="false"),1,0)</f>
        <v>0</v>
      </c>
      <c r="X348" s="57">
        <f>IF(AND(tblJTL[[#This Row],[経過秒]]&gt;='17_分析サンプル'!$E$11,tblJTL[[#This Row],[経過秒]]&lt;'17_分析サンプル'!$E$12),1,0)</f>
        <v>1</v>
      </c>
    </row>
    <row r="349" spans="2:24" ht="14.4" x14ac:dyDescent="0.3">
      <c r="B349" s="57">
        <v>1790816502976</v>
      </c>
      <c r="C349" s="58">
        <v>132</v>
      </c>
      <c r="D349" s="59" t="s">
        <v>1658</v>
      </c>
      <c r="E349" s="59" t="s">
        <v>1577</v>
      </c>
      <c r="F349" s="59" t="s">
        <v>2275</v>
      </c>
      <c r="G349" s="59" t="s">
        <v>3582</v>
      </c>
      <c r="H349" s="59" t="s">
        <v>2281</v>
      </c>
      <c r="I349" s="59" t="b">
        <v>1</v>
      </c>
      <c r="J349" s="59"/>
      <c r="K349" s="58">
        <v>1857</v>
      </c>
      <c r="L349" s="58">
        <v>1342</v>
      </c>
      <c r="M349" s="59">
        <v>10</v>
      </c>
      <c r="N349" s="59">
        <v>10</v>
      </c>
      <c r="O349" s="59" t="s">
        <v>3578</v>
      </c>
      <c r="P349" s="58">
        <v>127</v>
      </c>
      <c r="Q349" s="59">
        <v>0</v>
      </c>
      <c r="R349" s="59">
        <v>0</v>
      </c>
      <c r="S349" s="60">
        <f>tblJTL[[#This Row],[timeStamp]]/86400000+DATE(1970,1,1)+TIME(9,0,0)</f>
        <v>46296.417858518515</v>
      </c>
      <c r="T349" s="57">
        <f>tblJTL[[#This Row],[timeStamp]]+tblJTL[[#This Row],[elapsed]]</f>
        <v>1790816503108</v>
      </c>
      <c r="U349" s="61">
        <f>(tblJTL[[#This Row],[timeStamp]]-'17_分析サンプル'!$E$18)/1000</f>
        <v>102.79600000000001</v>
      </c>
      <c r="V349" s="57">
        <f>INT(tblJTL[[#This Row],[経過秒]]/60)</f>
        <v>1</v>
      </c>
      <c r="W349" s="57">
        <f>IF(OR(tblJTL[[#This Row],[success]]=FALSE,tblJTL[[#This Row],[success]]="false"),1,0)</f>
        <v>0</v>
      </c>
      <c r="X349" s="57">
        <f>IF(AND(tblJTL[[#This Row],[経過秒]]&gt;='17_分析サンプル'!$E$11,tblJTL[[#This Row],[経過秒]]&lt;'17_分析サンプル'!$E$12),1,0)</f>
        <v>1</v>
      </c>
    </row>
    <row r="350" spans="2:24" ht="14.4" x14ac:dyDescent="0.3">
      <c r="B350" s="57">
        <v>1790816502962</v>
      </c>
      <c r="C350" s="58">
        <v>172</v>
      </c>
      <c r="D350" s="59" t="s">
        <v>1658</v>
      </c>
      <c r="E350" s="59" t="s">
        <v>1577</v>
      </c>
      <c r="F350" s="59" t="s">
        <v>2275</v>
      </c>
      <c r="G350" s="59" t="s">
        <v>3583</v>
      </c>
      <c r="H350" s="59" t="s">
        <v>2281</v>
      </c>
      <c r="I350" s="59" t="b">
        <v>1</v>
      </c>
      <c r="J350" s="59"/>
      <c r="K350" s="58">
        <v>1888</v>
      </c>
      <c r="L350" s="58">
        <v>1342</v>
      </c>
      <c r="M350" s="59">
        <v>10</v>
      </c>
      <c r="N350" s="59">
        <v>10</v>
      </c>
      <c r="O350" s="59" t="s">
        <v>3578</v>
      </c>
      <c r="P350" s="58">
        <v>170</v>
      </c>
      <c r="Q350" s="59">
        <v>0</v>
      </c>
      <c r="R350" s="59">
        <v>0</v>
      </c>
      <c r="S350" s="60">
        <f>tblJTL[[#This Row],[timeStamp]]/86400000+DATE(1970,1,1)+TIME(9,0,0)</f>
        <v>46296.417858356479</v>
      </c>
      <c r="T350" s="57">
        <f>tblJTL[[#This Row],[timeStamp]]+tblJTL[[#This Row],[elapsed]]</f>
        <v>1790816503134</v>
      </c>
      <c r="U350" s="61">
        <f>(tblJTL[[#This Row],[timeStamp]]-'17_分析サンプル'!$E$18)/1000</f>
        <v>102.782</v>
      </c>
      <c r="V350" s="57">
        <f>INT(tblJTL[[#This Row],[経過秒]]/60)</f>
        <v>1</v>
      </c>
      <c r="W350" s="57">
        <f>IF(OR(tblJTL[[#This Row],[success]]=FALSE,tblJTL[[#This Row],[success]]="false"),1,0)</f>
        <v>0</v>
      </c>
      <c r="X350" s="57">
        <f>IF(AND(tblJTL[[#This Row],[経過秒]]&gt;='17_分析サンプル'!$E$11,tblJTL[[#This Row],[経過秒]]&lt;'17_分析サンプル'!$E$12),1,0)</f>
        <v>1</v>
      </c>
    </row>
    <row r="351" spans="2:24" ht="14.4" x14ac:dyDescent="0.3">
      <c r="B351" s="57">
        <v>1790816503036</v>
      </c>
      <c r="C351" s="58">
        <v>287</v>
      </c>
      <c r="D351" s="59" t="s">
        <v>1677</v>
      </c>
      <c r="E351" s="59" t="s">
        <v>3579</v>
      </c>
      <c r="F351" s="59" t="s">
        <v>3580</v>
      </c>
      <c r="G351" s="59" t="s">
        <v>3587</v>
      </c>
      <c r="H351" s="59" t="s">
        <v>2281</v>
      </c>
      <c r="I351" s="59" t="b">
        <v>1</v>
      </c>
      <c r="J351" s="59"/>
      <c r="K351" s="58">
        <v>416</v>
      </c>
      <c r="L351" s="58">
        <v>1478</v>
      </c>
      <c r="M351" s="59">
        <v>10</v>
      </c>
      <c r="N351" s="59">
        <v>10</v>
      </c>
      <c r="O351" s="59" t="s">
        <v>3581</v>
      </c>
      <c r="P351" s="58">
        <v>279</v>
      </c>
      <c r="Q351" s="59">
        <v>0</v>
      </c>
      <c r="R351" s="59">
        <v>0</v>
      </c>
      <c r="S351" s="60">
        <f>tblJTL[[#This Row],[timeStamp]]/86400000+DATE(1970,1,1)+TIME(9,0,0)</f>
        <v>46296.417859212961</v>
      </c>
      <c r="T351" s="57">
        <f>tblJTL[[#This Row],[timeStamp]]+tblJTL[[#This Row],[elapsed]]</f>
        <v>1790816503323</v>
      </c>
      <c r="U351" s="61">
        <f>(tblJTL[[#This Row],[timeStamp]]-'17_分析サンプル'!$E$18)/1000</f>
        <v>102.85599999999999</v>
      </c>
      <c r="V351" s="57">
        <f>INT(tblJTL[[#This Row],[経過秒]]/60)</f>
        <v>1</v>
      </c>
      <c r="W351" s="57">
        <f>IF(OR(tblJTL[[#This Row],[success]]=FALSE,tblJTL[[#This Row],[success]]="false"),1,0)</f>
        <v>0</v>
      </c>
      <c r="X351" s="57">
        <f>IF(AND(tblJTL[[#This Row],[経過秒]]&gt;='17_分析サンプル'!$E$11,tblJTL[[#This Row],[経過秒]]&lt;'17_分析サンプル'!$E$12),1,0)</f>
        <v>1</v>
      </c>
    </row>
    <row r="352" spans="2:24" ht="14.4" x14ac:dyDescent="0.3">
      <c r="B352" s="57">
        <v>1790816503256</v>
      </c>
      <c r="C352" s="58">
        <v>151</v>
      </c>
      <c r="D352" s="59" t="s">
        <v>1677</v>
      </c>
      <c r="E352" s="59" t="s">
        <v>3579</v>
      </c>
      <c r="F352" s="59" t="s">
        <v>3580</v>
      </c>
      <c r="G352" s="59" t="s">
        <v>3577</v>
      </c>
      <c r="H352" s="59" t="s">
        <v>2281</v>
      </c>
      <c r="I352" s="59" t="b">
        <v>1</v>
      </c>
      <c r="J352" s="59"/>
      <c r="K352" s="58">
        <v>433</v>
      </c>
      <c r="L352" s="58">
        <v>1478</v>
      </c>
      <c r="M352" s="59">
        <v>10</v>
      </c>
      <c r="N352" s="59">
        <v>10</v>
      </c>
      <c r="O352" s="59" t="s">
        <v>3581</v>
      </c>
      <c r="P352" s="58">
        <v>148</v>
      </c>
      <c r="Q352" s="59">
        <v>0</v>
      </c>
      <c r="R352" s="59">
        <v>0</v>
      </c>
      <c r="S352" s="60">
        <f>tblJTL[[#This Row],[timeStamp]]/86400000+DATE(1970,1,1)+TIME(9,0,0)</f>
        <v>46296.417861759255</v>
      </c>
      <c r="T352" s="57">
        <f>tblJTL[[#This Row],[timeStamp]]+tblJTL[[#This Row],[elapsed]]</f>
        <v>1790816503407</v>
      </c>
      <c r="U352" s="61">
        <f>(tblJTL[[#This Row],[timeStamp]]-'17_分析サンプル'!$E$18)/1000</f>
        <v>103.07599999999999</v>
      </c>
      <c r="V352" s="57">
        <f>INT(tblJTL[[#This Row],[経過秒]]/60)</f>
        <v>1</v>
      </c>
      <c r="W352" s="57">
        <f>IF(OR(tblJTL[[#This Row],[success]]=FALSE,tblJTL[[#This Row],[success]]="false"),1,0)</f>
        <v>0</v>
      </c>
      <c r="X352" s="57">
        <f>IF(AND(tblJTL[[#This Row],[経過秒]]&gt;='17_分析サンプル'!$E$11,tblJTL[[#This Row],[経過秒]]&lt;'17_分析サンプル'!$E$12),1,0)</f>
        <v>1</v>
      </c>
    </row>
    <row r="353" spans="2:24" ht="14.4" x14ac:dyDescent="0.3">
      <c r="B353" s="57">
        <v>1790816504050</v>
      </c>
      <c r="C353" s="58">
        <v>131</v>
      </c>
      <c r="D353" s="59" t="s">
        <v>1658</v>
      </c>
      <c r="E353" s="59" t="s">
        <v>1577</v>
      </c>
      <c r="F353" s="59" t="s">
        <v>2275</v>
      </c>
      <c r="G353" s="59" t="s">
        <v>3589</v>
      </c>
      <c r="H353" s="59" t="s">
        <v>2281</v>
      </c>
      <c r="I353" s="59" t="b">
        <v>1</v>
      </c>
      <c r="J353" s="59"/>
      <c r="K353" s="58">
        <v>1851</v>
      </c>
      <c r="L353" s="58">
        <v>1342</v>
      </c>
      <c r="M353" s="59">
        <v>10</v>
      </c>
      <c r="N353" s="59">
        <v>10</v>
      </c>
      <c r="O353" s="59" t="s">
        <v>3578</v>
      </c>
      <c r="P353" s="58">
        <v>126</v>
      </c>
      <c r="Q353" s="59">
        <v>0</v>
      </c>
      <c r="R353" s="59">
        <v>0</v>
      </c>
      <c r="S353" s="60">
        <f>tblJTL[[#This Row],[timeStamp]]/86400000+DATE(1970,1,1)+TIME(9,0,0)</f>
        <v>46296.417870949073</v>
      </c>
      <c r="T353" s="57">
        <f>tblJTL[[#This Row],[timeStamp]]+tblJTL[[#This Row],[elapsed]]</f>
        <v>1790816504181</v>
      </c>
      <c r="U353" s="61">
        <f>(tblJTL[[#This Row],[timeStamp]]-'17_分析サンプル'!$E$18)/1000</f>
        <v>103.87</v>
      </c>
      <c r="V353" s="57">
        <f>INT(tblJTL[[#This Row],[経過秒]]/60)</f>
        <v>1</v>
      </c>
      <c r="W353" s="57">
        <f>IF(OR(tblJTL[[#This Row],[success]]=FALSE,tblJTL[[#This Row],[success]]="false"),1,0)</f>
        <v>0</v>
      </c>
      <c r="X353" s="57">
        <f>IF(AND(tblJTL[[#This Row],[経過秒]]&gt;='17_分析サンプル'!$E$11,tblJTL[[#This Row],[経過秒]]&lt;'17_分析サンプル'!$E$12),1,0)</f>
        <v>1</v>
      </c>
    </row>
    <row r="354" spans="2:24" ht="14.4" x14ac:dyDescent="0.3">
      <c r="B354" s="57">
        <v>1790816504437</v>
      </c>
      <c r="C354" s="58">
        <v>91</v>
      </c>
      <c r="D354" s="59" t="s">
        <v>1658</v>
      </c>
      <c r="E354" s="59" t="s">
        <v>1577</v>
      </c>
      <c r="F354" s="59" t="s">
        <v>2275</v>
      </c>
      <c r="G354" s="59" t="s">
        <v>3587</v>
      </c>
      <c r="H354" s="59" t="s">
        <v>2281</v>
      </c>
      <c r="I354" s="59" t="b">
        <v>1</v>
      </c>
      <c r="J354" s="59"/>
      <c r="K354" s="58">
        <v>1888</v>
      </c>
      <c r="L354" s="58">
        <v>1342</v>
      </c>
      <c r="M354" s="59">
        <v>10</v>
      </c>
      <c r="N354" s="59">
        <v>10</v>
      </c>
      <c r="O354" s="59" t="s">
        <v>3578</v>
      </c>
      <c r="P354" s="58">
        <v>83</v>
      </c>
      <c r="Q354" s="59">
        <v>0</v>
      </c>
      <c r="R354" s="59">
        <v>0</v>
      </c>
      <c r="S354" s="60">
        <f>tblJTL[[#This Row],[timeStamp]]/86400000+DATE(1970,1,1)+TIME(9,0,0)</f>
        <v>46296.41787542824</v>
      </c>
      <c r="T354" s="57">
        <f>tblJTL[[#This Row],[timeStamp]]+tblJTL[[#This Row],[elapsed]]</f>
        <v>1790816504528</v>
      </c>
      <c r="U354" s="61">
        <f>(tblJTL[[#This Row],[timeStamp]]-'17_分析サンプル'!$E$18)/1000</f>
        <v>104.25700000000001</v>
      </c>
      <c r="V354" s="57">
        <f>INT(tblJTL[[#This Row],[経過秒]]/60)</f>
        <v>1</v>
      </c>
      <c r="W354" s="57">
        <f>IF(OR(tblJTL[[#This Row],[success]]=FALSE,tblJTL[[#This Row],[success]]="false"),1,0)</f>
        <v>0</v>
      </c>
      <c r="X354" s="57">
        <f>IF(AND(tblJTL[[#This Row],[経過秒]]&gt;='17_分析サンプル'!$E$11,tblJTL[[#This Row],[経過秒]]&lt;'17_分析サンプル'!$E$12),1,0)</f>
        <v>1</v>
      </c>
    </row>
    <row r="355" spans="2:24" ht="14.4" x14ac:dyDescent="0.3">
      <c r="B355" s="57">
        <v>1790816504270</v>
      </c>
      <c r="C355" s="58">
        <v>269</v>
      </c>
      <c r="D355" s="59" t="s">
        <v>1677</v>
      </c>
      <c r="E355" s="59" t="s">
        <v>3579</v>
      </c>
      <c r="F355" s="59" t="s">
        <v>3580</v>
      </c>
      <c r="G355" s="59" t="s">
        <v>3586</v>
      </c>
      <c r="H355" s="59" t="s">
        <v>2281</v>
      </c>
      <c r="I355" s="59" t="b">
        <v>1</v>
      </c>
      <c r="J355" s="59"/>
      <c r="K355" s="58">
        <v>434</v>
      </c>
      <c r="L355" s="58">
        <v>1478</v>
      </c>
      <c r="M355" s="59">
        <v>10</v>
      </c>
      <c r="N355" s="59">
        <v>10</v>
      </c>
      <c r="O355" s="59" t="s">
        <v>3581</v>
      </c>
      <c r="P355" s="58">
        <v>263</v>
      </c>
      <c r="Q355" s="59">
        <v>0</v>
      </c>
      <c r="R355" s="59">
        <v>0</v>
      </c>
      <c r="S355" s="60">
        <f>tblJTL[[#This Row],[timeStamp]]/86400000+DATE(1970,1,1)+TIME(9,0,0)</f>
        <v>46296.417873495375</v>
      </c>
      <c r="T355" s="57">
        <f>tblJTL[[#This Row],[timeStamp]]+tblJTL[[#This Row],[elapsed]]</f>
        <v>1790816504539</v>
      </c>
      <c r="U355" s="61">
        <f>(tblJTL[[#This Row],[timeStamp]]-'17_分析サンプル'!$E$18)/1000</f>
        <v>104.09</v>
      </c>
      <c r="V355" s="57">
        <f>INT(tblJTL[[#This Row],[経過秒]]/60)</f>
        <v>1</v>
      </c>
      <c r="W355" s="57">
        <f>IF(OR(tblJTL[[#This Row],[success]]=FALSE,tblJTL[[#This Row],[success]]="false"),1,0)</f>
        <v>0</v>
      </c>
      <c r="X355" s="57">
        <f>IF(AND(tblJTL[[#This Row],[経過秒]]&gt;='17_分析サンプル'!$E$11,tblJTL[[#This Row],[経過秒]]&lt;'17_分析サンプル'!$E$12),1,0)</f>
        <v>1</v>
      </c>
    </row>
    <row r="356" spans="2:24" ht="14.4" x14ac:dyDescent="0.3">
      <c r="B356" s="57">
        <v>1790816504458</v>
      </c>
      <c r="C356" s="58">
        <v>116</v>
      </c>
      <c r="D356" s="59" t="s">
        <v>1658</v>
      </c>
      <c r="E356" s="59" t="s">
        <v>1577</v>
      </c>
      <c r="F356" s="59" t="s">
        <v>2275</v>
      </c>
      <c r="G356" s="59" t="s">
        <v>3584</v>
      </c>
      <c r="H356" s="59" t="s">
        <v>2281</v>
      </c>
      <c r="I356" s="59" t="b">
        <v>1</v>
      </c>
      <c r="J356" s="59"/>
      <c r="K356" s="58">
        <v>1875</v>
      </c>
      <c r="L356" s="58">
        <v>1342</v>
      </c>
      <c r="M356" s="59">
        <v>10</v>
      </c>
      <c r="N356" s="59">
        <v>10</v>
      </c>
      <c r="O356" s="59" t="s">
        <v>3578</v>
      </c>
      <c r="P356" s="58">
        <v>114</v>
      </c>
      <c r="Q356" s="59">
        <v>0</v>
      </c>
      <c r="R356" s="59">
        <v>0</v>
      </c>
      <c r="S356" s="60">
        <f>tblJTL[[#This Row],[timeStamp]]/86400000+DATE(1970,1,1)+TIME(9,0,0)</f>
        <v>46296.417875671294</v>
      </c>
      <c r="T356" s="57">
        <f>tblJTL[[#This Row],[timeStamp]]+tblJTL[[#This Row],[elapsed]]</f>
        <v>1790816504574</v>
      </c>
      <c r="U356" s="61">
        <f>(tblJTL[[#This Row],[timeStamp]]-'17_分析サンプル'!$E$18)/1000</f>
        <v>104.27800000000001</v>
      </c>
      <c r="V356" s="57">
        <f>INT(tblJTL[[#This Row],[経過秒]]/60)</f>
        <v>1</v>
      </c>
      <c r="W356" s="57">
        <f>IF(OR(tblJTL[[#This Row],[success]]=FALSE,tblJTL[[#This Row],[success]]="false"),1,0)</f>
        <v>0</v>
      </c>
      <c r="X356" s="57">
        <f>IF(AND(tblJTL[[#This Row],[経過秒]]&gt;='17_分析サンプル'!$E$11,tblJTL[[#This Row],[経過秒]]&lt;'17_分析サンプル'!$E$12),1,0)</f>
        <v>1</v>
      </c>
    </row>
    <row r="357" spans="2:24" ht="14.4" x14ac:dyDescent="0.3">
      <c r="B357" s="57">
        <v>1790816504454</v>
      </c>
      <c r="C357" s="58">
        <v>278</v>
      </c>
      <c r="D357" s="59" t="s">
        <v>1677</v>
      </c>
      <c r="E357" s="59" t="s">
        <v>3579</v>
      </c>
      <c r="F357" s="59" t="s">
        <v>3580</v>
      </c>
      <c r="G357" s="59" t="s">
        <v>3582</v>
      </c>
      <c r="H357" s="59" t="s">
        <v>2281</v>
      </c>
      <c r="I357" s="59" t="b">
        <v>1</v>
      </c>
      <c r="J357" s="59"/>
      <c r="K357" s="58">
        <v>412</v>
      </c>
      <c r="L357" s="58">
        <v>1478</v>
      </c>
      <c r="M357" s="59">
        <v>10</v>
      </c>
      <c r="N357" s="59">
        <v>10</v>
      </c>
      <c r="O357" s="59" t="s">
        <v>3581</v>
      </c>
      <c r="P357" s="58">
        <v>271</v>
      </c>
      <c r="Q357" s="59">
        <v>0</v>
      </c>
      <c r="R357" s="59">
        <v>0</v>
      </c>
      <c r="S357" s="60">
        <f>tblJTL[[#This Row],[timeStamp]]/86400000+DATE(1970,1,1)+TIME(9,0,0)</f>
        <v>46296.417875625004</v>
      </c>
      <c r="T357" s="57">
        <f>tblJTL[[#This Row],[timeStamp]]+tblJTL[[#This Row],[elapsed]]</f>
        <v>1790816504732</v>
      </c>
      <c r="U357" s="61">
        <f>(tblJTL[[#This Row],[timeStamp]]-'17_分析サンプル'!$E$18)/1000</f>
        <v>104.274</v>
      </c>
      <c r="V357" s="57">
        <f>INT(tblJTL[[#This Row],[経過秒]]/60)</f>
        <v>1</v>
      </c>
      <c r="W357" s="57">
        <f>IF(OR(tblJTL[[#This Row],[success]]=FALSE,tblJTL[[#This Row],[success]]="false"),1,0)</f>
        <v>0</v>
      </c>
      <c r="X357" s="57">
        <f>IF(AND(tblJTL[[#This Row],[経過秒]]&gt;='17_分析サンプル'!$E$11,tblJTL[[#This Row],[経過秒]]&lt;'17_分析サンプル'!$E$12),1,0)</f>
        <v>1</v>
      </c>
    </row>
    <row r="358" spans="2:24" ht="14.4" x14ac:dyDescent="0.3">
      <c r="B358" s="57">
        <v>1790816504824</v>
      </c>
      <c r="C358" s="58">
        <v>274</v>
      </c>
      <c r="D358" s="59" t="s">
        <v>1677</v>
      </c>
      <c r="E358" s="59" t="s">
        <v>3579</v>
      </c>
      <c r="F358" s="59" t="s">
        <v>3580</v>
      </c>
      <c r="G358" s="59" t="s">
        <v>2278</v>
      </c>
      <c r="H358" s="59" t="s">
        <v>2281</v>
      </c>
      <c r="I358" s="59" t="b">
        <v>1</v>
      </c>
      <c r="J358" s="59"/>
      <c r="K358" s="58">
        <v>416</v>
      </c>
      <c r="L358" s="58">
        <v>1478</v>
      </c>
      <c r="M358" s="59">
        <v>10</v>
      </c>
      <c r="N358" s="59">
        <v>10</v>
      </c>
      <c r="O358" s="59" t="s">
        <v>3581</v>
      </c>
      <c r="P358" s="58">
        <v>271</v>
      </c>
      <c r="Q358" s="59">
        <v>0</v>
      </c>
      <c r="R358" s="59">
        <v>0</v>
      </c>
      <c r="S358" s="60">
        <f>tblJTL[[#This Row],[timeStamp]]/86400000+DATE(1970,1,1)+TIME(9,0,0)</f>
        <v>46296.417879907407</v>
      </c>
      <c r="T358" s="57">
        <f>tblJTL[[#This Row],[timeStamp]]+tblJTL[[#This Row],[elapsed]]</f>
        <v>1790816505098</v>
      </c>
      <c r="U358" s="61">
        <f>(tblJTL[[#This Row],[timeStamp]]-'17_分析サンプル'!$E$18)/1000</f>
        <v>104.64400000000001</v>
      </c>
      <c r="V358" s="57">
        <f>INT(tblJTL[[#This Row],[経過秒]]/60)</f>
        <v>1</v>
      </c>
      <c r="W358" s="57">
        <f>IF(OR(tblJTL[[#This Row],[success]]=FALSE,tblJTL[[#This Row],[success]]="false"),1,0)</f>
        <v>0</v>
      </c>
      <c r="X358" s="57">
        <f>IF(AND(tblJTL[[#This Row],[経過秒]]&gt;='17_分析サンプル'!$E$11,tblJTL[[#This Row],[経過秒]]&lt;'17_分析サンプル'!$E$12),1,0)</f>
        <v>1</v>
      </c>
    </row>
    <row r="359" spans="2:24" ht="14.4" x14ac:dyDescent="0.3">
      <c r="B359" s="57">
        <v>1790816504483</v>
      </c>
      <c r="C359" s="58">
        <v>817</v>
      </c>
      <c r="D359" s="59" t="s">
        <v>1677</v>
      </c>
      <c r="E359" s="59" t="s">
        <v>3579</v>
      </c>
      <c r="F359" s="59" t="s">
        <v>3580</v>
      </c>
      <c r="G359" s="59" t="s">
        <v>3585</v>
      </c>
      <c r="H359" s="59" t="s">
        <v>2281</v>
      </c>
      <c r="I359" s="59" t="b">
        <v>1</v>
      </c>
      <c r="J359" s="59"/>
      <c r="K359" s="58">
        <v>430</v>
      </c>
      <c r="L359" s="58">
        <v>1478</v>
      </c>
      <c r="M359" s="59">
        <v>10</v>
      </c>
      <c r="N359" s="59">
        <v>10</v>
      </c>
      <c r="O359" s="59" t="s">
        <v>3581</v>
      </c>
      <c r="P359" s="58">
        <v>812</v>
      </c>
      <c r="Q359" s="59">
        <v>0</v>
      </c>
      <c r="R359" s="59">
        <v>0</v>
      </c>
      <c r="S359" s="60">
        <f>tblJTL[[#This Row],[timeStamp]]/86400000+DATE(1970,1,1)+TIME(9,0,0)</f>
        <v>46296.417875960644</v>
      </c>
      <c r="T359" s="57">
        <f>tblJTL[[#This Row],[timeStamp]]+tblJTL[[#This Row],[elapsed]]</f>
        <v>1790816505300</v>
      </c>
      <c r="U359" s="61">
        <f>(tblJTL[[#This Row],[timeStamp]]-'17_分析サンプル'!$E$18)/1000</f>
        <v>104.303</v>
      </c>
      <c r="V359" s="57">
        <f>INT(tblJTL[[#This Row],[経過秒]]/60)</f>
        <v>1</v>
      </c>
      <c r="W359" s="57">
        <f>IF(OR(tblJTL[[#This Row],[success]]=FALSE,tblJTL[[#This Row],[success]]="false"),1,0)</f>
        <v>0</v>
      </c>
      <c r="X359" s="57">
        <f>IF(AND(tblJTL[[#This Row],[経過秒]]&gt;='17_分析サンプル'!$E$11,tblJTL[[#This Row],[経過秒]]&lt;'17_分析サンプル'!$E$12),1,0)</f>
        <v>1</v>
      </c>
    </row>
    <row r="360" spans="2:24" ht="14.4" x14ac:dyDescent="0.3">
      <c r="B360" s="57">
        <v>1790816505257</v>
      </c>
      <c r="C360" s="58">
        <v>171</v>
      </c>
      <c r="D360" s="59" t="s">
        <v>1677</v>
      </c>
      <c r="E360" s="59" t="s">
        <v>3579</v>
      </c>
      <c r="F360" s="59" t="s">
        <v>3580</v>
      </c>
      <c r="G360" s="59" t="s">
        <v>3588</v>
      </c>
      <c r="H360" s="59" t="s">
        <v>2281</v>
      </c>
      <c r="I360" s="59" t="b">
        <v>1</v>
      </c>
      <c r="J360" s="59"/>
      <c r="K360" s="58">
        <v>439</v>
      </c>
      <c r="L360" s="58">
        <v>1478</v>
      </c>
      <c r="M360" s="59">
        <v>10</v>
      </c>
      <c r="N360" s="59">
        <v>10</v>
      </c>
      <c r="O360" s="59" t="s">
        <v>3581</v>
      </c>
      <c r="P360" s="58">
        <v>165</v>
      </c>
      <c r="Q360" s="59">
        <v>0</v>
      </c>
      <c r="R360" s="59">
        <v>0</v>
      </c>
      <c r="S360" s="60">
        <f>tblJTL[[#This Row],[timeStamp]]/86400000+DATE(1970,1,1)+TIME(9,0,0)</f>
        <v>46296.417884918978</v>
      </c>
      <c r="T360" s="57">
        <f>tblJTL[[#This Row],[timeStamp]]+tblJTL[[#This Row],[elapsed]]</f>
        <v>1790816505428</v>
      </c>
      <c r="U360" s="61">
        <f>(tblJTL[[#This Row],[timeStamp]]-'17_分析サンプル'!$E$18)/1000</f>
        <v>105.077</v>
      </c>
      <c r="V360" s="57">
        <f>INT(tblJTL[[#This Row],[経過秒]]/60)</f>
        <v>1</v>
      </c>
      <c r="W360" s="57">
        <f>IF(OR(tblJTL[[#This Row],[success]]=FALSE,tblJTL[[#This Row],[success]]="false"),1,0)</f>
        <v>0</v>
      </c>
      <c r="X360" s="57">
        <f>IF(AND(tblJTL[[#This Row],[経過秒]]&gt;='17_分析サンプル'!$E$11,tblJTL[[#This Row],[経過秒]]&lt;'17_分析サンプル'!$E$12),1,0)</f>
        <v>1</v>
      </c>
    </row>
    <row r="361" spans="2:24" ht="14.4" x14ac:dyDescent="0.3">
      <c r="B361" s="57">
        <v>1790816505500</v>
      </c>
      <c r="C361" s="58">
        <v>368</v>
      </c>
      <c r="D361" s="59" t="s">
        <v>1677</v>
      </c>
      <c r="E361" s="59" t="s">
        <v>3579</v>
      </c>
      <c r="F361" s="59" t="s">
        <v>3580</v>
      </c>
      <c r="G361" s="59" t="s">
        <v>3583</v>
      </c>
      <c r="H361" s="59" t="s">
        <v>2281</v>
      </c>
      <c r="I361" s="59" t="b">
        <v>1</v>
      </c>
      <c r="J361" s="59"/>
      <c r="K361" s="58">
        <v>430</v>
      </c>
      <c r="L361" s="58">
        <v>1478</v>
      </c>
      <c r="M361" s="59">
        <v>10</v>
      </c>
      <c r="N361" s="59">
        <v>10</v>
      </c>
      <c r="O361" s="59" t="s">
        <v>3581</v>
      </c>
      <c r="P361" s="58">
        <v>364</v>
      </c>
      <c r="Q361" s="59">
        <v>0</v>
      </c>
      <c r="R361" s="59">
        <v>0</v>
      </c>
      <c r="S361" s="60">
        <f>tblJTL[[#This Row],[timeStamp]]/86400000+DATE(1970,1,1)+TIME(9,0,0)</f>
        <v>46296.417887731484</v>
      </c>
      <c r="T361" s="57">
        <f>tblJTL[[#This Row],[timeStamp]]+tblJTL[[#This Row],[elapsed]]</f>
        <v>1790816505868</v>
      </c>
      <c r="U361" s="61">
        <f>(tblJTL[[#This Row],[timeStamp]]-'17_分析サンプル'!$E$18)/1000</f>
        <v>105.32</v>
      </c>
      <c r="V361" s="57">
        <f>INT(tblJTL[[#This Row],[経過秒]]/60)</f>
        <v>1</v>
      </c>
      <c r="W361" s="57">
        <f>IF(OR(tblJTL[[#This Row],[success]]=FALSE,tblJTL[[#This Row],[success]]="false"),1,0)</f>
        <v>0</v>
      </c>
      <c r="X361" s="57">
        <f>IF(AND(tblJTL[[#This Row],[経過秒]]&gt;='17_分析サンプル'!$E$11,tblJTL[[#This Row],[経過秒]]&lt;'17_分析サンプル'!$E$12),1,0)</f>
        <v>1</v>
      </c>
    </row>
    <row r="362" spans="2:24" ht="14.4" x14ac:dyDescent="0.3">
      <c r="B362" s="57">
        <v>1790816505812</v>
      </c>
      <c r="C362" s="58">
        <v>118</v>
      </c>
      <c r="D362" s="59" t="s">
        <v>1658</v>
      </c>
      <c r="E362" s="59" t="s">
        <v>1577</v>
      </c>
      <c r="F362" s="59" t="s">
        <v>2275</v>
      </c>
      <c r="G362" s="59" t="s">
        <v>3577</v>
      </c>
      <c r="H362" s="59" t="s">
        <v>2281</v>
      </c>
      <c r="I362" s="59" t="b">
        <v>1</v>
      </c>
      <c r="J362" s="59"/>
      <c r="K362" s="58">
        <v>1877</v>
      </c>
      <c r="L362" s="58">
        <v>1342</v>
      </c>
      <c r="M362" s="59">
        <v>10</v>
      </c>
      <c r="N362" s="59">
        <v>10</v>
      </c>
      <c r="O362" s="59" t="s">
        <v>3578</v>
      </c>
      <c r="P362" s="58">
        <v>115</v>
      </c>
      <c r="Q362" s="59">
        <v>0</v>
      </c>
      <c r="R362" s="59">
        <v>0</v>
      </c>
      <c r="S362" s="60">
        <f>tblJTL[[#This Row],[timeStamp]]/86400000+DATE(1970,1,1)+TIME(9,0,0)</f>
        <v>46296.417891342593</v>
      </c>
      <c r="T362" s="57">
        <f>tblJTL[[#This Row],[timeStamp]]+tblJTL[[#This Row],[elapsed]]</f>
        <v>1790816505930</v>
      </c>
      <c r="U362" s="61">
        <f>(tblJTL[[#This Row],[timeStamp]]-'17_分析サンプル'!$E$18)/1000</f>
        <v>105.63200000000001</v>
      </c>
      <c r="V362" s="57">
        <f>INT(tblJTL[[#This Row],[経過秒]]/60)</f>
        <v>1</v>
      </c>
      <c r="W362" s="57">
        <f>IF(OR(tblJTL[[#This Row],[success]]=FALSE,tblJTL[[#This Row],[success]]="false"),1,0)</f>
        <v>0</v>
      </c>
      <c r="X362" s="57">
        <f>IF(AND(tblJTL[[#This Row],[経過秒]]&gt;='17_分析サンプル'!$E$11,tblJTL[[#This Row],[経過秒]]&lt;'17_分析サンプル'!$E$12),1,0)</f>
        <v>1</v>
      </c>
    </row>
    <row r="363" spans="2:24" ht="14.4" x14ac:dyDescent="0.3">
      <c r="B363" s="57">
        <v>1790816505939</v>
      </c>
      <c r="C363" s="58">
        <v>348</v>
      </c>
      <c r="D363" s="59" t="s">
        <v>1677</v>
      </c>
      <c r="E363" s="59" t="s">
        <v>3579</v>
      </c>
      <c r="F363" s="59" t="s">
        <v>3580</v>
      </c>
      <c r="G363" s="59" t="s">
        <v>3584</v>
      </c>
      <c r="H363" s="59" t="s">
        <v>2281</v>
      </c>
      <c r="I363" s="59" t="b">
        <v>1</v>
      </c>
      <c r="J363" s="59"/>
      <c r="K363" s="58">
        <v>435</v>
      </c>
      <c r="L363" s="58">
        <v>1478</v>
      </c>
      <c r="M363" s="59">
        <v>10</v>
      </c>
      <c r="N363" s="59">
        <v>10</v>
      </c>
      <c r="O363" s="59" t="s">
        <v>3581</v>
      </c>
      <c r="P363" s="58">
        <v>343</v>
      </c>
      <c r="Q363" s="59">
        <v>0</v>
      </c>
      <c r="R363" s="59">
        <v>0</v>
      </c>
      <c r="S363" s="60">
        <f>tblJTL[[#This Row],[timeStamp]]/86400000+DATE(1970,1,1)+TIME(9,0,0)</f>
        <v>46296.417892812504</v>
      </c>
      <c r="T363" s="57">
        <f>tblJTL[[#This Row],[timeStamp]]+tblJTL[[#This Row],[elapsed]]</f>
        <v>1790816506287</v>
      </c>
      <c r="U363" s="61">
        <f>(tblJTL[[#This Row],[timeStamp]]-'17_分析サンプル'!$E$18)/1000</f>
        <v>105.759</v>
      </c>
      <c r="V363" s="57">
        <f>INT(tblJTL[[#This Row],[経過秒]]/60)</f>
        <v>1</v>
      </c>
      <c r="W363" s="57">
        <f>IF(OR(tblJTL[[#This Row],[success]]=FALSE,tblJTL[[#This Row],[success]]="false"),1,0)</f>
        <v>0</v>
      </c>
      <c r="X363" s="57">
        <f>IF(AND(tblJTL[[#This Row],[経過秒]]&gt;='17_分析サンプル'!$E$11,tblJTL[[#This Row],[経過秒]]&lt;'17_分析サンプル'!$E$12),1,0)</f>
        <v>1</v>
      </c>
    </row>
    <row r="364" spans="2:24" ht="14.4" x14ac:dyDescent="0.3">
      <c r="B364" s="57">
        <v>1790816506702</v>
      </c>
      <c r="C364" s="58">
        <v>98</v>
      </c>
      <c r="D364" s="59" t="s">
        <v>1658</v>
      </c>
      <c r="E364" s="59" t="s">
        <v>1577</v>
      </c>
      <c r="F364" s="59" t="s">
        <v>2275</v>
      </c>
      <c r="G364" s="59" t="s">
        <v>2278</v>
      </c>
      <c r="H364" s="59" t="s">
        <v>2281</v>
      </c>
      <c r="I364" s="59" t="b">
        <v>1</v>
      </c>
      <c r="J364" s="59"/>
      <c r="K364" s="58">
        <v>1857</v>
      </c>
      <c r="L364" s="58">
        <v>1342</v>
      </c>
      <c r="M364" s="59">
        <v>10</v>
      </c>
      <c r="N364" s="59">
        <v>10</v>
      </c>
      <c r="O364" s="59" t="s">
        <v>3578</v>
      </c>
      <c r="P364" s="58">
        <v>95</v>
      </c>
      <c r="Q364" s="59">
        <v>0</v>
      </c>
      <c r="R364" s="59">
        <v>0</v>
      </c>
      <c r="S364" s="60">
        <f>tblJTL[[#This Row],[timeStamp]]/86400000+DATE(1970,1,1)+TIME(9,0,0)</f>
        <v>46296.417901643523</v>
      </c>
      <c r="T364" s="57">
        <f>tblJTL[[#This Row],[timeStamp]]+tblJTL[[#This Row],[elapsed]]</f>
        <v>1790816506800</v>
      </c>
      <c r="U364" s="61">
        <f>(tblJTL[[#This Row],[timeStamp]]-'17_分析サンプル'!$E$18)/1000</f>
        <v>106.52200000000001</v>
      </c>
      <c r="V364" s="57">
        <f>INT(tblJTL[[#This Row],[経過秒]]/60)</f>
        <v>1</v>
      </c>
      <c r="W364" s="57">
        <f>IF(OR(tblJTL[[#This Row],[success]]=FALSE,tblJTL[[#This Row],[success]]="false"),1,0)</f>
        <v>0</v>
      </c>
      <c r="X364" s="57">
        <f>IF(AND(tblJTL[[#This Row],[経過秒]]&gt;='17_分析サンプル'!$E$11,tblJTL[[#This Row],[経過秒]]&lt;'17_分析サンプル'!$E$12),1,0)</f>
        <v>1</v>
      </c>
    </row>
    <row r="365" spans="2:24" ht="14.4" x14ac:dyDescent="0.3">
      <c r="B365" s="57">
        <v>1790816506870</v>
      </c>
      <c r="C365" s="58">
        <v>86</v>
      </c>
      <c r="D365" s="59" t="s">
        <v>1658</v>
      </c>
      <c r="E365" s="59" t="s">
        <v>1577</v>
      </c>
      <c r="F365" s="59" t="s">
        <v>2275</v>
      </c>
      <c r="G365" s="59" t="s">
        <v>3588</v>
      </c>
      <c r="H365" s="59" t="s">
        <v>2281</v>
      </c>
      <c r="I365" s="59" t="b">
        <v>1</v>
      </c>
      <c r="J365" s="59"/>
      <c r="K365" s="58">
        <v>1898</v>
      </c>
      <c r="L365" s="58">
        <v>1342</v>
      </c>
      <c r="M365" s="59">
        <v>10</v>
      </c>
      <c r="N365" s="59">
        <v>10</v>
      </c>
      <c r="O365" s="59" t="s">
        <v>3578</v>
      </c>
      <c r="P365" s="58">
        <v>79</v>
      </c>
      <c r="Q365" s="59">
        <v>0</v>
      </c>
      <c r="R365" s="59">
        <v>0</v>
      </c>
      <c r="S365" s="60">
        <f>tblJTL[[#This Row],[timeStamp]]/86400000+DATE(1970,1,1)+TIME(9,0,0)</f>
        <v>46296.417903587964</v>
      </c>
      <c r="T365" s="57">
        <f>tblJTL[[#This Row],[timeStamp]]+tblJTL[[#This Row],[elapsed]]</f>
        <v>1790816506956</v>
      </c>
      <c r="U365" s="61">
        <f>(tblJTL[[#This Row],[timeStamp]]-'17_分析サンプル'!$E$18)/1000</f>
        <v>106.69</v>
      </c>
      <c r="V365" s="57">
        <f>INT(tblJTL[[#This Row],[経過秒]]/60)</f>
        <v>1</v>
      </c>
      <c r="W365" s="57">
        <f>IF(OR(tblJTL[[#This Row],[success]]=FALSE,tblJTL[[#This Row],[success]]="false"),1,0)</f>
        <v>0</v>
      </c>
      <c r="X365" s="57">
        <f>IF(AND(tblJTL[[#This Row],[経過秒]]&gt;='17_分析サンプル'!$E$11,tblJTL[[#This Row],[経過秒]]&lt;'17_分析サンプル'!$E$12),1,0)</f>
        <v>1</v>
      </c>
    </row>
    <row r="366" spans="2:24" ht="14.4" x14ac:dyDescent="0.3">
      <c r="B366" s="57">
        <v>1790816506813</v>
      </c>
      <c r="C366" s="58">
        <v>165</v>
      </c>
      <c r="D366" s="59" t="s">
        <v>1677</v>
      </c>
      <c r="E366" s="59" t="s">
        <v>3579</v>
      </c>
      <c r="F366" s="59" t="s">
        <v>3580</v>
      </c>
      <c r="G366" s="59" t="s">
        <v>3589</v>
      </c>
      <c r="H366" s="59" t="s">
        <v>2281</v>
      </c>
      <c r="I366" s="59" t="b">
        <v>1</v>
      </c>
      <c r="J366" s="59"/>
      <c r="K366" s="58">
        <v>426</v>
      </c>
      <c r="L366" s="58">
        <v>1478</v>
      </c>
      <c r="M366" s="59">
        <v>10</v>
      </c>
      <c r="N366" s="59">
        <v>10</v>
      </c>
      <c r="O366" s="59" t="s">
        <v>3581</v>
      </c>
      <c r="P366" s="58">
        <v>158</v>
      </c>
      <c r="Q366" s="59">
        <v>0</v>
      </c>
      <c r="R366" s="59">
        <v>0</v>
      </c>
      <c r="S366" s="60">
        <f>tblJTL[[#This Row],[timeStamp]]/86400000+DATE(1970,1,1)+TIME(9,0,0)</f>
        <v>46296.417902928239</v>
      </c>
      <c r="T366" s="57">
        <f>tblJTL[[#This Row],[timeStamp]]+tblJTL[[#This Row],[elapsed]]</f>
        <v>1790816506978</v>
      </c>
      <c r="U366" s="61">
        <f>(tblJTL[[#This Row],[timeStamp]]-'17_分析サンプル'!$E$18)/1000</f>
        <v>106.633</v>
      </c>
      <c r="V366" s="57">
        <f>INT(tblJTL[[#This Row],[経過秒]]/60)</f>
        <v>1</v>
      </c>
      <c r="W366" s="57">
        <f>IF(OR(tblJTL[[#This Row],[success]]=FALSE,tblJTL[[#This Row],[success]]="false"),1,0)</f>
        <v>0</v>
      </c>
      <c r="X366" s="57">
        <f>IF(AND(tblJTL[[#This Row],[経過秒]]&gt;='17_分析サンプル'!$E$11,tblJTL[[#This Row],[経過秒]]&lt;'17_分析サンプル'!$E$12),1,0)</f>
        <v>1</v>
      </c>
    </row>
    <row r="367" spans="2:24" ht="14.4" x14ac:dyDescent="0.3">
      <c r="B367" s="57">
        <v>1790816506936</v>
      </c>
      <c r="C367" s="58">
        <v>118</v>
      </c>
      <c r="D367" s="59" t="s">
        <v>1658</v>
      </c>
      <c r="E367" s="59" t="s">
        <v>1577</v>
      </c>
      <c r="F367" s="59" t="s">
        <v>2275</v>
      </c>
      <c r="G367" s="59" t="s">
        <v>3586</v>
      </c>
      <c r="H367" s="59" t="s">
        <v>2281</v>
      </c>
      <c r="I367" s="59" t="b">
        <v>1</v>
      </c>
      <c r="J367" s="59"/>
      <c r="K367" s="58">
        <v>1859</v>
      </c>
      <c r="L367" s="58">
        <v>1342</v>
      </c>
      <c r="M367" s="59">
        <v>10</v>
      </c>
      <c r="N367" s="59">
        <v>10</v>
      </c>
      <c r="O367" s="59" t="s">
        <v>3578</v>
      </c>
      <c r="P367" s="58">
        <v>113</v>
      </c>
      <c r="Q367" s="59">
        <v>0</v>
      </c>
      <c r="R367" s="59">
        <v>0</v>
      </c>
      <c r="S367" s="60">
        <f>tblJTL[[#This Row],[timeStamp]]/86400000+DATE(1970,1,1)+TIME(9,0,0)</f>
        <v>46296.417904351852</v>
      </c>
      <c r="T367" s="57">
        <f>tblJTL[[#This Row],[timeStamp]]+tblJTL[[#This Row],[elapsed]]</f>
        <v>1790816507054</v>
      </c>
      <c r="U367" s="61">
        <f>(tblJTL[[#This Row],[timeStamp]]-'17_分析サンプル'!$E$18)/1000</f>
        <v>106.756</v>
      </c>
      <c r="V367" s="57">
        <f>INT(tblJTL[[#This Row],[経過秒]]/60)</f>
        <v>1</v>
      </c>
      <c r="W367" s="57">
        <f>IF(OR(tblJTL[[#This Row],[success]]=FALSE,tblJTL[[#This Row],[success]]="false"),1,0)</f>
        <v>0</v>
      </c>
      <c r="X367" s="57">
        <f>IF(AND(tblJTL[[#This Row],[経過秒]]&gt;='17_分析サンプル'!$E$11,tblJTL[[#This Row],[経過秒]]&lt;'17_分析サンプル'!$E$12),1,0)</f>
        <v>1</v>
      </c>
    </row>
    <row r="368" spans="2:24" ht="14.4" x14ac:dyDescent="0.3">
      <c r="B368" s="57">
        <v>1790816506945</v>
      </c>
      <c r="C368" s="58">
        <v>343</v>
      </c>
      <c r="D368" s="59" t="s">
        <v>1677</v>
      </c>
      <c r="E368" s="59" t="s">
        <v>3579</v>
      </c>
      <c r="F368" s="59" t="s">
        <v>3580</v>
      </c>
      <c r="G368" s="59" t="s">
        <v>3587</v>
      </c>
      <c r="H368" s="59" t="s">
        <v>2281</v>
      </c>
      <c r="I368" s="59" t="b">
        <v>1</v>
      </c>
      <c r="J368" s="59"/>
      <c r="K368" s="58">
        <v>435</v>
      </c>
      <c r="L368" s="58">
        <v>1478</v>
      </c>
      <c r="M368" s="59">
        <v>10</v>
      </c>
      <c r="N368" s="59">
        <v>10</v>
      </c>
      <c r="O368" s="59" t="s">
        <v>3581</v>
      </c>
      <c r="P368" s="58">
        <v>340</v>
      </c>
      <c r="Q368" s="59">
        <v>0</v>
      </c>
      <c r="R368" s="59">
        <v>60</v>
      </c>
      <c r="S368" s="60">
        <f>tblJTL[[#This Row],[timeStamp]]/86400000+DATE(1970,1,1)+TIME(9,0,0)</f>
        <v>46296.417904456015</v>
      </c>
      <c r="T368" s="57">
        <f>tblJTL[[#This Row],[timeStamp]]+tblJTL[[#This Row],[elapsed]]</f>
        <v>1790816507288</v>
      </c>
      <c r="U368" s="61">
        <f>(tblJTL[[#This Row],[timeStamp]]-'17_分析サンプル'!$E$18)/1000</f>
        <v>106.765</v>
      </c>
      <c r="V368" s="57">
        <f>INT(tblJTL[[#This Row],[経過秒]]/60)</f>
        <v>1</v>
      </c>
      <c r="W368" s="57">
        <f>IF(OR(tblJTL[[#This Row],[success]]=FALSE,tblJTL[[#This Row],[success]]="false"),1,0)</f>
        <v>0</v>
      </c>
      <c r="X368" s="57">
        <f>IF(AND(tblJTL[[#This Row],[経過秒]]&gt;='17_分析サンプル'!$E$11,tblJTL[[#This Row],[経過秒]]&lt;'17_分析サンプル'!$E$12),1,0)</f>
        <v>1</v>
      </c>
    </row>
    <row r="369" spans="2:24" ht="14.4" x14ac:dyDescent="0.3">
      <c r="B369" s="57">
        <v>1790816507339</v>
      </c>
      <c r="C369" s="58">
        <v>73</v>
      </c>
      <c r="D369" s="59" t="s">
        <v>1658</v>
      </c>
      <c r="E369" s="59" t="s">
        <v>1577</v>
      </c>
      <c r="F369" s="59" t="s">
        <v>2275</v>
      </c>
      <c r="G369" s="59" t="s">
        <v>3583</v>
      </c>
      <c r="H369" s="59" t="s">
        <v>2281</v>
      </c>
      <c r="I369" s="59" t="b">
        <v>1</v>
      </c>
      <c r="J369" s="59"/>
      <c r="K369" s="58">
        <v>1838</v>
      </c>
      <c r="L369" s="58">
        <v>1342</v>
      </c>
      <c r="M369" s="59">
        <v>10</v>
      </c>
      <c r="N369" s="59">
        <v>10</v>
      </c>
      <c r="O369" s="59" t="s">
        <v>3578</v>
      </c>
      <c r="P369" s="58">
        <v>67</v>
      </c>
      <c r="Q369" s="59">
        <v>0</v>
      </c>
      <c r="R369" s="59">
        <v>0</v>
      </c>
      <c r="S369" s="60">
        <f>tblJTL[[#This Row],[timeStamp]]/86400000+DATE(1970,1,1)+TIME(9,0,0)</f>
        <v>46296.417909016207</v>
      </c>
      <c r="T369" s="57">
        <f>tblJTL[[#This Row],[timeStamp]]+tblJTL[[#This Row],[elapsed]]</f>
        <v>1790816507412</v>
      </c>
      <c r="U369" s="61">
        <f>(tblJTL[[#This Row],[timeStamp]]-'17_分析サンプル'!$E$18)/1000</f>
        <v>107.15900000000001</v>
      </c>
      <c r="V369" s="57">
        <f>INT(tblJTL[[#This Row],[経過秒]]/60)</f>
        <v>1</v>
      </c>
      <c r="W369" s="57">
        <f>IF(OR(tblJTL[[#This Row],[success]]=FALSE,tblJTL[[#This Row],[success]]="false"),1,0)</f>
        <v>0</v>
      </c>
      <c r="X369" s="57">
        <f>IF(AND(tblJTL[[#This Row],[経過秒]]&gt;='17_分析サンプル'!$E$11,tblJTL[[#This Row],[経過秒]]&lt;'17_分析サンプル'!$E$12),1,0)</f>
        <v>1</v>
      </c>
    </row>
    <row r="370" spans="2:24" ht="14.4" x14ac:dyDescent="0.3">
      <c r="B370" s="57">
        <v>1790816507544</v>
      </c>
      <c r="C370" s="58">
        <v>155</v>
      </c>
      <c r="D370" s="59" t="s">
        <v>1658</v>
      </c>
      <c r="E370" s="59" t="s">
        <v>1577</v>
      </c>
      <c r="F370" s="59" t="s">
        <v>2275</v>
      </c>
      <c r="G370" s="59" t="s">
        <v>3585</v>
      </c>
      <c r="H370" s="59" t="s">
        <v>2281</v>
      </c>
      <c r="I370" s="59" t="b">
        <v>1</v>
      </c>
      <c r="J370" s="59"/>
      <c r="K370" s="58">
        <v>1856</v>
      </c>
      <c r="L370" s="58">
        <v>1342</v>
      </c>
      <c r="M370" s="59">
        <v>10</v>
      </c>
      <c r="N370" s="59">
        <v>10</v>
      </c>
      <c r="O370" s="59" t="s">
        <v>3578</v>
      </c>
      <c r="P370" s="58">
        <v>150</v>
      </c>
      <c r="Q370" s="59">
        <v>0</v>
      </c>
      <c r="R370" s="59">
        <v>0</v>
      </c>
      <c r="S370" s="60">
        <f>tblJTL[[#This Row],[timeStamp]]/86400000+DATE(1970,1,1)+TIME(9,0,0)</f>
        <v>46296.417911388889</v>
      </c>
      <c r="T370" s="57">
        <f>tblJTL[[#This Row],[timeStamp]]+tblJTL[[#This Row],[elapsed]]</f>
        <v>1790816507699</v>
      </c>
      <c r="U370" s="61">
        <f>(tblJTL[[#This Row],[timeStamp]]-'17_分析サンプル'!$E$18)/1000</f>
        <v>107.364</v>
      </c>
      <c r="V370" s="57">
        <f>INT(tblJTL[[#This Row],[経過秒]]/60)</f>
        <v>1</v>
      </c>
      <c r="W370" s="57">
        <f>IF(OR(tblJTL[[#This Row],[success]]=FALSE,tblJTL[[#This Row],[success]]="false"),1,0)</f>
        <v>0</v>
      </c>
      <c r="X370" s="57">
        <f>IF(AND(tblJTL[[#This Row],[経過秒]]&gt;='17_分析サンプル'!$E$11,tblJTL[[#This Row],[経過秒]]&lt;'17_分析サンプル'!$E$12),1,0)</f>
        <v>1</v>
      </c>
    </row>
    <row r="371" spans="2:24" ht="14.4" x14ac:dyDescent="0.3">
      <c r="B371" s="57">
        <v>1790816507724</v>
      </c>
      <c r="C371" s="58">
        <v>93</v>
      </c>
      <c r="D371" s="59" t="s">
        <v>1658</v>
      </c>
      <c r="E371" s="59" t="s">
        <v>1577</v>
      </c>
      <c r="F371" s="59" t="s">
        <v>2275</v>
      </c>
      <c r="G371" s="59" t="s">
        <v>3584</v>
      </c>
      <c r="H371" s="59" t="s">
        <v>2281</v>
      </c>
      <c r="I371" s="59" t="b">
        <v>1</v>
      </c>
      <c r="J371" s="59"/>
      <c r="K371" s="58">
        <v>1841</v>
      </c>
      <c r="L371" s="58">
        <v>1342</v>
      </c>
      <c r="M371" s="59">
        <v>10</v>
      </c>
      <c r="N371" s="59">
        <v>10</v>
      </c>
      <c r="O371" s="59" t="s">
        <v>3578</v>
      </c>
      <c r="P371" s="58">
        <v>88</v>
      </c>
      <c r="Q371" s="59">
        <v>0</v>
      </c>
      <c r="R371" s="59">
        <v>0</v>
      </c>
      <c r="S371" s="60">
        <f>tblJTL[[#This Row],[timeStamp]]/86400000+DATE(1970,1,1)+TIME(9,0,0)</f>
        <v>46296.417913472222</v>
      </c>
      <c r="T371" s="57">
        <f>tblJTL[[#This Row],[timeStamp]]+tblJTL[[#This Row],[elapsed]]</f>
        <v>1790816507817</v>
      </c>
      <c r="U371" s="61">
        <f>(tblJTL[[#This Row],[timeStamp]]-'17_分析サンプル'!$E$18)/1000</f>
        <v>107.544</v>
      </c>
      <c r="V371" s="57">
        <f>INT(tblJTL[[#This Row],[経過秒]]/60)</f>
        <v>1</v>
      </c>
      <c r="W371" s="57">
        <f>IF(OR(tblJTL[[#This Row],[success]]=FALSE,tblJTL[[#This Row],[success]]="false"),1,0)</f>
        <v>0</v>
      </c>
      <c r="X371" s="57">
        <f>IF(AND(tblJTL[[#This Row],[経過秒]]&gt;='17_分析サンプル'!$E$11,tblJTL[[#This Row],[経過秒]]&lt;'17_分析サンプル'!$E$12),1,0)</f>
        <v>1</v>
      </c>
    </row>
    <row r="372" spans="2:24" ht="14.4" x14ac:dyDescent="0.3">
      <c r="B372" s="57">
        <v>1790816507597</v>
      </c>
      <c r="C372" s="58">
        <v>339</v>
      </c>
      <c r="D372" s="59" t="s">
        <v>1658</v>
      </c>
      <c r="E372" s="59" t="s">
        <v>1577</v>
      </c>
      <c r="F372" s="59" t="s">
        <v>2275</v>
      </c>
      <c r="G372" s="59" t="s">
        <v>3582</v>
      </c>
      <c r="H372" s="59" t="s">
        <v>2281</v>
      </c>
      <c r="I372" s="59" t="b">
        <v>1</v>
      </c>
      <c r="J372" s="59"/>
      <c r="K372" s="58">
        <v>1886</v>
      </c>
      <c r="L372" s="58">
        <v>1342</v>
      </c>
      <c r="M372" s="59">
        <v>10</v>
      </c>
      <c r="N372" s="59">
        <v>10</v>
      </c>
      <c r="O372" s="59" t="s">
        <v>3578</v>
      </c>
      <c r="P372" s="58">
        <v>336</v>
      </c>
      <c r="Q372" s="59">
        <v>0</v>
      </c>
      <c r="R372" s="59">
        <v>0</v>
      </c>
      <c r="S372" s="60">
        <f>tblJTL[[#This Row],[timeStamp]]/86400000+DATE(1970,1,1)+TIME(9,0,0)</f>
        <v>46296.417912002318</v>
      </c>
      <c r="T372" s="57">
        <f>tblJTL[[#This Row],[timeStamp]]+tblJTL[[#This Row],[elapsed]]</f>
        <v>1790816507936</v>
      </c>
      <c r="U372" s="61">
        <f>(tblJTL[[#This Row],[timeStamp]]-'17_分析サンプル'!$E$18)/1000</f>
        <v>107.417</v>
      </c>
      <c r="V372" s="57">
        <f>INT(tblJTL[[#This Row],[経過秒]]/60)</f>
        <v>1</v>
      </c>
      <c r="W372" s="57">
        <f>IF(OR(tblJTL[[#This Row],[success]]=FALSE,tblJTL[[#This Row],[success]]="false"),1,0)</f>
        <v>0</v>
      </c>
      <c r="X372" s="57">
        <f>IF(AND(tblJTL[[#This Row],[経過秒]]&gt;='17_分析サンプル'!$E$11,tblJTL[[#This Row],[経過秒]]&lt;'17_分析サンプル'!$E$12),1,0)</f>
        <v>1</v>
      </c>
    </row>
    <row r="373" spans="2:24" ht="14.4" x14ac:dyDescent="0.3">
      <c r="B373" s="57">
        <v>1790816508598</v>
      </c>
      <c r="C373" s="58">
        <v>133</v>
      </c>
      <c r="D373" s="59" t="s">
        <v>1677</v>
      </c>
      <c r="E373" s="59" t="s">
        <v>3579</v>
      </c>
      <c r="F373" s="59" t="s">
        <v>3580</v>
      </c>
      <c r="G373" s="59" t="s">
        <v>3577</v>
      </c>
      <c r="H373" s="59" t="s">
        <v>2281</v>
      </c>
      <c r="I373" s="59" t="b">
        <v>1</v>
      </c>
      <c r="J373" s="59"/>
      <c r="K373" s="58">
        <v>421</v>
      </c>
      <c r="L373" s="58">
        <v>1478</v>
      </c>
      <c r="M373" s="59">
        <v>10</v>
      </c>
      <c r="N373" s="59">
        <v>10</v>
      </c>
      <c r="O373" s="59" t="s">
        <v>3581</v>
      </c>
      <c r="P373" s="58">
        <v>128</v>
      </c>
      <c r="Q373" s="59">
        <v>0</v>
      </c>
      <c r="R373" s="59">
        <v>0</v>
      </c>
      <c r="S373" s="60">
        <f>tblJTL[[#This Row],[timeStamp]]/86400000+DATE(1970,1,1)+TIME(9,0,0)</f>
        <v>46296.417923587964</v>
      </c>
      <c r="T373" s="57">
        <f>tblJTL[[#This Row],[timeStamp]]+tblJTL[[#This Row],[elapsed]]</f>
        <v>1790816508731</v>
      </c>
      <c r="U373" s="61">
        <f>(tblJTL[[#This Row],[timeStamp]]-'17_分析サンプル'!$E$18)/1000</f>
        <v>108.41800000000001</v>
      </c>
      <c r="V373" s="57">
        <f>INT(tblJTL[[#This Row],[経過秒]]/60)</f>
        <v>1</v>
      </c>
      <c r="W373" s="57">
        <f>IF(OR(tblJTL[[#This Row],[success]]=FALSE,tblJTL[[#This Row],[success]]="false"),1,0)</f>
        <v>0</v>
      </c>
      <c r="X373" s="57">
        <f>IF(AND(tblJTL[[#This Row],[経過秒]]&gt;='17_分析サンプル'!$E$11,tblJTL[[#This Row],[経過秒]]&lt;'17_分析サンプル'!$E$12),1,0)</f>
        <v>1</v>
      </c>
    </row>
    <row r="374" spans="2:24" ht="14.4" x14ac:dyDescent="0.3">
      <c r="B374" s="57">
        <v>1790816508479</v>
      </c>
      <c r="C374" s="58">
        <v>406</v>
      </c>
      <c r="D374" s="59" t="s">
        <v>1677</v>
      </c>
      <c r="E374" s="59" t="s">
        <v>3579</v>
      </c>
      <c r="F374" s="59" t="s">
        <v>3580</v>
      </c>
      <c r="G374" s="59" t="s">
        <v>3588</v>
      </c>
      <c r="H374" s="59" t="s">
        <v>2281</v>
      </c>
      <c r="I374" s="59" t="b">
        <v>1</v>
      </c>
      <c r="J374" s="59"/>
      <c r="K374" s="58">
        <v>419</v>
      </c>
      <c r="L374" s="58">
        <v>1478</v>
      </c>
      <c r="M374" s="59">
        <v>10</v>
      </c>
      <c r="N374" s="59">
        <v>10</v>
      </c>
      <c r="O374" s="59" t="s">
        <v>3581</v>
      </c>
      <c r="P374" s="58">
        <v>402</v>
      </c>
      <c r="Q374" s="59">
        <v>0</v>
      </c>
      <c r="R374" s="59">
        <v>0</v>
      </c>
      <c r="S374" s="60">
        <f>tblJTL[[#This Row],[timeStamp]]/86400000+DATE(1970,1,1)+TIME(9,0,0)</f>
        <v>46296.417922210647</v>
      </c>
      <c r="T374" s="57">
        <f>tblJTL[[#This Row],[timeStamp]]+tblJTL[[#This Row],[elapsed]]</f>
        <v>1790816508885</v>
      </c>
      <c r="U374" s="61">
        <f>(tblJTL[[#This Row],[timeStamp]]-'17_分析サンプル'!$E$18)/1000</f>
        <v>108.29900000000001</v>
      </c>
      <c r="V374" s="57">
        <f>INT(tblJTL[[#This Row],[経過秒]]/60)</f>
        <v>1</v>
      </c>
      <c r="W374" s="57">
        <f>IF(OR(tblJTL[[#This Row],[success]]=FALSE,tblJTL[[#This Row],[success]]="false"),1,0)</f>
        <v>0</v>
      </c>
      <c r="X374" s="57">
        <f>IF(AND(tblJTL[[#This Row],[経過秒]]&gt;='17_分析サンプル'!$E$11,tblJTL[[#This Row],[経過秒]]&lt;'17_分析サンプル'!$E$12),1,0)</f>
        <v>1</v>
      </c>
    </row>
    <row r="375" spans="2:24" ht="14.4" x14ac:dyDescent="0.3">
      <c r="B375" s="57">
        <v>1790816508786</v>
      </c>
      <c r="C375" s="58">
        <v>139</v>
      </c>
      <c r="D375" s="59" t="s">
        <v>1658</v>
      </c>
      <c r="E375" s="59" t="s">
        <v>1577</v>
      </c>
      <c r="F375" s="59" t="s">
        <v>2275</v>
      </c>
      <c r="G375" s="59" t="s">
        <v>3587</v>
      </c>
      <c r="H375" s="59" t="s">
        <v>2281</v>
      </c>
      <c r="I375" s="59" t="b">
        <v>1</v>
      </c>
      <c r="J375" s="59"/>
      <c r="K375" s="58">
        <v>1863</v>
      </c>
      <c r="L375" s="58">
        <v>1342</v>
      </c>
      <c r="M375" s="59">
        <v>10</v>
      </c>
      <c r="N375" s="59">
        <v>10</v>
      </c>
      <c r="O375" s="59" t="s">
        <v>3578</v>
      </c>
      <c r="P375" s="58">
        <v>133</v>
      </c>
      <c r="Q375" s="59">
        <v>0</v>
      </c>
      <c r="R375" s="59">
        <v>0</v>
      </c>
      <c r="S375" s="60">
        <f>tblJTL[[#This Row],[timeStamp]]/86400000+DATE(1970,1,1)+TIME(9,0,0)</f>
        <v>46296.41792576389</v>
      </c>
      <c r="T375" s="57">
        <f>tblJTL[[#This Row],[timeStamp]]+tblJTL[[#This Row],[elapsed]]</f>
        <v>1790816508925</v>
      </c>
      <c r="U375" s="61">
        <f>(tblJTL[[#This Row],[timeStamp]]-'17_分析サンプル'!$E$18)/1000</f>
        <v>108.60599999999999</v>
      </c>
      <c r="V375" s="57">
        <f>INT(tblJTL[[#This Row],[経過秒]]/60)</f>
        <v>1</v>
      </c>
      <c r="W375" s="57">
        <f>IF(OR(tblJTL[[#This Row],[success]]=FALSE,tblJTL[[#This Row],[success]]="false"),1,0)</f>
        <v>0</v>
      </c>
      <c r="X375" s="57">
        <f>IF(AND(tblJTL[[#This Row],[経過秒]]&gt;='17_分析サンプル'!$E$11,tblJTL[[#This Row],[経過秒]]&lt;'17_分析サンプル'!$E$12),1,0)</f>
        <v>1</v>
      </c>
    </row>
    <row r="376" spans="2:24" ht="14.4" x14ac:dyDescent="0.3">
      <c r="B376" s="57">
        <v>1790816508821</v>
      </c>
      <c r="C376" s="58">
        <v>223</v>
      </c>
      <c r="D376" s="59" t="s">
        <v>1677</v>
      </c>
      <c r="E376" s="59" t="s">
        <v>3579</v>
      </c>
      <c r="F376" s="59" t="s">
        <v>3580</v>
      </c>
      <c r="G376" s="59" t="s">
        <v>3586</v>
      </c>
      <c r="H376" s="59" t="s">
        <v>2281</v>
      </c>
      <c r="I376" s="59" t="b">
        <v>1</v>
      </c>
      <c r="J376" s="59"/>
      <c r="K376" s="58">
        <v>410</v>
      </c>
      <c r="L376" s="58">
        <v>1478</v>
      </c>
      <c r="M376" s="59">
        <v>10</v>
      </c>
      <c r="N376" s="59">
        <v>10</v>
      </c>
      <c r="O376" s="59" t="s">
        <v>3581</v>
      </c>
      <c r="P376" s="58">
        <v>216</v>
      </c>
      <c r="Q376" s="59">
        <v>0</v>
      </c>
      <c r="R376" s="59">
        <v>0</v>
      </c>
      <c r="S376" s="60">
        <f>tblJTL[[#This Row],[timeStamp]]/86400000+DATE(1970,1,1)+TIME(9,0,0)</f>
        <v>46296.417926168986</v>
      </c>
      <c r="T376" s="57">
        <f>tblJTL[[#This Row],[timeStamp]]+tblJTL[[#This Row],[elapsed]]</f>
        <v>1790816509044</v>
      </c>
      <c r="U376" s="61">
        <f>(tblJTL[[#This Row],[timeStamp]]-'17_分析サンプル'!$E$18)/1000</f>
        <v>108.64100000000001</v>
      </c>
      <c r="V376" s="57">
        <f>INT(tblJTL[[#This Row],[経過秒]]/60)</f>
        <v>1</v>
      </c>
      <c r="W376" s="57">
        <f>IF(OR(tblJTL[[#This Row],[success]]=FALSE,tblJTL[[#This Row],[success]]="false"),1,0)</f>
        <v>0</v>
      </c>
      <c r="X376" s="57">
        <f>IF(AND(tblJTL[[#This Row],[経過秒]]&gt;='17_分析サンプル'!$E$11,tblJTL[[#This Row],[経過秒]]&lt;'17_分析サンプル'!$E$12),1,0)</f>
        <v>1</v>
      </c>
    </row>
    <row r="377" spans="2:24" ht="14.4" x14ac:dyDescent="0.3">
      <c r="B377" s="57">
        <v>1790816508900</v>
      </c>
      <c r="C377" s="58">
        <v>203</v>
      </c>
      <c r="D377" s="59" t="s">
        <v>1677</v>
      </c>
      <c r="E377" s="59" t="s">
        <v>3579</v>
      </c>
      <c r="F377" s="59" t="s">
        <v>3580</v>
      </c>
      <c r="G377" s="59" t="s">
        <v>2278</v>
      </c>
      <c r="H377" s="59" t="s">
        <v>2281</v>
      </c>
      <c r="I377" s="59" t="b">
        <v>1</v>
      </c>
      <c r="J377" s="59"/>
      <c r="K377" s="58">
        <v>416</v>
      </c>
      <c r="L377" s="58">
        <v>1478</v>
      </c>
      <c r="M377" s="59">
        <v>10</v>
      </c>
      <c r="N377" s="59">
        <v>10</v>
      </c>
      <c r="O377" s="59" t="s">
        <v>3581</v>
      </c>
      <c r="P377" s="58">
        <v>197</v>
      </c>
      <c r="Q377" s="59">
        <v>0</v>
      </c>
      <c r="R377" s="59">
        <v>0</v>
      </c>
      <c r="S377" s="60">
        <f>tblJTL[[#This Row],[timeStamp]]/86400000+DATE(1970,1,1)+TIME(9,0,0)</f>
        <v>46296.417927083334</v>
      </c>
      <c r="T377" s="57">
        <f>tblJTL[[#This Row],[timeStamp]]+tblJTL[[#This Row],[elapsed]]</f>
        <v>1790816509103</v>
      </c>
      <c r="U377" s="61">
        <f>(tblJTL[[#This Row],[timeStamp]]-'17_分析サンプル'!$E$18)/1000</f>
        <v>108.72</v>
      </c>
      <c r="V377" s="57">
        <f>INT(tblJTL[[#This Row],[経過秒]]/60)</f>
        <v>1</v>
      </c>
      <c r="W377" s="57">
        <f>IF(OR(tblJTL[[#This Row],[success]]=FALSE,tblJTL[[#This Row],[success]]="false"),1,0)</f>
        <v>0</v>
      </c>
      <c r="X377" s="57">
        <f>IF(AND(tblJTL[[#This Row],[経過秒]]&gt;='17_分析サンプル'!$E$11,tblJTL[[#This Row],[経過秒]]&lt;'17_分析サンプル'!$E$12),1,0)</f>
        <v>1</v>
      </c>
    </row>
    <row r="378" spans="2:24" ht="14.4" x14ac:dyDescent="0.3">
      <c r="B378" s="57">
        <v>1790816509052</v>
      </c>
      <c r="C378" s="58">
        <v>262</v>
      </c>
      <c r="D378" s="59" t="s">
        <v>1677</v>
      </c>
      <c r="E378" s="59" t="s">
        <v>3579</v>
      </c>
      <c r="F378" s="59" t="s">
        <v>3580</v>
      </c>
      <c r="G378" s="59" t="s">
        <v>3582</v>
      </c>
      <c r="H378" s="59" t="s">
        <v>2281</v>
      </c>
      <c r="I378" s="59" t="b">
        <v>1</v>
      </c>
      <c r="J378" s="59"/>
      <c r="K378" s="58">
        <v>437</v>
      </c>
      <c r="L378" s="58">
        <v>1478</v>
      </c>
      <c r="M378" s="59">
        <v>10</v>
      </c>
      <c r="N378" s="59">
        <v>10</v>
      </c>
      <c r="O378" s="59" t="s">
        <v>3581</v>
      </c>
      <c r="P378" s="58">
        <v>260</v>
      </c>
      <c r="Q378" s="59">
        <v>0</v>
      </c>
      <c r="R378" s="59">
        <v>0</v>
      </c>
      <c r="S378" s="60">
        <f>tblJTL[[#This Row],[timeStamp]]/86400000+DATE(1970,1,1)+TIME(9,0,0)</f>
        <v>46296.417928842595</v>
      </c>
      <c r="T378" s="57">
        <f>tblJTL[[#This Row],[timeStamp]]+tblJTL[[#This Row],[elapsed]]</f>
        <v>1790816509314</v>
      </c>
      <c r="U378" s="61">
        <f>(tblJTL[[#This Row],[timeStamp]]-'17_分析サンプル'!$E$18)/1000</f>
        <v>108.872</v>
      </c>
      <c r="V378" s="57">
        <f>INT(tblJTL[[#This Row],[経過秒]]/60)</f>
        <v>1</v>
      </c>
      <c r="W378" s="57">
        <f>IF(OR(tblJTL[[#This Row],[success]]=FALSE,tblJTL[[#This Row],[success]]="false"),1,0)</f>
        <v>0</v>
      </c>
      <c r="X378" s="57">
        <f>IF(AND(tblJTL[[#This Row],[経過秒]]&gt;='17_分析サンプル'!$E$11,tblJTL[[#This Row],[経過秒]]&lt;'17_分析サンプル'!$E$12),1,0)</f>
        <v>1</v>
      </c>
    </row>
    <row r="379" spans="2:24" ht="14.4" x14ac:dyDescent="0.3">
      <c r="B379" s="57">
        <v>1790816509791</v>
      </c>
      <c r="C379" s="58">
        <v>86</v>
      </c>
      <c r="D379" s="59" t="s">
        <v>1658</v>
      </c>
      <c r="E379" s="59" t="s">
        <v>1577</v>
      </c>
      <c r="F379" s="59" t="s">
        <v>2275</v>
      </c>
      <c r="G379" s="59" t="s">
        <v>3589</v>
      </c>
      <c r="H379" s="59" t="s">
        <v>2281</v>
      </c>
      <c r="I379" s="59" t="b">
        <v>1</v>
      </c>
      <c r="J379" s="59"/>
      <c r="K379" s="58">
        <v>1860</v>
      </c>
      <c r="L379" s="58">
        <v>1342</v>
      </c>
      <c r="M379" s="59">
        <v>10</v>
      </c>
      <c r="N379" s="59">
        <v>10</v>
      </c>
      <c r="O379" s="59" t="s">
        <v>3578</v>
      </c>
      <c r="P379" s="58">
        <v>83</v>
      </c>
      <c r="Q379" s="59">
        <v>0</v>
      </c>
      <c r="R379" s="59">
        <v>0</v>
      </c>
      <c r="S379" s="60">
        <f>tblJTL[[#This Row],[timeStamp]]/86400000+DATE(1970,1,1)+TIME(9,0,0)</f>
        <v>46296.417937395832</v>
      </c>
      <c r="T379" s="57">
        <f>tblJTL[[#This Row],[timeStamp]]+tblJTL[[#This Row],[elapsed]]</f>
        <v>1790816509877</v>
      </c>
      <c r="U379" s="61">
        <f>(tblJTL[[#This Row],[timeStamp]]-'17_分析サンプル'!$E$18)/1000</f>
        <v>109.611</v>
      </c>
      <c r="V379" s="57">
        <f>INT(tblJTL[[#This Row],[経過秒]]/60)</f>
        <v>1</v>
      </c>
      <c r="W379" s="57">
        <f>IF(OR(tblJTL[[#This Row],[success]]=FALSE,tblJTL[[#This Row],[success]]="false"),1,0)</f>
        <v>0</v>
      </c>
      <c r="X379" s="57">
        <f>IF(AND(tblJTL[[#This Row],[経過秒]]&gt;='17_分析サンプル'!$E$11,tblJTL[[#This Row],[経過秒]]&lt;'17_分析サンプル'!$E$12),1,0)</f>
        <v>1</v>
      </c>
    </row>
    <row r="380" spans="2:24" ht="14.4" x14ac:dyDescent="0.3">
      <c r="B380" s="57">
        <v>1790816510146</v>
      </c>
      <c r="C380" s="58">
        <v>288</v>
      </c>
      <c r="D380" s="59" t="s">
        <v>1677</v>
      </c>
      <c r="E380" s="59" t="s">
        <v>3579</v>
      </c>
      <c r="F380" s="59" t="s">
        <v>3580</v>
      </c>
      <c r="G380" s="59" t="s">
        <v>3583</v>
      </c>
      <c r="H380" s="59" t="s">
        <v>2281</v>
      </c>
      <c r="I380" s="59" t="b">
        <v>1</v>
      </c>
      <c r="J380" s="59"/>
      <c r="K380" s="58">
        <v>426</v>
      </c>
      <c r="L380" s="58">
        <v>1478</v>
      </c>
      <c r="M380" s="59">
        <v>10</v>
      </c>
      <c r="N380" s="59">
        <v>10</v>
      </c>
      <c r="O380" s="59" t="s">
        <v>3581</v>
      </c>
      <c r="P380" s="58">
        <v>285</v>
      </c>
      <c r="Q380" s="59">
        <v>0</v>
      </c>
      <c r="R380" s="59">
        <v>0</v>
      </c>
      <c r="S380" s="60">
        <f>tblJTL[[#This Row],[timeStamp]]/86400000+DATE(1970,1,1)+TIME(9,0,0)</f>
        <v>46296.417941504631</v>
      </c>
      <c r="T380" s="57">
        <f>tblJTL[[#This Row],[timeStamp]]+tblJTL[[#This Row],[elapsed]]</f>
        <v>1790816510434</v>
      </c>
      <c r="U380" s="61">
        <f>(tblJTL[[#This Row],[timeStamp]]-'17_分析サンプル'!$E$18)/1000</f>
        <v>109.96599999999999</v>
      </c>
      <c r="V380" s="57">
        <f>INT(tblJTL[[#This Row],[経過秒]]/60)</f>
        <v>1</v>
      </c>
      <c r="W380" s="57">
        <f>IF(OR(tblJTL[[#This Row],[success]]=FALSE,tblJTL[[#This Row],[success]]="false"),1,0)</f>
        <v>0</v>
      </c>
      <c r="X380" s="57">
        <f>IF(AND(tblJTL[[#This Row],[経過秒]]&gt;='17_分析サンプル'!$E$11,tblJTL[[#This Row],[経過秒]]&lt;'17_分析サンプル'!$E$12),1,0)</f>
        <v>1</v>
      </c>
    </row>
    <row r="381" spans="2:24" ht="14.4" x14ac:dyDescent="0.3">
      <c r="B381" s="57">
        <v>1790816510218</v>
      </c>
      <c r="C381" s="58">
        <v>233</v>
      </c>
      <c r="D381" s="59" t="s">
        <v>1677</v>
      </c>
      <c r="E381" s="59" t="s">
        <v>3579</v>
      </c>
      <c r="F381" s="59" t="s">
        <v>3580</v>
      </c>
      <c r="G381" s="59" t="s">
        <v>3584</v>
      </c>
      <c r="H381" s="59" t="s">
        <v>2281</v>
      </c>
      <c r="I381" s="59" t="b">
        <v>1</v>
      </c>
      <c r="J381" s="59"/>
      <c r="K381" s="58">
        <v>436</v>
      </c>
      <c r="L381" s="58">
        <v>1478</v>
      </c>
      <c r="M381" s="59">
        <v>10</v>
      </c>
      <c r="N381" s="59">
        <v>10</v>
      </c>
      <c r="O381" s="59" t="s">
        <v>3581</v>
      </c>
      <c r="P381" s="58">
        <v>230</v>
      </c>
      <c r="Q381" s="59">
        <v>0</v>
      </c>
      <c r="R381" s="59">
        <v>0</v>
      </c>
      <c r="S381" s="60">
        <f>tblJTL[[#This Row],[timeStamp]]/86400000+DATE(1970,1,1)+TIME(9,0,0)</f>
        <v>46296.417942337968</v>
      </c>
      <c r="T381" s="57">
        <f>tblJTL[[#This Row],[timeStamp]]+tblJTL[[#This Row],[elapsed]]</f>
        <v>1790816510451</v>
      </c>
      <c r="U381" s="61">
        <f>(tblJTL[[#This Row],[timeStamp]]-'17_分析サンプル'!$E$18)/1000</f>
        <v>110.038</v>
      </c>
      <c r="V381" s="57">
        <f>INT(tblJTL[[#This Row],[経過秒]]/60)</f>
        <v>1</v>
      </c>
      <c r="W381" s="57">
        <f>IF(OR(tblJTL[[#This Row],[success]]=FALSE,tblJTL[[#This Row],[success]]="false"),1,0)</f>
        <v>0</v>
      </c>
      <c r="X381" s="57">
        <f>IF(AND(tblJTL[[#This Row],[経過秒]]&gt;='17_分析サンプル'!$E$11,tblJTL[[#This Row],[経過秒]]&lt;'17_分析サンプル'!$E$12),1,0)</f>
        <v>1</v>
      </c>
    </row>
    <row r="382" spans="2:24" ht="14.4" x14ac:dyDescent="0.3">
      <c r="B382" s="57">
        <v>1790816510233</v>
      </c>
      <c r="C382" s="58">
        <v>314</v>
      </c>
      <c r="D382" s="59" t="s">
        <v>1677</v>
      </c>
      <c r="E382" s="59" t="s">
        <v>3579</v>
      </c>
      <c r="F382" s="59" t="s">
        <v>3580</v>
      </c>
      <c r="G382" s="59" t="s">
        <v>3585</v>
      </c>
      <c r="H382" s="59" t="s">
        <v>2281</v>
      </c>
      <c r="I382" s="59" t="b">
        <v>1</v>
      </c>
      <c r="J382" s="59"/>
      <c r="K382" s="58">
        <v>433</v>
      </c>
      <c r="L382" s="58">
        <v>1478</v>
      </c>
      <c r="M382" s="59">
        <v>10</v>
      </c>
      <c r="N382" s="59">
        <v>10</v>
      </c>
      <c r="O382" s="59" t="s">
        <v>3581</v>
      </c>
      <c r="P382" s="58">
        <v>308</v>
      </c>
      <c r="Q382" s="59">
        <v>0</v>
      </c>
      <c r="R382" s="59">
        <v>0</v>
      </c>
      <c r="S382" s="60">
        <f>tblJTL[[#This Row],[timeStamp]]/86400000+DATE(1970,1,1)+TIME(9,0,0)</f>
        <v>46296.417942511573</v>
      </c>
      <c r="T382" s="57">
        <f>tblJTL[[#This Row],[timeStamp]]+tblJTL[[#This Row],[elapsed]]</f>
        <v>1790816510547</v>
      </c>
      <c r="U382" s="61">
        <f>(tblJTL[[#This Row],[timeStamp]]-'17_分析サンプル'!$E$18)/1000</f>
        <v>110.053</v>
      </c>
      <c r="V382" s="57">
        <f>INT(tblJTL[[#This Row],[経過秒]]/60)</f>
        <v>1</v>
      </c>
      <c r="W382" s="57">
        <f>IF(OR(tblJTL[[#This Row],[success]]=FALSE,tblJTL[[#This Row],[success]]="false"),1,0)</f>
        <v>0</v>
      </c>
      <c r="X382" s="57">
        <f>IF(AND(tblJTL[[#This Row],[経過秒]]&gt;='17_分析サンプル'!$E$11,tblJTL[[#This Row],[経過秒]]&lt;'17_分析サンプル'!$E$12),1,0)</f>
        <v>1</v>
      </c>
    </row>
    <row r="383" spans="2:24" ht="14.4" x14ac:dyDescent="0.3">
      <c r="B383" s="57">
        <v>1790816510751</v>
      </c>
      <c r="C383" s="58">
        <v>141</v>
      </c>
      <c r="D383" s="59" t="s">
        <v>1658</v>
      </c>
      <c r="E383" s="59" t="s">
        <v>1577</v>
      </c>
      <c r="F383" s="59" t="s">
        <v>2275</v>
      </c>
      <c r="G383" s="59" t="s">
        <v>3582</v>
      </c>
      <c r="H383" s="59" t="s">
        <v>2281</v>
      </c>
      <c r="I383" s="59" t="b">
        <v>1</v>
      </c>
      <c r="J383" s="59"/>
      <c r="K383" s="58">
        <v>1823</v>
      </c>
      <c r="L383" s="58">
        <v>1342</v>
      </c>
      <c r="M383" s="59">
        <v>10</v>
      </c>
      <c r="N383" s="59">
        <v>10</v>
      </c>
      <c r="O383" s="59" t="s">
        <v>3578</v>
      </c>
      <c r="P383" s="58">
        <v>139</v>
      </c>
      <c r="Q383" s="59">
        <v>0</v>
      </c>
      <c r="R383" s="59">
        <v>0</v>
      </c>
      <c r="S383" s="60">
        <f>tblJTL[[#This Row],[timeStamp]]/86400000+DATE(1970,1,1)+TIME(9,0,0)</f>
        <v>46296.417948506947</v>
      </c>
      <c r="T383" s="57">
        <f>tblJTL[[#This Row],[timeStamp]]+tblJTL[[#This Row],[elapsed]]</f>
        <v>1790816510892</v>
      </c>
      <c r="U383" s="61">
        <f>(tblJTL[[#This Row],[timeStamp]]-'17_分析サンプル'!$E$18)/1000</f>
        <v>110.571</v>
      </c>
      <c r="V383" s="57">
        <f>INT(tblJTL[[#This Row],[経過秒]]/60)</f>
        <v>1</v>
      </c>
      <c r="W383" s="57">
        <f>IF(OR(tblJTL[[#This Row],[success]]=FALSE,tblJTL[[#This Row],[success]]="false"),1,0)</f>
        <v>0</v>
      </c>
      <c r="X383" s="57">
        <f>IF(AND(tblJTL[[#This Row],[経過秒]]&gt;='17_分析サンプル'!$E$11,tblJTL[[#This Row],[経過秒]]&lt;'17_分析サンプル'!$E$12),1,0)</f>
        <v>1</v>
      </c>
    </row>
    <row r="384" spans="2:24" ht="14.4" x14ac:dyDescent="0.3">
      <c r="B384" s="57">
        <v>1790816510889</v>
      </c>
      <c r="C384" s="58">
        <v>120</v>
      </c>
      <c r="D384" s="59" t="s">
        <v>1677</v>
      </c>
      <c r="E384" s="59" t="s">
        <v>3579</v>
      </c>
      <c r="F384" s="59" t="s">
        <v>3580</v>
      </c>
      <c r="G384" s="59" t="s">
        <v>3587</v>
      </c>
      <c r="H384" s="59" t="s">
        <v>2281</v>
      </c>
      <c r="I384" s="59" t="b">
        <v>1</v>
      </c>
      <c r="J384" s="59"/>
      <c r="K384" s="58">
        <v>412</v>
      </c>
      <c r="L384" s="58">
        <v>1478</v>
      </c>
      <c r="M384" s="59">
        <v>10</v>
      </c>
      <c r="N384" s="59">
        <v>10</v>
      </c>
      <c r="O384" s="59" t="s">
        <v>3581</v>
      </c>
      <c r="P384" s="58">
        <v>114</v>
      </c>
      <c r="Q384" s="59">
        <v>0</v>
      </c>
      <c r="R384" s="59">
        <v>0</v>
      </c>
      <c r="S384" s="60">
        <f>tblJTL[[#This Row],[timeStamp]]/86400000+DATE(1970,1,1)+TIME(9,0,0)</f>
        <v>46296.417950104165</v>
      </c>
      <c r="T384" s="57">
        <f>tblJTL[[#This Row],[timeStamp]]+tblJTL[[#This Row],[elapsed]]</f>
        <v>1790816511009</v>
      </c>
      <c r="U384" s="61">
        <f>(tblJTL[[#This Row],[timeStamp]]-'17_分析サンプル'!$E$18)/1000</f>
        <v>110.709</v>
      </c>
      <c r="V384" s="57">
        <f>INT(tblJTL[[#This Row],[経過秒]]/60)</f>
        <v>1</v>
      </c>
      <c r="W384" s="57">
        <f>IF(OR(tblJTL[[#This Row],[success]]=FALSE,tblJTL[[#This Row],[success]]="false"),1,0)</f>
        <v>0</v>
      </c>
      <c r="X384" s="57">
        <f>IF(AND(tblJTL[[#This Row],[経過秒]]&gt;='17_分析サンプル'!$E$11,tblJTL[[#This Row],[経過秒]]&lt;'17_分析サンプル'!$E$12),1,0)</f>
        <v>1</v>
      </c>
    </row>
    <row r="385" spans="2:24" ht="14.4" x14ac:dyDescent="0.3">
      <c r="B385" s="57">
        <v>1790816511118</v>
      </c>
      <c r="C385" s="58">
        <v>159</v>
      </c>
      <c r="D385" s="59" t="s">
        <v>1658</v>
      </c>
      <c r="E385" s="59" t="s">
        <v>1577</v>
      </c>
      <c r="F385" s="59" t="s">
        <v>2275</v>
      </c>
      <c r="G385" s="59" t="s">
        <v>3588</v>
      </c>
      <c r="H385" s="59" t="s">
        <v>2281</v>
      </c>
      <c r="I385" s="59" t="b">
        <v>1</v>
      </c>
      <c r="J385" s="59"/>
      <c r="K385" s="58">
        <v>1839</v>
      </c>
      <c r="L385" s="58">
        <v>1342</v>
      </c>
      <c r="M385" s="59">
        <v>10</v>
      </c>
      <c r="N385" s="59">
        <v>10</v>
      </c>
      <c r="O385" s="59" t="s">
        <v>3578</v>
      </c>
      <c r="P385" s="58">
        <v>152</v>
      </c>
      <c r="Q385" s="59">
        <v>0</v>
      </c>
      <c r="R385" s="59">
        <v>65</v>
      </c>
      <c r="S385" s="60">
        <f>tblJTL[[#This Row],[timeStamp]]/86400000+DATE(1970,1,1)+TIME(9,0,0)</f>
        <v>46296.417952754629</v>
      </c>
      <c r="T385" s="57">
        <f>tblJTL[[#This Row],[timeStamp]]+tblJTL[[#This Row],[elapsed]]</f>
        <v>1790816511277</v>
      </c>
      <c r="U385" s="61">
        <f>(tblJTL[[#This Row],[timeStamp]]-'17_分析サンプル'!$E$18)/1000</f>
        <v>110.938</v>
      </c>
      <c r="V385" s="57">
        <f>INT(tblJTL[[#This Row],[経過秒]]/60)</f>
        <v>1</v>
      </c>
      <c r="W385" s="57">
        <f>IF(OR(tblJTL[[#This Row],[success]]=FALSE,tblJTL[[#This Row],[success]]="false"),1,0)</f>
        <v>0</v>
      </c>
      <c r="X385" s="57">
        <f>IF(AND(tblJTL[[#This Row],[経過秒]]&gt;='17_分析サンプル'!$E$11,tblJTL[[#This Row],[経過秒]]&lt;'17_分析サンプル'!$E$12),1,0)</f>
        <v>1</v>
      </c>
    </row>
    <row r="386" spans="2:24" ht="14.4" x14ac:dyDescent="0.3">
      <c r="B386" s="57">
        <v>1790816511603</v>
      </c>
      <c r="C386" s="58">
        <v>74</v>
      </c>
      <c r="D386" s="59" t="s">
        <v>1658</v>
      </c>
      <c r="E386" s="59" t="s">
        <v>1577</v>
      </c>
      <c r="F386" s="59" t="s">
        <v>2275</v>
      </c>
      <c r="G386" s="59" t="s">
        <v>3577</v>
      </c>
      <c r="H386" s="59" t="s">
        <v>2281</v>
      </c>
      <c r="I386" s="59" t="b">
        <v>1</v>
      </c>
      <c r="J386" s="59"/>
      <c r="K386" s="58">
        <v>1834</v>
      </c>
      <c r="L386" s="58">
        <v>1342</v>
      </c>
      <c r="M386" s="59">
        <v>10</v>
      </c>
      <c r="N386" s="59">
        <v>10</v>
      </c>
      <c r="O386" s="59" t="s">
        <v>3578</v>
      </c>
      <c r="P386" s="58">
        <v>67</v>
      </c>
      <c r="Q386" s="59">
        <v>0</v>
      </c>
      <c r="R386" s="59">
        <v>0</v>
      </c>
      <c r="S386" s="60">
        <f>tblJTL[[#This Row],[timeStamp]]/86400000+DATE(1970,1,1)+TIME(9,0,0)</f>
        <v>46296.417958368052</v>
      </c>
      <c r="T386" s="57">
        <f>tblJTL[[#This Row],[timeStamp]]+tblJTL[[#This Row],[elapsed]]</f>
        <v>1790816511677</v>
      </c>
      <c r="U386" s="61">
        <f>(tblJTL[[#This Row],[timeStamp]]-'17_分析サンプル'!$E$18)/1000</f>
        <v>111.423</v>
      </c>
      <c r="V386" s="57">
        <f>INT(tblJTL[[#This Row],[経過秒]]/60)</f>
        <v>1</v>
      </c>
      <c r="W386" s="57">
        <f>IF(OR(tblJTL[[#This Row],[success]]=FALSE,tblJTL[[#This Row],[success]]="false"),1,0)</f>
        <v>0</v>
      </c>
      <c r="X386" s="57">
        <f>IF(AND(tblJTL[[#This Row],[経過秒]]&gt;='17_分析サンプル'!$E$11,tblJTL[[#This Row],[経過秒]]&lt;'17_分析サンプル'!$E$12),1,0)</f>
        <v>1</v>
      </c>
    </row>
    <row r="387" spans="2:24" ht="14.4" x14ac:dyDescent="0.3">
      <c r="B387" s="57">
        <v>1790816511218</v>
      </c>
      <c r="C387" s="58">
        <v>494</v>
      </c>
      <c r="D387" s="59" t="s">
        <v>1658</v>
      </c>
      <c r="E387" s="59" t="s">
        <v>1577</v>
      </c>
      <c r="F387" s="59" t="s">
        <v>2275</v>
      </c>
      <c r="G387" s="59" t="s">
        <v>2278</v>
      </c>
      <c r="H387" s="59" t="s">
        <v>2281</v>
      </c>
      <c r="I387" s="59" t="b">
        <v>1</v>
      </c>
      <c r="J387" s="59"/>
      <c r="K387" s="58">
        <v>1849</v>
      </c>
      <c r="L387" s="58">
        <v>1342</v>
      </c>
      <c r="M387" s="59">
        <v>10</v>
      </c>
      <c r="N387" s="59">
        <v>10</v>
      </c>
      <c r="O387" s="59" t="s">
        <v>3578</v>
      </c>
      <c r="P387" s="58">
        <v>492</v>
      </c>
      <c r="Q387" s="59">
        <v>0</v>
      </c>
      <c r="R387" s="59">
        <v>0</v>
      </c>
      <c r="S387" s="60">
        <f>tblJTL[[#This Row],[timeStamp]]/86400000+DATE(1970,1,1)+TIME(9,0,0)</f>
        <v>46296.417953912038</v>
      </c>
      <c r="T387" s="57">
        <f>tblJTL[[#This Row],[timeStamp]]+tblJTL[[#This Row],[elapsed]]</f>
        <v>1790816511712</v>
      </c>
      <c r="U387" s="61">
        <f>(tblJTL[[#This Row],[timeStamp]]-'17_分析サンプル'!$E$18)/1000</f>
        <v>111.038</v>
      </c>
      <c r="V387" s="57">
        <f>INT(tblJTL[[#This Row],[経過秒]]/60)</f>
        <v>1</v>
      </c>
      <c r="W387" s="57">
        <f>IF(OR(tblJTL[[#This Row],[success]]=FALSE,tblJTL[[#This Row],[success]]="false"),1,0)</f>
        <v>0</v>
      </c>
      <c r="X387" s="57">
        <f>IF(AND(tblJTL[[#This Row],[経過秒]]&gt;='17_分析サンプル'!$E$11,tblJTL[[#This Row],[経過秒]]&lt;'17_分析サンプル'!$E$12),1,0)</f>
        <v>1</v>
      </c>
    </row>
    <row r="388" spans="2:24" ht="14.4" x14ac:dyDescent="0.3">
      <c r="B388" s="57">
        <v>1790816511827</v>
      </c>
      <c r="C388" s="58">
        <v>107</v>
      </c>
      <c r="D388" s="59" t="s">
        <v>1658</v>
      </c>
      <c r="E388" s="59" t="s">
        <v>1577</v>
      </c>
      <c r="F388" s="59" t="s">
        <v>2275</v>
      </c>
      <c r="G388" s="59" t="s">
        <v>3585</v>
      </c>
      <c r="H388" s="59" t="s">
        <v>2281</v>
      </c>
      <c r="I388" s="59" t="b">
        <v>1</v>
      </c>
      <c r="J388" s="59"/>
      <c r="K388" s="58">
        <v>1832</v>
      </c>
      <c r="L388" s="58">
        <v>1342</v>
      </c>
      <c r="M388" s="59">
        <v>10</v>
      </c>
      <c r="N388" s="59">
        <v>10</v>
      </c>
      <c r="O388" s="59" t="s">
        <v>3578</v>
      </c>
      <c r="P388" s="58">
        <v>101</v>
      </c>
      <c r="Q388" s="59">
        <v>0</v>
      </c>
      <c r="R388" s="59">
        <v>0</v>
      </c>
      <c r="S388" s="60">
        <f>tblJTL[[#This Row],[timeStamp]]/86400000+DATE(1970,1,1)+TIME(9,0,0)</f>
        <v>46296.417960960651</v>
      </c>
      <c r="T388" s="57">
        <f>tblJTL[[#This Row],[timeStamp]]+tblJTL[[#This Row],[elapsed]]</f>
        <v>1790816511934</v>
      </c>
      <c r="U388" s="61">
        <f>(tblJTL[[#This Row],[timeStamp]]-'17_分析サンプル'!$E$18)/1000</f>
        <v>111.64700000000001</v>
      </c>
      <c r="V388" s="57">
        <f>INT(tblJTL[[#This Row],[経過秒]]/60)</f>
        <v>1</v>
      </c>
      <c r="W388" s="57">
        <f>IF(OR(tblJTL[[#This Row],[success]]=FALSE,tblJTL[[#This Row],[success]]="false"),1,0)</f>
        <v>0</v>
      </c>
      <c r="X388" s="57">
        <f>IF(AND(tblJTL[[#This Row],[経過秒]]&gt;='17_分析サンプル'!$E$11,tblJTL[[#This Row],[経過秒]]&lt;'17_分析サンプル'!$E$12),1,0)</f>
        <v>1</v>
      </c>
    </row>
    <row r="389" spans="2:24" ht="14.4" x14ac:dyDescent="0.3">
      <c r="B389" s="57">
        <v>1790816511745</v>
      </c>
      <c r="C389" s="58">
        <v>228</v>
      </c>
      <c r="D389" s="59" t="s">
        <v>1677</v>
      </c>
      <c r="E389" s="59" t="s">
        <v>3579</v>
      </c>
      <c r="F389" s="59" t="s">
        <v>3580</v>
      </c>
      <c r="G389" s="59" t="s">
        <v>3589</v>
      </c>
      <c r="H389" s="59" t="s">
        <v>2281</v>
      </c>
      <c r="I389" s="59" t="b">
        <v>1</v>
      </c>
      <c r="J389" s="59"/>
      <c r="K389" s="58">
        <v>438</v>
      </c>
      <c r="L389" s="58">
        <v>1478</v>
      </c>
      <c r="M389" s="59">
        <v>10</v>
      </c>
      <c r="N389" s="59">
        <v>10</v>
      </c>
      <c r="O389" s="59" t="s">
        <v>3581</v>
      </c>
      <c r="P389" s="58">
        <v>224</v>
      </c>
      <c r="Q389" s="59">
        <v>0</v>
      </c>
      <c r="R389" s="59">
        <v>0</v>
      </c>
      <c r="S389" s="60">
        <f>tblJTL[[#This Row],[timeStamp]]/86400000+DATE(1970,1,1)+TIME(9,0,0)</f>
        <v>46296.417960011575</v>
      </c>
      <c r="T389" s="57">
        <f>tblJTL[[#This Row],[timeStamp]]+tblJTL[[#This Row],[elapsed]]</f>
        <v>1790816511973</v>
      </c>
      <c r="U389" s="61">
        <f>(tblJTL[[#This Row],[timeStamp]]-'17_分析サンプル'!$E$18)/1000</f>
        <v>111.565</v>
      </c>
      <c r="V389" s="57">
        <f>INT(tblJTL[[#This Row],[経過秒]]/60)</f>
        <v>1</v>
      </c>
      <c r="W389" s="57">
        <f>IF(OR(tblJTL[[#This Row],[success]]=FALSE,tblJTL[[#This Row],[success]]="false"),1,0)</f>
        <v>0</v>
      </c>
      <c r="X389" s="57">
        <f>IF(AND(tblJTL[[#This Row],[経過秒]]&gt;='17_分析サンプル'!$E$11,tblJTL[[#This Row],[経過秒]]&lt;'17_分析サンプル'!$E$12),1,0)</f>
        <v>1</v>
      </c>
    </row>
    <row r="390" spans="2:24" ht="14.4" x14ac:dyDescent="0.3">
      <c r="B390" s="57">
        <v>1790816511960</v>
      </c>
      <c r="C390" s="58">
        <v>141</v>
      </c>
      <c r="D390" s="59" t="s">
        <v>1658</v>
      </c>
      <c r="E390" s="59" t="s">
        <v>1577</v>
      </c>
      <c r="F390" s="59" t="s">
        <v>2275</v>
      </c>
      <c r="G390" s="59" t="s">
        <v>3586</v>
      </c>
      <c r="H390" s="59" t="s">
        <v>2281</v>
      </c>
      <c r="I390" s="59" t="b">
        <v>1</v>
      </c>
      <c r="J390" s="59"/>
      <c r="K390" s="58">
        <v>1899</v>
      </c>
      <c r="L390" s="58">
        <v>1342</v>
      </c>
      <c r="M390" s="59">
        <v>10</v>
      </c>
      <c r="N390" s="59">
        <v>10</v>
      </c>
      <c r="O390" s="59" t="s">
        <v>3578</v>
      </c>
      <c r="P390" s="58">
        <v>138</v>
      </c>
      <c r="Q390" s="59">
        <v>0</v>
      </c>
      <c r="R390" s="59">
        <v>0</v>
      </c>
      <c r="S390" s="60">
        <f>tblJTL[[#This Row],[timeStamp]]/86400000+DATE(1970,1,1)+TIME(9,0,0)</f>
        <v>46296.417962499996</v>
      </c>
      <c r="T390" s="57">
        <f>tblJTL[[#This Row],[timeStamp]]+tblJTL[[#This Row],[elapsed]]</f>
        <v>1790816512101</v>
      </c>
      <c r="U390" s="61">
        <f>(tblJTL[[#This Row],[timeStamp]]-'17_分析サンプル'!$E$18)/1000</f>
        <v>111.78</v>
      </c>
      <c r="V390" s="57">
        <f>INT(tblJTL[[#This Row],[経過秒]]/60)</f>
        <v>1</v>
      </c>
      <c r="W390" s="57">
        <f>IF(OR(tblJTL[[#This Row],[success]]=FALSE,tblJTL[[#This Row],[success]]="false"),1,0)</f>
        <v>0</v>
      </c>
      <c r="X390" s="57">
        <f>IF(AND(tblJTL[[#This Row],[経過秒]]&gt;='17_分析サンプル'!$E$11,tblJTL[[#This Row],[経過秒]]&lt;'17_分析サンプル'!$E$12),1,0)</f>
        <v>1</v>
      </c>
    </row>
    <row r="391" spans="2:24" ht="14.4" x14ac:dyDescent="0.3">
      <c r="B391" s="57">
        <v>1790816512117</v>
      </c>
      <c r="C391" s="58">
        <v>248</v>
      </c>
      <c r="D391" s="59" t="s">
        <v>1658</v>
      </c>
      <c r="E391" s="59" t="s">
        <v>1577</v>
      </c>
      <c r="F391" s="59" t="s">
        <v>2275</v>
      </c>
      <c r="G391" s="59" t="s">
        <v>3584</v>
      </c>
      <c r="H391" s="59" t="s">
        <v>2281</v>
      </c>
      <c r="I391" s="59" t="b">
        <v>1</v>
      </c>
      <c r="J391" s="59"/>
      <c r="K391" s="58">
        <v>1833</v>
      </c>
      <c r="L391" s="58">
        <v>1342</v>
      </c>
      <c r="M391" s="59">
        <v>10</v>
      </c>
      <c r="N391" s="59">
        <v>10</v>
      </c>
      <c r="O391" s="59" t="s">
        <v>3578</v>
      </c>
      <c r="P391" s="58">
        <v>245</v>
      </c>
      <c r="Q391" s="59">
        <v>0</v>
      </c>
      <c r="R391" s="59">
        <v>0</v>
      </c>
      <c r="S391" s="60">
        <f>tblJTL[[#This Row],[timeStamp]]/86400000+DATE(1970,1,1)+TIME(9,0,0)</f>
        <v>46296.41796431713</v>
      </c>
      <c r="T391" s="57">
        <f>tblJTL[[#This Row],[timeStamp]]+tblJTL[[#This Row],[elapsed]]</f>
        <v>1790816512365</v>
      </c>
      <c r="U391" s="61">
        <f>(tblJTL[[#This Row],[timeStamp]]-'17_分析サンプル'!$E$18)/1000</f>
        <v>111.937</v>
      </c>
      <c r="V391" s="57">
        <f>INT(tblJTL[[#This Row],[経過秒]]/60)</f>
        <v>1</v>
      </c>
      <c r="W391" s="57">
        <f>IF(OR(tblJTL[[#This Row],[success]]=FALSE,tblJTL[[#This Row],[success]]="false"),1,0)</f>
        <v>0</v>
      </c>
      <c r="X391" s="57">
        <f>IF(AND(tblJTL[[#This Row],[経過秒]]&gt;='17_分析サンプル'!$E$11,tblJTL[[#This Row],[経過秒]]&lt;'17_分析サンプル'!$E$12),1,0)</f>
        <v>1</v>
      </c>
    </row>
    <row r="392" spans="2:24" ht="14.4" x14ac:dyDescent="0.3">
      <c r="B392" s="57">
        <v>1790816512330</v>
      </c>
      <c r="C392" s="58">
        <v>117</v>
      </c>
      <c r="D392" s="59" t="s">
        <v>1658</v>
      </c>
      <c r="E392" s="59" t="s">
        <v>1577</v>
      </c>
      <c r="F392" s="59" t="s">
        <v>2275</v>
      </c>
      <c r="G392" s="59" t="s">
        <v>3583</v>
      </c>
      <c r="H392" s="59" t="s">
        <v>2281</v>
      </c>
      <c r="I392" s="59" t="b">
        <v>1</v>
      </c>
      <c r="J392" s="59"/>
      <c r="K392" s="58">
        <v>1852</v>
      </c>
      <c r="L392" s="58">
        <v>1342</v>
      </c>
      <c r="M392" s="59">
        <v>10</v>
      </c>
      <c r="N392" s="59">
        <v>10</v>
      </c>
      <c r="O392" s="59" t="s">
        <v>3578</v>
      </c>
      <c r="P392" s="58">
        <v>114</v>
      </c>
      <c r="Q392" s="59">
        <v>0</v>
      </c>
      <c r="R392" s="59">
        <v>0</v>
      </c>
      <c r="S392" s="60">
        <f>tblJTL[[#This Row],[timeStamp]]/86400000+DATE(1970,1,1)+TIME(9,0,0)</f>
        <v>46296.417966782406</v>
      </c>
      <c r="T392" s="57">
        <f>tblJTL[[#This Row],[timeStamp]]+tblJTL[[#This Row],[elapsed]]</f>
        <v>1790816512447</v>
      </c>
      <c r="U392" s="61">
        <f>(tblJTL[[#This Row],[timeStamp]]-'17_分析サンプル'!$E$18)/1000</f>
        <v>112.15</v>
      </c>
      <c r="V392" s="57">
        <f>INT(tblJTL[[#This Row],[経過秒]]/60)</f>
        <v>1</v>
      </c>
      <c r="W392" s="57">
        <f>IF(OR(tblJTL[[#This Row],[success]]=FALSE,tblJTL[[#This Row],[success]]="false"),1,0)</f>
        <v>0</v>
      </c>
      <c r="X392" s="57">
        <f>IF(AND(tblJTL[[#This Row],[経過秒]]&gt;='17_分析サンプル'!$E$11,tblJTL[[#This Row],[経過秒]]&lt;'17_分析サンプル'!$E$12),1,0)</f>
        <v>1</v>
      </c>
    </row>
    <row r="393" spans="2:24" ht="14.4" x14ac:dyDescent="0.3">
      <c r="B393" s="57">
        <v>1790816512512</v>
      </c>
      <c r="C393" s="58">
        <v>222</v>
      </c>
      <c r="D393" s="59" t="s">
        <v>1677</v>
      </c>
      <c r="E393" s="59" t="s">
        <v>3579</v>
      </c>
      <c r="F393" s="59" t="s">
        <v>3580</v>
      </c>
      <c r="G393" s="59" t="s">
        <v>3582</v>
      </c>
      <c r="H393" s="59" t="s">
        <v>2281</v>
      </c>
      <c r="I393" s="59" t="b">
        <v>1</v>
      </c>
      <c r="J393" s="59"/>
      <c r="K393" s="58">
        <v>412</v>
      </c>
      <c r="L393" s="58">
        <v>1478</v>
      </c>
      <c r="M393" s="59">
        <v>10</v>
      </c>
      <c r="N393" s="59">
        <v>10</v>
      </c>
      <c r="O393" s="59" t="s">
        <v>3581</v>
      </c>
      <c r="P393" s="58">
        <v>218</v>
      </c>
      <c r="Q393" s="59">
        <v>0</v>
      </c>
      <c r="R393" s="59">
        <v>0</v>
      </c>
      <c r="S393" s="60">
        <f>tblJTL[[#This Row],[timeStamp]]/86400000+DATE(1970,1,1)+TIME(9,0,0)</f>
        <v>46296.417968888883</v>
      </c>
      <c r="T393" s="57">
        <f>tblJTL[[#This Row],[timeStamp]]+tblJTL[[#This Row],[elapsed]]</f>
        <v>1790816512734</v>
      </c>
      <c r="U393" s="61">
        <f>(tblJTL[[#This Row],[timeStamp]]-'17_分析サンプル'!$E$18)/1000</f>
        <v>112.33199999999999</v>
      </c>
      <c r="V393" s="57">
        <f>INT(tblJTL[[#This Row],[経過秒]]/60)</f>
        <v>1</v>
      </c>
      <c r="W393" s="57">
        <f>IF(OR(tblJTL[[#This Row],[success]]=FALSE,tblJTL[[#This Row],[success]]="false"),1,0)</f>
        <v>0</v>
      </c>
      <c r="X393" s="57">
        <f>IF(AND(tblJTL[[#This Row],[経過秒]]&gt;='17_分析サンプル'!$E$11,tblJTL[[#This Row],[経過秒]]&lt;'17_分析サンプル'!$E$12),1,0)</f>
        <v>1</v>
      </c>
    </row>
    <row r="394" spans="2:24" ht="14.4" x14ac:dyDescent="0.3">
      <c r="B394" s="57">
        <v>1790816513071</v>
      </c>
      <c r="C394" s="58">
        <v>307</v>
      </c>
      <c r="D394" s="59" t="s">
        <v>1677</v>
      </c>
      <c r="E394" s="59" t="s">
        <v>3579</v>
      </c>
      <c r="F394" s="59" t="s">
        <v>3580</v>
      </c>
      <c r="G394" s="59" t="s">
        <v>2278</v>
      </c>
      <c r="H394" s="59" t="s">
        <v>2281</v>
      </c>
      <c r="I394" s="59" t="b">
        <v>1</v>
      </c>
      <c r="J394" s="59"/>
      <c r="K394" s="58">
        <v>412</v>
      </c>
      <c r="L394" s="58">
        <v>1478</v>
      </c>
      <c r="M394" s="59">
        <v>10</v>
      </c>
      <c r="N394" s="59">
        <v>10</v>
      </c>
      <c r="O394" s="59" t="s">
        <v>3581</v>
      </c>
      <c r="P394" s="58">
        <v>301</v>
      </c>
      <c r="Q394" s="59">
        <v>0</v>
      </c>
      <c r="R394" s="59">
        <v>0</v>
      </c>
      <c r="S394" s="60">
        <f>tblJTL[[#This Row],[timeStamp]]/86400000+DATE(1970,1,1)+TIME(9,0,0)</f>
        <v>46296.417975358796</v>
      </c>
      <c r="T394" s="57">
        <f>tblJTL[[#This Row],[timeStamp]]+tblJTL[[#This Row],[elapsed]]</f>
        <v>1790816513378</v>
      </c>
      <c r="U394" s="61">
        <f>(tblJTL[[#This Row],[timeStamp]]-'17_分析サンプル'!$E$18)/1000</f>
        <v>112.89100000000001</v>
      </c>
      <c r="V394" s="57">
        <f>INT(tblJTL[[#This Row],[経過秒]]/60)</f>
        <v>1</v>
      </c>
      <c r="W394" s="57">
        <f>IF(OR(tblJTL[[#This Row],[success]]=FALSE,tblJTL[[#This Row],[success]]="false"),1,0)</f>
        <v>0</v>
      </c>
      <c r="X394" s="57">
        <f>IF(AND(tblJTL[[#This Row],[経過秒]]&gt;='17_分析サンプル'!$E$11,tblJTL[[#This Row],[経過秒]]&lt;'17_分析サンプル'!$E$12),1,0)</f>
        <v>1</v>
      </c>
    </row>
    <row r="395" spans="2:24" ht="14.4" x14ac:dyDescent="0.3">
      <c r="B395" s="57">
        <v>1790816513480</v>
      </c>
      <c r="C395" s="58">
        <v>141</v>
      </c>
      <c r="D395" s="59" t="s">
        <v>1677</v>
      </c>
      <c r="E395" s="59" t="s">
        <v>3579</v>
      </c>
      <c r="F395" s="59" t="s">
        <v>3580</v>
      </c>
      <c r="G395" s="59" t="s">
        <v>3577</v>
      </c>
      <c r="H395" s="59" t="s">
        <v>2281</v>
      </c>
      <c r="I395" s="59" t="b">
        <v>1</v>
      </c>
      <c r="J395" s="59"/>
      <c r="K395" s="58">
        <v>413</v>
      </c>
      <c r="L395" s="58">
        <v>1478</v>
      </c>
      <c r="M395" s="59">
        <v>10</v>
      </c>
      <c r="N395" s="59">
        <v>10</v>
      </c>
      <c r="O395" s="59" t="s">
        <v>3581</v>
      </c>
      <c r="P395" s="58">
        <v>136</v>
      </c>
      <c r="Q395" s="59">
        <v>0</v>
      </c>
      <c r="R395" s="59">
        <v>0</v>
      </c>
      <c r="S395" s="60">
        <f>tblJTL[[#This Row],[timeStamp]]/86400000+DATE(1970,1,1)+TIME(9,0,0)</f>
        <v>46296.417980092592</v>
      </c>
      <c r="T395" s="57">
        <f>tblJTL[[#This Row],[timeStamp]]+tblJTL[[#This Row],[elapsed]]</f>
        <v>1790816513621</v>
      </c>
      <c r="U395" s="61">
        <f>(tblJTL[[#This Row],[timeStamp]]-'17_分析サンプル'!$E$18)/1000</f>
        <v>113.3</v>
      </c>
      <c r="V395" s="57">
        <f>INT(tblJTL[[#This Row],[経過秒]]/60)</f>
        <v>1</v>
      </c>
      <c r="W395" s="57">
        <f>IF(OR(tblJTL[[#This Row],[success]]=FALSE,tblJTL[[#This Row],[success]]="false"),1,0)</f>
        <v>0</v>
      </c>
      <c r="X395" s="57">
        <f>IF(AND(tblJTL[[#This Row],[経過秒]]&gt;='17_分析サンプル'!$E$11,tblJTL[[#This Row],[経過秒]]&lt;'17_分析サンプル'!$E$12),1,0)</f>
        <v>1</v>
      </c>
    </row>
    <row r="396" spans="2:24" ht="14.4" x14ac:dyDescent="0.3">
      <c r="B396" s="57">
        <v>1790816513629</v>
      </c>
      <c r="C396" s="58">
        <v>66</v>
      </c>
      <c r="D396" s="59" t="s">
        <v>1658</v>
      </c>
      <c r="E396" s="59" t="s">
        <v>1577</v>
      </c>
      <c r="F396" s="59" t="s">
        <v>2275</v>
      </c>
      <c r="G396" s="59" t="s">
        <v>3587</v>
      </c>
      <c r="H396" s="59" t="s">
        <v>2281</v>
      </c>
      <c r="I396" s="59" t="b">
        <v>1</v>
      </c>
      <c r="J396" s="59"/>
      <c r="K396" s="58">
        <v>1847</v>
      </c>
      <c r="L396" s="58">
        <v>1342</v>
      </c>
      <c r="M396" s="59">
        <v>10</v>
      </c>
      <c r="N396" s="59">
        <v>10</v>
      </c>
      <c r="O396" s="59" t="s">
        <v>3578</v>
      </c>
      <c r="P396" s="58">
        <v>64</v>
      </c>
      <c r="Q396" s="59">
        <v>0</v>
      </c>
      <c r="R396" s="59">
        <v>0</v>
      </c>
      <c r="S396" s="60">
        <f>tblJTL[[#This Row],[timeStamp]]/86400000+DATE(1970,1,1)+TIME(9,0,0)</f>
        <v>46296.417981817125</v>
      </c>
      <c r="T396" s="57">
        <f>tblJTL[[#This Row],[timeStamp]]+tblJTL[[#This Row],[elapsed]]</f>
        <v>1790816513695</v>
      </c>
      <c r="U396" s="61">
        <f>(tblJTL[[#This Row],[timeStamp]]-'17_分析サンプル'!$E$18)/1000</f>
        <v>113.449</v>
      </c>
      <c r="V396" s="57">
        <f>INT(tblJTL[[#This Row],[経過秒]]/60)</f>
        <v>1</v>
      </c>
      <c r="W396" s="57">
        <f>IF(OR(tblJTL[[#This Row],[success]]=FALSE,tblJTL[[#This Row],[success]]="false"),1,0)</f>
        <v>0</v>
      </c>
      <c r="X396" s="57">
        <f>IF(AND(tblJTL[[#This Row],[経過秒]]&gt;='17_分析サンプル'!$E$11,tblJTL[[#This Row],[経過秒]]&lt;'17_分析サンプル'!$E$12),1,0)</f>
        <v>1</v>
      </c>
    </row>
    <row r="397" spans="2:24" ht="14.4" x14ac:dyDescent="0.3">
      <c r="B397" s="57">
        <v>1790816513412</v>
      </c>
      <c r="C397" s="58">
        <v>306</v>
      </c>
      <c r="D397" s="59" t="s">
        <v>1677</v>
      </c>
      <c r="E397" s="59" t="s">
        <v>3579</v>
      </c>
      <c r="F397" s="59" t="s">
        <v>3580</v>
      </c>
      <c r="G397" s="59" t="s">
        <v>3584</v>
      </c>
      <c r="H397" s="59" t="s">
        <v>2281</v>
      </c>
      <c r="I397" s="59" t="b">
        <v>1</v>
      </c>
      <c r="J397" s="59"/>
      <c r="K397" s="58">
        <v>414</v>
      </c>
      <c r="L397" s="58">
        <v>1478</v>
      </c>
      <c r="M397" s="59">
        <v>10</v>
      </c>
      <c r="N397" s="59">
        <v>10</v>
      </c>
      <c r="O397" s="59" t="s">
        <v>3581</v>
      </c>
      <c r="P397" s="58">
        <v>299</v>
      </c>
      <c r="Q397" s="59">
        <v>0</v>
      </c>
      <c r="R397" s="59">
        <v>0</v>
      </c>
      <c r="S397" s="60">
        <f>tblJTL[[#This Row],[timeStamp]]/86400000+DATE(1970,1,1)+TIME(9,0,0)</f>
        <v>46296.417979305552</v>
      </c>
      <c r="T397" s="57">
        <f>tblJTL[[#This Row],[timeStamp]]+tblJTL[[#This Row],[elapsed]]</f>
        <v>1790816513718</v>
      </c>
      <c r="U397" s="61">
        <f>(tblJTL[[#This Row],[timeStamp]]-'17_分析サンプル'!$E$18)/1000</f>
        <v>113.232</v>
      </c>
      <c r="V397" s="57">
        <f>INT(tblJTL[[#This Row],[経過秒]]/60)</f>
        <v>1</v>
      </c>
      <c r="W397" s="57">
        <f>IF(OR(tblJTL[[#This Row],[success]]=FALSE,tblJTL[[#This Row],[success]]="false"),1,0)</f>
        <v>0</v>
      </c>
      <c r="X397" s="57">
        <f>IF(AND(tblJTL[[#This Row],[経過秒]]&gt;='17_分析サンプル'!$E$11,tblJTL[[#This Row],[経過秒]]&lt;'17_分析サンプル'!$E$12),1,0)</f>
        <v>1</v>
      </c>
    </row>
    <row r="398" spans="2:24" ht="14.4" x14ac:dyDescent="0.3">
      <c r="B398" s="57">
        <v>1790816513531</v>
      </c>
      <c r="C398" s="58">
        <v>312</v>
      </c>
      <c r="D398" s="59" t="s">
        <v>1677</v>
      </c>
      <c r="E398" s="59" t="s">
        <v>3579</v>
      </c>
      <c r="F398" s="59" t="s">
        <v>3580</v>
      </c>
      <c r="G398" s="59" t="s">
        <v>3588</v>
      </c>
      <c r="H398" s="59" t="s">
        <v>2281</v>
      </c>
      <c r="I398" s="59" t="b">
        <v>1</v>
      </c>
      <c r="J398" s="59"/>
      <c r="K398" s="58">
        <v>424</v>
      </c>
      <c r="L398" s="58">
        <v>1478</v>
      </c>
      <c r="M398" s="59">
        <v>10</v>
      </c>
      <c r="N398" s="59">
        <v>10</v>
      </c>
      <c r="O398" s="59" t="s">
        <v>3581</v>
      </c>
      <c r="P398" s="58">
        <v>310</v>
      </c>
      <c r="Q398" s="59">
        <v>0</v>
      </c>
      <c r="R398" s="59">
        <v>0</v>
      </c>
      <c r="S398" s="60">
        <f>tblJTL[[#This Row],[timeStamp]]/86400000+DATE(1970,1,1)+TIME(9,0,0)</f>
        <v>46296.417980682869</v>
      </c>
      <c r="T398" s="57">
        <f>tblJTL[[#This Row],[timeStamp]]+tblJTL[[#This Row],[elapsed]]</f>
        <v>1790816513843</v>
      </c>
      <c r="U398" s="61">
        <f>(tblJTL[[#This Row],[timeStamp]]-'17_分析サンプル'!$E$18)/1000</f>
        <v>113.351</v>
      </c>
      <c r="V398" s="57">
        <f>INT(tblJTL[[#This Row],[経過秒]]/60)</f>
        <v>1</v>
      </c>
      <c r="W398" s="57">
        <f>IF(OR(tblJTL[[#This Row],[success]]=FALSE,tblJTL[[#This Row],[success]]="false"),1,0)</f>
        <v>0</v>
      </c>
      <c r="X398" s="57">
        <f>IF(AND(tblJTL[[#This Row],[経過秒]]&gt;='17_分析サンプル'!$E$11,tblJTL[[#This Row],[経過秒]]&lt;'17_分析サンプル'!$E$12),1,0)</f>
        <v>1</v>
      </c>
    </row>
    <row r="399" spans="2:24" ht="14.4" x14ac:dyDescent="0.3">
      <c r="B399" s="57">
        <v>1790816513516</v>
      </c>
      <c r="C399" s="58">
        <v>454</v>
      </c>
      <c r="D399" s="59" t="s">
        <v>1677</v>
      </c>
      <c r="E399" s="59" t="s">
        <v>3579</v>
      </c>
      <c r="F399" s="59" t="s">
        <v>3580</v>
      </c>
      <c r="G399" s="59" t="s">
        <v>3585</v>
      </c>
      <c r="H399" s="59" t="s">
        <v>2281</v>
      </c>
      <c r="I399" s="59" t="b">
        <v>1</v>
      </c>
      <c r="J399" s="59"/>
      <c r="K399" s="58">
        <v>421</v>
      </c>
      <c r="L399" s="58">
        <v>1478</v>
      </c>
      <c r="M399" s="59">
        <v>10</v>
      </c>
      <c r="N399" s="59">
        <v>10</v>
      </c>
      <c r="O399" s="59" t="s">
        <v>3581</v>
      </c>
      <c r="P399" s="58">
        <v>447</v>
      </c>
      <c r="Q399" s="59">
        <v>0</v>
      </c>
      <c r="R399" s="59">
        <v>0</v>
      </c>
      <c r="S399" s="60">
        <f>tblJTL[[#This Row],[timeStamp]]/86400000+DATE(1970,1,1)+TIME(9,0,0)</f>
        <v>46296.417980509257</v>
      </c>
      <c r="T399" s="57">
        <f>tblJTL[[#This Row],[timeStamp]]+tblJTL[[#This Row],[elapsed]]</f>
        <v>1790816513970</v>
      </c>
      <c r="U399" s="61">
        <f>(tblJTL[[#This Row],[timeStamp]]-'17_分析サンプル'!$E$18)/1000</f>
        <v>113.336</v>
      </c>
      <c r="V399" s="57">
        <f>INT(tblJTL[[#This Row],[経過秒]]/60)</f>
        <v>1</v>
      </c>
      <c r="W399" s="57">
        <f>IF(OR(tblJTL[[#This Row],[success]]=FALSE,tblJTL[[#This Row],[success]]="false"),1,0)</f>
        <v>0</v>
      </c>
      <c r="X399" s="57">
        <f>IF(AND(tblJTL[[#This Row],[経過秒]]&gt;='17_分析サンプル'!$E$11,tblJTL[[#This Row],[経過秒]]&lt;'17_分析サンプル'!$E$12),1,0)</f>
        <v>1</v>
      </c>
    </row>
    <row r="400" spans="2:24" ht="14.4" x14ac:dyDescent="0.3">
      <c r="B400" s="57">
        <v>1790816514040</v>
      </c>
      <c r="C400" s="58">
        <v>188</v>
      </c>
      <c r="D400" s="59" t="s">
        <v>1658</v>
      </c>
      <c r="E400" s="59" t="s">
        <v>1577</v>
      </c>
      <c r="F400" s="59" t="s">
        <v>2275</v>
      </c>
      <c r="G400" s="59" t="s">
        <v>3582</v>
      </c>
      <c r="H400" s="59" t="s">
        <v>2281</v>
      </c>
      <c r="I400" s="59" t="b">
        <v>1</v>
      </c>
      <c r="J400" s="59"/>
      <c r="K400" s="58">
        <v>1874</v>
      </c>
      <c r="L400" s="58">
        <v>1342</v>
      </c>
      <c r="M400" s="59">
        <v>10</v>
      </c>
      <c r="N400" s="59">
        <v>10</v>
      </c>
      <c r="O400" s="59" t="s">
        <v>3578</v>
      </c>
      <c r="P400" s="58">
        <v>186</v>
      </c>
      <c r="Q400" s="59">
        <v>0</v>
      </c>
      <c r="R400" s="59">
        <v>0</v>
      </c>
      <c r="S400" s="60">
        <f>tblJTL[[#This Row],[timeStamp]]/86400000+DATE(1970,1,1)+TIME(9,0,0)</f>
        <v>46296.417986574073</v>
      </c>
      <c r="T400" s="57">
        <f>tblJTL[[#This Row],[timeStamp]]+tblJTL[[#This Row],[elapsed]]</f>
        <v>1790816514228</v>
      </c>
      <c r="U400" s="61">
        <f>(tblJTL[[#This Row],[timeStamp]]-'17_分析サンプル'!$E$18)/1000</f>
        <v>113.86</v>
      </c>
      <c r="V400" s="57">
        <f>INT(tblJTL[[#This Row],[経過秒]]/60)</f>
        <v>1</v>
      </c>
      <c r="W400" s="57">
        <f>IF(OR(tblJTL[[#This Row],[success]]=FALSE,tblJTL[[#This Row],[success]]="false"),1,0)</f>
        <v>0</v>
      </c>
      <c r="X400" s="57">
        <f>IF(AND(tblJTL[[#This Row],[経過秒]]&gt;='17_分析サンプル'!$E$11,tblJTL[[#This Row],[経過秒]]&lt;'17_分析サンプル'!$E$12),1,0)</f>
        <v>1</v>
      </c>
    </row>
    <row r="401" spans="2:24" ht="14.4" x14ac:dyDescent="0.3">
      <c r="B401" s="57">
        <v>1790816514046</v>
      </c>
      <c r="C401" s="58">
        <v>250</v>
      </c>
      <c r="D401" s="59" t="s">
        <v>1677</v>
      </c>
      <c r="E401" s="59" t="s">
        <v>3579</v>
      </c>
      <c r="F401" s="59" t="s">
        <v>3580</v>
      </c>
      <c r="G401" s="59" t="s">
        <v>3583</v>
      </c>
      <c r="H401" s="59" t="s">
        <v>2281</v>
      </c>
      <c r="I401" s="59" t="b">
        <v>1</v>
      </c>
      <c r="J401" s="59"/>
      <c r="K401" s="58">
        <v>426</v>
      </c>
      <c r="L401" s="58">
        <v>1478</v>
      </c>
      <c r="M401" s="59">
        <v>10</v>
      </c>
      <c r="N401" s="59">
        <v>10</v>
      </c>
      <c r="O401" s="59" t="s">
        <v>3581</v>
      </c>
      <c r="P401" s="58">
        <v>242</v>
      </c>
      <c r="Q401" s="59">
        <v>0</v>
      </c>
      <c r="R401" s="59">
        <v>0</v>
      </c>
      <c r="S401" s="60">
        <f>tblJTL[[#This Row],[timeStamp]]/86400000+DATE(1970,1,1)+TIME(9,0,0)</f>
        <v>46296.417986643515</v>
      </c>
      <c r="T401" s="57">
        <f>tblJTL[[#This Row],[timeStamp]]+tblJTL[[#This Row],[elapsed]]</f>
        <v>1790816514296</v>
      </c>
      <c r="U401" s="61">
        <f>(tblJTL[[#This Row],[timeStamp]]-'17_分析サンプル'!$E$18)/1000</f>
        <v>113.866</v>
      </c>
      <c r="V401" s="57">
        <f>INT(tblJTL[[#This Row],[経過秒]]/60)</f>
        <v>1</v>
      </c>
      <c r="W401" s="57">
        <f>IF(OR(tblJTL[[#This Row],[success]]=FALSE,tblJTL[[#This Row],[success]]="false"),1,0)</f>
        <v>0</v>
      </c>
      <c r="X401" s="57">
        <f>IF(AND(tblJTL[[#This Row],[経過秒]]&gt;='17_分析サンプル'!$E$11,tblJTL[[#This Row],[経過秒]]&lt;'17_分析サンプル'!$E$12),1,0)</f>
        <v>1</v>
      </c>
    </row>
    <row r="402" spans="2:24" ht="14.4" x14ac:dyDescent="0.3">
      <c r="B402" s="57">
        <v>1790816514238</v>
      </c>
      <c r="C402" s="58">
        <v>107</v>
      </c>
      <c r="D402" s="59" t="s">
        <v>1658</v>
      </c>
      <c r="E402" s="59" t="s">
        <v>1577</v>
      </c>
      <c r="F402" s="59" t="s">
        <v>2275</v>
      </c>
      <c r="G402" s="59" t="s">
        <v>3589</v>
      </c>
      <c r="H402" s="59" t="s">
        <v>2281</v>
      </c>
      <c r="I402" s="59" t="b">
        <v>1</v>
      </c>
      <c r="J402" s="59"/>
      <c r="K402" s="58">
        <v>1858</v>
      </c>
      <c r="L402" s="58">
        <v>1342</v>
      </c>
      <c r="M402" s="59">
        <v>10</v>
      </c>
      <c r="N402" s="59">
        <v>10</v>
      </c>
      <c r="O402" s="59" t="s">
        <v>3578</v>
      </c>
      <c r="P402" s="58">
        <v>102</v>
      </c>
      <c r="Q402" s="59">
        <v>0</v>
      </c>
      <c r="R402" s="59">
        <v>0</v>
      </c>
      <c r="S402" s="60">
        <f>tblJTL[[#This Row],[timeStamp]]/86400000+DATE(1970,1,1)+TIME(9,0,0)</f>
        <v>46296.417988865738</v>
      </c>
      <c r="T402" s="57">
        <f>tblJTL[[#This Row],[timeStamp]]+tblJTL[[#This Row],[elapsed]]</f>
        <v>1790816514345</v>
      </c>
      <c r="U402" s="61">
        <f>(tblJTL[[#This Row],[timeStamp]]-'17_分析サンプル'!$E$18)/1000</f>
        <v>114.05800000000001</v>
      </c>
      <c r="V402" s="57">
        <f>INT(tblJTL[[#This Row],[経過秒]]/60)</f>
        <v>1</v>
      </c>
      <c r="W402" s="57">
        <f>IF(OR(tblJTL[[#This Row],[success]]=FALSE,tblJTL[[#This Row],[success]]="false"),1,0)</f>
        <v>0</v>
      </c>
      <c r="X402" s="57">
        <f>IF(AND(tblJTL[[#This Row],[経過秒]]&gt;='17_分析サンプル'!$E$11,tblJTL[[#This Row],[経過秒]]&lt;'17_分析サンプル'!$E$12),1,0)</f>
        <v>1</v>
      </c>
    </row>
    <row r="403" spans="2:24" ht="14.4" x14ac:dyDescent="0.3">
      <c r="B403" s="57">
        <v>1790816514667</v>
      </c>
      <c r="C403" s="58">
        <v>280</v>
      </c>
      <c r="D403" s="59" t="s">
        <v>1677</v>
      </c>
      <c r="E403" s="59" t="s">
        <v>3579</v>
      </c>
      <c r="F403" s="59" t="s">
        <v>3580</v>
      </c>
      <c r="G403" s="59" t="s">
        <v>3586</v>
      </c>
      <c r="H403" s="59" t="s">
        <v>2281</v>
      </c>
      <c r="I403" s="59" t="b">
        <v>1</v>
      </c>
      <c r="J403" s="59"/>
      <c r="K403" s="58">
        <v>430</v>
      </c>
      <c r="L403" s="58">
        <v>1478</v>
      </c>
      <c r="M403" s="59">
        <v>10</v>
      </c>
      <c r="N403" s="59">
        <v>10</v>
      </c>
      <c r="O403" s="59" t="s">
        <v>3581</v>
      </c>
      <c r="P403" s="58">
        <v>276</v>
      </c>
      <c r="Q403" s="59">
        <v>0</v>
      </c>
      <c r="R403" s="59">
        <v>0</v>
      </c>
      <c r="S403" s="60">
        <f>tblJTL[[#This Row],[timeStamp]]/86400000+DATE(1970,1,1)+TIME(9,0,0)</f>
        <v>46296.417993831019</v>
      </c>
      <c r="T403" s="57">
        <f>tblJTL[[#This Row],[timeStamp]]+tblJTL[[#This Row],[elapsed]]</f>
        <v>1790816514947</v>
      </c>
      <c r="U403" s="61">
        <f>(tblJTL[[#This Row],[timeStamp]]-'17_分析サンプル'!$E$18)/1000</f>
        <v>114.48699999999999</v>
      </c>
      <c r="V403" s="57">
        <f>INT(tblJTL[[#This Row],[経過秒]]/60)</f>
        <v>1</v>
      </c>
      <c r="W403" s="57">
        <f>IF(OR(tblJTL[[#This Row],[success]]=FALSE,tblJTL[[#This Row],[success]]="false"),1,0)</f>
        <v>0</v>
      </c>
      <c r="X403" s="57">
        <f>IF(AND(tblJTL[[#This Row],[経過秒]]&gt;='17_分析サンプル'!$E$11,tblJTL[[#This Row],[経過秒]]&lt;'17_分析サンプル'!$E$12),1,0)</f>
        <v>1</v>
      </c>
    </row>
    <row r="404" spans="2:24" ht="14.4" x14ac:dyDescent="0.3">
      <c r="B404" s="57">
        <v>1790816515529</v>
      </c>
      <c r="C404" s="58">
        <v>144</v>
      </c>
      <c r="D404" s="59" t="s">
        <v>1658</v>
      </c>
      <c r="E404" s="59" t="s">
        <v>1577</v>
      </c>
      <c r="F404" s="59" t="s">
        <v>2275</v>
      </c>
      <c r="G404" s="59" t="s">
        <v>3584</v>
      </c>
      <c r="H404" s="59" t="s">
        <v>2281</v>
      </c>
      <c r="I404" s="59" t="b">
        <v>1</v>
      </c>
      <c r="J404" s="59"/>
      <c r="K404" s="58">
        <v>1892</v>
      </c>
      <c r="L404" s="58">
        <v>1342</v>
      </c>
      <c r="M404" s="59">
        <v>10</v>
      </c>
      <c r="N404" s="59">
        <v>10</v>
      </c>
      <c r="O404" s="59" t="s">
        <v>3578</v>
      </c>
      <c r="P404" s="58">
        <v>137</v>
      </c>
      <c r="Q404" s="59">
        <v>0</v>
      </c>
      <c r="R404" s="59">
        <v>0</v>
      </c>
      <c r="S404" s="60">
        <f>tblJTL[[#This Row],[timeStamp]]/86400000+DATE(1970,1,1)+TIME(9,0,0)</f>
        <v>46296.41800380787</v>
      </c>
      <c r="T404" s="57">
        <f>tblJTL[[#This Row],[timeStamp]]+tblJTL[[#This Row],[elapsed]]</f>
        <v>1790816515673</v>
      </c>
      <c r="U404" s="61">
        <f>(tblJTL[[#This Row],[timeStamp]]-'17_分析サンプル'!$E$18)/1000</f>
        <v>115.349</v>
      </c>
      <c r="V404" s="57">
        <f>INT(tblJTL[[#This Row],[経過秒]]/60)</f>
        <v>1</v>
      </c>
      <c r="W404" s="57">
        <f>IF(OR(tblJTL[[#This Row],[success]]=FALSE,tblJTL[[#This Row],[success]]="false"),1,0)</f>
        <v>0</v>
      </c>
      <c r="X404" s="57">
        <f>IF(AND(tblJTL[[#This Row],[経過秒]]&gt;='17_分析サンプル'!$E$11,tblJTL[[#This Row],[経過秒]]&lt;'17_分析サンプル'!$E$12),1,0)</f>
        <v>1</v>
      </c>
    </row>
    <row r="405" spans="2:24" ht="14.4" x14ac:dyDescent="0.3">
      <c r="B405" s="57">
        <v>1790816515603</v>
      </c>
      <c r="C405" s="58">
        <v>155</v>
      </c>
      <c r="D405" s="59" t="s">
        <v>1677</v>
      </c>
      <c r="E405" s="59" t="s">
        <v>3579</v>
      </c>
      <c r="F405" s="59" t="s">
        <v>3580</v>
      </c>
      <c r="G405" s="59" t="s">
        <v>3587</v>
      </c>
      <c r="H405" s="59" t="s">
        <v>2281</v>
      </c>
      <c r="I405" s="59" t="b">
        <v>1</v>
      </c>
      <c r="J405" s="59"/>
      <c r="K405" s="58">
        <v>424</v>
      </c>
      <c r="L405" s="58">
        <v>1478</v>
      </c>
      <c r="M405" s="59">
        <v>10</v>
      </c>
      <c r="N405" s="59">
        <v>10</v>
      </c>
      <c r="O405" s="59" t="s">
        <v>3581</v>
      </c>
      <c r="P405" s="58">
        <v>149</v>
      </c>
      <c r="Q405" s="59">
        <v>0</v>
      </c>
      <c r="R405" s="59">
        <v>0</v>
      </c>
      <c r="S405" s="60">
        <f>tblJTL[[#This Row],[timeStamp]]/86400000+DATE(1970,1,1)+TIME(9,0,0)</f>
        <v>46296.418004664352</v>
      </c>
      <c r="T405" s="57">
        <f>tblJTL[[#This Row],[timeStamp]]+tblJTL[[#This Row],[elapsed]]</f>
        <v>1790816515758</v>
      </c>
      <c r="U405" s="61">
        <f>(tblJTL[[#This Row],[timeStamp]]-'17_分析サンプル'!$E$18)/1000</f>
        <v>115.423</v>
      </c>
      <c r="V405" s="57">
        <f>INT(tblJTL[[#This Row],[経過秒]]/60)</f>
        <v>1</v>
      </c>
      <c r="W405" s="57">
        <f>IF(OR(tblJTL[[#This Row],[success]]=FALSE,tblJTL[[#This Row],[success]]="false"),1,0)</f>
        <v>0</v>
      </c>
      <c r="X405" s="57">
        <f>IF(AND(tblJTL[[#This Row],[経過秒]]&gt;='17_分析サンプル'!$E$11,tblJTL[[#This Row],[経過秒]]&lt;'17_分析サンプル'!$E$12),1,0)</f>
        <v>1</v>
      </c>
    </row>
    <row r="406" spans="2:24" ht="14.4" x14ac:dyDescent="0.3">
      <c r="B406" s="57">
        <v>1790816515864</v>
      </c>
      <c r="C406" s="58">
        <v>105</v>
      </c>
      <c r="D406" s="59" t="s">
        <v>1658</v>
      </c>
      <c r="E406" s="59" t="s">
        <v>1577</v>
      </c>
      <c r="F406" s="59" t="s">
        <v>2275</v>
      </c>
      <c r="G406" s="59" t="s">
        <v>3588</v>
      </c>
      <c r="H406" s="59" t="s">
        <v>2281</v>
      </c>
      <c r="I406" s="59" t="b">
        <v>1</v>
      </c>
      <c r="J406" s="59"/>
      <c r="K406" s="58">
        <v>1835</v>
      </c>
      <c r="L406" s="58">
        <v>1342</v>
      </c>
      <c r="M406" s="59">
        <v>10</v>
      </c>
      <c r="N406" s="59">
        <v>10</v>
      </c>
      <c r="O406" s="59" t="s">
        <v>3578</v>
      </c>
      <c r="P406" s="58">
        <v>101</v>
      </c>
      <c r="Q406" s="59">
        <v>0</v>
      </c>
      <c r="R406" s="59">
        <v>0</v>
      </c>
      <c r="S406" s="60">
        <f>tblJTL[[#This Row],[timeStamp]]/86400000+DATE(1970,1,1)+TIME(9,0,0)</f>
        <v>46296.418007685184</v>
      </c>
      <c r="T406" s="57">
        <f>tblJTL[[#This Row],[timeStamp]]+tblJTL[[#This Row],[elapsed]]</f>
        <v>1790816515969</v>
      </c>
      <c r="U406" s="61">
        <f>(tblJTL[[#This Row],[timeStamp]]-'17_分析サンプル'!$E$18)/1000</f>
        <v>115.684</v>
      </c>
      <c r="V406" s="57">
        <f>INT(tblJTL[[#This Row],[経過秒]]/60)</f>
        <v>1</v>
      </c>
      <c r="W406" s="57">
        <f>IF(OR(tblJTL[[#This Row],[success]]=FALSE,tblJTL[[#This Row],[success]]="false"),1,0)</f>
        <v>0</v>
      </c>
      <c r="X406" s="57">
        <f>IF(AND(tblJTL[[#This Row],[経過秒]]&gt;='17_分析サンプル'!$E$11,tblJTL[[#This Row],[経過秒]]&lt;'17_分析サンプル'!$E$12),1,0)</f>
        <v>1</v>
      </c>
    </row>
    <row r="407" spans="2:24" ht="14.4" x14ac:dyDescent="0.3">
      <c r="B407" s="57">
        <v>1790816515956</v>
      </c>
      <c r="C407" s="58">
        <v>124</v>
      </c>
      <c r="D407" s="59" t="s">
        <v>1658</v>
      </c>
      <c r="E407" s="59" t="s">
        <v>1577</v>
      </c>
      <c r="F407" s="59" t="s">
        <v>2275</v>
      </c>
      <c r="G407" s="59" t="s">
        <v>3577</v>
      </c>
      <c r="H407" s="59" t="s">
        <v>2281</v>
      </c>
      <c r="I407" s="59" t="b">
        <v>1</v>
      </c>
      <c r="J407" s="59"/>
      <c r="K407" s="58">
        <v>1858</v>
      </c>
      <c r="L407" s="58">
        <v>1342</v>
      </c>
      <c r="M407" s="59">
        <v>10</v>
      </c>
      <c r="N407" s="59">
        <v>10</v>
      </c>
      <c r="O407" s="59" t="s">
        <v>3578</v>
      </c>
      <c r="P407" s="58">
        <v>119</v>
      </c>
      <c r="Q407" s="59">
        <v>0</v>
      </c>
      <c r="R407" s="59">
        <v>0</v>
      </c>
      <c r="S407" s="60">
        <f>tblJTL[[#This Row],[timeStamp]]/86400000+DATE(1970,1,1)+TIME(9,0,0)</f>
        <v>46296.418008749999</v>
      </c>
      <c r="T407" s="57">
        <f>tblJTL[[#This Row],[timeStamp]]+tblJTL[[#This Row],[elapsed]]</f>
        <v>1790816516080</v>
      </c>
      <c r="U407" s="61">
        <f>(tblJTL[[#This Row],[timeStamp]]-'17_分析サンプル'!$E$18)/1000</f>
        <v>115.776</v>
      </c>
      <c r="V407" s="57">
        <f>INT(tblJTL[[#This Row],[経過秒]]/60)</f>
        <v>1</v>
      </c>
      <c r="W407" s="57">
        <f>IF(OR(tblJTL[[#This Row],[success]]=FALSE,tblJTL[[#This Row],[success]]="false"),1,0)</f>
        <v>0</v>
      </c>
      <c r="X407" s="57">
        <f>IF(AND(tblJTL[[#This Row],[経過秒]]&gt;='17_分析サンプル'!$E$11,tblJTL[[#This Row],[経過秒]]&lt;'17_分析サンプル'!$E$12),1,0)</f>
        <v>1</v>
      </c>
    </row>
    <row r="408" spans="2:24" ht="14.4" x14ac:dyDescent="0.3">
      <c r="B408" s="57">
        <v>1790816516169</v>
      </c>
      <c r="C408" s="58">
        <v>109</v>
      </c>
      <c r="D408" s="59" t="s">
        <v>1658</v>
      </c>
      <c r="E408" s="59" t="s">
        <v>1577</v>
      </c>
      <c r="F408" s="59" t="s">
        <v>2275</v>
      </c>
      <c r="G408" s="59" t="s">
        <v>2278</v>
      </c>
      <c r="H408" s="59" t="s">
        <v>2281</v>
      </c>
      <c r="I408" s="59" t="b">
        <v>1</v>
      </c>
      <c r="J408" s="59"/>
      <c r="K408" s="58">
        <v>1870</v>
      </c>
      <c r="L408" s="58">
        <v>1342</v>
      </c>
      <c r="M408" s="59">
        <v>10</v>
      </c>
      <c r="N408" s="59">
        <v>10</v>
      </c>
      <c r="O408" s="59" t="s">
        <v>3578</v>
      </c>
      <c r="P408" s="58">
        <v>105</v>
      </c>
      <c r="Q408" s="59">
        <v>0</v>
      </c>
      <c r="R408" s="59">
        <v>0</v>
      </c>
      <c r="S408" s="60">
        <f>tblJTL[[#This Row],[timeStamp]]/86400000+DATE(1970,1,1)+TIME(9,0,0)</f>
        <v>46296.418011215283</v>
      </c>
      <c r="T408" s="57">
        <f>tblJTL[[#This Row],[timeStamp]]+tblJTL[[#This Row],[elapsed]]</f>
        <v>1790816516278</v>
      </c>
      <c r="U408" s="61">
        <f>(tblJTL[[#This Row],[timeStamp]]-'17_分析サンプル'!$E$18)/1000</f>
        <v>115.989</v>
      </c>
      <c r="V408" s="57">
        <f>INT(tblJTL[[#This Row],[経過秒]]/60)</f>
        <v>1</v>
      </c>
      <c r="W408" s="57">
        <f>IF(OR(tblJTL[[#This Row],[success]]=FALSE,tblJTL[[#This Row],[success]]="false"),1,0)</f>
        <v>0</v>
      </c>
      <c r="X408" s="57">
        <f>IF(AND(tblJTL[[#This Row],[経過秒]]&gt;='17_分析サンプル'!$E$11,tblJTL[[#This Row],[経過秒]]&lt;'17_分析サンプル'!$E$12),1,0)</f>
        <v>1</v>
      </c>
    </row>
    <row r="409" spans="2:24" ht="14.4" x14ac:dyDescent="0.3">
      <c r="B409" s="57">
        <v>1790816516307</v>
      </c>
      <c r="C409" s="58">
        <v>290</v>
      </c>
      <c r="D409" s="59" t="s">
        <v>1677</v>
      </c>
      <c r="E409" s="59" t="s">
        <v>3579</v>
      </c>
      <c r="F409" s="59" t="s">
        <v>3580</v>
      </c>
      <c r="G409" s="59" t="s">
        <v>3589</v>
      </c>
      <c r="H409" s="59" t="s">
        <v>2281</v>
      </c>
      <c r="I409" s="59" t="b">
        <v>1</v>
      </c>
      <c r="J409" s="59"/>
      <c r="K409" s="58">
        <v>432</v>
      </c>
      <c r="L409" s="58">
        <v>1478</v>
      </c>
      <c r="M409" s="59">
        <v>10</v>
      </c>
      <c r="N409" s="59">
        <v>10</v>
      </c>
      <c r="O409" s="59" t="s">
        <v>3581</v>
      </c>
      <c r="P409" s="58">
        <v>286</v>
      </c>
      <c r="Q409" s="59">
        <v>0</v>
      </c>
      <c r="R409" s="59">
        <v>0</v>
      </c>
      <c r="S409" s="60">
        <f>tblJTL[[#This Row],[timeStamp]]/86400000+DATE(1970,1,1)+TIME(9,0,0)</f>
        <v>46296.418012812501</v>
      </c>
      <c r="T409" s="57">
        <f>tblJTL[[#This Row],[timeStamp]]+tblJTL[[#This Row],[elapsed]]</f>
        <v>1790816516597</v>
      </c>
      <c r="U409" s="61">
        <f>(tblJTL[[#This Row],[timeStamp]]-'17_分析サンプル'!$E$18)/1000</f>
        <v>116.127</v>
      </c>
      <c r="V409" s="57">
        <f>INT(tblJTL[[#This Row],[経過秒]]/60)</f>
        <v>1</v>
      </c>
      <c r="W409" s="57">
        <f>IF(OR(tblJTL[[#This Row],[success]]=FALSE,tblJTL[[#This Row],[success]]="false"),1,0)</f>
        <v>0</v>
      </c>
      <c r="X409" s="57">
        <f>IF(AND(tblJTL[[#This Row],[経過秒]]&gt;='17_分析サンプル'!$E$11,tblJTL[[#This Row],[経過秒]]&lt;'17_分析サンプル'!$E$12),1,0)</f>
        <v>1</v>
      </c>
    </row>
    <row r="410" spans="2:24" ht="14.4" x14ac:dyDescent="0.3">
      <c r="B410" s="57">
        <v>1790816516698</v>
      </c>
      <c r="C410" s="58">
        <v>144</v>
      </c>
      <c r="D410" s="59" t="s">
        <v>1658</v>
      </c>
      <c r="E410" s="59" t="s">
        <v>1577</v>
      </c>
      <c r="F410" s="59" t="s">
        <v>2275</v>
      </c>
      <c r="G410" s="59" t="s">
        <v>3583</v>
      </c>
      <c r="H410" s="59" t="s">
        <v>2281</v>
      </c>
      <c r="I410" s="59" t="b">
        <v>1</v>
      </c>
      <c r="J410" s="59"/>
      <c r="K410" s="58">
        <v>1862</v>
      </c>
      <c r="L410" s="58">
        <v>1342</v>
      </c>
      <c r="M410" s="59">
        <v>10</v>
      </c>
      <c r="N410" s="59">
        <v>10</v>
      </c>
      <c r="O410" s="59" t="s">
        <v>3578</v>
      </c>
      <c r="P410" s="58">
        <v>139</v>
      </c>
      <c r="Q410" s="59">
        <v>0</v>
      </c>
      <c r="R410" s="59">
        <v>0</v>
      </c>
      <c r="S410" s="60">
        <f>tblJTL[[#This Row],[timeStamp]]/86400000+DATE(1970,1,1)+TIME(9,0,0)</f>
        <v>46296.418017337965</v>
      </c>
      <c r="T410" s="57">
        <f>tblJTL[[#This Row],[timeStamp]]+tblJTL[[#This Row],[elapsed]]</f>
        <v>1790816516842</v>
      </c>
      <c r="U410" s="61">
        <f>(tblJTL[[#This Row],[timeStamp]]-'17_分析サンプル'!$E$18)/1000</f>
        <v>116.518</v>
      </c>
      <c r="V410" s="57">
        <f>INT(tblJTL[[#This Row],[経過秒]]/60)</f>
        <v>1</v>
      </c>
      <c r="W410" s="57">
        <f>IF(OR(tblJTL[[#This Row],[success]]=FALSE,tblJTL[[#This Row],[success]]="false"),1,0)</f>
        <v>0</v>
      </c>
      <c r="X410" s="57">
        <f>IF(AND(tblJTL[[#This Row],[経過秒]]&gt;='17_分析サンプル'!$E$11,tblJTL[[#This Row],[経過秒]]&lt;'17_分析サンプル'!$E$12),1,0)</f>
        <v>1</v>
      </c>
    </row>
    <row r="411" spans="2:24" ht="14.4" x14ac:dyDescent="0.3">
      <c r="B411" s="57">
        <v>1790816516759</v>
      </c>
      <c r="C411" s="58">
        <v>100</v>
      </c>
      <c r="D411" s="59" t="s">
        <v>1658</v>
      </c>
      <c r="E411" s="59" t="s">
        <v>1577</v>
      </c>
      <c r="F411" s="59" t="s">
        <v>2275</v>
      </c>
      <c r="G411" s="59" t="s">
        <v>3585</v>
      </c>
      <c r="H411" s="59" t="s">
        <v>2281</v>
      </c>
      <c r="I411" s="59" t="b">
        <v>1</v>
      </c>
      <c r="J411" s="59"/>
      <c r="K411" s="58">
        <v>1867</v>
      </c>
      <c r="L411" s="58">
        <v>1342</v>
      </c>
      <c r="M411" s="59">
        <v>10</v>
      </c>
      <c r="N411" s="59">
        <v>10</v>
      </c>
      <c r="O411" s="59" t="s">
        <v>3578</v>
      </c>
      <c r="P411" s="58">
        <v>96</v>
      </c>
      <c r="Q411" s="59">
        <v>0</v>
      </c>
      <c r="R411" s="59">
        <v>0</v>
      </c>
      <c r="S411" s="60">
        <f>tblJTL[[#This Row],[timeStamp]]/86400000+DATE(1970,1,1)+TIME(9,0,0)</f>
        <v>46296.41801804398</v>
      </c>
      <c r="T411" s="57">
        <f>tblJTL[[#This Row],[timeStamp]]+tblJTL[[#This Row],[elapsed]]</f>
        <v>1790816516859</v>
      </c>
      <c r="U411" s="61">
        <f>(tblJTL[[#This Row],[timeStamp]]-'17_分析サンプル'!$E$18)/1000</f>
        <v>116.57899999999999</v>
      </c>
      <c r="V411" s="57">
        <f>INT(tblJTL[[#This Row],[経過秒]]/60)</f>
        <v>1</v>
      </c>
      <c r="W411" s="57">
        <f>IF(OR(tblJTL[[#This Row],[success]]=FALSE,tblJTL[[#This Row],[success]]="false"),1,0)</f>
        <v>0</v>
      </c>
      <c r="X411" s="57">
        <f>IF(AND(tblJTL[[#This Row],[経過秒]]&gt;='17_分析サンプル'!$E$11,tblJTL[[#This Row],[経過秒]]&lt;'17_分析サンプル'!$E$12),1,0)</f>
        <v>1</v>
      </c>
    </row>
    <row r="412" spans="2:24" ht="14.4" x14ac:dyDescent="0.3">
      <c r="B412" s="57">
        <v>1790816516744</v>
      </c>
      <c r="C412" s="58">
        <v>220</v>
      </c>
      <c r="D412" s="59" t="s">
        <v>1677</v>
      </c>
      <c r="E412" s="59" t="s">
        <v>3579</v>
      </c>
      <c r="F412" s="59" t="s">
        <v>3580</v>
      </c>
      <c r="G412" s="59" t="s">
        <v>3582</v>
      </c>
      <c r="H412" s="59" t="s">
        <v>2281</v>
      </c>
      <c r="I412" s="59" t="b">
        <v>1</v>
      </c>
      <c r="J412" s="59"/>
      <c r="K412" s="58">
        <v>418</v>
      </c>
      <c r="L412" s="58">
        <v>1478</v>
      </c>
      <c r="M412" s="59">
        <v>10</v>
      </c>
      <c r="N412" s="59">
        <v>10</v>
      </c>
      <c r="O412" s="59" t="s">
        <v>3581</v>
      </c>
      <c r="P412" s="58">
        <v>214</v>
      </c>
      <c r="Q412" s="59">
        <v>0</v>
      </c>
      <c r="R412" s="59">
        <v>0</v>
      </c>
      <c r="S412" s="60">
        <f>tblJTL[[#This Row],[timeStamp]]/86400000+DATE(1970,1,1)+TIME(9,0,0)</f>
        <v>46296.418017870368</v>
      </c>
      <c r="T412" s="57">
        <f>tblJTL[[#This Row],[timeStamp]]+tblJTL[[#This Row],[elapsed]]</f>
        <v>1790816516964</v>
      </c>
      <c r="U412" s="61">
        <f>(tblJTL[[#This Row],[timeStamp]]-'17_分析サンプル'!$E$18)/1000</f>
        <v>116.56399999999999</v>
      </c>
      <c r="V412" s="57">
        <f>INT(tblJTL[[#This Row],[経過秒]]/60)</f>
        <v>1</v>
      </c>
      <c r="W412" s="57">
        <f>IF(OR(tblJTL[[#This Row],[success]]=FALSE,tblJTL[[#This Row],[success]]="false"),1,0)</f>
        <v>0</v>
      </c>
      <c r="X412" s="57">
        <f>IF(AND(tblJTL[[#This Row],[経過秒]]&gt;='17_分析サンプル'!$E$11,tblJTL[[#This Row],[経過秒]]&lt;'17_分析サンプル'!$E$12),1,0)</f>
        <v>1</v>
      </c>
    </row>
    <row r="413" spans="2:24" ht="14.4" x14ac:dyDescent="0.3">
      <c r="B413" s="57">
        <v>1790816517220</v>
      </c>
      <c r="C413" s="58">
        <v>87</v>
      </c>
      <c r="D413" s="59" t="s">
        <v>1658</v>
      </c>
      <c r="E413" s="59" t="s">
        <v>1577</v>
      </c>
      <c r="F413" s="59" t="s">
        <v>2275</v>
      </c>
      <c r="G413" s="59" t="s">
        <v>3587</v>
      </c>
      <c r="H413" s="59" t="s">
        <v>2281</v>
      </c>
      <c r="I413" s="59" t="b">
        <v>1</v>
      </c>
      <c r="J413" s="59"/>
      <c r="K413" s="58">
        <v>1863</v>
      </c>
      <c r="L413" s="58">
        <v>1342</v>
      </c>
      <c r="M413" s="59">
        <v>10</v>
      </c>
      <c r="N413" s="59">
        <v>10</v>
      </c>
      <c r="O413" s="59" t="s">
        <v>3578</v>
      </c>
      <c r="P413" s="58">
        <v>80</v>
      </c>
      <c r="Q413" s="59">
        <v>0</v>
      </c>
      <c r="R413" s="59">
        <v>0</v>
      </c>
      <c r="S413" s="60">
        <f>tblJTL[[#This Row],[timeStamp]]/86400000+DATE(1970,1,1)+TIME(9,0,0)</f>
        <v>46296.418023379629</v>
      </c>
      <c r="T413" s="57">
        <f>tblJTL[[#This Row],[timeStamp]]+tblJTL[[#This Row],[elapsed]]</f>
        <v>1790816517307</v>
      </c>
      <c r="U413" s="61">
        <f>(tblJTL[[#This Row],[timeStamp]]-'17_分析サンプル'!$E$18)/1000</f>
        <v>117.04</v>
      </c>
      <c r="V413" s="57">
        <f>INT(tblJTL[[#This Row],[経過秒]]/60)</f>
        <v>1</v>
      </c>
      <c r="W413" s="57">
        <f>IF(OR(tblJTL[[#This Row],[success]]=FALSE,tblJTL[[#This Row],[success]]="false"),1,0)</f>
        <v>0</v>
      </c>
      <c r="X413" s="57">
        <f>IF(AND(tblJTL[[#This Row],[経過秒]]&gt;='17_分析サンプル'!$E$11,tblJTL[[#This Row],[経過秒]]&lt;'17_分析サンプル'!$E$12),1,0)</f>
        <v>1</v>
      </c>
    </row>
    <row r="414" spans="2:24" ht="14.4" x14ac:dyDescent="0.3">
      <c r="B414" s="57">
        <v>1790816517281</v>
      </c>
      <c r="C414" s="58">
        <v>256</v>
      </c>
      <c r="D414" s="59" t="s">
        <v>1677</v>
      </c>
      <c r="E414" s="59" t="s">
        <v>3579</v>
      </c>
      <c r="F414" s="59" t="s">
        <v>3580</v>
      </c>
      <c r="G414" s="59" t="s">
        <v>3577</v>
      </c>
      <c r="H414" s="59" t="s">
        <v>2281</v>
      </c>
      <c r="I414" s="59" t="b">
        <v>1</v>
      </c>
      <c r="J414" s="59"/>
      <c r="K414" s="58">
        <v>429</v>
      </c>
      <c r="L414" s="58">
        <v>1478</v>
      </c>
      <c r="M414" s="59">
        <v>10</v>
      </c>
      <c r="N414" s="59">
        <v>10</v>
      </c>
      <c r="O414" s="59" t="s">
        <v>3581</v>
      </c>
      <c r="P414" s="58">
        <v>250</v>
      </c>
      <c r="Q414" s="59">
        <v>0</v>
      </c>
      <c r="R414" s="59">
        <v>0</v>
      </c>
      <c r="S414" s="60">
        <f>tblJTL[[#This Row],[timeStamp]]/86400000+DATE(1970,1,1)+TIME(9,0,0)</f>
        <v>46296.418024085651</v>
      </c>
      <c r="T414" s="57">
        <f>tblJTL[[#This Row],[timeStamp]]+tblJTL[[#This Row],[elapsed]]</f>
        <v>1790816517537</v>
      </c>
      <c r="U414" s="61">
        <f>(tblJTL[[#This Row],[timeStamp]]-'17_分析サンプル'!$E$18)/1000</f>
        <v>117.101</v>
      </c>
      <c r="V414" s="57">
        <f>INT(tblJTL[[#This Row],[経過秒]]/60)</f>
        <v>1</v>
      </c>
      <c r="W414" s="57">
        <f>IF(OR(tblJTL[[#This Row],[success]]=FALSE,tblJTL[[#This Row],[success]]="false"),1,0)</f>
        <v>0</v>
      </c>
      <c r="X414" s="57">
        <f>IF(AND(tblJTL[[#This Row],[経過秒]]&gt;='17_分析サンプル'!$E$11,tblJTL[[#This Row],[経過秒]]&lt;'17_分析サンプル'!$E$12),1,0)</f>
        <v>1</v>
      </c>
    </row>
    <row r="415" spans="2:24" ht="14.4" x14ac:dyDescent="0.3">
      <c r="B415" s="57">
        <v>1790816517392</v>
      </c>
      <c r="C415" s="58">
        <v>155</v>
      </c>
      <c r="D415" s="59" t="s">
        <v>1677</v>
      </c>
      <c r="E415" s="59" t="s">
        <v>3579</v>
      </c>
      <c r="F415" s="59" t="s">
        <v>3580</v>
      </c>
      <c r="G415" s="59" t="s">
        <v>3584</v>
      </c>
      <c r="H415" s="59" t="s">
        <v>2281</v>
      </c>
      <c r="I415" s="59" t="b">
        <v>1</v>
      </c>
      <c r="J415" s="59"/>
      <c r="K415" s="58">
        <v>420</v>
      </c>
      <c r="L415" s="58">
        <v>1478</v>
      </c>
      <c r="M415" s="59">
        <v>10</v>
      </c>
      <c r="N415" s="59">
        <v>10</v>
      </c>
      <c r="O415" s="59" t="s">
        <v>3581</v>
      </c>
      <c r="P415" s="58">
        <v>148</v>
      </c>
      <c r="Q415" s="59">
        <v>0</v>
      </c>
      <c r="R415" s="59">
        <v>0</v>
      </c>
      <c r="S415" s="60">
        <f>tblJTL[[#This Row],[timeStamp]]/86400000+DATE(1970,1,1)+TIME(9,0,0)</f>
        <v>46296.418025370367</v>
      </c>
      <c r="T415" s="57">
        <f>tblJTL[[#This Row],[timeStamp]]+tblJTL[[#This Row],[elapsed]]</f>
        <v>1790816517547</v>
      </c>
      <c r="U415" s="61">
        <f>(tblJTL[[#This Row],[timeStamp]]-'17_分析サンプル'!$E$18)/1000</f>
        <v>117.212</v>
      </c>
      <c r="V415" s="57">
        <f>INT(tblJTL[[#This Row],[経過秒]]/60)</f>
        <v>1</v>
      </c>
      <c r="W415" s="57">
        <f>IF(OR(tblJTL[[#This Row],[success]]=FALSE,tblJTL[[#This Row],[success]]="false"),1,0)</f>
        <v>0</v>
      </c>
      <c r="X415" s="57">
        <f>IF(AND(tblJTL[[#This Row],[経過秒]]&gt;='17_分析サンプル'!$E$11,tblJTL[[#This Row],[経過秒]]&lt;'17_分析サンプル'!$E$12),1,0)</f>
        <v>1</v>
      </c>
    </row>
    <row r="416" spans="2:24" ht="14.4" x14ac:dyDescent="0.3">
      <c r="B416" s="57">
        <v>1790816517637</v>
      </c>
      <c r="C416" s="58">
        <v>128</v>
      </c>
      <c r="D416" s="59" t="s">
        <v>1658</v>
      </c>
      <c r="E416" s="59" t="s">
        <v>1577</v>
      </c>
      <c r="F416" s="59" t="s">
        <v>2275</v>
      </c>
      <c r="G416" s="59" t="s">
        <v>3586</v>
      </c>
      <c r="H416" s="59" t="s">
        <v>2281</v>
      </c>
      <c r="I416" s="59" t="b">
        <v>1</v>
      </c>
      <c r="J416" s="59"/>
      <c r="K416" s="58">
        <v>1850</v>
      </c>
      <c r="L416" s="58">
        <v>1342</v>
      </c>
      <c r="M416" s="59">
        <v>10</v>
      </c>
      <c r="N416" s="59">
        <v>10</v>
      </c>
      <c r="O416" s="59" t="s">
        <v>3578</v>
      </c>
      <c r="P416" s="58">
        <v>123</v>
      </c>
      <c r="Q416" s="59">
        <v>0</v>
      </c>
      <c r="R416" s="59">
        <v>0</v>
      </c>
      <c r="S416" s="60">
        <f>tblJTL[[#This Row],[timeStamp]]/86400000+DATE(1970,1,1)+TIME(9,0,0)</f>
        <v>46296.418028206019</v>
      </c>
      <c r="T416" s="57">
        <f>tblJTL[[#This Row],[timeStamp]]+tblJTL[[#This Row],[elapsed]]</f>
        <v>1790816517765</v>
      </c>
      <c r="U416" s="61">
        <f>(tblJTL[[#This Row],[timeStamp]]-'17_分析サンプル'!$E$18)/1000</f>
        <v>117.45699999999999</v>
      </c>
      <c r="V416" s="57">
        <f>INT(tblJTL[[#This Row],[経過秒]]/60)</f>
        <v>1</v>
      </c>
      <c r="W416" s="57">
        <f>IF(OR(tblJTL[[#This Row],[success]]=FALSE,tblJTL[[#This Row],[success]]="false"),1,0)</f>
        <v>0</v>
      </c>
      <c r="X416" s="57">
        <f>IF(AND(tblJTL[[#This Row],[経過秒]]&gt;='17_分析サンプル'!$E$11,tblJTL[[#This Row],[経過秒]]&lt;'17_分析サンプル'!$E$12),1,0)</f>
        <v>1</v>
      </c>
    </row>
    <row r="417" spans="2:24" ht="14.4" x14ac:dyDescent="0.3">
      <c r="B417" s="57">
        <v>1790816518094</v>
      </c>
      <c r="C417" s="58">
        <v>148</v>
      </c>
      <c r="D417" s="59" t="s">
        <v>1658</v>
      </c>
      <c r="E417" s="59" t="s">
        <v>1577</v>
      </c>
      <c r="F417" s="59" t="s">
        <v>2275</v>
      </c>
      <c r="G417" s="59" t="s">
        <v>3589</v>
      </c>
      <c r="H417" s="59" t="s">
        <v>2281</v>
      </c>
      <c r="I417" s="59" t="b">
        <v>1</v>
      </c>
      <c r="J417" s="59"/>
      <c r="K417" s="58">
        <v>1883</v>
      </c>
      <c r="L417" s="58">
        <v>1342</v>
      </c>
      <c r="M417" s="59">
        <v>10</v>
      </c>
      <c r="N417" s="59">
        <v>10</v>
      </c>
      <c r="O417" s="59" t="s">
        <v>3578</v>
      </c>
      <c r="P417" s="58">
        <v>141</v>
      </c>
      <c r="Q417" s="59">
        <v>0</v>
      </c>
      <c r="R417" s="59">
        <v>65</v>
      </c>
      <c r="S417" s="60">
        <f>tblJTL[[#This Row],[timeStamp]]/86400000+DATE(1970,1,1)+TIME(9,0,0)</f>
        <v>46296.418033495371</v>
      </c>
      <c r="T417" s="57">
        <f>tblJTL[[#This Row],[timeStamp]]+tblJTL[[#This Row],[elapsed]]</f>
        <v>1790816518242</v>
      </c>
      <c r="U417" s="61">
        <f>(tblJTL[[#This Row],[timeStamp]]-'17_分析サンプル'!$E$18)/1000</f>
        <v>117.914</v>
      </c>
      <c r="V417" s="57">
        <f>INT(tblJTL[[#This Row],[経過秒]]/60)</f>
        <v>1</v>
      </c>
      <c r="W417" s="57">
        <f>IF(OR(tblJTL[[#This Row],[success]]=FALSE,tblJTL[[#This Row],[success]]="false"),1,0)</f>
        <v>0</v>
      </c>
      <c r="X417" s="57">
        <f>IF(AND(tblJTL[[#This Row],[経過秒]]&gt;='17_分析サンプル'!$E$11,tblJTL[[#This Row],[経過秒]]&lt;'17_分析サンプル'!$E$12),1,0)</f>
        <v>1</v>
      </c>
    </row>
    <row r="418" spans="2:24" ht="14.4" x14ac:dyDescent="0.3">
      <c r="B418" s="57">
        <v>1790816518052</v>
      </c>
      <c r="C418" s="58">
        <v>312</v>
      </c>
      <c r="D418" s="59" t="s">
        <v>1677</v>
      </c>
      <c r="E418" s="59" t="s">
        <v>3579</v>
      </c>
      <c r="F418" s="59" t="s">
        <v>3580</v>
      </c>
      <c r="G418" s="59" t="s">
        <v>3588</v>
      </c>
      <c r="H418" s="59" t="s">
        <v>2281</v>
      </c>
      <c r="I418" s="59" t="b">
        <v>1</v>
      </c>
      <c r="J418" s="59"/>
      <c r="K418" s="58">
        <v>417</v>
      </c>
      <c r="L418" s="58">
        <v>1478</v>
      </c>
      <c r="M418" s="59">
        <v>10</v>
      </c>
      <c r="N418" s="59">
        <v>10</v>
      </c>
      <c r="O418" s="59" t="s">
        <v>3581</v>
      </c>
      <c r="P418" s="58">
        <v>305</v>
      </c>
      <c r="Q418" s="59">
        <v>0</v>
      </c>
      <c r="R418" s="59">
        <v>0</v>
      </c>
      <c r="S418" s="60">
        <f>tblJTL[[#This Row],[timeStamp]]/86400000+DATE(1970,1,1)+TIME(9,0,0)</f>
        <v>46296.418033009264</v>
      </c>
      <c r="T418" s="57">
        <f>tblJTL[[#This Row],[timeStamp]]+tblJTL[[#This Row],[elapsed]]</f>
        <v>1790816518364</v>
      </c>
      <c r="U418" s="61">
        <f>(tblJTL[[#This Row],[timeStamp]]-'17_分析サンプル'!$E$18)/1000</f>
        <v>117.872</v>
      </c>
      <c r="V418" s="57">
        <f>INT(tblJTL[[#This Row],[経過秒]]/60)</f>
        <v>1</v>
      </c>
      <c r="W418" s="57">
        <f>IF(OR(tblJTL[[#This Row],[success]]=FALSE,tblJTL[[#This Row],[success]]="false"),1,0)</f>
        <v>0</v>
      </c>
      <c r="X418" s="57">
        <f>IF(AND(tblJTL[[#This Row],[経過秒]]&gt;='17_分析サンプル'!$E$11,tblJTL[[#This Row],[経過秒]]&lt;'17_分析サンプル'!$E$12),1,0)</f>
        <v>1</v>
      </c>
    </row>
    <row r="419" spans="2:24" ht="14.4" x14ac:dyDescent="0.3">
      <c r="B419" s="57">
        <v>1790816518683</v>
      </c>
      <c r="C419" s="58">
        <v>166</v>
      </c>
      <c r="D419" s="59" t="s">
        <v>1658</v>
      </c>
      <c r="E419" s="59" t="s">
        <v>1577</v>
      </c>
      <c r="F419" s="59" t="s">
        <v>2275</v>
      </c>
      <c r="G419" s="59" t="s">
        <v>3584</v>
      </c>
      <c r="H419" s="59" t="s">
        <v>2281</v>
      </c>
      <c r="I419" s="59" t="b">
        <v>1</v>
      </c>
      <c r="J419" s="59"/>
      <c r="K419" s="58">
        <v>1833</v>
      </c>
      <c r="L419" s="58">
        <v>1342</v>
      </c>
      <c r="M419" s="59">
        <v>10</v>
      </c>
      <c r="N419" s="59">
        <v>10</v>
      </c>
      <c r="O419" s="59" t="s">
        <v>3578</v>
      </c>
      <c r="P419" s="58">
        <v>158</v>
      </c>
      <c r="Q419" s="59">
        <v>0</v>
      </c>
      <c r="R419" s="59">
        <v>0</v>
      </c>
      <c r="S419" s="60">
        <f>tblJTL[[#This Row],[timeStamp]]/86400000+DATE(1970,1,1)+TIME(9,0,0)</f>
        <v>46296.418040312499</v>
      </c>
      <c r="T419" s="57">
        <f>tblJTL[[#This Row],[timeStamp]]+tblJTL[[#This Row],[elapsed]]</f>
        <v>1790816518849</v>
      </c>
      <c r="U419" s="61">
        <f>(tblJTL[[#This Row],[timeStamp]]-'17_分析サンプル'!$E$18)/1000</f>
        <v>118.503</v>
      </c>
      <c r="V419" s="57">
        <f>INT(tblJTL[[#This Row],[経過秒]]/60)</f>
        <v>1</v>
      </c>
      <c r="W419" s="57">
        <f>IF(OR(tblJTL[[#This Row],[success]]=FALSE,tblJTL[[#This Row],[success]]="false"),1,0)</f>
        <v>0</v>
      </c>
      <c r="X419" s="57">
        <f>IF(AND(tblJTL[[#This Row],[経過秒]]&gt;='17_分析サンプル'!$E$11,tblJTL[[#This Row],[経過秒]]&lt;'17_分析サンプル'!$E$12),1,0)</f>
        <v>1</v>
      </c>
    </row>
    <row r="420" spans="2:24" ht="14.4" x14ac:dyDescent="0.3">
      <c r="B420" s="57">
        <v>1790816518680</v>
      </c>
      <c r="C420" s="58">
        <v>249</v>
      </c>
      <c r="D420" s="59" t="s">
        <v>1677</v>
      </c>
      <c r="E420" s="59" t="s">
        <v>3579</v>
      </c>
      <c r="F420" s="59" t="s">
        <v>3580</v>
      </c>
      <c r="G420" s="59" t="s">
        <v>2278</v>
      </c>
      <c r="H420" s="59" t="s">
        <v>2281</v>
      </c>
      <c r="I420" s="59" t="b">
        <v>1</v>
      </c>
      <c r="J420" s="59"/>
      <c r="K420" s="58">
        <v>440</v>
      </c>
      <c r="L420" s="58">
        <v>1478</v>
      </c>
      <c r="M420" s="59">
        <v>10</v>
      </c>
      <c r="N420" s="59">
        <v>10</v>
      </c>
      <c r="O420" s="59" t="s">
        <v>3581</v>
      </c>
      <c r="P420" s="58">
        <v>246</v>
      </c>
      <c r="Q420" s="59">
        <v>0</v>
      </c>
      <c r="R420" s="59">
        <v>0</v>
      </c>
      <c r="S420" s="60">
        <f>tblJTL[[#This Row],[timeStamp]]/86400000+DATE(1970,1,1)+TIME(9,0,0)</f>
        <v>46296.418040277778</v>
      </c>
      <c r="T420" s="57">
        <f>tblJTL[[#This Row],[timeStamp]]+tblJTL[[#This Row],[elapsed]]</f>
        <v>1790816518929</v>
      </c>
      <c r="U420" s="61">
        <f>(tblJTL[[#This Row],[timeStamp]]-'17_分析サンプル'!$E$18)/1000</f>
        <v>118.5</v>
      </c>
      <c r="V420" s="57">
        <f>INT(tblJTL[[#This Row],[経過秒]]/60)</f>
        <v>1</v>
      </c>
      <c r="W420" s="57">
        <f>IF(OR(tblJTL[[#This Row],[success]]=FALSE,tblJTL[[#This Row],[success]]="false"),1,0)</f>
        <v>0</v>
      </c>
      <c r="X420" s="57">
        <f>IF(AND(tblJTL[[#This Row],[経過秒]]&gt;='17_分析サンプル'!$E$11,tblJTL[[#This Row],[経過秒]]&lt;'17_分析サンプル'!$E$12),1,0)</f>
        <v>1</v>
      </c>
    </row>
    <row r="421" spans="2:24" ht="14.4" x14ac:dyDescent="0.3">
      <c r="B421" s="57">
        <v>1790816518765</v>
      </c>
      <c r="C421" s="58">
        <v>353</v>
      </c>
      <c r="D421" s="59" t="s">
        <v>1677</v>
      </c>
      <c r="E421" s="59" t="s">
        <v>3579</v>
      </c>
      <c r="F421" s="59" t="s">
        <v>3580</v>
      </c>
      <c r="G421" s="59" t="s">
        <v>3583</v>
      </c>
      <c r="H421" s="59" t="s">
        <v>2281</v>
      </c>
      <c r="I421" s="59" t="b">
        <v>1</v>
      </c>
      <c r="J421" s="59"/>
      <c r="K421" s="58">
        <v>422</v>
      </c>
      <c r="L421" s="58">
        <v>1478</v>
      </c>
      <c r="M421" s="59">
        <v>10</v>
      </c>
      <c r="N421" s="59">
        <v>10</v>
      </c>
      <c r="O421" s="59" t="s">
        <v>3581</v>
      </c>
      <c r="P421" s="58">
        <v>349</v>
      </c>
      <c r="Q421" s="59">
        <v>0</v>
      </c>
      <c r="R421" s="59">
        <v>0</v>
      </c>
      <c r="S421" s="60">
        <f>tblJTL[[#This Row],[timeStamp]]/86400000+DATE(1970,1,1)+TIME(9,0,0)</f>
        <v>46296.418041261575</v>
      </c>
      <c r="T421" s="57">
        <f>tblJTL[[#This Row],[timeStamp]]+tblJTL[[#This Row],[elapsed]]</f>
        <v>1790816519118</v>
      </c>
      <c r="U421" s="61">
        <f>(tblJTL[[#This Row],[timeStamp]]-'17_分析サンプル'!$E$18)/1000</f>
        <v>118.58499999999999</v>
      </c>
      <c r="V421" s="57">
        <f>INT(tblJTL[[#This Row],[経過秒]]/60)</f>
        <v>1</v>
      </c>
      <c r="W421" s="57">
        <f>IF(OR(tblJTL[[#This Row],[success]]=FALSE,tblJTL[[#This Row],[success]]="false"),1,0)</f>
        <v>0</v>
      </c>
      <c r="X421" s="57">
        <f>IF(AND(tblJTL[[#This Row],[経過秒]]&gt;='17_分析サンプル'!$E$11,tblJTL[[#This Row],[経過秒]]&lt;'17_分析サンプル'!$E$12),1,0)</f>
        <v>1</v>
      </c>
    </row>
    <row r="422" spans="2:24" ht="14.4" x14ac:dyDescent="0.3">
      <c r="B422" s="57">
        <v>1790816519048</v>
      </c>
      <c r="C422" s="58">
        <v>210</v>
      </c>
      <c r="D422" s="59" t="s">
        <v>1677</v>
      </c>
      <c r="E422" s="59" t="s">
        <v>3579</v>
      </c>
      <c r="F422" s="59" t="s">
        <v>3580</v>
      </c>
      <c r="G422" s="59" t="s">
        <v>3587</v>
      </c>
      <c r="H422" s="59" t="s">
        <v>2281</v>
      </c>
      <c r="I422" s="59" t="b">
        <v>1</v>
      </c>
      <c r="J422" s="59"/>
      <c r="K422" s="58">
        <v>433</v>
      </c>
      <c r="L422" s="58">
        <v>1478</v>
      </c>
      <c r="M422" s="59">
        <v>10</v>
      </c>
      <c r="N422" s="59">
        <v>10</v>
      </c>
      <c r="O422" s="59" t="s">
        <v>3581</v>
      </c>
      <c r="P422" s="58">
        <v>206</v>
      </c>
      <c r="Q422" s="59">
        <v>0</v>
      </c>
      <c r="R422" s="59">
        <v>0</v>
      </c>
      <c r="S422" s="60">
        <f>tblJTL[[#This Row],[timeStamp]]/86400000+DATE(1970,1,1)+TIME(9,0,0)</f>
        <v>46296.418044537037</v>
      </c>
      <c r="T422" s="57">
        <f>tblJTL[[#This Row],[timeStamp]]+tblJTL[[#This Row],[elapsed]]</f>
        <v>1790816519258</v>
      </c>
      <c r="U422" s="61">
        <f>(tblJTL[[#This Row],[timeStamp]]-'17_分析サンプル'!$E$18)/1000</f>
        <v>118.86799999999999</v>
      </c>
      <c r="V422" s="57">
        <f>INT(tblJTL[[#This Row],[経過秒]]/60)</f>
        <v>1</v>
      </c>
      <c r="W422" s="57">
        <f>IF(OR(tblJTL[[#This Row],[success]]=FALSE,tblJTL[[#This Row],[success]]="false"),1,0)</f>
        <v>0</v>
      </c>
      <c r="X422" s="57">
        <f>IF(AND(tblJTL[[#This Row],[経過秒]]&gt;='17_分析サンプル'!$E$11,tblJTL[[#This Row],[経過秒]]&lt;'17_分析サンプル'!$E$12),1,0)</f>
        <v>1</v>
      </c>
    </row>
    <row r="423" spans="2:24" ht="14.4" x14ac:dyDescent="0.3">
      <c r="B423" s="57">
        <v>1790816519390</v>
      </c>
      <c r="C423" s="58">
        <v>88</v>
      </c>
      <c r="D423" s="59" t="s">
        <v>1658</v>
      </c>
      <c r="E423" s="59" t="s">
        <v>1577</v>
      </c>
      <c r="F423" s="59" t="s">
        <v>2275</v>
      </c>
      <c r="G423" s="59" t="s">
        <v>3582</v>
      </c>
      <c r="H423" s="59" t="s">
        <v>2281</v>
      </c>
      <c r="I423" s="59" t="b">
        <v>1</v>
      </c>
      <c r="J423" s="59"/>
      <c r="K423" s="58">
        <v>1882</v>
      </c>
      <c r="L423" s="58">
        <v>1342</v>
      </c>
      <c r="M423" s="59">
        <v>10</v>
      </c>
      <c r="N423" s="59">
        <v>10</v>
      </c>
      <c r="O423" s="59" t="s">
        <v>3578</v>
      </c>
      <c r="P423" s="58">
        <v>81</v>
      </c>
      <c r="Q423" s="59">
        <v>0</v>
      </c>
      <c r="R423" s="59">
        <v>0</v>
      </c>
      <c r="S423" s="60">
        <f>tblJTL[[#This Row],[timeStamp]]/86400000+DATE(1970,1,1)+TIME(9,0,0)</f>
        <v>46296.418048495369</v>
      </c>
      <c r="T423" s="57">
        <f>tblJTL[[#This Row],[timeStamp]]+tblJTL[[#This Row],[elapsed]]</f>
        <v>1790816519478</v>
      </c>
      <c r="U423" s="61">
        <f>(tblJTL[[#This Row],[timeStamp]]-'17_分析サンプル'!$E$18)/1000</f>
        <v>119.21</v>
      </c>
      <c r="V423" s="57">
        <f>INT(tblJTL[[#This Row],[経過秒]]/60)</f>
        <v>1</v>
      </c>
      <c r="W423" s="57">
        <f>IF(OR(tblJTL[[#This Row],[success]]=FALSE,tblJTL[[#This Row],[success]]="false"),1,0)</f>
        <v>0</v>
      </c>
      <c r="X423" s="57">
        <f>IF(AND(tblJTL[[#This Row],[経過秒]]&gt;='17_分析サンプル'!$E$11,tblJTL[[#This Row],[経過秒]]&lt;'17_分析サンプル'!$E$12),1,0)</f>
        <v>1</v>
      </c>
    </row>
    <row r="424" spans="2:24" ht="14.4" x14ac:dyDescent="0.3">
      <c r="B424" s="57">
        <v>1790816519452</v>
      </c>
      <c r="C424" s="58">
        <v>138</v>
      </c>
      <c r="D424" s="59" t="s">
        <v>1677</v>
      </c>
      <c r="E424" s="59" t="s">
        <v>3579</v>
      </c>
      <c r="F424" s="59" t="s">
        <v>3580</v>
      </c>
      <c r="G424" s="59" t="s">
        <v>3585</v>
      </c>
      <c r="H424" s="59" t="s">
        <v>2281</v>
      </c>
      <c r="I424" s="59" t="b">
        <v>1</v>
      </c>
      <c r="J424" s="59"/>
      <c r="K424" s="58">
        <v>429</v>
      </c>
      <c r="L424" s="58">
        <v>1478</v>
      </c>
      <c r="M424" s="59">
        <v>10</v>
      </c>
      <c r="N424" s="59">
        <v>10</v>
      </c>
      <c r="O424" s="59" t="s">
        <v>3581</v>
      </c>
      <c r="P424" s="58">
        <v>131</v>
      </c>
      <c r="Q424" s="59">
        <v>0</v>
      </c>
      <c r="R424" s="59">
        <v>0</v>
      </c>
      <c r="S424" s="60">
        <f>tblJTL[[#This Row],[timeStamp]]/86400000+DATE(1970,1,1)+TIME(9,0,0)</f>
        <v>46296.418049212967</v>
      </c>
      <c r="T424" s="57">
        <f>tblJTL[[#This Row],[timeStamp]]+tblJTL[[#This Row],[elapsed]]</f>
        <v>1790816519590</v>
      </c>
      <c r="U424" s="61">
        <f>(tblJTL[[#This Row],[timeStamp]]-'17_分析サンプル'!$E$18)/1000</f>
        <v>119.27200000000001</v>
      </c>
      <c r="V424" s="57">
        <f>INT(tblJTL[[#This Row],[経過秒]]/60)</f>
        <v>1</v>
      </c>
      <c r="W424" s="57">
        <f>IF(OR(tblJTL[[#This Row],[success]]=FALSE,tblJTL[[#This Row],[success]]="false"),1,0)</f>
        <v>0</v>
      </c>
      <c r="X424" s="57">
        <f>IF(AND(tblJTL[[#This Row],[経過秒]]&gt;='17_分析サンプル'!$E$11,tblJTL[[#This Row],[経過秒]]&lt;'17_分析サンプル'!$E$12),1,0)</f>
        <v>1</v>
      </c>
    </row>
    <row r="425" spans="2:24" ht="14.4" x14ac:dyDescent="0.3">
      <c r="B425" s="57">
        <v>1790816519650</v>
      </c>
      <c r="C425" s="58">
        <v>230</v>
      </c>
      <c r="D425" s="59" t="s">
        <v>1677</v>
      </c>
      <c r="E425" s="59" t="s">
        <v>3579</v>
      </c>
      <c r="F425" s="59" t="s">
        <v>3580</v>
      </c>
      <c r="G425" s="59" t="s">
        <v>3586</v>
      </c>
      <c r="H425" s="59" t="s">
        <v>2281</v>
      </c>
      <c r="I425" s="59" t="b">
        <v>1</v>
      </c>
      <c r="J425" s="59"/>
      <c r="K425" s="58">
        <v>422</v>
      </c>
      <c r="L425" s="58">
        <v>1478</v>
      </c>
      <c r="M425" s="59">
        <v>10</v>
      </c>
      <c r="N425" s="59">
        <v>10</v>
      </c>
      <c r="O425" s="59" t="s">
        <v>3581</v>
      </c>
      <c r="P425" s="58">
        <v>224</v>
      </c>
      <c r="Q425" s="59">
        <v>0</v>
      </c>
      <c r="R425" s="59">
        <v>0</v>
      </c>
      <c r="S425" s="60">
        <f>tblJTL[[#This Row],[timeStamp]]/86400000+DATE(1970,1,1)+TIME(9,0,0)</f>
        <v>46296.418051504632</v>
      </c>
      <c r="T425" s="57">
        <f>tblJTL[[#This Row],[timeStamp]]+tblJTL[[#This Row],[elapsed]]</f>
        <v>1790816519880</v>
      </c>
      <c r="U425" s="61">
        <f>(tblJTL[[#This Row],[timeStamp]]-'17_分析サンプル'!$E$18)/1000</f>
        <v>119.47</v>
      </c>
      <c r="V425" s="57">
        <f>INT(tblJTL[[#This Row],[経過秒]]/60)</f>
        <v>1</v>
      </c>
      <c r="W425" s="57">
        <f>IF(OR(tblJTL[[#This Row],[success]]=FALSE,tblJTL[[#This Row],[success]]="false"),1,0)</f>
        <v>0</v>
      </c>
      <c r="X425" s="57">
        <f>IF(AND(tblJTL[[#This Row],[経過秒]]&gt;='17_分析サンプル'!$E$11,tblJTL[[#This Row],[経過秒]]&lt;'17_分析サンプル'!$E$12),1,0)</f>
        <v>1</v>
      </c>
    </row>
    <row r="426" spans="2:24" ht="14.4" x14ac:dyDescent="0.3">
      <c r="B426" s="57">
        <v>1790816519704</v>
      </c>
      <c r="C426" s="58">
        <v>183</v>
      </c>
      <c r="D426" s="59" t="s">
        <v>1658</v>
      </c>
      <c r="E426" s="59" t="s">
        <v>1577</v>
      </c>
      <c r="F426" s="59" t="s">
        <v>2275</v>
      </c>
      <c r="G426" s="59" t="s">
        <v>3577</v>
      </c>
      <c r="H426" s="59" t="s">
        <v>2281</v>
      </c>
      <c r="I426" s="59" t="b">
        <v>1</v>
      </c>
      <c r="J426" s="59"/>
      <c r="K426" s="58">
        <v>1891</v>
      </c>
      <c r="L426" s="58">
        <v>1342</v>
      </c>
      <c r="M426" s="59">
        <v>10</v>
      </c>
      <c r="N426" s="59">
        <v>10</v>
      </c>
      <c r="O426" s="59" t="s">
        <v>3578</v>
      </c>
      <c r="P426" s="58">
        <v>177</v>
      </c>
      <c r="Q426" s="59">
        <v>0</v>
      </c>
      <c r="R426" s="59">
        <v>0</v>
      </c>
      <c r="S426" s="60">
        <f>tblJTL[[#This Row],[timeStamp]]/86400000+DATE(1970,1,1)+TIME(9,0,0)</f>
        <v>46296.418052129629</v>
      </c>
      <c r="T426" s="57">
        <f>tblJTL[[#This Row],[timeStamp]]+tblJTL[[#This Row],[elapsed]]</f>
        <v>1790816519887</v>
      </c>
      <c r="U426" s="61">
        <f>(tblJTL[[#This Row],[timeStamp]]-'17_分析サンプル'!$E$18)/1000</f>
        <v>119.524</v>
      </c>
      <c r="V426" s="57">
        <f>INT(tblJTL[[#This Row],[経過秒]]/60)</f>
        <v>1</v>
      </c>
      <c r="W426" s="57">
        <f>IF(OR(tblJTL[[#This Row],[success]]=FALSE,tblJTL[[#This Row],[success]]="false"),1,0)</f>
        <v>0</v>
      </c>
      <c r="X426" s="57">
        <f>IF(AND(tblJTL[[#This Row],[経過秒]]&gt;='17_分析サンプル'!$E$11,tblJTL[[#This Row],[経過秒]]&lt;'17_分析サンプル'!$E$12),1,0)</f>
        <v>1</v>
      </c>
    </row>
    <row r="427" spans="2:24" ht="14.4" x14ac:dyDescent="0.3">
      <c r="B427" s="57">
        <v>1790816519999</v>
      </c>
      <c r="C427" s="58">
        <v>90</v>
      </c>
      <c r="D427" s="59" t="s">
        <v>1658</v>
      </c>
      <c r="E427" s="59" t="s">
        <v>1577</v>
      </c>
      <c r="F427" s="59" t="s">
        <v>2275</v>
      </c>
      <c r="G427" s="59" t="s">
        <v>3588</v>
      </c>
      <c r="H427" s="59" t="s">
        <v>2281</v>
      </c>
      <c r="I427" s="59" t="b">
        <v>1</v>
      </c>
      <c r="J427" s="59"/>
      <c r="K427" s="58">
        <v>1854</v>
      </c>
      <c r="L427" s="58">
        <v>1342</v>
      </c>
      <c r="M427" s="59">
        <v>10</v>
      </c>
      <c r="N427" s="59">
        <v>10</v>
      </c>
      <c r="O427" s="59" t="s">
        <v>3578</v>
      </c>
      <c r="P427" s="58">
        <v>84</v>
      </c>
      <c r="Q427" s="59">
        <v>0</v>
      </c>
      <c r="R427" s="59">
        <v>0</v>
      </c>
      <c r="S427" s="60">
        <f>tblJTL[[#This Row],[timeStamp]]/86400000+DATE(1970,1,1)+TIME(9,0,0)</f>
        <v>46296.418055543982</v>
      </c>
      <c r="T427" s="57">
        <f>tblJTL[[#This Row],[timeStamp]]+tblJTL[[#This Row],[elapsed]]</f>
        <v>1790816520089</v>
      </c>
      <c r="U427" s="61">
        <f>(tblJTL[[#This Row],[timeStamp]]-'17_分析サンプル'!$E$18)/1000</f>
        <v>119.819</v>
      </c>
      <c r="V427" s="57">
        <f>INT(tblJTL[[#This Row],[経過秒]]/60)</f>
        <v>1</v>
      </c>
      <c r="W427" s="57">
        <f>IF(OR(tblJTL[[#This Row],[success]]=FALSE,tblJTL[[#This Row],[success]]="false"),1,0)</f>
        <v>0</v>
      </c>
      <c r="X427" s="57">
        <f>IF(AND(tblJTL[[#This Row],[経過秒]]&gt;='17_分析サンプル'!$E$11,tblJTL[[#This Row],[経過秒]]&lt;'17_分析サンプル'!$E$12),1,0)</f>
        <v>1</v>
      </c>
    </row>
    <row r="428" spans="2:24" ht="14.4" x14ac:dyDescent="0.3">
      <c r="B428" s="57">
        <v>1790816520274</v>
      </c>
      <c r="C428" s="58">
        <v>283</v>
      </c>
      <c r="D428" s="59" t="s">
        <v>1677</v>
      </c>
      <c r="E428" s="59" t="s">
        <v>3579</v>
      </c>
      <c r="F428" s="59" t="s">
        <v>3580</v>
      </c>
      <c r="G428" s="59" t="s">
        <v>3589</v>
      </c>
      <c r="H428" s="59" t="s">
        <v>2281</v>
      </c>
      <c r="I428" s="59" t="b">
        <v>1</v>
      </c>
      <c r="J428" s="59"/>
      <c r="K428" s="58">
        <v>430</v>
      </c>
      <c r="L428" s="58">
        <v>1478</v>
      </c>
      <c r="M428" s="59">
        <v>10</v>
      </c>
      <c r="N428" s="59">
        <v>10</v>
      </c>
      <c r="O428" s="59" t="s">
        <v>3581</v>
      </c>
      <c r="P428" s="58">
        <v>281</v>
      </c>
      <c r="Q428" s="59">
        <v>0</v>
      </c>
      <c r="R428" s="59">
        <v>0</v>
      </c>
      <c r="S428" s="60">
        <f>tblJTL[[#This Row],[timeStamp]]/86400000+DATE(1970,1,1)+TIME(9,0,0)</f>
        <v>46296.418058726849</v>
      </c>
      <c r="T428" s="57">
        <f>tblJTL[[#This Row],[timeStamp]]+tblJTL[[#This Row],[elapsed]]</f>
        <v>1790816520557</v>
      </c>
      <c r="U428" s="61">
        <f>(tblJTL[[#This Row],[timeStamp]]-'17_分析サンプル'!$E$18)/1000</f>
        <v>120.09399999999999</v>
      </c>
      <c r="V428" s="57">
        <f>INT(tblJTL[[#This Row],[経過秒]]/60)</f>
        <v>2</v>
      </c>
      <c r="W428" s="57">
        <f>IF(OR(tblJTL[[#This Row],[success]]=FALSE,tblJTL[[#This Row],[success]]="false"),1,0)</f>
        <v>0</v>
      </c>
      <c r="X428" s="57">
        <f>IF(AND(tblJTL[[#This Row],[経過秒]]&gt;='17_分析サンプル'!$E$11,tblJTL[[#This Row],[経過秒]]&lt;'17_分析サンプル'!$E$12),1,0)</f>
        <v>1</v>
      </c>
    </row>
    <row r="429" spans="2:24" ht="14.4" x14ac:dyDescent="0.3">
      <c r="B429" s="57">
        <v>1790816520376</v>
      </c>
      <c r="C429" s="58">
        <v>193</v>
      </c>
      <c r="D429" s="59" t="s">
        <v>1658</v>
      </c>
      <c r="E429" s="59" t="s">
        <v>1577</v>
      </c>
      <c r="F429" s="59" t="s">
        <v>2275</v>
      </c>
      <c r="G429" s="59" t="s">
        <v>3587</v>
      </c>
      <c r="H429" s="59" t="s">
        <v>2281</v>
      </c>
      <c r="I429" s="59" t="b">
        <v>1</v>
      </c>
      <c r="J429" s="59"/>
      <c r="K429" s="58">
        <v>1855</v>
      </c>
      <c r="L429" s="58">
        <v>1342</v>
      </c>
      <c r="M429" s="59">
        <v>10</v>
      </c>
      <c r="N429" s="59">
        <v>10</v>
      </c>
      <c r="O429" s="59" t="s">
        <v>3578</v>
      </c>
      <c r="P429" s="58">
        <v>187</v>
      </c>
      <c r="Q429" s="59">
        <v>0</v>
      </c>
      <c r="R429" s="59">
        <v>0</v>
      </c>
      <c r="S429" s="60">
        <f>tblJTL[[#This Row],[timeStamp]]/86400000+DATE(1970,1,1)+TIME(9,0,0)</f>
        <v>46296.418059907402</v>
      </c>
      <c r="T429" s="57">
        <f>tblJTL[[#This Row],[timeStamp]]+tblJTL[[#This Row],[elapsed]]</f>
        <v>1790816520569</v>
      </c>
      <c r="U429" s="61">
        <f>(tblJTL[[#This Row],[timeStamp]]-'17_分析サンプル'!$E$18)/1000</f>
        <v>120.196</v>
      </c>
      <c r="V429" s="57">
        <f>INT(tblJTL[[#This Row],[経過秒]]/60)</f>
        <v>2</v>
      </c>
      <c r="W429" s="57">
        <f>IF(OR(tblJTL[[#This Row],[success]]=FALSE,tblJTL[[#This Row],[success]]="false"),1,0)</f>
        <v>0</v>
      </c>
      <c r="X429" s="57">
        <f>IF(AND(tblJTL[[#This Row],[経過秒]]&gt;='17_分析サンプル'!$E$11,tblJTL[[#This Row],[経過秒]]&lt;'17_分析サンプル'!$E$12),1,0)</f>
        <v>1</v>
      </c>
    </row>
    <row r="430" spans="2:24" ht="14.4" x14ac:dyDescent="0.3">
      <c r="B430" s="57">
        <v>1790816520806</v>
      </c>
      <c r="C430" s="58">
        <v>104</v>
      </c>
      <c r="D430" s="59" t="s">
        <v>1658</v>
      </c>
      <c r="E430" s="59" t="s">
        <v>1577</v>
      </c>
      <c r="F430" s="59" t="s">
        <v>2275</v>
      </c>
      <c r="G430" s="59" t="s">
        <v>2278</v>
      </c>
      <c r="H430" s="59" t="s">
        <v>2281</v>
      </c>
      <c r="I430" s="59" t="b">
        <v>1</v>
      </c>
      <c r="J430" s="59"/>
      <c r="K430" s="58">
        <v>1877</v>
      </c>
      <c r="L430" s="58">
        <v>1342</v>
      </c>
      <c r="M430" s="59">
        <v>10</v>
      </c>
      <c r="N430" s="59">
        <v>10</v>
      </c>
      <c r="O430" s="59" t="s">
        <v>3578</v>
      </c>
      <c r="P430" s="58">
        <v>102</v>
      </c>
      <c r="Q430" s="59">
        <v>0</v>
      </c>
      <c r="R430" s="59">
        <v>0</v>
      </c>
      <c r="S430" s="60">
        <f>tblJTL[[#This Row],[timeStamp]]/86400000+DATE(1970,1,1)+TIME(9,0,0)</f>
        <v>46296.418064884259</v>
      </c>
      <c r="T430" s="57">
        <f>tblJTL[[#This Row],[timeStamp]]+tblJTL[[#This Row],[elapsed]]</f>
        <v>1790816520910</v>
      </c>
      <c r="U430" s="61">
        <f>(tblJTL[[#This Row],[timeStamp]]-'17_分析サンプル'!$E$18)/1000</f>
        <v>120.626</v>
      </c>
      <c r="V430" s="57">
        <f>INT(tblJTL[[#This Row],[経過秒]]/60)</f>
        <v>2</v>
      </c>
      <c r="W430" s="57">
        <f>IF(OR(tblJTL[[#This Row],[success]]=FALSE,tblJTL[[#This Row],[success]]="false"),1,0)</f>
        <v>0</v>
      </c>
      <c r="X430" s="57">
        <f>IF(AND(tblJTL[[#This Row],[経過秒]]&gt;='17_分析サンプル'!$E$11,tblJTL[[#This Row],[経過秒]]&lt;'17_分析サンプル'!$E$12),1,0)</f>
        <v>1</v>
      </c>
    </row>
    <row r="431" spans="2:24" ht="14.4" x14ac:dyDescent="0.3">
      <c r="B431" s="57">
        <v>1790816521112</v>
      </c>
      <c r="C431" s="58">
        <v>155</v>
      </c>
      <c r="D431" s="59" t="s">
        <v>1658</v>
      </c>
      <c r="E431" s="59" t="s">
        <v>1577</v>
      </c>
      <c r="F431" s="59" t="s">
        <v>2275</v>
      </c>
      <c r="G431" s="59" t="s">
        <v>3585</v>
      </c>
      <c r="H431" s="59" t="s">
        <v>2281</v>
      </c>
      <c r="I431" s="59" t="b">
        <v>1</v>
      </c>
      <c r="J431" s="59"/>
      <c r="K431" s="58">
        <v>1826</v>
      </c>
      <c r="L431" s="58">
        <v>1342</v>
      </c>
      <c r="M431" s="59">
        <v>10</v>
      </c>
      <c r="N431" s="59">
        <v>10</v>
      </c>
      <c r="O431" s="59" t="s">
        <v>3578</v>
      </c>
      <c r="P431" s="58">
        <v>150</v>
      </c>
      <c r="Q431" s="59">
        <v>0</v>
      </c>
      <c r="R431" s="59">
        <v>0</v>
      </c>
      <c r="S431" s="60">
        <f>tblJTL[[#This Row],[timeStamp]]/86400000+DATE(1970,1,1)+TIME(9,0,0)</f>
        <v>46296.418068425926</v>
      </c>
      <c r="T431" s="57">
        <f>tblJTL[[#This Row],[timeStamp]]+tblJTL[[#This Row],[elapsed]]</f>
        <v>1790816521267</v>
      </c>
      <c r="U431" s="61">
        <f>(tblJTL[[#This Row],[timeStamp]]-'17_分析サンプル'!$E$18)/1000</f>
        <v>120.932</v>
      </c>
      <c r="V431" s="57">
        <f>INT(tblJTL[[#This Row],[経過秒]]/60)</f>
        <v>2</v>
      </c>
      <c r="W431" s="57">
        <f>IF(OR(tblJTL[[#This Row],[success]]=FALSE,tblJTL[[#This Row],[success]]="false"),1,0)</f>
        <v>0</v>
      </c>
      <c r="X431" s="57">
        <f>IF(AND(tblJTL[[#This Row],[経過秒]]&gt;='17_分析サンプル'!$E$11,tblJTL[[#This Row],[経過秒]]&lt;'17_分析サンプル'!$E$12),1,0)</f>
        <v>1</v>
      </c>
    </row>
    <row r="432" spans="2:24" ht="14.4" x14ac:dyDescent="0.3">
      <c r="B432" s="57">
        <v>1790816521162</v>
      </c>
      <c r="C432" s="58">
        <v>319</v>
      </c>
      <c r="D432" s="59" t="s">
        <v>1677</v>
      </c>
      <c r="E432" s="59" t="s">
        <v>3579</v>
      </c>
      <c r="F432" s="59" t="s">
        <v>3580</v>
      </c>
      <c r="G432" s="59" t="s">
        <v>3584</v>
      </c>
      <c r="H432" s="59" t="s">
        <v>2281</v>
      </c>
      <c r="I432" s="59" t="b">
        <v>1</v>
      </c>
      <c r="J432" s="59"/>
      <c r="K432" s="58">
        <v>431</v>
      </c>
      <c r="L432" s="58">
        <v>1478</v>
      </c>
      <c r="M432" s="59">
        <v>10</v>
      </c>
      <c r="N432" s="59">
        <v>10</v>
      </c>
      <c r="O432" s="59" t="s">
        <v>3581</v>
      </c>
      <c r="P432" s="58">
        <v>316</v>
      </c>
      <c r="Q432" s="59">
        <v>0</v>
      </c>
      <c r="R432" s="59">
        <v>0</v>
      </c>
      <c r="S432" s="60">
        <f>tblJTL[[#This Row],[timeStamp]]/86400000+DATE(1970,1,1)+TIME(9,0,0)</f>
        <v>46296.418069004634</v>
      </c>
      <c r="T432" s="57">
        <f>tblJTL[[#This Row],[timeStamp]]+tblJTL[[#This Row],[elapsed]]</f>
        <v>1790816521481</v>
      </c>
      <c r="U432" s="61">
        <f>(tblJTL[[#This Row],[timeStamp]]-'17_分析サンプル'!$E$18)/1000</f>
        <v>120.982</v>
      </c>
      <c r="V432" s="57">
        <f>INT(tblJTL[[#This Row],[経過秒]]/60)</f>
        <v>2</v>
      </c>
      <c r="W432" s="57">
        <f>IF(OR(tblJTL[[#This Row],[success]]=FALSE,tblJTL[[#This Row],[success]]="false"),1,0)</f>
        <v>0</v>
      </c>
      <c r="X432" s="57">
        <f>IF(AND(tblJTL[[#This Row],[経過秒]]&gt;='17_分析サンプル'!$E$11,tblJTL[[#This Row],[経過秒]]&lt;'17_分析サンプル'!$E$12),1,0)</f>
        <v>1</v>
      </c>
    </row>
    <row r="433" spans="2:24" ht="14.4" x14ac:dyDescent="0.3">
      <c r="B433" s="57">
        <v>1790816521279</v>
      </c>
      <c r="C433" s="58">
        <v>254</v>
      </c>
      <c r="D433" s="59" t="s">
        <v>1677</v>
      </c>
      <c r="E433" s="59" t="s">
        <v>3579</v>
      </c>
      <c r="F433" s="59" t="s">
        <v>3580</v>
      </c>
      <c r="G433" s="59" t="s">
        <v>3588</v>
      </c>
      <c r="H433" s="59" t="s">
        <v>2281</v>
      </c>
      <c r="I433" s="59" t="b">
        <v>1</v>
      </c>
      <c r="J433" s="59"/>
      <c r="K433" s="58">
        <v>438</v>
      </c>
      <c r="L433" s="58">
        <v>1478</v>
      </c>
      <c r="M433" s="59">
        <v>10</v>
      </c>
      <c r="N433" s="59">
        <v>10</v>
      </c>
      <c r="O433" s="59" t="s">
        <v>3581</v>
      </c>
      <c r="P433" s="58">
        <v>248</v>
      </c>
      <c r="Q433" s="59">
        <v>0</v>
      </c>
      <c r="R433" s="59">
        <v>0</v>
      </c>
      <c r="S433" s="60">
        <f>tblJTL[[#This Row],[timeStamp]]/86400000+DATE(1970,1,1)+TIME(9,0,0)</f>
        <v>46296.418070358792</v>
      </c>
      <c r="T433" s="57">
        <f>tblJTL[[#This Row],[timeStamp]]+tblJTL[[#This Row],[elapsed]]</f>
        <v>1790816521533</v>
      </c>
      <c r="U433" s="61">
        <f>(tblJTL[[#This Row],[timeStamp]]-'17_分析サンプル'!$E$18)/1000</f>
        <v>121.099</v>
      </c>
      <c r="V433" s="57">
        <f>INT(tblJTL[[#This Row],[経過秒]]/60)</f>
        <v>2</v>
      </c>
      <c r="W433" s="57">
        <f>IF(OR(tblJTL[[#This Row],[success]]=FALSE,tblJTL[[#This Row],[success]]="false"),1,0)</f>
        <v>0</v>
      </c>
      <c r="X433" s="57">
        <f>IF(AND(tblJTL[[#This Row],[経過秒]]&gt;='17_分析サンプル'!$E$11,tblJTL[[#This Row],[経過秒]]&lt;'17_分析サンプル'!$E$12),1,0)</f>
        <v>1</v>
      </c>
    </row>
    <row r="434" spans="2:24" ht="14.4" x14ac:dyDescent="0.3">
      <c r="B434" s="57">
        <v>1790816521404</v>
      </c>
      <c r="C434" s="58">
        <v>212</v>
      </c>
      <c r="D434" s="59" t="s">
        <v>1677</v>
      </c>
      <c r="E434" s="59" t="s">
        <v>3579</v>
      </c>
      <c r="F434" s="59" t="s">
        <v>3580</v>
      </c>
      <c r="G434" s="59" t="s">
        <v>3582</v>
      </c>
      <c r="H434" s="59" t="s">
        <v>2281</v>
      </c>
      <c r="I434" s="59" t="b">
        <v>1</v>
      </c>
      <c r="J434" s="59"/>
      <c r="K434" s="58">
        <v>436</v>
      </c>
      <c r="L434" s="58">
        <v>1478</v>
      </c>
      <c r="M434" s="59">
        <v>10</v>
      </c>
      <c r="N434" s="59">
        <v>10</v>
      </c>
      <c r="O434" s="59" t="s">
        <v>3581</v>
      </c>
      <c r="P434" s="58">
        <v>210</v>
      </c>
      <c r="Q434" s="59">
        <v>0</v>
      </c>
      <c r="R434" s="59">
        <v>0</v>
      </c>
      <c r="S434" s="60">
        <f>tblJTL[[#This Row],[timeStamp]]/86400000+DATE(1970,1,1)+TIME(9,0,0)</f>
        <v>46296.418071805558</v>
      </c>
      <c r="T434" s="57">
        <f>tblJTL[[#This Row],[timeStamp]]+tblJTL[[#This Row],[elapsed]]</f>
        <v>1790816521616</v>
      </c>
      <c r="U434" s="61">
        <f>(tblJTL[[#This Row],[timeStamp]]-'17_分析サンプル'!$E$18)/1000</f>
        <v>121.224</v>
      </c>
      <c r="V434" s="57">
        <f>INT(tblJTL[[#This Row],[経過秒]]/60)</f>
        <v>2</v>
      </c>
      <c r="W434" s="57">
        <f>IF(OR(tblJTL[[#This Row],[success]]=FALSE,tblJTL[[#This Row],[success]]="false"),1,0)</f>
        <v>0</v>
      </c>
      <c r="X434" s="57">
        <f>IF(AND(tblJTL[[#This Row],[経過秒]]&gt;='17_分析サンプル'!$E$11,tblJTL[[#This Row],[経過秒]]&lt;'17_分析サンプル'!$E$12),1,0)</f>
        <v>1</v>
      </c>
    </row>
    <row r="435" spans="2:24" ht="14.4" x14ac:dyDescent="0.3">
      <c r="B435" s="57">
        <v>1790816521991</v>
      </c>
      <c r="C435" s="58">
        <v>80</v>
      </c>
      <c r="D435" s="59" t="s">
        <v>1658</v>
      </c>
      <c r="E435" s="59" t="s">
        <v>1577</v>
      </c>
      <c r="F435" s="59" t="s">
        <v>2275</v>
      </c>
      <c r="G435" s="59" t="s">
        <v>3583</v>
      </c>
      <c r="H435" s="59" t="s">
        <v>2281</v>
      </c>
      <c r="I435" s="59" t="b">
        <v>1</v>
      </c>
      <c r="J435" s="59"/>
      <c r="K435" s="58">
        <v>1846</v>
      </c>
      <c r="L435" s="58">
        <v>1342</v>
      </c>
      <c r="M435" s="59">
        <v>10</v>
      </c>
      <c r="N435" s="59">
        <v>10</v>
      </c>
      <c r="O435" s="59" t="s">
        <v>3578</v>
      </c>
      <c r="P435" s="58">
        <v>75</v>
      </c>
      <c r="Q435" s="59">
        <v>0</v>
      </c>
      <c r="R435" s="59">
        <v>0</v>
      </c>
      <c r="S435" s="60">
        <f>tblJTL[[#This Row],[timeStamp]]/86400000+DATE(1970,1,1)+TIME(9,0,0)</f>
        <v>46296.418078599541</v>
      </c>
      <c r="T435" s="57">
        <f>tblJTL[[#This Row],[timeStamp]]+tblJTL[[#This Row],[elapsed]]</f>
        <v>1790816522071</v>
      </c>
      <c r="U435" s="61">
        <f>(tblJTL[[#This Row],[timeStamp]]-'17_分析サンプル'!$E$18)/1000</f>
        <v>121.81100000000001</v>
      </c>
      <c r="V435" s="57">
        <f>INT(tblJTL[[#This Row],[経過秒]]/60)</f>
        <v>2</v>
      </c>
      <c r="W435" s="57">
        <f>IF(OR(tblJTL[[#This Row],[success]]=FALSE,tblJTL[[#This Row],[success]]="false"),1,0)</f>
        <v>0</v>
      </c>
      <c r="X435" s="57">
        <f>IF(AND(tblJTL[[#This Row],[経過秒]]&gt;='17_分析サンプル'!$E$11,tblJTL[[#This Row],[経過秒]]&lt;'17_分析サンプル'!$E$12),1,0)</f>
        <v>1</v>
      </c>
    </row>
    <row r="436" spans="2:24" ht="14.4" x14ac:dyDescent="0.3">
      <c r="B436" s="57">
        <v>1790816522052</v>
      </c>
      <c r="C436" s="58">
        <v>130</v>
      </c>
      <c r="D436" s="59" t="s">
        <v>1677</v>
      </c>
      <c r="E436" s="59" t="s">
        <v>3579</v>
      </c>
      <c r="F436" s="59" t="s">
        <v>3580</v>
      </c>
      <c r="G436" s="59" t="s">
        <v>3577</v>
      </c>
      <c r="H436" s="59" t="s">
        <v>2281</v>
      </c>
      <c r="I436" s="59" t="b">
        <v>1</v>
      </c>
      <c r="J436" s="59"/>
      <c r="K436" s="58">
        <v>430</v>
      </c>
      <c r="L436" s="58">
        <v>1478</v>
      </c>
      <c r="M436" s="59">
        <v>10</v>
      </c>
      <c r="N436" s="59">
        <v>10</v>
      </c>
      <c r="O436" s="59" t="s">
        <v>3581</v>
      </c>
      <c r="P436" s="58">
        <v>126</v>
      </c>
      <c r="Q436" s="59">
        <v>0</v>
      </c>
      <c r="R436" s="59">
        <v>0</v>
      </c>
      <c r="S436" s="60">
        <f>tblJTL[[#This Row],[timeStamp]]/86400000+DATE(1970,1,1)+TIME(9,0,0)</f>
        <v>46296.418079305557</v>
      </c>
      <c r="T436" s="57">
        <f>tblJTL[[#This Row],[timeStamp]]+tblJTL[[#This Row],[elapsed]]</f>
        <v>1790816522182</v>
      </c>
      <c r="U436" s="61">
        <f>(tblJTL[[#This Row],[timeStamp]]-'17_分析サンプル'!$E$18)/1000</f>
        <v>121.872</v>
      </c>
      <c r="V436" s="57">
        <f>INT(tblJTL[[#This Row],[経過秒]]/60)</f>
        <v>2</v>
      </c>
      <c r="W436" s="57">
        <f>IF(OR(tblJTL[[#This Row],[success]]=FALSE,tblJTL[[#This Row],[success]]="false"),1,0)</f>
        <v>0</v>
      </c>
      <c r="X436" s="57">
        <f>IF(AND(tblJTL[[#This Row],[経過秒]]&gt;='17_分析サンプル'!$E$11,tblJTL[[#This Row],[経過秒]]&lt;'17_分析サンプル'!$E$12),1,0)</f>
        <v>1</v>
      </c>
    </row>
    <row r="437" spans="2:24" ht="14.4" x14ac:dyDescent="0.3">
      <c r="B437" s="57">
        <v>1790816522356</v>
      </c>
      <c r="C437" s="58">
        <v>128</v>
      </c>
      <c r="D437" s="59" t="s">
        <v>1658</v>
      </c>
      <c r="E437" s="59" t="s">
        <v>1577</v>
      </c>
      <c r="F437" s="59" t="s">
        <v>2275</v>
      </c>
      <c r="G437" s="59" t="s">
        <v>3589</v>
      </c>
      <c r="H437" s="59" t="s">
        <v>2281</v>
      </c>
      <c r="I437" s="59" t="b">
        <v>1</v>
      </c>
      <c r="J437" s="59"/>
      <c r="K437" s="58">
        <v>1859</v>
      </c>
      <c r="L437" s="58">
        <v>1342</v>
      </c>
      <c r="M437" s="59">
        <v>10</v>
      </c>
      <c r="N437" s="59">
        <v>10</v>
      </c>
      <c r="O437" s="59" t="s">
        <v>3578</v>
      </c>
      <c r="P437" s="58">
        <v>125</v>
      </c>
      <c r="Q437" s="59">
        <v>0</v>
      </c>
      <c r="R437" s="59">
        <v>0</v>
      </c>
      <c r="S437" s="60">
        <f>tblJTL[[#This Row],[timeStamp]]/86400000+DATE(1970,1,1)+TIME(9,0,0)</f>
        <v>46296.418082824079</v>
      </c>
      <c r="T437" s="57">
        <f>tblJTL[[#This Row],[timeStamp]]+tblJTL[[#This Row],[elapsed]]</f>
        <v>1790816522484</v>
      </c>
      <c r="U437" s="61">
        <f>(tblJTL[[#This Row],[timeStamp]]-'17_分析サンプル'!$E$18)/1000</f>
        <v>122.176</v>
      </c>
      <c r="V437" s="57">
        <f>INT(tblJTL[[#This Row],[経過秒]]/60)</f>
        <v>2</v>
      </c>
      <c r="W437" s="57">
        <f>IF(OR(tblJTL[[#This Row],[success]]=FALSE,tblJTL[[#This Row],[success]]="false"),1,0)</f>
        <v>0</v>
      </c>
      <c r="X437" s="57">
        <f>IF(AND(tblJTL[[#This Row],[経過秒]]&gt;='17_分析サンプル'!$E$11,tblJTL[[#This Row],[経過秒]]&lt;'17_分析サンプル'!$E$12),1,0)</f>
        <v>1</v>
      </c>
    </row>
    <row r="438" spans="2:24" ht="14.4" x14ac:dyDescent="0.3">
      <c r="B438" s="57">
        <v>1790816522592</v>
      </c>
      <c r="C438" s="58">
        <v>182</v>
      </c>
      <c r="D438" s="59" t="s">
        <v>1658</v>
      </c>
      <c r="E438" s="59" t="s">
        <v>1577</v>
      </c>
      <c r="F438" s="59" t="s">
        <v>2275</v>
      </c>
      <c r="G438" s="59" t="s">
        <v>3586</v>
      </c>
      <c r="H438" s="59" t="s">
        <v>2281</v>
      </c>
      <c r="I438" s="59" t="b">
        <v>1</v>
      </c>
      <c r="J438" s="59"/>
      <c r="K438" s="58">
        <v>1880</v>
      </c>
      <c r="L438" s="58">
        <v>1342</v>
      </c>
      <c r="M438" s="59">
        <v>10</v>
      </c>
      <c r="N438" s="59">
        <v>10</v>
      </c>
      <c r="O438" s="59" t="s">
        <v>3578</v>
      </c>
      <c r="P438" s="58">
        <v>178</v>
      </c>
      <c r="Q438" s="59">
        <v>0</v>
      </c>
      <c r="R438" s="59">
        <v>0</v>
      </c>
      <c r="S438" s="60">
        <f>tblJTL[[#This Row],[timeStamp]]/86400000+DATE(1970,1,1)+TIME(9,0,0)</f>
        <v>46296.418085555561</v>
      </c>
      <c r="T438" s="57">
        <f>tblJTL[[#This Row],[timeStamp]]+tblJTL[[#This Row],[elapsed]]</f>
        <v>1790816522774</v>
      </c>
      <c r="U438" s="61">
        <f>(tblJTL[[#This Row],[timeStamp]]-'17_分析サンプル'!$E$18)/1000</f>
        <v>122.41200000000001</v>
      </c>
      <c r="V438" s="57">
        <f>INT(tblJTL[[#This Row],[経過秒]]/60)</f>
        <v>2</v>
      </c>
      <c r="W438" s="57">
        <f>IF(OR(tblJTL[[#This Row],[success]]=FALSE,tblJTL[[#This Row],[success]]="false"),1,0)</f>
        <v>0</v>
      </c>
      <c r="X438" s="57">
        <f>IF(AND(tblJTL[[#This Row],[経過秒]]&gt;='17_分析サンプル'!$E$11,tblJTL[[#This Row],[経過秒]]&lt;'17_分析サンプル'!$E$12),1,0)</f>
        <v>1</v>
      </c>
    </row>
    <row r="439" spans="2:24" ht="14.4" x14ac:dyDescent="0.3">
      <c r="B439" s="57">
        <v>1790816522644</v>
      </c>
      <c r="C439" s="58">
        <v>234</v>
      </c>
      <c r="D439" s="59" t="s">
        <v>1677</v>
      </c>
      <c r="E439" s="59" t="s">
        <v>3579</v>
      </c>
      <c r="F439" s="59" t="s">
        <v>3580</v>
      </c>
      <c r="G439" s="59" t="s">
        <v>2278</v>
      </c>
      <c r="H439" s="59" t="s">
        <v>2281</v>
      </c>
      <c r="I439" s="59" t="b">
        <v>1</v>
      </c>
      <c r="J439" s="59"/>
      <c r="K439" s="58">
        <v>440</v>
      </c>
      <c r="L439" s="58">
        <v>1478</v>
      </c>
      <c r="M439" s="59">
        <v>10</v>
      </c>
      <c r="N439" s="59">
        <v>10</v>
      </c>
      <c r="O439" s="59" t="s">
        <v>3581</v>
      </c>
      <c r="P439" s="58">
        <v>227</v>
      </c>
      <c r="Q439" s="59">
        <v>0</v>
      </c>
      <c r="R439" s="59">
        <v>0</v>
      </c>
      <c r="S439" s="60">
        <f>tblJTL[[#This Row],[timeStamp]]/86400000+DATE(1970,1,1)+TIME(9,0,0)</f>
        <v>46296.418086157406</v>
      </c>
      <c r="T439" s="57">
        <f>tblJTL[[#This Row],[timeStamp]]+tblJTL[[#This Row],[elapsed]]</f>
        <v>1790816522878</v>
      </c>
      <c r="U439" s="61">
        <f>(tblJTL[[#This Row],[timeStamp]]-'17_分析サンプル'!$E$18)/1000</f>
        <v>122.464</v>
      </c>
      <c r="V439" s="57">
        <f>INT(tblJTL[[#This Row],[経過秒]]/60)</f>
        <v>2</v>
      </c>
      <c r="W439" s="57">
        <f>IF(OR(tblJTL[[#This Row],[success]]=FALSE,tblJTL[[#This Row],[success]]="false"),1,0)</f>
        <v>0</v>
      </c>
      <c r="X439" s="57">
        <f>IF(AND(tblJTL[[#This Row],[経過秒]]&gt;='17_分析サンプル'!$E$11,tblJTL[[#This Row],[経過秒]]&lt;'17_分析サンプル'!$E$12),1,0)</f>
        <v>1</v>
      </c>
    </row>
    <row r="440" spans="2:24" ht="14.4" x14ac:dyDescent="0.3">
      <c r="B440" s="57">
        <v>1790816522802</v>
      </c>
      <c r="C440" s="58">
        <v>109</v>
      </c>
      <c r="D440" s="59" t="s">
        <v>1658</v>
      </c>
      <c r="E440" s="59" t="s">
        <v>1577</v>
      </c>
      <c r="F440" s="59" t="s">
        <v>2275</v>
      </c>
      <c r="G440" s="59" t="s">
        <v>3584</v>
      </c>
      <c r="H440" s="59" t="s">
        <v>2281</v>
      </c>
      <c r="I440" s="59" t="b">
        <v>1</v>
      </c>
      <c r="J440" s="59"/>
      <c r="K440" s="58">
        <v>1900</v>
      </c>
      <c r="L440" s="58">
        <v>1342</v>
      </c>
      <c r="M440" s="59">
        <v>10</v>
      </c>
      <c r="N440" s="59">
        <v>10</v>
      </c>
      <c r="O440" s="59" t="s">
        <v>3578</v>
      </c>
      <c r="P440" s="58">
        <v>103</v>
      </c>
      <c r="Q440" s="59">
        <v>0</v>
      </c>
      <c r="R440" s="59">
        <v>0</v>
      </c>
      <c r="S440" s="60">
        <f>tblJTL[[#This Row],[timeStamp]]/86400000+DATE(1970,1,1)+TIME(9,0,0)</f>
        <v>46296.418087986109</v>
      </c>
      <c r="T440" s="57">
        <f>tblJTL[[#This Row],[timeStamp]]+tblJTL[[#This Row],[elapsed]]</f>
        <v>1790816522911</v>
      </c>
      <c r="U440" s="61">
        <f>(tblJTL[[#This Row],[timeStamp]]-'17_分析サンプル'!$E$18)/1000</f>
        <v>122.622</v>
      </c>
      <c r="V440" s="57">
        <f>INT(tblJTL[[#This Row],[経過秒]]/60)</f>
        <v>2</v>
      </c>
      <c r="W440" s="57">
        <f>IF(OR(tblJTL[[#This Row],[success]]=FALSE,tblJTL[[#This Row],[success]]="false"),1,0)</f>
        <v>0</v>
      </c>
      <c r="X440" s="57">
        <f>IF(AND(tblJTL[[#This Row],[経過秒]]&gt;='17_分析サンプル'!$E$11,tblJTL[[#This Row],[経過秒]]&lt;'17_分析サンプル'!$E$12),1,0)</f>
        <v>1</v>
      </c>
    </row>
    <row r="441" spans="2:24" ht="14.4" x14ac:dyDescent="0.3">
      <c r="B441" s="57">
        <v>1790816522995</v>
      </c>
      <c r="C441" s="58">
        <v>141</v>
      </c>
      <c r="D441" s="59" t="s">
        <v>1658</v>
      </c>
      <c r="E441" s="59" t="s">
        <v>1577</v>
      </c>
      <c r="F441" s="59" t="s">
        <v>2275</v>
      </c>
      <c r="G441" s="59" t="s">
        <v>3582</v>
      </c>
      <c r="H441" s="59" t="s">
        <v>2281</v>
      </c>
      <c r="I441" s="59" t="b">
        <v>1</v>
      </c>
      <c r="J441" s="59"/>
      <c r="K441" s="58">
        <v>1824</v>
      </c>
      <c r="L441" s="58">
        <v>1342</v>
      </c>
      <c r="M441" s="59">
        <v>10</v>
      </c>
      <c r="N441" s="59">
        <v>10</v>
      </c>
      <c r="O441" s="59" t="s">
        <v>3578</v>
      </c>
      <c r="P441" s="58">
        <v>135</v>
      </c>
      <c r="Q441" s="59">
        <v>0</v>
      </c>
      <c r="R441" s="59">
        <v>0</v>
      </c>
      <c r="S441" s="60">
        <f>tblJTL[[#This Row],[timeStamp]]/86400000+DATE(1970,1,1)+TIME(9,0,0)</f>
        <v>46296.418090219908</v>
      </c>
      <c r="T441" s="57">
        <f>tblJTL[[#This Row],[timeStamp]]+tblJTL[[#This Row],[elapsed]]</f>
        <v>1790816523136</v>
      </c>
      <c r="U441" s="61">
        <f>(tblJTL[[#This Row],[timeStamp]]-'17_分析サンプル'!$E$18)/1000</f>
        <v>122.815</v>
      </c>
      <c r="V441" s="57">
        <f>INT(tblJTL[[#This Row],[経過秒]]/60)</f>
        <v>2</v>
      </c>
      <c r="W441" s="57">
        <f>IF(OR(tblJTL[[#This Row],[success]]=FALSE,tblJTL[[#This Row],[success]]="false"),1,0)</f>
        <v>0</v>
      </c>
      <c r="X441" s="57">
        <f>IF(AND(tblJTL[[#This Row],[経過秒]]&gt;='17_分析サンプル'!$E$11,tblJTL[[#This Row],[経過秒]]&lt;'17_分析サンプル'!$E$12),1,0)</f>
        <v>1</v>
      </c>
    </row>
    <row r="442" spans="2:24" ht="14.4" x14ac:dyDescent="0.3">
      <c r="B442" s="57">
        <v>1790816523072</v>
      </c>
      <c r="C442" s="58">
        <v>384</v>
      </c>
      <c r="D442" s="59" t="s">
        <v>1677</v>
      </c>
      <c r="E442" s="59" t="s">
        <v>3579</v>
      </c>
      <c r="F442" s="59" t="s">
        <v>3580</v>
      </c>
      <c r="G442" s="59" t="s">
        <v>3585</v>
      </c>
      <c r="H442" s="59" t="s">
        <v>2281</v>
      </c>
      <c r="I442" s="59" t="b">
        <v>1</v>
      </c>
      <c r="J442" s="59"/>
      <c r="K442" s="58">
        <v>425</v>
      </c>
      <c r="L442" s="58">
        <v>1478</v>
      </c>
      <c r="M442" s="59">
        <v>10</v>
      </c>
      <c r="N442" s="59">
        <v>10</v>
      </c>
      <c r="O442" s="59" t="s">
        <v>3581</v>
      </c>
      <c r="P442" s="58">
        <v>379</v>
      </c>
      <c r="Q442" s="59">
        <v>0</v>
      </c>
      <c r="R442" s="59">
        <v>0</v>
      </c>
      <c r="S442" s="60">
        <f>tblJTL[[#This Row],[timeStamp]]/86400000+DATE(1970,1,1)+TIME(9,0,0)</f>
        <v>46296.418091111111</v>
      </c>
      <c r="T442" s="57">
        <f>tblJTL[[#This Row],[timeStamp]]+tblJTL[[#This Row],[elapsed]]</f>
        <v>1790816523456</v>
      </c>
      <c r="U442" s="61">
        <f>(tblJTL[[#This Row],[timeStamp]]-'17_分析サンプル'!$E$18)/1000</f>
        <v>122.892</v>
      </c>
      <c r="V442" s="57">
        <f>INT(tblJTL[[#This Row],[経過秒]]/60)</f>
        <v>2</v>
      </c>
      <c r="W442" s="57">
        <f>IF(OR(tblJTL[[#This Row],[success]]=FALSE,tblJTL[[#This Row],[success]]="false"),1,0)</f>
        <v>0</v>
      </c>
      <c r="X442" s="57">
        <f>IF(AND(tblJTL[[#This Row],[経過秒]]&gt;='17_分析サンプル'!$E$11,tblJTL[[#This Row],[経過秒]]&lt;'17_分析サンプル'!$E$12),1,0)</f>
        <v>1</v>
      </c>
    </row>
    <row r="443" spans="2:24" ht="14.4" x14ac:dyDescent="0.3">
      <c r="B443" s="57">
        <v>1790816523467</v>
      </c>
      <c r="C443" s="58">
        <v>225</v>
      </c>
      <c r="D443" s="59" t="s">
        <v>1658</v>
      </c>
      <c r="E443" s="59" t="s">
        <v>1577</v>
      </c>
      <c r="F443" s="59" t="s">
        <v>2275</v>
      </c>
      <c r="G443" s="59" t="s">
        <v>3577</v>
      </c>
      <c r="H443" s="59" t="s">
        <v>2281</v>
      </c>
      <c r="I443" s="59" t="b">
        <v>1</v>
      </c>
      <c r="J443" s="59"/>
      <c r="K443" s="58">
        <v>1891</v>
      </c>
      <c r="L443" s="58">
        <v>1342</v>
      </c>
      <c r="M443" s="59">
        <v>10</v>
      </c>
      <c r="N443" s="59">
        <v>10</v>
      </c>
      <c r="O443" s="59" t="s">
        <v>3578</v>
      </c>
      <c r="P443" s="58">
        <v>221</v>
      </c>
      <c r="Q443" s="59">
        <v>0</v>
      </c>
      <c r="R443" s="59">
        <v>43</v>
      </c>
      <c r="S443" s="60">
        <f>tblJTL[[#This Row],[timeStamp]]/86400000+DATE(1970,1,1)+TIME(9,0,0)</f>
        <v>46296.418095682871</v>
      </c>
      <c r="T443" s="57">
        <f>tblJTL[[#This Row],[timeStamp]]+tblJTL[[#This Row],[elapsed]]</f>
        <v>1790816523692</v>
      </c>
      <c r="U443" s="61">
        <f>(tblJTL[[#This Row],[timeStamp]]-'17_分析サンプル'!$E$18)/1000</f>
        <v>123.28700000000001</v>
      </c>
      <c r="V443" s="57">
        <f>INT(tblJTL[[#This Row],[経過秒]]/60)</f>
        <v>2</v>
      </c>
      <c r="W443" s="57">
        <f>IF(OR(tblJTL[[#This Row],[success]]=FALSE,tblJTL[[#This Row],[success]]="false"),1,0)</f>
        <v>0</v>
      </c>
      <c r="X443" s="57">
        <f>IF(AND(tblJTL[[#This Row],[経過秒]]&gt;='17_分析サンプル'!$E$11,tblJTL[[#This Row],[経過秒]]&lt;'17_分析サンプル'!$E$12),1,0)</f>
        <v>1</v>
      </c>
    </row>
    <row r="444" spans="2:24" ht="14.4" x14ac:dyDescent="0.3">
      <c r="B444" s="57">
        <v>1790816523535</v>
      </c>
      <c r="C444" s="58">
        <v>387</v>
      </c>
      <c r="D444" s="59" t="s">
        <v>1677</v>
      </c>
      <c r="E444" s="59" t="s">
        <v>3579</v>
      </c>
      <c r="F444" s="59" t="s">
        <v>3580</v>
      </c>
      <c r="G444" s="59" t="s">
        <v>3587</v>
      </c>
      <c r="H444" s="59" t="s">
        <v>2281</v>
      </c>
      <c r="I444" s="59" t="b">
        <v>1</v>
      </c>
      <c r="J444" s="59"/>
      <c r="K444" s="58">
        <v>415</v>
      </c>
      <c r="L444" s="58">
        <v>1478</v>
      </c>
      <c r="M444" s="59">
        <v>10</v>
      </c>
      <c r="N444" s="59">
        <v>10</v>
      </c>
      <c r="O444" s="59" t="s">
        <v>3581</v>
      </c>
      <c r="P444" s="58">
        <v>384</v>
      </c>
      <c r="Q444" s="59">
        <v>0</v>
      </c>
      <c r="R444" s="59">
        <v>0</v>
      </c>
      <c r="S444" s="60">
        <f>tblJTL[[#This Row],[timeStamp]]/86400000+DATE(1970,1,1)+TIME(9,0,0)</f>
        <v>46296.418096469904</v>
      </c>
      <c r="T444" s="57">
        <f>tblJTL[[#This Row],[timeStamp]]+tblJTL[[#This Row],[elapsed]]</f>
        <v>1790816523922</v>
      </c>
      <c r="U444" s="61">
        <f>(tblJTL[[#This Row],[timeStamp]]-'17_分析サンプル'!$E$18)/1000</f>
        <v>123.355</v>
      </c>
      <c r="V444" s="57">
        <f>INT(tblJTL[[#This Row],[経過秒]]/60)</f>
        <v>2</v>
      </c>
      <c r="W444" s="57">
        <f>IF(OR(tblJTL[[#This Row],[success]]=FALSE,tblJTL[[#This Row],[success]]="false"),1,0)</f>
        <v>0</v>
      </c>
      <c r="X444" s="57">
        <f>IF(AND(tblJTL[[#This Row],[経過秒]]&gt;='17_分析サンプル'!$E$11,tblJTL[[#This Row],[経過秒]]&lt;'17_分析サンプル'!$E$12),1,0)</f>
        <v>1</v>
      </c>
    </row>
    <row r="445" spans="2:24" ht="14.4" x14ac:dyDescent="0.3">
      <c r="B445" s="57">
        <v>1790816524012</v>
      </c>
      <c r="C445" s="58">
        <v>88</v>
      </c>
      <c r="D445" s="59" t="s">
        <v>1658</v>
      </c>
      <c r="E445" s="59" t="s">
        <v>1577</v>
      </c>
      <c r="F445" s="59" t="s">
        <v>2275</v>
      </c>
      <c r="G445" s="59" t="s">
        <v>2278</v>
      </c>
      <c r="H445" s="59" t="s">
        <v>2281</v>
      </c>
      <c r="I445" s="59" t="b">
        <v>1</v>
      </c>
      <c r="J445" s="59"/>
      <c r="K445" s="58">
        <v>1893</v>
      </c>
      <c r="L445" s="58">
        <v>1342</v>
      </c>
      <c r="M445" s="59">
        <v>10</v>
      </c>
      <c r="N445" s="59">
        <v>10</v>
      </c>
      <c r="O445" s="59" t="s">
        <v>3578</v>
      </c>
      <c r="P445" s="58">
        <v>80</v>
      </c>
      <c r="Q445" s="59">
        <v>0</v>
      </c>
      <c r="R445" s="59">
        <v>0</v>
      </c>
      <c r="S445" s="60">
        <f>tblJTL[[#This Row],[timeStamp]]/86400000+DATE(1970,1,1)+TIME(9,0,0)</f>
        <v>46296.418101990741</v>
      </c>
      <c r="T445" s="57">
        <f>tblJTL[[#This Row],[timeStamp]]+tblJTL[[#This Row],[elapsed]]</f>
        <v>1790816524100</v>
      </c>
      <c r="U445" s="61">
        <f>(tblJTL[[#This Row],[timeStamp]]-'17_分析サンプル'!$E$18)/1000</f>
        <v>123.83199999999999</v>
      </c>
      <c r="V445" s="57">
        <f>INT(tblJTL[[#This Row],[経過秒]]/60)</f>
        <v>2</v>
      </c>
      <c r="W445" s="57">
        <f>IF(OR(tblJTL[[#This Row],[success]]=FALSE,tblJTL[[#This Row],[success]]="false"),1,0)</f>
        <v>0</v>
      </c>
      <c r="X445" s="57">
        <f>IF(AND(tblJTL[[#This Row],[経過秒]]&gt;='17_分析サンプル'!$E$11,tblJTL[[#This Row],[経過秒]]&lt;'17_分析サンプル'!$E$12),1,0)</f>
        <v>1</v>
      </c>
    </row>
    <row r="446" spans="2:24" ht="14.4" x14ac:dyDescent="0.3">
      <c r="B446" s="57">
        <v>1790816524236</v>
      </c>
      <c r="C446" s="58">
        <v>271</v>
      </c>
      <c r="D446" s="59" t="s">
        <v>1677</v>
      </c>
      <c r="E446" s="59" t="s">
        <v>3579</v>
      </c>
      <c r="F446" s="59" t="s">
        <v>3580</v>
      </c>
      <c r="G446" s="59" t="s">
        <v>3586</v>
      </c>
      <c r="H446" s="59" t="s">
        <v>2281</v>
      </c>
      <c r="I446" s="59" t="b">
        <v>1</v>
      </c>
      <c r="J446" s="59"/>
      <c r="K446" s="58">
        <v>431</v>
      </c>
      <c r="L446" s="58">
        <v>1478</v>
      </c>
      <c r="M446" s="59">
        <v>10</v>
      </c>
      <c r="N446" s="59">
        <v>10</v>
      </c>
      <c r="O446" s="59" t="s">
        <v>3581</v>
      </c>
      <c r="P446" s="58">
        <v>269</v>
      </c>
      <c r="Q446" s="59">
        <v>0</v>
      </c>
      <c r="R446" s="59">
        <v>0</v>
      </c>
      <c r="S446" s="60">
        <f>tblJTL[[#This Row],[timeStamp]]/86400000+DATE(1970,1,1)+TIME(9,0,0)</f>
        <v>46296.418104583332</v>
      </c>
      <c r="T446" s="57">
        <f>tblJTL[[#This Row],[timeStamp]]+tblJTL[[#This Row],[elapsed]]</f>
        <v>1790816524507</v>
      </c>
      <c r="U446" s="61">
        <f>(tblJTL[[#This Row],[timeStamp]]-'17_分析サンプル'!$E$18)/1000</f>
        <v>124.056</v>
      </c>
      <c r="V446" s="57">
        <f>INT(tblJTL[[#This Row],[経過秒]]/60)</f>
        <v>2</v>
      </c>
      <c r="W446" s="57">
        <f>IF(OR(tblJTL[[#This Row],[success]]=FALSE,tblJTL[[#This Row],[success]]="false"),1,0)</f>
        <v>0</v>
      </c>
      <c r="X446" s="57">
        <f>IF(AND(tblJTL[[#This Row],[経過秒]]&gt;='17_分析サンプル'!$E$11,tblJTL[[#This Row],[経過秒]]&lt;'17_分析サンプル'!$E$12),1,0)</f>
        <v>1</v>
      </c>
    </row>
    <row r="447" spans="2:24" ht="14.4" x14ac:dyDescent="0.3">
      <c r="B447" s="57">
        <v>1790816524443</v>
      </c>
      <c r="C447" s="58">
        <v>98</v>
      </c>
      <c r="D447" s="59" t="s">
        <v>1658</v>
      </c>
      <c r="E447" s="59" t="s">
        <v>1577</v>
      </c>
      <c r="F447" s="59" t="s">
        <v>2275</v>
      </c>
      <c r="G447" s="59" t="s">
        <v>3588</v>
      </c>
      <c r="H447" s="59" t="s">
        <v>2281</v>
      </c>
      <c r="I447" s="59" t="b">
        <v>1</v>
      </c>
      <c r="J447" s="59"/>
      <c r="K447" s="58">
        <v>1897</v>
      </c>
      <c r="L447" s="58">
        <v>1342</v>
      </c>
      <c r="M447" s="59">
        <v>10</v>
      </c>
      <c r="N447" s="59">
        <v>10</v>
      </c>
      <c r="O447" s="59" t="s">
        <v>3578</v>
      </c>
      <c r="P447" s="58">
        <v>95</v>
      </c>
      <c r="Q447" s="59">
        <v>0</v>
      </c>
      <c r="R447" s="59">
        <v>0</v>
      </c>
      <c r="S447" s="60">
        <f>tblJTL[[#This Row],[timeStamp]]/86400000+DATE(1970,1,1)+TIME(9,0,0)</f>
        <v>46296.418106979167</v>
      </c>
      <c r="T447" s="57">
        <f>tblJTL[[#This Row],[timeStamp]]+tblJTL[[#This Row],[elapsed]]</f>
        <v>1790816524541</v>
      </c>
      <c r="U447" s="61">
        <f>(tblJTL[[#This Row],[timeStamp]]-'17_分析サンプル'!$E$18)/1000</f>
        <v>124.26300000000001</v>
      </c>
      <c r="V447" s="57">
        <f>INT(tblJTL[[#This Row],[経過秒]]/60)</f>
        <v>2</v>
      </c>
      <c r="W447" s="57">
        <f>IF(OR(tblJTL[[#This Row],[success]]=FALSE,tblJTL[[#This Row],[success]]="false"),1,0)</f>
        <v>0</v>
      </c>
      <c r="X447" s="57">
        <f>IF(AND(tblJTL[[#This Row],[経過秒]]&gt;='17_分析サンプル'!$E$11,tblJTL[[#This Row],[経過秒]]&lt;'17_分析サンプル'!$E$12),1,0)</f>
        <v>1</v>
      </c>
    </row>
    <row r="448" spans="2:24" ht="14.4" x14ac:dyDescent="0.3">
      <c r="B448" s="57">
        <v>1790816524522</v>
      </c>
      <c r="C448" s="58">
        <v>180</v>
      </c>
      <c r="D448" s="59" t="s">
        <v>1677</v>
      </c>
      <c r="E448" s="59" t="s">
        <v>3579</v>
      </c>
      <c r="F448" s="59" t="s">
        <v>3580</v>
      </c>
      <c r="G448" s="59" t="s">
        <v>3582</v>
      </c>
      <c r="H448" s="59" t="s">
        <v>2281</v>
      </c>
      <c r="I448" s="59" t="b">
        <v>1</v>
      </c>
      <c r="J448" s="59"/>
      <c r="K448" s="58">
        <v>428</v>
      </c>
      <c r="L448" s="58">
        <v>1478</v>
      </c>
      <c r="M448" s="59">
        <v>10</v>
      </c>
      <c r="N448" s="59">
        <v>10</v>
      </c>
      <c r="O448" s="59" t="s">
        <v>3581</v>
      </c>
      <c r="P448" s="58">
        <v>174</v>
      </c>
      <c r="Q448" s="59">
        <v>0</v>
      </c>
      <c r="R448" s="59">
        <v>0</v>
      </c>
      <c r="S448" s="60">
        <f>tblJTL[[#This Row],[timeStamp]]/86400000+DATE(1970,1,1)+TIME(9,0,0)</f>
        <v>46296.418107893522</v>
      </c>
      <c r="T448" s="57">
        <f>tblJTL[[#This Row],[timeStamp]]+tblJTL[[#This Row],[elapsed]]</f>
        <v>1790816524702</v>
      </c>
      <c r="U448" s="61">
        <f>(tblJTL[[#This Row],[timeStamp]]-'17_分析サンプル'!$E$18)/1000</f>
        <v>124.342</v>
      </c>
      <c r="V448" s="57">
        <f>INT(tblJTL[[#This Row],[経過秒]]/60)</f>
        <v>2</v>
      </c>
      <c r="W448" s="57">
        <f>IF(OR(tblJTL[[#This Row],[success]]=FALSE,tblJTL[[#This Row],[success]]="false"),1,0)</f>
        <v>0</v>
      </c>
      <c r="X448" s="57">
        <f>IF(AND(tblJTL[[#This Row],[経過秒]]&gt;='17_分析サンプル'!$E$11,tblJTL[[#This Row],[経過秒]]&lt;'17_分析サンプル'!$E$12),1,0)</f>
        <v>1</v>
      </c>
    </row>
    <row r="449" spans="2:24" ht="14.4" x14ac:dyDescent="0.3">
      <c r="B449" s="57">
        <v>1790816524775</v>
      </c>
      <c r="C449" s="58">
        <v>397</v>
      </c>
      <c r="D449" s="59" t="s">
        <v>1677</v>
      </c>
      <c r="E449" s="59" t="s">
        <v>3579</v>
      </c>
      <c r="F449" s="59" t="s">
        <v>3580</v>
      </c>
      <c r="G449" s="59" t="s">
        <v>3583</v>
      </c>
      <c r="H449" s="59" t="s">
        <v>2281</v>
      </c>
      <c r="I449" s="59" t="b">
        <v>1</v>
      </c>
      <c r="J449" s="59"/>
      <c r="K449" s="58">
        <v>416</v>
      </c>
      <c r="L449" s="58">
        <v>1478</v>
      </c>
      <c r="M449" s="59">
        <v>10</v>
      </c>
      <c r="N449" s="59">
        <v>10</v>
      </c>
      <c r="O449" s="59" t="s">
        <v>3581</v>
      </c>
      <c r="P449" s="58">
        <v>393</v>
      </c>
      <c r="Q449" s="59">
        <v>0</v>
      </c>
      <c r="R449" s="59">
        <v>0</v>
      </c>
      <c r="S449" s="60">
        <f>tblJTL[[#This Row],[timeStamp]]/86400000+DATE(1970,1,1)+TIME(9,0,0)</f>
        <v>46296.41811082176</v>
      </c>
      <c r="T449" s="57">
        <f>tblJTL[[#This Row],[timeStamp]]+tblJTL[[#This Row],[elapsed]]</f>
        <v>1790816525172</v>
      </c>
      <c r="U449" s="61">
        <f>(tblJTL[[#This Row],[timeStamp]]-'17_分析サンプル'!$E$18)/1000</f>
        <v>124.595</v>
      </c>
      <c r="V449" s="57">
        <f>INT(tblJTL[[#This Row],[経過秒]]/60)</f>
        <v>2</v>
      </c>
      <c r="W449" s="57">
        <f>IF(OR(tblJTL[[#This Row],[success]]=FALSE,tblJTL[[#This Row],[success]]="false"),1,0)</f>
        <v>0</v>
      </c>
      <c r="X449" s="57">
        <f>IF(AND(tblJTL[[#This Row],[経過秒]]&gt;='17_分析サンプル'!$E$11,tblJTL[[#This Row],[経過秒]]&lt;'17_分析サンプル'!$E$12),1,0)</f>
        <v>1</v>
      </c>
    </row>
    <row r="450" spans="2:24" ht="14.4" x14ac:dyDescent="0.3">
      <c r="B450" s="57">
        <v>1790816524792</v>
      </c>
      <c r="C450" s="58">
        <v>400</v>
      </c>
      <c r="D450" s="59" t="s">
        <v>1677</v>
      </c>
      <c r="E450" s="59" t="s">
        <v>3579</v>
      </c>
      <c r="F450" s="59" t="s">
        <v>3580</v>
      </c>
      <c r="G450" s="59" t="s">
        <v>3584</v>
      </c>
      <c r="H450" s="59" t="s">
        <v>2281</v>
      </c>
      <c r="I450" s="59" t="b">
        <v>1</v>
      </c>
      <c r="J450" s="59"/>
      <c r="K450" s="58">
        <v>418</v>
      </c>
      <c r="L450" s="58">
        <v>1478</v>
      </c>
      <c r="M450" s="59">
        <v>10</v>
      </c>
      <c r="N450" s="59">
        <v>10</v>
      </c>
      <c r="O450" s="59" t="s">
        <v>3581</v>
      </c>
      <c r="P450" s="58">
        <v>395</v>
      </c>
      <c r="Q450" s="59">
        <v>0</v>
      </c>
      <c r="R450" s="59">
        <v>0</v>
      </c>
      <c r="S450" s="60">
        <f>tblJTL[[#This Row],[timeStamp]]/86400000+DATE(1970,1,1)+TIME(9,0,0)</f>
        <v>46296.418111018516</v>
      </c>
      <c r="T450" s="57">
        <f>tblJTL[[#This Row],[timeStamp]]+tblJTL[[#This Row],[elapsed]]</f>
        <v>1790816525192</v>
      </c>
      <c r="U450" s="61">
        <f>(tblJTL[[#This Row],[timeStamp]]-'17_分析サンプル'!$E$18)/1000</f>
        <v>124.61199999999999</v>
      </c>
      <c r="V450" s="57">
        <f>INT(tblJTL[[#This Row],[経過秒]]/60)</f>
        <v>2</v>
      </c>
      <c r="W450" s="57">
        <f>IF(OR(tblJTL[[#This Row],[success]]=FALSE,tblJTL[[#This Row],[success]]="false"),1,0)</f>
        <v>0</v>
      </c>
      <c r="X450" s="57">
        <f>IF(AND(tblJTL[[#This Row],[経過秒]]&gt;='17_分析サンプル'!$E$11,tblJTL[[#This Row],[経過秒]]&lt;'17_分析サンプル'!$E$12),1,0)</f>
        <v>1</v>
      </c>
    </row>
    <row r="451" spans="2:24" ht="14.4" x14ac:dyDescent="0.3">
      <c r="B451" s="57">
        <v>1790816525336</v>
      </c>
      <c r="C451" s="58">
        <v>109</v>
      </c>
      <c r="D451" s="59" t="s">
        <v>1677</v>
      </c>
      <c r="E451" s="59" t="s">
        <v>3579</v>
      </c>
      <c r="F451" s="59" t="s">
        <v>3580</v>
      </c>
      <c r="G451" s="59" t="s">
        <v>3589</v>
      </c>
      <c r="H451" s="59" t="s">
        <v>2281</v>
      </c>
      <c r="I451" s="59" t="b">
        <v>1</v>
      </c>
      <c r="J451" s="59"/>
      <c r="K451" s="58">
        <v>413</v>
      </c>
      <c r="L451" s="58">
        <v>1478</v>
      </c>
      <c r="M451" s="59">
        <v>10</v>
      </c>
      <c r="N451" s="59">
        <v>10</v>
      </c>
      <c r="O451" s="59" t="s">
        <v>3581</v>
      </c>
      <c r="P451" s="58">
        <v>104</v>
      </c>
      <c r="Q451" s="59">
        <v>0</v>
      </c>
      <c r="R451" s="59">
        <v>0</v>
      </c>
      <c r="S451" s="60">
        <f>tblJTL[[#This Row],[timeStamp]]/86400000+DATE(1970,1,1)+TIME(9,0,0)</f>
        <v>46296.41811731481</v>
      </c>
      <c r="T451" s="57">
        <f>tblJTL[[#This Row],[timeStamp]]+tblJTL[[#This Row],[elapsed]]</f>
        <v>1790816525445</v>
      </c>
      <c r="U451" s="61">
        <f>(tblJTL[[#This Row],[timeStamp]]-'17_分析サンプル'!$E$18)/1000</f>
        <v>125.15600000000001</v>
      </c>
      <c r="V451" s="57">
        <f>INT(tblJTL[[#This Row],[経過秒]]/60)</f>
        <v>2</v>
      </c>
      <c r="W451" s="57">
        <f>IF(OR(tblJTL[[#This Row],[success]]=FALSE,tblJTL[[#This Row],[success]]="false"),1,0)</f>
        <v>0</v>
      </c>
      <c r="X451" s="57">
        <f>IF(AND(tblJTL[[#This Row],[経過秒]]&gt;='17_分析サンプル'!$E$11,tblJTL[[#This Row],[経過秒]]&lt;'17_分析サンプル'!$E$12),1,0)</f>
        <v>1</v>
      </c>
    </row>
    <row r="452" spans="2:24" ht="14.4" x14ac:dyDescent="0.3">
      <c r="B452" s="57">
        <v>1790816525492</v>
      </c>
      <c r="C452" s="58">
        <v>179</v>
      </c>
      <c r="D452" s="59" t="s">
        <v>1677</v>
      </c>
      <c r="E452" s="59" t="s">
        <v>3579</v>
      </c>
      <c r="F452" s="59" t="s">
        <v>3580</v>
      </c>
      <c r="G452" s="59" t="s">
        <v>2278</v>
      </c>
      <c r="H452" s="59" t="s">
        <v>2281</v>
      </c>
      <c r="I452" s="59" t="b">
        <v>1</v>
      </c>
      <c r="J452" s="59"/>
      <c r="K452" s="58">
        <v>429</v>
      </c>
      <c r="L452" s="58">
        <v>1478</v>
      </c>
      <c r="M452" s="59">
        <v>10</v>
      </c>
      <c r="N452" s="59">
        <v>10</v>
      </c>
      <c r="O452" s="59" t="s">
        <v>3581</v>
      </c>
      <c r="P452" s="58">
        <v>177</v>
      </c>
      <c r="Q452" s="59">
        <v>0</v>
      </c>
      <c r="R452" s="59">
        <v>0</v>
      </c>
      <c r="S452" s="60">
        <f>tblJTL[[#This Row],[timeStamp]]/86400000+DATE(1970,1,1)+TIME(9,0,0)</f>
        <v>46296.418119120368</v>
      </c>
      <c r="T452" s="57">
        <f>tblJTL[[#This Row],[timeStamp]]+tblJTL[[#This Row],[elapsed]]</f>
        <v>1790816525671</v>
      </c>
      <c r="U452" s="61">
        <f>(tblJTL[[#This Row],[timeStamp]]-'17_分析サンプル'!$E$18)/1000</f>
        <v>125.312</v>
      </c>
      <c r="V452" s="57">
        <f>INT(tblJTL[[#This Row],[経過秒]]/60)</f>
        <v>2</v>
      </c>
      <c r="W452" s="57">
        <f>IF(OR(tblJTL[[#This Row],[success]]=FALSE,tblJTL[[#This Row],[success]]="false"),1,0)</f>
        <v>0</v>
      </c>
      <c r="X452" s="57">
        <f>IF(AND(tblJTL[[#This Row],[経過秒]]&gt;='17_分析サンプル'!$E$11,tblJTL[[#This Row],[経過秒]]&lt;'17_分析サンプル'!$E$12),1,0)</f>
        <v>1</v>
      </c>
    </row>
    <row r="453" spans="2:24" ht="14.4" x14ac:dyDescent="0.3">
      <c r="B453" s="57">
        <v>1790816526251</v>
      </c>
      <c r="C453" s="58">
        <v>74</v>
      </c>
      <c r="D453" s="59" t="s">
        <v>1658</v>
      </c>
      <c r="E453" s="59" t="s">
        <v>1577</v>
      </c>
      <c r="F453" s="59" t="s">
        <v>2275</v>
      </c>
      <c r="G453" s="59" t="s">
        <v>3585</v>
      </c>
      <c r="H453" s="59" t="s">
        <v>2281</v>
      </c>
      <c r="I453" s="59" t="b">
        <v>1</v>
      </c>
      <c r="J453" s="59"/>
      <c r="K453" s="58">
        <v>1889</v>
      </c>
      <c r="L453" s="58">
        <v>1342</v>
      </c>
      <c r="M453" s="59">
        <v>10</v>
      </c>
      <c r="N453" s="59">
        <v>10</v>
      </c>
      <c r="O453" s="59" t="s">
        <v>3578</v>
      </c>
      <c r="P453" s="58">
        <v>72</v>
      </c>
      <c r="Q453" s="59">
        <v>0</v>
      </c>
      <c r="R453" s="59">
        <v>0</v>
      </c>
      <c r="S453" s="60">
        <f>tblJTL[[#This Row],[timeStamp]]/86400000+DATE(1970,1,1)+TIME(9,0,0)</f>
        <v>46296.418127905097</v>
      </c>
      <c r="T453" s="57">
        <f>tblJTL[[#This Row],[timeStamp]]+tblJTL[[#This Row],[elapsed]]</f>
        <v>1790816526325</v>
      </c>
      <c r="U453" s="61">
        <f>(tblJTL[[#This Row],[timeStamp]]-'17_分析サンプル'!$E$18)/1000</f>
        <v>126.071</v>
      </c>
      <c r="V453" s="57">
        <f>INT(tblJTL[[#This Row],[経過秒]]/60)</f>
        <v>2</v>
      </c>
      <c r="W453" s="57">
        <f>IF(OR(tblJTL[[#This Row],[success]]=FALSE,tblJTL[[#This Row],[success]]="false"),1,0)</f>
        <v>0</v>
      </c>
      <c r="X453" s="57">
        <f>IF(AND(tblJTL[[#This Row],[経過秒]]&gt;='17_分析サンプル'!$E$11,tblJTL[[#This Row],[経過秒]]&lt;'17_分析サンプル'!$E$12),1,0)</f>
        <v>1</v>
      </c>
    </row>
    <row r="454" spans="2:24" ht="14.4" x14ac:dyDescent="0.3">
      <c r="B454" s="57">
        <v>1790816526180</v>
      </c>
      <c r="C454" s="58">
        <v>351</v>
      </c>
      <c r="D454" s="59" t="s">
        <v>1677</v>
      </c>
      <c r="E454" s="59" t="s">
        <v>3579</v>
      </c>
      <c r="F454" s="59" t="s">
        <v>3580</v>
      </c>
      <c r="G454" s="59" t="s">
        <v>3577</v>
      </c>
      <c r="H454" s="59" t="s">
        <v>2281</v>
      </c>
      <c r="I454" s="59" t="b">
        <v>1</v>
      </c>
      <c r="J454" s="59"/>
      <c r="K454" s="58">
        <v>435</v>
      </c>
      <c r="L454" s="58">
        <v>1478</v>
      </c>
      <c r="M454" s="59">
        <v>10</v>
      </c>
      <c r="N454" s="59">
        <v>10</v>
      </c>
      <c r="O454" s="59" t="s">
        <v>3581</v>
      </c>
      <c r="P454" s="58">
        <v>346</v>
      </c>
      <c r="Q454" s="59">
        <v>0</v>
      </c>
      <c r="R454" s="59">
        <v>0</v>
      </c>
      <c r="S454" s="60">
        <f>tblJTL[[#This Row],[timeStamp]]/86400000+DATE(1970,1,1)+TIME(9,0,0)</f>
        <v>46296.418127083336</v>
      </c>
      <c r="T454" s="57">
        <f>tblJTL[[#This Row],[timeStamp]]+tblJTL[[#This Row],[elapsed]]</f>
        <v>1790816526531</v>
      </c>
      <c r="U454" s="61">
        <f>(tblJTL[[#This Row],[timeStamp]]-'17_分析サンプル'!$E$18)/1000</f>
        <v>126</v>
      </c>
      <c r="V454" s="57">
        <f>INT(tblJTL[[#This Row],[経過秒]]/60)</f>
        <v>2</v>
      </c>
      <c r="W454" s="57">
        <f>IF(OR(tblJTL[[#This Row],[success]]=FALSE,tblJTL[[#This Row],[success]]="false"),1,0)</f>
        <v>0</v>
      </c>
      <c r="X454" s="57">
        <f>IF(AND(tblJTL[[#This Row],[経過秒]]&gt;='17_分析サンプル'!$E$11,tblJTL[[#This Row],[経過秒]]&lt;'17_分析サンプル'!$E$12),1,0)</f>
        <v>1</v>
      </c>
    </row>
    <row r="455" spans="2:24" ht="14.4" x14ac:dyDescent="0.3">
      <c r="B455" s="57">
        <v>1790816526776</v>
      </c>
      <c r="C455" s="58">
        <v>67</v>
      </c>
      <c r="D455" s="59" t="s">
        <v>1658</v>
      </c>
      <c r="E455" s="59" t="s">
        <v>1577</v>
      </c>
      <c r="F455" s="59" t="s">
        <v>2275</v>
      </c>
      <c r="G455" s="59" t="s">
        <v>3584</v>
      </c>
      <c r="H455" s="59" t="s">
        <v>2281</v>
      </c>
      <c r="I455" s="59" t="b">
        <v>1</v>
      </c>
      <c r="J455" s="59"/>
      <c r="K455" s="58">
        <v>1854</v>
      </c>
      <c r="L455" s="58">
        <v>1342</v>
      </c>
      <c r="M455" s="59">
        <v>10</v>
      </c>
      <c r="N455" s="59">
        <v>10</v>
      </c>
      <c r="O455" s="59" t="s">
        <v>3578</v>
      </c>
      <c r="P455" s="58">
        <v>63</v>
      </c>
      <c r="Q455" s="59">
        <v>0</v>
      </c>
      <c r="R455" s="59">
        <v>0</v>
      </c>
      <c r="S455" s="60">
        <f>tblJTL[[#This Row],[timeStamp]]/86400000+DATE(1970,1,1)+TIME(9,0,0)</f>
        <v>46296.418133981482</v>
      </c>
      <c r="T455" s="57">
        <f>tblJTL[[#This Row],[timeStamp]]+tblJTL[[#This Row],[elapsed]]</f>
        <v>1790816526843</v>
      </c>
      <c r="U455" s="61">
        <f>(tblJTL[[#This Row],[timeStamp]]-'17_分析サンプル'!$E$18)/1000</f>
        <v>126.596</v>
      </c>
      <c r="V455" s="57">
        <f>INT(tblJTL[[#This Row],[経過秒]]/60)</f>
        <v>2</v>
      </c>
      <c r="W455" s="57">
        <f>IF(OR(tblJTL[[#This Row],[success]]=FALSE,tblJTL[[#This Row],[success]]="false"),1,0)</f>
        <v>0</v>
      </c>
      <c r="X455" s="57">
        <f>IF(AND(tblJTL[[#This Row],[経過秒]]&gt;='17_分析サンプル'!$E$11,tblJTL[[#This Row],[経過秒]]&lt;'17_分析サンプル'!$E$12),1,0)</f>
        <v>1</v>
      </c>
    </row>
    <row r="456" spans="2:24" ht="14.4" x14ac:dyDescent="0.3">
      <c r="B456" s="57">
        <v>1790816526909</v>
      </c>
      <c r="C456" s="58">
        <v>140</v>
      </c>
      <c r="D456" s="59" t="s">
        <v>1658</v>
      </c>
      <c r="E456" s="59" t="s">
        <v>1577</v>
      </c>
      <c r="F456" s="59" t="s">
        <v>2275</v>
      </c>
      <c r="G456" s="59" t="s">
        <v>3587</v>
      </c>
      <c r="H456" s="59" t="s">
        <v>2281</v>
      </c>
      <c r="I456" s="59" t="b">
        <v>1</v>
      </c>
      <c r="J456" s="59"/>
      <c r="K456" s="58">
        <v>1839</v>
      </c>
      <c r="L456" s="58">
        <v>1342</v>
      </c>
      <c r="M456" s="59">
        <v>10</v>
      </c>
      <c r="N456" s="59">
        <v>10</v>
      </c>
      <c r="O456" s="59" t="s">
        <v>3578</v>
      </c>
      <c r="P456" s="58">
        <v>138</v>
      </c>
      <c r="Q456" s="59">
        <v>0</v>
      </c>
      <c r="R456" s="59">
        <v>0</v>
      </c>
      <c r="S456" s="60">
        <f>tblJTL[[#This Row],[timeStamp]]/86400000+DATE(1970,1,1)+TIME(9,0,0)</f>
        <v>46296.418135520835</v>
      </c>
      <c r="T456" s="57">
        <f>tblJTL[[#This Row],[timeStamp]]+tblJTL[[#This Row],[elapsed]]</f>
        <v>1790816527049</v>
      </c>
      <c r="U456" s="61">
        <f>(tblJTL[[#This Row],[timeStamp]]-'17_分析サンプル'!$E$18)/1000</f>
        <v>126.729</v>
      </c>
      <c r="V456" s="57">
        <f>INT(tblJTL[[#This Row],[経過秒]]/60)</f>
        <v>2</v>
      </c>
      <c r="W456" s="57">
        <f>IF(OR(tblJTL[[#This Row],[success]]=FALSE,tblJTL[[#This Row],[success]]="false"),1,0)</f>
        <v>0</v>
      </c>
      <c r="X456" s="57">
        <f>IF(AND(tblJTL[[#This Row],[経過秒]]&gt;='17_分析サンプル'!$E$11,tblJTL[[#This Row],[経過秒]]&lt;'17_分析サンプル'!$E$12),1,0)</f>
        <v>1</v>
      </c>
    </row>
    <row r="457" spans="2:24" ht="14.4" x14ac:dyDescent="0.3">
      <c r="B457" s="57">
        <v>1790816527079</v>
      </c>
      <c r="C457" s="58">
        <v>143</v>
      </c>
      <c r="D457" s="59" t="s">
        <v>1658</v>
      </c>
      <c r="E457" s="59" t="s">
        <v>1577</v>
      </c>
      <c r="F457" s="59" t="s">
        <v>2275</v>
      </c>
      <c r="G457" s="59" t="s">
        <v>3586</v>
      </c>
      <c r="H457" s="59" t="s">
        <v>2281</v>
      </c>
      <c r="I457" s="59" t="b">
        <v>1</v>
      </c>
      <c r="J457" s="59"/>
      <c r="K457" s="58">
        <v>1865</v>
      </c>
      <c r="L457" s="58">
        <v>1342</v>
      </c>
      <c r="M457" s="59">
        <v>10</v>
      </c>
      <c r="N457" s="59">
        <v>10</v>
      </c>
      <c r="O457" s="59" t="s">
        <v>3578</v>
      </c>
      <c r="P457" s="58">
        <v>139</v>
      </c>
      <c r="Q457" s="59">
        <v>0</v>
      </c>
      <c r="R457" s="59">
        <v>0</v>
      </c>
      <c r="S457" s="60">
        <f>tblJTL[[#This Row],[timeStamp]]/86400000+DATE(1970,1,1)+TIME(9,0,0)</f>
        <v>46296.418137488421</v>
      </c>
      <c r="T457" s="57">
        <f>tblJTL[[#This Row],[timeStamp]]+tblJTL[[#This Row],[elapsed]]</f>
        <v>1790816527222</v>
      </c>
      <c r="U457" s="61">
        <f>(tblJTL[[#This Row],[timeStamp]]-'17_分析サンプル'!$E$18)/1000</f>
        <v>126.899</v>
      </c>
      <c r="V457" s="57">
        <f>INT(tblJTL[[#This Row],[経過秒]]/60)</f>
        <v>2</v>
      </c>
      <c r="W457" s="57">
        <f>IF(OR(tblJTL[[#This Row],[success]]=FALSE,tblJTL[[#This Row],[success]]="false"),1,0)</f>
        <v>0</v>
      </c>
      <c r="X457" s="57">
        <f>IF(AND(tblJTL[[#This Row],[経過秒]]&gt;='17_分析サンプル'!$E$11,tblJTL[[#This Row],[経過秒]]&lt;'17_分析サンプル'!$E$12),1,0)</f>
        <v>1</v>
      </c>
    </row>
    <row r="458" spans="2:24" ht="14.4" x14ac:dyDescent="0.3">
      <c r="B458" s="57">
        <v>1790816527149</v>
      </c>
      <c r="C458" s="58">
        <v>197</v>
      </c>
      <c r="D458" s="59" t="s">
        <v>1677</v>
      </c>
      <c r="E458" s="59" t="s">
        <v>3579</v>
      </c>
      <c r="F458" s="59" t="s">
        <v>3580</v>
      </c>
      <c r="G458" s="59" t="s">
        <v>3588</v>
      </c>
      <c r="H458" s="59" t="s">
        <v>2281</v>
      </c>
      <c r="I458" s="59" t="b">
        <v>1</v>
      </c>
      <c r="J458" s="59"/>
      <c r="K458" s="58">
        <v>410</v>
      </c>
      <c r="L458" s="58">
        <v>1478</v>
      </c>
      <c r="M458" s="59">
        <v>10</v>
      </c>
      <c r="N458" s="59">
        <v>10</v>
      </c>
      <c r="O458" s="59" t="s">
        <v>3581</v>
      </c>
      <c r="P458" s="58">
        <v>194</v>
      </c>
      <c r="Q458" s="59">
        <v>0</v>
      </c>
      <c r="R458" s="59">
        <v>0</v>
      </c>
      <c r="S458" s="60">
        <f>tblJTL[[#This Row],[timeStamp]]/86400000+DATE(1970,1,1)+TIME(9,0,0)</f>
        <v>46296.418138298613</v>
      </c>
      <c r="T458" s="57">
        <f>tblJTL[[#This Row],[timeStamp]]+tblJTL[[#This Row],[elapsed]]</f>
        <v>1790816527346</v>
      </c>
      <c r="U458" s="61">
        <f>(tblJTL[[#This Row],[timeStamp]]-'17_分析サンプル'!$E$18)/1000</f>
        <v>126.96899999999999</v>
      </c>
      <c r="V458" s="57">
        <f>INT(tblJTL[[#This Row],[経過秒]]/60)</f>
        <v>2</v>
      </c>
      <c r="W458" s="57">
        <f>IF(OR(tblJTL[[#This Row],[success]]=FALSE,tblJTL[[#This Row],[success]]="false"),1,0)</f>
        <v>0</v>
      </c>
      <c r="X458" s="57">
        <f>IF(AND(tblJTL[[#This Row],[経過秒]]&gt;='17_分析サンプル'!$E$11,tblJTL[[#This Row],[経過秒]]&lt;'17_分析サンプル'!$E$12),1,0)</f>
        <v>1</v>
      </c>
    </row>
    <row r="459" spans="2:24" ht="14.4" x14ac:dyDescent="0.3">
      <c r="B459" s="57">
        <v>1790816527234</v>
      </c>
      <c r="C459" s="58">
        <v>147</v>
      </c>
      <c r="D459" s="59" t="s">
        <v>1658</v>
      </c>
      <c r="E459" s="59" t="s">
        <v>1577</v>
      </c>
      <c r="F459" s="59" t="s">
        <v>2275</v>
      </c>
      <c r="G459" s="59" t="s">
        <v>2278</v>
      </c>
      <c r="H459" s="59" t="s">
        <v>2281</v>
      </c>
      <c r="I459" s="59" t="b">
        <v>1</v>
      </c>
      <c r="J459" s="59"/>
      <c r="K459" s="58">
        <v>1888</v>
      </c>
      <c r="L459" s="58">
        <v>1342</v>
      </c>
      <c r="M459" s="59">
        <v>10</v>
      </c>
      <c r="N459" s="59">
        <v>10</v>
      </c>
      <c r="O459" s="59" t="s">
        <v>3578</v>
      </c>
      <c r="P459" s="58">
        <v>144</v>
      </c>
      <c r="Q459" s="59">
        <v>0</v>
      </c>
      <c r="R459" s="59">
        <v>0</v>
      </c>
      <c r="S459" s="60">
        <f>tblJTL[[#This Row],[timeStamp]]/86400000+DATE(1970,1,1)+TIME(9,0,0)</f>
        <v>46296.41813928241</v>
      </c>
      <c r="T459" s="57">
        <f>tblJTL[[#This Row],[timeStamp]]+tblJTL[[#This Row],[elapsed]]</f>
        <v>1790816527381</v>
      </c>
      <c r="U459" s="61">
        <f>(tblJTL[[#This Row],[timeStamp]]-'17_分析サンプル'!$E$18)/1000</f>
        <v>127.054</v>
      </c>
      <c r="V459" s="57">
        <f>INT(tblJTL[[#This Row],[経過秒]]/60)</f>
        <v>2</v>
      </c>
      <c r="W459" s="57">
        <f>IF(OR(tblJTL[[#This Row],[success]]=FALSE,tblJTL[[#This Row],[success]]="false"),1,0)</f>
        <v>0</v>
      </c>
      <c r="X459" s="57">
        <f>IF(AND(tblJTL[[#This Row],[経過秒]]&gt;='17_分析サンプル'!$E$11,tblJTL[[#This Row],[経過秒]]&lt;'17_分析サンプル'!$E$12),1,0)</f>
        <v>1</v>
      </c>
    </row>
    <row r="460" spans="2:24" ht="14.4" x14ac:dyDescent="0.3">
      <c r="B460" s="57">
        <v>1790816527379</v>
      </c>
      <c r="C460" s="58">
        <v>133</v>
      </c>
      <c r="D460" s="59" t="s">
        <v>1658</v>
      </c>
      <c r="E460" s="59" t="s">
        <v>1577</v>
      </c>
      <c r="F460" s="59" t="s">
        <v>2275</v>
      </c>
      <c r="G460" s="59" t="s">
        <v>3583</v>
      </c>
      <c r="H460" s="59" t="s">
        <v>2281</v>
      </c>
      <c r="I460" s="59" t="b">
        <v>1</v>
      </c>
      <c r="J460" s="59"/>
      <c r="K460" s="58">
        <v>1866</v>
      </c>
      <c r="L460" s="58">
        <v>1342</v>
      </c>
      <c r="M460" s="59">
        <v>10</v>
      </c>
      <c r="N460" s="59">
        <v>10</v>
      </c>
      <c r="O460" s="59" t="s">
        <v>3578</v>
      </c>
      <c r="P460" s="58">
        <v>131</v>
      </c>
      <c r="Q460" s="59">
        <v>0</v>
      </c>
      <c r="R460" s="59">
        <v>0</v>
      </c>
      <c r="S460" s="60">
        <f>tblJTL[[#This Row],[timeStamp]]/86400000+DATE(1970,1,1)+TIME(9,0,0)</f>
        <v>46296.418140960654</v>
      </c>
      <c r="T460" s="57">
        <f>tblJTL[[#This Row],[timeStamp]]+tblJTL[[#This Row],[elapsed]]</f>
        <v>1790816527512</v>
      </c>
      <c r="U460" s="61">
        <f>(tblJTL[[#This Row],[timeStamp]]-'17_分析サンプル'!$E$18)/1000</f>
        <v>127.199</v>
      </c>
      <c r="V460" s="57">
        <f>INT(tblJTL[[#This Row],[経過秒]]/60)</f>
        <v>2</v>
      </c>
      <c r="W460" s="57">
        <f>IF(OR(tblJTL[[#This Row],[success]]=FALSE,tblJTL[[#This Row],[success]]="false"),1,0)</f>
        <v>0</v>
      </c>
      <c r="X460" s="57">
        <f>IF(AND(tblJTL[[#This Row],[経過秒]]&gt;='17_分析サンプル'!$E$11,tblJTL[[#This Row],[経過秒]]&lt;'17_分析サンプル'!$E$12),1,0)</f>
        <v>1</v>
      </c>
    </row>
    <row r="461" spans="2:24" ht="14.4" x14ac:dyDescent="0.3">
      <c r="B461" s="57">
        <v>1790816527503</v>
      </c>
      <c r="C461" s="58">
        <v>135</v>
      </c>
      <c r="D461" s="59" t="s">
        <v>1658</v>
      </c>
      <c r="E461" s="59" t="s">
        <v>1577</v>
      </c>
      <c r="F461" s="59" t="s">
        <v>2275</v>
      </c>
      <c r="G461" s="59" t="s">
        <v>3589</v>
      </c>
      <c r="H461" s="59" t="s">
        <v>2281</v>
      </c>
      <c r="I461" s="59" t="b">
        <v>1</v>
      </c>
      <c r="J461" s="59"/>
      <c r="K461" s="58">
        <v>1857</v>
      </c>
      <c r="L461" s="58">
        <v>1342</v>
      </c>
      <c r="M461" s="59">
        <v>10</v>
      </c>
      <c r="N461" s="59">
        <v>10</v>
      </c>
      <c r="O461" s="59" t="s">
        <v>3578</v>
      </c>
      <c r="P461" s="58">
        <v>131</v>
      </c>
      <c r="Q461" s="59">
        <v>0</v>
      </c>
      <c r="R461" s="59">
        <v>0</v>
      </c>
      <c r="S461" s="60">
        <f>tblJTL[[#This Row],[timeStamp]]/86400000+DATE(1970,1,1)+TIME(9,0,0)</f>
        <v>46296.418142395836</v>
      </c>
      <c r="T461" s="57">
        <f>tblJTL[[#This Row],[timeStamp]]+tblJTL[[#This Row],[elapsed]]</f>
        <v>1790816527638</v>
      </c>
      <c r="U461" s="61">
        <f>(tblJTL[[#This Row],[timeStamp]]-'17_分析サンプル'!$E$18)/1000</f>
        <v>127.32299999999999</v>
      </c>
      <c r="V461" s="57">
        <f>INT(tblJTL[[#This Row],[経過秒]]/60)</f>
        <v>2</v>
      </c>
      <c r="W461" s="57">
        <f>IF(OR(tblJTL[[#This Row],[success]]=FALSE,tblJTL[[#This Row],[success]]="false"),1,0)</f>
        <v>0</v>
      </c>
      <c r="X461" s="57">
        <f>IF(AND(tblJTL[[#This Row],[経過秒]]&gt;='17_分析サンプル'!$E$11,tblJTL[[#This Row],[経過秒]]&lt;'17_分析サンプル'!$E$12),1,0)</f>
        <v>1</v>
      </c>
    </row>
    <row r="462" spans="2:24" ht="14.4" x14ac:dyDescent="0.3">
      <c r="B462" s="57">
        <v>1790816527639</v>
      </c>
      <c r="C462" s="58">
        <v>141</v>
      </c>
      <c r="D462" s="59" t="s">
        <v>1658</v>
      </c>
      <c r="E462" s="59" t="s">
        <v>1577</v>
      </c>
      <c r="F462" s="59" t="s">
        <v>2275</v>
      </c>
      <c r="G462" s="59" t="s">
        <v>3582</v>
      </c>
      <c r="H462" s="59" t="s">
        <v>2281</v>
      </c>
      <c r="I462" s="59" t="b">
        <v>1</v>
      </c>
      <c r="J462" s="59"/>
      <c r="K462" s="58">
        <v>1820</v>
      </c>
      <c r="L462" s="58">
        <v>1342</v>
      </c>
      <c r="M462" s="59">
        <v>10</v>
      </c>
      <c r="N462" s="59">
        <v>10</v>
      </c>
      <c r="O462" s="59" t="s">
        <v>3578</v>
      </c>
      <c r="P462" s="58">
        <v>136</v>
      </c>
      <c r="Q462" s="59">
        <v>0</v>
      </c>
      <c r="R462" s="59">
        <v>0</v>
      </c>
      <c r="S462" s="60">
        <f>tblJTL[[#This Row],[timeStamp]]/86400000+DATE(1970,1,1)+TIME(9,0,0)</f>
        <v>46296.418143969902</v>
      </c>
      <c r="T462" s="57">
        <f>tblJTL[[#This Row],[timeStamp]]+tblJTL[[#This Row],[elapsed]]</f>
        <v>1790816527780</v>
      </c>
      <c r="U462" s="61">
        <f>(tblJTL[[#This Row],[timeStamp]]-'17_分析サンプル'!$E$18)/1000</f>
        <v>127.459</v>
      </c>
      <c r="V462" s="57">
        <f>INT(tblJTL[[#This Row],[経過秒]]/60)</f>
        <v>2</v>
      </c>
      <c r="W462" s="57">
        <f>IF(OR(tblJTL[[#This Row],[success]]=FALSE,tblJTL[[#This Row],[success]]="false"),1,0)</f>
        <v>0</v>
      </c>
      <c r="X462" s="57">
        <f>IF(AND(tblJTL[[#This Row],[経過秒]]&gt;='17_分析サンプル'!$E$11,tblJTL[[#This Row],[経過秒]]&lt;'17_分析サンプル'!$E$12),1,0)</f>
        <v>1</v>
      </c>
    </row>
    <row r="463" spans="2:24" ht="14.4" x14ac:dyDescent="0.3">
      <c r="B463" s="57">
        <v>1790816527682</v>
      </c>
      <c r="C463" s="58">
        <v>98</v>
      </c>
      <c r="D463" s="59" t="s">
        <v>1658</v>
      </c>
      <c r="E463" s="59" t="s">
        <v>1577</v>
      </c>
      <c r="F463" s="59" t="s">
        <v>2275</v>
      </c>
      <c r="G463" s="59" t="s">
        <v>3577</v>
      </c>
      <c r="H463" s="59" t="s">
        <v>2281</v>
      </c>
      <c r="I463" s="59" t="b">
        <v>1</v>
      </c>
      <c r="J463" s="59"/>
      <c r="K463" s="58">
        <v>1892</v>
      </c>
      <c r="L463" s="58">
        <v>1342</v>
      </c>
      <c r="M463" s="59">
        <v>10</v>
      </c>
      <c r="N463" s="59">
        <v>10</v>
      </c>
      <c r="O463" s="59" t="s">
        <v>3578</v>
      </c>
      <c r="P463" s="58">
        <v>90</v>
      </c>
      <c r="Q463" s="59">
        <v>0</v>
      </c>
      <c r="R463" s="59">
        <v>0</v>
      </c>
      <c r="S463" s="60">
        <f>tblJTL[[#This Row],[timeStamp]]/86400000+DATE(1970,1,1)+TIME(9,0,0)</f>
        <v>46296.418144467592</v>
      </c>
      <c r="T463" s="57">
        <f>tblJTL[[#This Row],[timeStamp]]+tblJTL[[#This Row],[elapsed]]</f>
        <v>1790816527780</v>
      </c>
      <c r="U463" s="61">
        <f>(tblJTL[[#This Row],[timeStamp]]-'17_分析サンプル'!$E$18)/1000</f>
        <v>127.502</v>
      </c>
      <c r="V463" s="57">
        <f>INT(tblJTL[[#This Row],[経過秒]]/60)</f>
        <v>2</v>
      </c>
      <c r="W463" s="57">
        <f>IF(OR(tblJTL[[#This Row],[success]]=FALSE,tblJTL[[#This Row],[success]]="false"),1,0)</f>
        <v>0</v>
      </c>
      <c r="X463" s="57">
        <f>IF(AND(tblJTL[[#This Row],[経過秒]]&gt;='17_分析サンプル'!$E$11,tblJTL[[#This Row],[経過秒]]&lt;'17_分析サンプル'!$E$12),1,0)</f>
        <v>1</v>
      </c>
    </row>
    <row r="464" spans="2:24" ht="14.4" x14ac:dyDescent="0.3">
      <c r="B464" s="57">
        <v>1790816527470</v>
      </c>
      <c r="C464" s="58">
        <v>316</v>
      </c>
      <c r="D464" s="59" t="s">
        <v>1677</v>
      </c>
      <c r="E464" s="59" t="s">
        <v>3579</v>
      </c>
      <c r="F464" s="59" t="s">
        <v>3580</v>
      </c>
      <c r="G464" s="59" t="s">
        <v>3585</v>
      </c>
      <c r="H464" s="59" t="s">
        <v>2281</v>
      </c>
      <c r="I464" s="59" t="b">
        <v>1</v>
      </c>
      <c r="J464" s="59"/>
      <c r="K464" s="58">
        <v>429</v>
      </c>
      <c r="L464" s="58">
        <v>1478</v>
      </c>
      <c r="M464" s="59">
        <v>10</v>
      </c>
      <c r="N464" s="59">
        <v>10</v>
      </c>
      <c r="O464" s="59" t="s">
        <v>3581</v>
      </c>
      <c r="P464" s="58">
        <v>313</v>
      </c>
      <c r="Q464" s="59">
        <v>0</v>
      </c>
      <c r="R464" s="59">
        <v>0</v>
      </c>
      <c r="S464" s="60">
        <f>tblJTL[[#This Row],[timeStamp]]/86400000+DATE(1970,1,1)+TIME(9,0,0)</f>
        <v>46296.418142013892</v>
      </c>
      <c r="T464" s="57">
        <f>tblJTL[[#This Row],[timeStamp]]+tblJTL[[#This Row],[elapsed]]</f>
        <v>1790816527786</v>
      </c>
      <c r="U464" s="61">
        <f>(tblJTL[[#This Row],[timeStamp]]-'17_分析サンプル'!$E$18)/1000</f>
        <v>127.29</v>
      </c>
      <c r="V464" s="57">
        <f>INT(tblJTL[[#This Row],[経過秒]]/60)</f>
        <v>2</v>
      </c>
      <c r="W464" s="57">
        <f>IF(OR(tblJTL[[#This Row],[success]]=FALSE,tblJTL[[#This Row],[success]]="false"),1,0)</f>
        <v>0</v>
      </c>
      <c r="X464" s="57">
        <f>IF(AND(tblJTL[[#This Row],[経過秒]]&gt;='17_分析サンプル'!$E$11,tblJTL[[#This Row],[経過秒]]&lt;'17_分析サンプル'!$E$12),1,0)</f>
        <v>1</v>
      </c>
    </row>
    <row r="465" spans="2:24" ht="14.4" x14ac:dyDescent="0.3">
      <c r="B465" s="57">
        <v>1790816528629</v>
      </c>
      <c r="C465" s="58">
        <v>329</v>
      </c>
      <c r="D465" s="59" t="s">
        <v>1677</v>
      </c>
      <c r="E465" s="59" t="s">
        <v>3579</v>
      </c>
      <c r="F465" s="59" t="s">
        <v>3580</v>
      </c>
      <c r="G465" s="59" t="s">
        <v>3584</v>
      </c>
      <c r="H465" s="59" t="s">
        <v>2281</v>
      </c>
      <c r="I465" s="59" t="b">
        <v>1</v>
      </c>
      <c r="J465" s="59"/>
      <c r="K465" s="58">
        <v>421</v>
      </c>
      <c r="L465" s="58">
        <v>1478</v>
      </c>
      <c r="M465" s="59">
        <v>10</v>
      </c>
      <c r="N465" s="59">
        <v>10</v>
      </c>
      <c r="O465" s="59" t="s">
        <v>3581</v>
      </c>
      <c r="P465" s="58">
        <v>326</v>
      </c>
      <c r="Q465" s="59">
        <v>0</v>
      </c>
      <c r="R465" s="59">
        <v>0</v>
      </c>
      <c r="S465" s="60">
        <f>tblJTL[[#This Row],[timeStamp]]/86400000+DATE(1970,1,1)+TIME(9,0,0)</f>
        <v>46296.41815542824</v>
      </c>
      <c r="T465" s="57">
        <f>tblJTL[[#This Row],[timeStamp]]+tblJTL[[#This Row],[elapsed]]</f>
        <v>1790816528958</v>
      </c>
      <c r="U465" s="61">
        <f>(tblJTL[[#This Row],[timeStamp]]-'17_分析サンプル'!$E$18)/1000</f>
        <v>128.44900000000001</v>
      </c>
      <c r="V465" s="57">
        <f>INT(tblJTL[[#This Row],[経過秒]]/60)</f>
        <v>2</v>
      </c>
      <c r="W465" s="57">
        <f>IF(OR(tblJTL[[#This Row],[success]]=FALSE,tblJTL[[#This Row],[success]]="false"),1,0)</f>
        <v>0</v>
      </c>
      <c r="X465" s="57">
        <f>IF(AND(tblJTL[[#This Row],[経過秒]]&gt;='17_分析サンプル'!$E$11,tblJTL[[#This Row],[経過秒]]&lt;'17_分析サンプル'!$E$12),1,0)</f>
        <v>1</v>
      </c>
    </row>
    <row r="466" spans="2:24" ht="14.4" x14ac:dyDescent="0.3">
      <c r="B466" s="57">
        <v>1790816528647</v>
      </c>
      <c r="C466" s="58">
        <v>312</v>
      </c>
      <c r="D466" s="59" t="s">
        <v>1677</v>
      </c>
      <c r="E466" s="59" t="s">
        <v>3579</v>
      </c>
      <c r="F466" s="59" t="s">
        <v>3580</v>
      </c>
      <c r="G466" s="59" t="s">
        <v>3587</v>
      </c>
      <c r="H466" s="59" t="s">
        <v>2281</v>
      </c>
      <c r="I466" s="59" t="b">
        <v>1</v>
      </c>
      <c r="J466" s="59"/>
      <c r="K466" s="58">
        <v>438</v>
      </c>
      <c r="L466" s="58">
        <v>1478</v>
      </c>
      <c r="M466" s="59">
        <v>10</v>
      </c>
      <c r="N466" s="59">
        <v>10</v>
      </c>
      <c r="O466" s="59" t="s">
        <v>3581</v>
      </c>
      <c r="P466" s="58">
        <v>306</v>
      </c>
      <c r="Q466" s="59">
        <v>0</v>
      </c>
      <c r="R466" s="59">
        <v>0</v>
      </c>
      <c r="S466" s="60">
        <f>tblJTL[[#This Row],[timeStamp]]/86400000+DATE(1970,1,1)+TIME(9,0,0)</f>
        <v>46296.418155636573</v>
      </c>
      <c r="T466" s="57">
        <f>tblJTL[[#This Row],[timeStamp]]+tblJTL[[#This Row],[elapsed]]</f>
        <v>1790816528959</v>
      </c>
      <c r="U466" s="61">
        <f>(tblJTL[[#This Row],[timeStamp]]-'17_分析サンプル'!$E$18)/1000</f>
        <v>128.46700000000001</v>
      </c>
      <c r="V466" s="57">
        <f>INT(tblJTL[[#This Row],[経過秒]]/60)</f>
        <v>2</v>
      </c>
      <c r="W466" s="57">
        <f>IF(OR(tblJTL[[#This Row],[success]]=FALSE,tblJTL[[#This Row],[success]]="false"),1,0)</f>
        <v>0</v>
      </c>
      <c r="X466" s="57">
        <f>IF(AND(tblJTL[[#This Row],[経過秒]]&gt;='17_分析サンプル'!$E$11,tblJTL[[#This Row],[経過秒]]&lt;'17_分析サンプル'!$E$12),1,0)</f>
        <v>1</v>
      </c>
    </row>
    <row r="467" spans="2:24" ht="14.4" x14ac:dyDescent="0.3">
      <c r="B467" s="57">
        <v>1790816528816</v>
      </c>
      <c r="C467" s="58">
        <v>227</v>
      </c>
      <c r="D467" s="59" t="s">
        <v>1677</v>
      </c>
      <c r="E467" s="59" t="s">
        <v>3579</v>
      </c>
      <c r="F467" s="59" t="s">
        <v>3580</v>
      </c>
      <c r="G467" s="59" t="s">
        <v>3589</v>
      </c>
      <c r="H467" s="59" t="s">
        <v>2281</v>
      </c>
      <c r="I467" s="59" t="b">
        <v>1</v>
      </c>
      <c r="J467" s="59"/>
      <c r="K467" s="58">
        <v>431</v>
      </c>
      <c r="L467" s="58">
        <v>1478</v>
      </c>
      <c r="M467" s="59">
        <v>10</v>
      </c>
      <c r="N467" s="59">
        <v>10</v>
      </c>
      <c r="O467" s="59" t="s">
        <v>3581</v>
      </c>
      <c r="P467" s="58">
        <v>224</v>
      </c>
      <c r="Q467" s="59">
        <v>0</v>
      </c>
      <c r="R467" s="59">
        <v>0</v>
      </c>
      <c r="S467" s="60">
        <f>tblJTL[[#This Row],[timeStamp]]/86400000+DATE(1970,1,1)+TIME(9,0,0)</f>
        <v>46296.41815759259</v>
      </c>
      <c r="T467" s="57">
        <f>tblJTL[[#This Row],[timeStamp]]+tblJTL[[#This Row],[elapsed]]</f>
        <v>1790816529043</v>
      </c>
      <c r="U467" s="61">
        <f>(tblJTL[[#This Row],[timeStamp]]-'17_分析サンプル'!$E$18)/1000</f>
        <v>128.636</v>
      </c>
      <c r="V467" s="57">
        <f>INT(tblJTL[[#This Row],[経過秒]]/60)</f>
        <v>2</v>
      </c>
      <c r="W467" s="57">
        <f>IF(OR(tblJTL[[#This Row],[success]]=FALSE,tblJTL[[#This Row],[success]]="false"),1,0)</f>
        <v>0</v>
      </c>
      <c r="X467" s="57">
        <f>IF(AND(tblJTL[[#This Row],[経過秒]]&gt;='17_分析サンプル'!$E$11,tblJTL[[#This Row],[経過秒]]&lt;'17_分析サンプル'!$E$12),1,0)</f>
        <v>1</v>
      </c>
    </row>
    <row r="468" spans="2:24" ht="14.4" x14ac:dyDescent="0.3">
      <c r="B468" s="57">
        <v>1790816528946</v>
      </c>
      <c r="C468" s="58">
        <v>173</v>
      </c>
      <c r="D468" s="59" t="s">
        <v>1677</v>
      </c>
      <c r="E468" s="59" t="s">
        <v>3579</v>
      </c>
      <c r="F468" s="59" t="s">
        <v>3580</v>
      </c>
      <c r="G468" s="59" t="s">
        <v>3582</v>
      </c>
      <c r="H468" s="59" t="s">
        <v>2281</v>
      </c>
      <c r="I468" s="59" t="b">
        <v>1</v>
      </c>
      <c r="J468" s="59"/>
      <c r="K468" s="58">
        <v>413</v>
      </c>
      <c r="L468" s="58">
        <v>1478</v>
      </c>
      <c r="M468" s="59">
        <v>10</v>
      </c>
      <c r="N468" s="59">
        <v>10</v>
      </c>
      <c r="O468" s="59" t="s">
        <v>3581</v>
      </c>
      <c r="P468" s="58">
        <v>169</v>
      </c>
      <c r="Q468" s="59">
        <v>0</v>
      </c>
      <c r="R468" s="59">
        <v>0</v>
      </c>
      <c r="S468" s="60">
        <f>tblJTL[[#This Row],[timeStamp]]/86400000+DATE(1970,1,1)+TIME(9,0,0)</f>
        <v>46296.418159097222</v>
      </c>
      <c r="T468" s="57">
        <f>tblJTL[[#This Row],[timeStamp]]+tblJTL[[#This Row],[elapsed]]</f>
        <v>1790816529119</v>
      </c>
      <c r="U468" s="61">
        <f>(tblJTL[[#This Row],[timeStamp]]-'17_分析サンプル'!$E$18)/1000</f>
        <v>128.76599999999999</v>
      </c>
      <c r="V468" s="57">
        <f>INT(tblJTL[[#This Row],[経過秒]]/60)</f>
        <v>2</v>
      </c>
      <c r="W468" s="57">
        <f>IF(OR(tblJTL[[#This Row],[success]]=FALSE,tblJTL[[#This Row],[success]]="false"),1,0)</f>
        <v>0</v>
      </c>
      <c r="X468" s="57">
        <f>IF(AND(tblJTL[[#This Row],[経過秒]]&gt;='17_分析サンプル'!$E$11,tblJTL[[#This Row],[経過秒]]&lt;'17_分析サンプル'!$E$12),1,0)</f>
        <v>1</v>
      </c>
    </row>
    <row r="469" spans="2:24" ht="14.4" x14ac:dyDescent="0.3">
      <c r="B469" s="57">
        <v>1790816528942</v>
      </c>
      <c r="C469" s="58">
        <v>334</v>
      </c>
      <c r="D469" s="59" t="s">
        <v>1677</v>
      </c>
      <c r="E469" s="59" t="s">
        <v>3579</v>
      </c>
      <c r="F469" s="59" t="s">
        <v>3580</v>
      </c>
      <c r="G469" s="59" t="s">
        <v>3583</v>
      </c>
      <c r="H469" s="59" t="s">
        <v>2281</v>
      </c>
      <c r="I469" s="59" t="b">
        <v>1</v>
      </c>
      <c r="J469" s="59"/>
      <c r="K469" s="58">
        <v>413</v>
      </c>
      <c r="L469" s="58">
        <v>1478</v>
      </c>
      <c r="M469" s="59">
        <v>10</v>
      </c>
      <c r="N469" s="59">
        <v>10</v>
      </c>
      <c r="O469" s="59" t="s">
        <v>3581</v>
      </c>
      <c r="P469" s="58">
        <v>327</v>
      </c>
      <c r="Q469" s="59">
        <v>0</v>
      </c>
      <c r="R469" s="59">
        <v>0</v>
      </c>
      <c r="S469" s="60">
        <f>tblJTL[[#This Row],[timeStamp]]/86400000+DATE(1970,1,1)+TIME(9,0,0)</f>
        <v>46296.418159050925</v>
      </c>
      <c r="T469" s="57">
        <f>tblJTL[[#This Row],[timeStamp]]+tblJTL[[#This Row],[elapsed]]</f>
        <v>1790816529276</v>
      </c>
      <c r="U469" s="61">
        <f>(tblJTL[[#This Row],[timeStamp]]-'17_分析サンプル'!$E$18)/1000</f>
        <v>128.762</v>
      </c>
      <c r="V469" s="57">
        <f>INT(tblJTL[[#This Row],[経過秒]]/60)</f>
        <v>2</v>
      </c>
      <c r="W469" s="57">
        <f>IF(OR(tblJTL[[#This Row],[success]]=FALSE,tblJTL[[#This Row],[success]]="false"),1,0)</f>
        <v>0</v>
      </c>
      <c r="X469" s="57">
        <f>IF(AND(tblJTL[[#This Row],[経過秒]]&gt;='17_分析サンプル'!$E$11,tblJTL[[#This Row],[経過秒]]&lt;'17_分析サンプル'!$E$12),1,0)</f>
        <v>1</v>
      </c>
    </row>
    <row r="470" spans="2:24" ht="14.4" x14ac:dyDescent="0.3">
      <c r="B470" s="57">
        <v>1790816529105</v>
      </c>
      <c r="C470" s="58">
        <v>267</v>
      </c>
      <c r="D470" s="59" t="s">
        <v>1677</v>
      </c>
      <c r="E470" s="59" t="s">
        <v>3579</v>
      </c>
      <c r="F470" s="59" t="s">
        <v>3580</v>
      </c>
      <c r="G470" s="59" t="s">
        <v>3586</v>
      </c>
      <c r="H470" s="59" t="s">
        <v>2281</v>
      </c>
      <c r="I470" s="59" t="b">
        <v>1</v>
      </c>
      <c r="J470" s="59"/>
      <c r="K470" s="58">
        <v>426</v>
      </c>
      <c r="L470" s="58">
        <v>1478</v>
      </c>
      <c r="M470" s="59">
        <v>10</v>
      </c>
      <c r="N470" s="59">
        <v>10</v>
      </c>
      <c r="O470" s="59" t="s">
        <v>3581</v>
      </c>
      <c r="P470" s="58">
        <v>264</v>
      </c>
      <c r="Q470" s="59">
        <v>0</v>
      </c>
      <c r="R470" s="59">
        <v>0</v>
      </c>
      <c r="S470" s="60">
        <f>tblJTL[[#This Row],[timeStamp]]/86400000+DATE(1970,1,1)+TIME(9,0,0)</f>
        <v>46296.418160937501</v>
      </c>
      <c r="T470" s="57">
        <f>tblJTL[[#This Row],[timeStamp]]+tblJTL[[#This Row],[elapsed]]</f>
        <v>1790816529372</v>
      </c>
      <c r="U470" s="61">
        <f>(tblJTL[[#This Row],[timeStamp]]-'17_分析サンプル'!$E$18)/1000</f>
        <v>128.92500000000001</v>
      </c>
      <c r="V470" s="57">
        <f>INT(tblJTL[[#This Row],[経過秒]]/60)</f>
        <v>2</v>
      </c>
      <c r="W470" s="57">
        <f>IF(OR(tblJTL[[#This Row],[success]]=FALSE,tblJTL[[#This Row],[success]]="false"),1,0)</f>
        <v>0</v>
      </c>
      <c r="X470" s="57">
        <f>IF(AND(tblJTL[[#This Row],[経過秒]]&gt;='17_分析サンプル'!$E$11,tblJTL[[#This Row],[経過秒]]&lt;'17_分析サンプル'!$E$12),1,0)</f>
        <v>1</v>
      </c>
    </row>
    <row r="471" spans="2:24" ht="14.4" x14ac:dyDescent="0.3">
      <c r="B471" s="57">
        <v>1790816529553</v>
      </c>
      <c r="C471" s="58">
        <v>99</v>
      </c>
      <c r="D471" s="59" t="s">
        <v>1658</v>
      </c>
      <c r="E471" s="59" t="s">
        <v>1577</v>
      </c>
      <c r="F471" s="59" t="s">
        <v>2275</v>
      </c>
      <c r="G471" s="59" t="s">
        <v>3585</v>
      </c>
      <c r="H471" s="59" t="s">
        <v>2281</v>
      </c>
      <c r="I471" s="59" t="b">
        <v>1</v>
      </c>
      <c r="J471" s="59"/>
      <c r="K471" s="58">
        <v>1878</v>
      </c>
      <c r="L471" s="58">
        <v>1342</v>
      </c>
      <c r="M471" s="59">
        <v>10</v>
      </c>
      <c r="N471" s="59">
        <v>10</v>
      </c>
      <c r="O471" s="59" t="s">
        <v>3578</v>
      </c>
      <c r="P471" s="58">
        <v>94</v>
      </c>
      <c r="Q471" s="59">
        <v>0</v>
      </c>
      <c r="R471" s="59">
        <v>0</v>
      </c>
      <c r="S471" s="60">
        <f>tblJTL[[#This Row],[timeStamp]]/86400000+DATE(1970,1,1)+TIME(9,0,0)</f>
        <v>46296.41816612269</v>
      </c>
      <c r="T471" s="57">
        <f>tblJTL[[#This Row],[timeStamp]]+tblJTL[[#This Row],[elapsed]]</f>
        <v>1790816529652</v>
      </c>
      <c r="U471" s="61">
        <f>(tblJTL[[#This Row],[timeStamp]]-'17_分析サンプル'!$E$18)/1000</f>
        <v>129.37299999999999</v>
      </c>
      <c r="V471" s="57">
        <f>INT(tblJTL[[#This Row],[経過秒]]/60)</f>
        <v>2</v>
      </c>
      <c r="W471" s="57">
        <f>IF(OR(tblJTL[[#This Row],[success]]=FALSE,tblJTL[[#This Row],[success]]="false"),1,0)</f>
        <v>0</v>
      </c>
      <c r="X471" s="57">
        <f>IF(AND(tblJTL[[#This Row],[経過秒]]&gt;='17_分析サンプル'!$E$11,tblJTL[[#This Row],[経過秒]]&lt;'17_分析サンプル'!$E$12),1,0)</f>
        <v>1</v>
      </c>
    </row>
    <row r="472" spans="2:24" ht="14.4" x14ac:dyDescent="0.3">
      <c r="B472" s="57">
        <v>1790816529947</v>
      </c>
      <c r="C472" s="58">
        <v>163</v>
      </c>
      <c r="D472" s="59" t="s">
        <v>1658</v>
      </c>
      <c r="E472" s="59" t="s">
        <v>1577</v>
      </c>
      <c r="F472" s="59" t="s">
        <v>2275</v>
      </c>
      <c r="G472" s="59" t="s">
        <v>3588</v>
      </c>
      <c r="H472" s="59" t="s">
        <v>2281</v>
      </c>
      <c r="I472" s="59" t="b">
        <v>1</v>
      </c>
      <c r="J472" s="59"/>
      <c r="K472" s="58">
        <v>1874</v>
      </c>
      <c r="L472" s="58">
        <v>1342</v>
      </c>
      <c r="M472" s="59">
        <v>10</v>
      </c>
      <c r="N472" s="59">
        <v>10</v>
      </c>
      <c r="O472" s="59" t="s">
        <v>3578</v>
      </c>
      <c r="P472" s="58">
        <v>160</v>
      </c>
      <c r="Q472" s="59">
        <v>0</v>
      </c>
      <c r="R472" s="59">
        <v>0</v>
      </c>
      <c r="S472" s="60">
        <f>tblJTL[[#This Row],[timeStamp]]/86400000+DATE(1970,1,1)+TIME(9,0,0)</f>
        <v>46296.418170682868</v>
      </c>
      <c r="T472" s="57">
        <f>tblJTL[[#This Row],[timeStamp]]+tblJTL[[#This Row],[elapsed]]</f>
        <v>1790816530110</v>
      </c>
      <c r="U472" s="61">
        <f>(tblJTL[[#This Row],[timeStamp]]-'17_分析サンプル'!$E$18)/1000</f>
        <v>129.767</v>
      </c>
      <c r="V472" s="57">
        <f>INT(tblJTL[[#This Row],[経過秒]]/60)</f>
        <v>2</v>
      </c>
      <c r="W472" s="57">
        <f>IF(OR(tblJTL[[#This Row],[success]]=FALSE,tblJTL[[#This Row],[success]]="false"),1,0)</f>
        <v>0</v>
      </c>
      <c r="X472" s="57">
        <f>IF(AND(tblJTL[[#This Row],[経過秒]]&gt;='17_分析サンプル'!$E$11,tblJTL[[#This Row],[経過秒]]&lt;'17_分析サンプル'!$E$12),1,0)</f>
        <v>1</v>
      </c>
    </row>
    <row r="473" spans="2:24" ht="14.4" x14ac:dyDescent="0.3">
      <c r="B473" s="57">
        <v>1790816530322</v>
      </c>
      <c r="C473" s="58">
        <v>182</v>
      </c>
      <c r="D473" s="59" t="s">
        <v>1677</v>
      </c>
      <c r="E473" s="59" t="s">
        <v>3579</v>
      </c>
      <c r="F473" s="59" t="s">
        <v>3580</v>
      </c>
      <c r="G473" s="59" t="s">
        <v>2278</v>
      </c>
      <c r="H473" s="59" t="s">
        <v>2281</v>
      </c>
      <c r="I473" s="59" t="b">
        <v>1</v>
      </c>
      <c r="J473" s="59"/>
      <c r="K473" s="58">
        <v>436</v>
      </c>
      <c r="L473" s="58">
        <v>1478</v>
      </c>
      <c r="M473" s="59">
        <v>10</v>
      </c>
      <c r="N473" s="59">
        <v>10</v>
      </c>
      <c r="O473" s="59" t="s">
        <v>3581</v>
      </c>
      <c r="P473" s="58">
        <v>179</v>
      </c>
      <c r="Q473" s="59">
        <v>0</v>
      </c>
      <c r="R473" s="59">
        <v>0</v>
      </c>
      <c r="S473" s="60">
        <f>tblJTL[[#This Row],[timeStamp]]/86400000+DATE(1970,1,1)+TIME(9,0,0)</f>
        <v>46296.418175023151</v>
      </c>
      <c r="T473" s="57">
        <f>tblJTL[[#This Row],[timeStamp]]+tblJTL[[#This Row],[elapsed]]</f>
        <v>1790816530504</v>
      </c>
      <c r="U473" s="61">
        <f>(tblJTL[[#This Row],[timeStamp]]-'17_分析サンプル'!$E$18)/1000</f>
        <v>130.142</v>
      </c>
      <c r="V473" s="57">
        <f>INT(tblJTL[[#This Row],[経過秒]]/60)</f>
        <v>2</v>
      </c>
      <c r="W473" s="57">
        <f>IF(OR(tblJTL[[#This Row],[success]]=FALSE,tblJTL[[#This Row],[success]]="false"),1,0)</f>
        <v>0</v>
      </c>
      <c r="X473" s="57">
        <f>IF(AND(tblJTL[[#This Row],[経過秒]]&gt;='17_分析サンプル'!$E$11,tblJTL[[#This Row],[経過秒]]&lt;'17_分析サンプル'!$E$12),1,0)</f>
        <v>1</v>
      </c>
    </row>
    <row r="474" spans="2:24" ht="14.4" x14ac:dyDescent="0.3">
      <c r="B474" s="57">
        <v>1790816530544</v>
      </c>
      <c r="C474" s="58">
        <v>64</v>
      </c>
      <c r="D474" s="59" t="s">
        <v>1658</v>
      </c>
      <c r="E474" s="59" t="s">
        <v>1577</v>
      </c>
      <c r="F474" s="59" t="s">
        <v>2275</v>
      </c>
      <c r="G474" s="59" t="s">
        <v>3584</v>
      </c>
      <c r="H474" s="59" t="s">
        <v>2281</v>
      </c>
      <c r="I474" s="59" t="b">
        <v>1</v>
      </c>
      <c r="J474" s="59"/>
      <c r="K474" s="58">
        <v>1892</v>
      </c>
      <c r="L474" s="58">
        <v>1342</v>
      </c>
      <c r="M474" s="59">
        <v>10</v>
      </c>
      <c r="N474" s="59">
        <v>10</v>
      </c>
      <c r="O474" s="59" t="s">
        <v>3578</v>
      </c>
      <c r="P474" s="58">
        <v>59</v>
      </c>
      <c r="Q474" s="59">
        <v>0</v>
      </c>
      <c r="R474" s="59">
        <v>0</v>
      </c>
      <c r="S474" s="60">
        <f>tblJTL[[#This Row],[timeStamp]]/86400000+DATE(1970,1,1)+TIME(9,0,0)</f>
        <v>46296.418177592597</v>
      </c>
      <c r="T474" s="57">
        <f>tblJTL[[#This Row],[timeStamp]]+tblJTL[[#This Row],[elapsed]]</f>
        <v>1790816530608</v>
      </c>
      <c r="U474" s="61">
        <f>(tblJTL[[#This Row],[timeStamp]]-'17_分析サンプル'!$E$18)/1000</f>
        <v>130.364</v>
      </c>
      <c r="V474" s="57">
        <f>INT(tblJTL[[#This Row],[経過秒]]/60)</f>
        <v>2</v>
      </c>
      <c r="W474" s="57">
        <f>IF(OR(tblJTL[[#This Row],[success]]=FALSE,tblJTL[[#This Row],[success]]="false"),1,0)</f>
        <v>0</v>
      </c>
      <c r="X474" s="57">
        <f>IF(AND(tblJTL[[#This Row],[経過秒]]&gt;='17_分析サンプル'!$E$11,tblJTL[[#This Row],[経過秒]]&lt;'17_分析サンプル'!$E$12),1,0)</f>
        <v>1</v>
      </c>
    </row>
    <row r="475" spans="2:24" ht="14.4" x14ac:dyDescent="0.3">
      <c r="B475" s="57">
        <v>1790816530966</v>
      </c>
      <c r="C475" s="58">
        <v>114</v>
      </c>
      <c r="D475" s="59" t="s">
        <v>1658</v>
      </c>
      <c r="E475" s="59" t="s">
        <v>1577</v>
      </c>
      <c r="F475" s="59" t="s">
        <v>2275</v>
      </c>
      <c r="G475" s="59" t="s">
        <v>3583</v>
      </c>
      <c r="H475" s="59" t="s">
        <v>2281</v>
      </c>
      <c r="I475" s="59" t="b">
        <v>1</v>
      </c>
      <c r="J475" s="59"/>
      <c r="K475" s="58">
        <v>1869</v>
      </c>
      <c r="L475" s="58">
        <v>1342</v>
      </c>
      <c r="M475" s="59">
        <v>10</v>
      </c>
      <c r="N475" s="59">
        <v>10</v>
      </c>
      <c r="O475" s="59" t="s">
        <v>3578</v>
      </c>
      <c r="P475" s="58">
        <v>108</v>
      </c>
      <c r="Q475" s="59">
        <v>0</v>
      </c>
      <c r="R475" s="59">
        <v>0</v>
      </c>
      <c r="S475" s="60">
        <f>tblJTL[[#This Row],[timeStamp]]/86400000+DATE(1970,1,1)+TIME(9,0,0)</f>
        <v>46296.418182476853</v>
      </c>
      <c r="T475" s="57">
        <f>tblJTL[[#This Row],[timeStamp]]+tblJTL[[#This Row],[elapsed]]</f>
        <v>1790816531080</v>
      </c>
      <c r="U475" s="61">
        <f>(tblJTL[[#This Row],[timeStamp]]-'17_分析サンプル'!$E$18)/1000</f>
        <v>130.786</v>
      </c>
      <c r="V475" s="57">
        <f>INT(tblJTL[[#This Row],[経過秒]]/60)</f>
        <v>2</v>
      </c>
      <c r="W475" s="57">
        <f>IF(OR(tblJTL[[#This Row],[success]]=FALSE,tblJTL[[#This Row],[success]]="false"),1,0)</f>
        <v>0</v>
      </c>
      <c r="X475" s="57">
        <f>IF(AND(tblJTL[[#This Row],[経過秒]]&gt;='17_分析サンプル'!$E$11,tblJTL[[#This Row],[経過秒]]&lt;'17_分析サンプル'!$E$12),1,0)</f>
        <v>1</v>
      </c>
    </row>
    <row r="476" spans="2:24" ht="14.4" x14ac:dyDescent="0.3">
      <c r="B476" s="57">
        <v>1790816530747</v>
      </c>
      <c r="C476" s="58">
        <v>358</v>
      </c>
      <c r="D476" s="59" t="s">
        <v>1677</v>
      </c>
      <c r="E476" s="59" t="s">
        <v>3579</v>
      </c>
      <c r="F476" s="59" t="s">
        <v>3580</v>
      </c>
      <c r="G476" s="59" t="s">
        <v>3577</v>
      </c>
      <c r="H476" s="59" t="s">
        <v>2281</v>
      </c>
      <c r="I476" s="59" t="b">
        <v>1</v>
      </c>
      <c r="J476" s="59"/>
      <c r="K476" s="58">
        <v>414</v>
      </c>
      <c r="L476" s="58">
        <v>1478</v>
      </c>
      <c r="M476" s="59">
        <v>10</v>
      </c>
      <c r="N476" s="59">
        <v>10</v>
      </c>
      <c r="O476" s="59" t="s">
        <v>3581</v>
      </c>
      <c r="P476" s="58">
        <v>356</v>
      </c>
      <c r="Q476" s="59">
        <v>0</v>
      </c>
      <c r="R476" s="59">
        <v>0</v>
      </c>
      <c r="S476" s="60">
        <f>tblJTL[[#This Row],[timeStamp]]/86400000+DATE(1970,1,1)+TIME(9,0,0)</f>
        <v>46296.418179942135</v>
      </c>
      <c r="T476" s="57">
        <f>tblJTL[[#This Row],[timeStamp]]+tblJTL[[#This Row],[elapsed]]</f>
        <v>1790816531105</v>
      </c>
      <c r="U476" s="61">
        <f>(tblJTL[[#This Row],[timeStamp]]-'17_分析サンプル'!$E$18)/1000</f>
        <v>130.56700000000001</v>
      </c>
      <c r="V476" s="57">
        <f>INT(tblJTL[[#This Row],[経過秒]]/60)</f>
        <v>2</v>
      </c>
      <c r="W476" s="57">
        <f>IF(OR(tblJTL[[#This Row],[success]]=FALSE,tblJTL[[#This Row],[success]]="false"),1,0)</f>
        <v>0</v>
      </c>
      <c r="X476" s="57">
        <f>IF(AND(tblJTL[[#This Row],[経過秒]]&gt;='17_分析サンプル'!$E$11,tblJTL[[#This Row],[経過秒]]&lt;'17_分析サンプル'!$E$12),1,0)</f>
        <v>1</v>
      </c>
    </row>
    <row r="477" spans="2:24" ht="14.4" x14ac:dyDescent="0.3">
      <c r="B477" s="57">
        <v>1790816531296</v>
      </c>
      <c r="C477" s="58">
        <v>95</v>
      </c>
      <c r="D477" s="59" t="s">
        <v>1658</v>
      </c>
      <c r="E477" s="59" t="s">
        <v>1577</v>
      </c>
      <c r="F477" s="59" t="s">
        <v>2275</v>
      </c>
      <c r="G477" s="59" t="s">
        <v>3589</v>
      </c>
      <c r="H477" s="59" t="s">
        <v>2281</v>
      </c>
      <c r="I477" s="59" t="b">
        <v>1</v>
      </c>
      <c r="J477" s="59"/>
      <c r="K477" s="58">
        <v>1841</v>
      </c>
      <c r="L477" s="58">
        <v>1342</v>
      </c>
      <c r="M477" s="59">
        <v>10</v>
      </c>
      <c r="N477" s="59">
        <v>10</v>
      </c>
      <c r="O477" s="59" t="s">
        <v>3578</v>
      </c>
      <c r="P477" s="58">
        <v>88</v>
      </c>
      <c r="Q477" s="59">
        <v>0</v>
      </c>
      <c r="R477" s="59">
        <v>0</v>
      </c>
      <c r="S477" s="60">
        <f>tblJTL[[#This Row],[timeStamp]]/86400000+DATE(1970,1,1)+TIME(9,0,0)</f>
        <v>46296.418186296301</v>
      </c>
      <c r="T477" s="57">
        <f>tblJTL[[#This Row],[timeStamp]]+tblJTL[[#This Row],[elapsed]]</f>
        <v>1790816531391</v>
      </c>
      <c r="U477" s="61">
        <f>(tblJTL[[#This Row],[timeStamp]]-'17_分析サンプル'!$E$18)/1000</f>
        <v>131.11600000000001</v>
      </c>
      <c r="V477" s="57">
        <f>INT(tblJTL[[#This Row],[経過秒]]/60)</f>
        <v>2</v>
      </c>
      <c r="W477" s="57">
        <f>IF(OR(tblJTL[[#This Row],[success]]=FALSE,tblJTL[[#This Row],[success]]="false"),1,0)</f>
        <v>0</v>
      </c>
      <c r="X477" s="57">
        <f>IF(AND(tblJTL[[#This Row],[経過秒]]&gt;='17_分析サンプル'!$E$11,tblJTL[[#This Row],[経過秒]]&lt;'17_分析サンプル'!$E$12),1,0)</f>
        <v>1</v>
      </c>
    </row>
    <row r="478" spans="2:24" ht="14.4" x14ac:dyDescent="0.3">
      <c r="B478" s="57">
        <v>1790816531311</v>
      </c>
      <c r="C478" s="58">
        <v>113</v>
      </c>
      <c r="D478" s="59" t="s">
        <v>1658</v>
      </c>
      <c r="E478" s="59" t="s">
        <v>1577</v>
      </c>
      <c r="F478" s="59" t="s">
        <v>2275</v>
      </c>
      <c r="G478" s="59" t="s">
        <v>3587</v>
      </c>
      <c r="H478" s="59" t="s">
        <v>2281</v>
      </c>
      <c r="I478" s="59" t="b">
        <v>1</v>
      </c>
      <c r="J478" s="59"/>
      <c r="K478" s="58">
        <v>1870</v>
      </c>
      <c r="L478" s="58">
        <v>1342</v>
      </c>
      <c r="M478" s="59">
        <v>10</v>
      </c>
      <c r="N478" s="59">
        <v>10</v>
      </c>
      <c r="O478" s="59" t="s">
        <v>3578</v>
      </c>
      <c r="P478" s="58">
        <v>108</v>
      </c>
      <c r="Q478" s="59">
        <v>0</v>
      </c>
      <c r="R478" s="59">
        <v>0</v>
      </c>
      <c r="S478" s="60">
        <f>tblJTL[[#This Row],[timeStamp]]/86400000+DATE(1970,1,1)+TIME(9,0,0)</f>
        <v>46296.418186469906</v>
      </c>
      <c r="T478" s="57">
        <f>tblJTL[[#This Row],[timeStamp]]+tblJTL[[#This Row],[elapsed]]</f>
        <v>1790816531424</v>
      </c>
      <c r="U478" s="61">
        <f>(tblJTL[[#This Row],[timeStamp]]-'17_分析サンプル'!$E$18)/1000</f>
        <v>131.131</v>
      </c>
      <c r="V478" s="57">
        <f>INT(tblJTL[[#This Row],[経過秒]]/60)</f>
        <v>2</v>
      </c>
      <c r="W478" s="57">
        <f>IF(OR(tblJTL[[#This Row],[success]]=FALSE,tblJTL[[#This Row],[success]]="false"),1,0)</f>
        <v>0</v>
      </c>
      <c r="X478" s="57">
        <f>IF(AND(tblJTL[[#This Row],[経過秒]]&gt;='17_分析サンプル'!$E$11,tblJTL[[#This Row],[経過秒]]&lt;'17_分析サンプル'!$E$12),1,0)</f>
        <v>1</v>
      </c>
    </row>
    <row r="479" spans="2:24" ht="14.4" x14ac:dyDescent="0.3">
      <c r="B479" s="57">
        <v>1790816531740</v>
      </c>
      <c r="C479" s="58">
        <v>159</v>
      </c>
      <c r="D479" s="59" t="s">
        <v>1658</v>
      </c>
      <c r="E479" s="59" t="s">
        <v>1577</v>
      </c>
      <c r="F479" s="59" t="s">
        <v>2275</v>
      </c>
      <c r="G479" s="59" t="s">
        <v>3582</v>
      </c>
      <c r="H479" s="59" t="s">
        <v>2281</v>
      </c>
      <c r="I479" s="59" t="b">
        <v>1</v>
      </c>
      <c r="J479" s="59"/>
      <c r="K479" s="58">
        <v>1835</v>
      </c>
      <c r="L479" s="58">
        <v>1342</v>
      </c>
      <c r="M479" s="59">
        <v>10</v>
      </c>
      <c r="N479" s="59">
        <v>10</v>
      </c>
      <c r="O479" s="59" t="s">
        <v>3578</v>
      </c>
      <c r="P479" s="58">
        <v>157</v>
      </c>
      <c r="Q479" s="59">
        <v>0</v>
      </c>
      <c r="R479" s="59">
        <v>44</v>
      </c>
      <c r="S479" s="60">
        <f>tblJTL[[#This Row],[timeStamp]]/86400000+DATE(1970,1,1)+TIME(9,0,0)</f>
        <v>46296.418191435187</v>
      </c>
      <c r="T479" s="57">
        <f>tblJTL[[#This Row],[timeStamp]]+tblJTL[[#This Row],[elapsed]]</f>
        <v>1790816531899</v>
      </c>
      <c r="U479" s="61">
        <f>(tblJTL[[#This Row],[timeStamp]]-'17_分析サンプル'!$E$18)/1000</f>
        <v>131.56</v>
      </c>
      <c r="V479" s="57">
        <f>INT(tblJTL[[#This Row],[経過秒]]/60)</f>
        <v>2</v>
      </c>
      <c r="W479" s="57">
        <f>IF(OR(tblJTL[[#This Row],[success]]=FALSE,tblJTL[[#This Row],[success]]="false"),1,0)</f>
        <v>0</v>
      </c>
      <c r="X479" s="57">
        <f>IF(AND(tblJTL[[#This Row],[経過秒]]&gt;='17_分析サンプル'!$E$11,tblJTL[[#This Row],[経過秒]]&lt;'17_分析サンプル'!$E$12),1,0)</f>
        <v>1</v>
      </c>
    </row>
    <row r="480" spans="2:24" ht="14.4" x14ac:dyDescent="0.3">
      <c r="B480" s="57">
        <v>1790816531814</v>
      </c>
      <c r="C480" s="58">
        <v>110</v>
      </c>
      <c r="D480" s="59" t="s">
        <v>1658</v>
      </c>
      <c r="E480" s="59" t="s">
        <v>1577</v>
      </c>
      <c r="F480" s="59" t="s">
        <v>2275</v>
      </c>
      <c r="G480" s="59" t="s">
        <v>3586</v>
      </c>
      <c r="H480" s="59" t="s">
        <v>2281</v>
      </c>
      <c r="I480" s="59" t="b">
        <v>1</v>
      </c>
      <c r="J480" s="59"/>
      <c r="K480" s="58">
        <v>1849</v>
      </c>
      <c r="L480" s="58">
        <v>1342</v>
      </c>
      <c r="M480" s="59">
        <v>10</v>
      </c>
      <c r="N480" s="59">
        <v>10</v>
      </c>
      <c r="O480" s="59" t="s">
        <v>3578</v>
      </c>
      <c r="P480" s="58">
        <v>106</v>
      </c>
      <c r="Q480" s="59">
        <v>0</v>
      </c>
      <c r="R480" s="59">
        <v>0</v>
      </c>
      <c r="S480" s="60">
        <f>tblJTL[[#This Row],[timeStamp]]/86400000+DATE(1970,1,1)+TIME(9,0,0)</f>
        <v>46296.418192291661</v>
      </c>
      <c r="T480" s="57">
        <f>tblJTL[[#This Row],[timeStamp]]+tblJTL[[#This Row],[elapsed]]</f>
        <v>1790816531924</v>
      </c>
      <c r="U480" s="61">
        <f>(tblJTL[[#This Row],[timeStamp]]-'17_分析サンプル'!$E$18)/1000</f>
        <v>131.63399999999999</v>
      </c>
      <c r="V480" s="57">
        <f>INT(tblJTL[[#This Row],[経過秒]]/60)</f>
        <v>2</v>
      </c>
      <c r="W480" s="57">
        <f>IF(OR(tblJTL[[#This Row],[success]]=FALSE,tblJTL[[#This Row],[success]]="false"),1,0)</f>
        <v>0</v>
      </c>
      <c r="X480" s="57">
        <f>IF(AND(tblJTL[[#This Row],[経過秒]]&gt;='17_分析サンプル'!$E$11,tblJTL[[#This Row],[経過秒]]&lt;'17_分析サンプル'!$E$12),1,0)</f>
        <v>1</v>
      </c>
    </row>
    <row r="481" spans="2:24" ht="14.4" x14ac:dyDescent="0.3">
      <c r="B481" s="57">
        <v>1790816531953</v>
      </c>
      <c r="C481" s="58">
        <v>368</v>
      </c>
      <c r="D481" s="59" t="s">
        <v>1677</v>
      </c>
      <c r="E481" s="59" t="s">
        <v>3579</v>
      </c>
      <c r="F481" s="59" t="s">
        <v>3580</v>
      </c>
      <c r="G481" s="59" t="s">
        <v>3584</v>
      </c>
      <c r="H481" s="59" t="s">
        <v>2281</v>
      </c>
      <c r="I481" s="59" t="b">
        <v>1</v>
      </c>
      <c r="J481" s="59"/>
      <c r="K481" s="58">
        <v>422</v>
      </c>
      <c r="L481" s="58">
        <v>1478</v>
      </c>
      <c r="M481" s="59">
        <v>10</v>
      </c>
      <c r="N481" s="59">
        <v>10</v>
      </c>
      <c r="O481" s="59" t="s">
        <v>3581</v>
      </c>
      <c r="P481" s="58">
        <v>366</v>
      </c>
      <c r="Q481" s="59">
        <v>0</v>
      </c>
      <c r="R481" s="59">
        <v>0</v>
      </c>
      <c r="S481" s="60">
        <f>tblJTL[[#This Row],[timeStamp]]/86400000+DATE(1970,1,1)+TIME(9,0,0)</f>
        <v>46296.418193900463</v>
      </c>
      <c r="T481" s="57">
        <f>tblJTL[[#This Row],[timeStamp]]+tblJTL[[#This Row],[elapsed]]</f>
        <v>1790816532321</v>
      </c>
      <c r="U481" s="61">
        <f>(tblJTL[[#This Row],[timeStamp]]-'17_分析サンプル'!$E$18)/1000</f>
        <v>131.773</v>
      </c>
      <c r="V481" s="57">
        <f>INT(tblJTL[[#This Row],[経過秒]]/60)</f>
        <v>2</v>
      </c>
      <c r="W481" s="57">
        <f>IF(OR(tblJTL[[#This Row],[success]]=FALSE,tblJTL[[#This Row],[success]]="false"),1,0)</f>
        <v>0</v>
      </c>
      <c r="X481" s="57">
        <f>IF(AND(tblJTL[[#This Row],[経過秒]]&gt;='17_分析サンプル'!$E$11,tblJTL[[#This Row],[経過秒]]&lt;'17_分析サンプル'!$E$12),1,0)</f>
        <v>1</v>
      </c>
    </row>
    <row r="482" spans="2:24" ht="14.4" x14ac:dyDescent="0.3">
      <c r="B482" s="57">
        <v>1790816532440</v>
      </c>
      <c r="C482" s="58">
        <v>258</v>
      </c>
      <c r="D482" s="59" t="s">
        <v>1677</v>
      </c>
      <c r="E482" s="59" t="s">
        <v>3579</v>
      </c>
      <c r="F482" s="59" t="s">
        <v>3580</v>
      </c>
      <c r="G482" s="59" t="s">
        <v>3585</v>
      </c>
      <c r="H482" s="59" t="s">
        <v>2281</v>
      </c>
      <c r="I482" s="59" t="b">
        <v>1</v>
      </c>
      <c r="J482" s="59"/>
      <c r="K482" s="58">
        <v>436</v>
      </c>
      <c r="L482" s="58">
        <v>1478</v>
      </c>
      <c r="M482" s="59">
        <v>10</v>
      </c>
      <c r="N482" s="59">
        <v>10</v>
      </c>
      <c r="O482" s="59" t="s">
        <v>3581</v>
      </c>
      <c r="P482" s="58">
        <v>254</v>
      </c>
      <c r="Q482" s="59">
        <v>0</v>
      </c>
      <c r="R482" s="59">
        <v>0</v>
      </c>
      <c r="S482" s="60">
        <f>tblJTL[[#This Row],[timeStamp]]/86400000+DATE(1970,1,1)+TIME(9,0,0)</f>
        <v>46296.418199537038</v>
      </c>
      <c r="T482" s="57">
        <f>tblJTL[[#This Row],[timeStamp]]+tblJTL[[#This Row],[elapsed]]</f>
        <v>1790816532698</v>
      </c>
      <c r="U482" s="61">
        <f>(tblJTL[[#This Row],[timeStamp]]-'17_分析サンプル'!$E$18)/1000</f>
        <v>132.26</v>
      </c>
      <c r="V482" s="57">
        <f>INT(tblJTL[[#This Row],[経過秒]]/60)</f>
        <v>2</v>
      </c>
      <c r="W482" s="57">
        <f>IF(OR(tblJTL[[#This Row],[success]]=FALSE,tblJTL[[#This Row],[success]]="false"),1,0)</f>
        <v>0</v>
      </c>
      <c r="X482" s="57">
        <f>IF(AND(tblJTL[[#This Row],[経過秒]]&gt;='17_分析サンプル'!$E$11,tblJTL[[#This Row],[経過秒]]&lt;'17_分析サンプル'!$E$12),1,0)</f>
        <v>1</v>
      </c>
    </row>
    <row r="483" spans="2:24" ht="14.4" x14ac:dyDescent="0.3">
      <c r="B483" s="57">
        <v>1790816532525</v>
      </c>
      <c r="C483" s="58">
        <v>296</v>
      </c>
      <c r="D483" s="59" t="s">
        <v>1677</v>
      </c>
      <c r="E483" s="59" t="s">
        <v>3579</v>
      </c>
      <c r="F483" s="59" t="s">
        <v>3580</v>
      </c>
      <c r="G483" s="59" t="s">
        <v>3583</v>
      </c>
      <c r="H483" s="59" t="s">
        <v>2281</v>
      </c>
      <c r="I483" s="59" t="b">
        <v>1</v>
      </c>
      <c r="J483" s="59"/>
      <c r="K483" s="58">
        <v>438</v>
      </c>
      <c r="L483" s="58">
        <v>1478</v>
      </c>
      <c r="M483" s="59">
        <v>10</v>
      </c>
      <c r="N483" s="59">
        <v>10</v>
      </c>
      <c r="O483" s="59" t="s">
        <v>3581</v>
      </c>
      <c r="P483" s="58">
        <v>293</v>
      </c>
      <c r="Q483" s="59">
        <v>0</v>
      </c>
      <c r="R483" s="59">
        <v>0</v>
      </c>
      <c r="S483" s="60">
        <f>tblJTL[[#This Row],[timeStamp]]/86400000+DATE(1970,1,1)+TIME(9,0,0)</f>
        <v>46296.418200520835</v>
      </c>
      <c r="T483" s="57">
        <f>tblJTL[[#This Row],[timeStamp]]+tblJTL[[#This Row],[elapsed]]</f>
        <v>1790816532821</v>
      </c>
      <c r="U483" s="61">
        <f>(tblJTL[[#This Row],[timeStamp]]-'17_分析サンプル'!$E$18)/1000</f>
        <v>132.345</v>
      </c>
      <c r="V483" s="57">
        <f>INT(tblJTL[[#This Row],[経過秒]]/60)</f>
        <v>2</v>
      </c>
      <c r="W483" s="57">
        <f>IF(OR(tblJTL[[#This Row],[success]]=FALSE,tblJTL[[#This Row],[success]]="false"),1,0)</f>
        <v>0</v>
      </c>
      <c r="X483" s="57">
        <f>IF(AND(tblJTL[[#This Row],[経過秒]]&gt;='17_分析サンプル'!$E$11,tblJTL[[#This Row],[経過秒]]&lt;'17_分析サンプル'!$E$12),1,0)</f>
        <v>1</v>
      </c>
    </row>
    <row r="484" spans="2:24" ht="14.4" x14ac:dyDescent="0.3">
      <c r="B484" s="57">
        <v>1790816532900</v>
      </c>
      <c r="C484" s="58">
        <v>117</v>
      </c>
      <c r="D484" s="59" t="s">
        <v>1658</v>
      </c>
      <c r="E484" s="59" t="s">
        <v>1577</v>
      </c>
      <c r="F484" s="59" t="s">
        <v>2275</v>
      </c>
      <c r="G484" s="59" t="s">
        <v>3577</v>
      </c>
      <c r="H484" s="59" t="s">
        <v>2281</v>
      </c>
      <c r="I484" s="59" t="b">
        <v>1</v>
      </c>
      <c r="J484" s="59"/>
      <c r="K484" s="58">
        <v>1840</v>
      </c>
      <c r="L484" s="58">
        <v>1342</v>
      </c>
      <c r="M484" s="59">
        <v>10</v>
      </c>
      <c r="N484" s="59">
        <v>10</v>
      </c>
      <c r="O484" s="59" t="s">
        <v>3578</v>
      </c>
      <c r="P484" s="58">
        <v>113</v>
      </c>
      <c r="Q484" s="59">
        <v>0</v>
      </c>
      <c r="R484" s="59">
        <v>0</v>
      </c>
      <c r="S484" s="60">
        <f>tblJTL[[#This Row],[timeStamp]]/86400000+DATE(1970,1,1)+TIME(9,0,0)</f>
        <v>46296.418204861111</v>
      </c>
      <c r="T484" s="57">
        <f>tblJTL[[#This Row],[timeStamp]]+tblJTL[[#This Row],[elapsed]]</f>
        <v>1790816533017</v>
      </c>
      <c r="U484" s="61">
        <f>(tblJTL[[#This Row],[timeStamp]]-'17_分析サンプル'!$E$18)/1000</f>
        <v>132.72</v>
      </c>
      <c r="V484" s="57">
        <f>INT(tblJTL[[#This Row],[経過秒]]/60)</f>
        <v>2</v>
      </c>
      <c r="W484" s="57">
        <f>IF(OR(tblJTL[[#This Row],[success]]=FALSE,tblJTL[[#This Row],[success]]="false"),1,0)</f>
        <v>0</v>
      </c>
      <c r="X484" s="57">
        <f>IF(AND(tblJTL[[#This Row],[経過秒]]&gt;='17_分析サンプル'!$E$11,tblJTL[[#This Row],[経過秒]]&lt;'17_分析サンプル'!$E$12),1,0)</f>
        <v>1</v>
      </c>
    </row>
    <row r="485" spans="2:24" ht="14.4" x14ac:dyDescent="0.3">
      <c r="B485" s="57">
        <v>1790816532909</v>
      </c>
      <c r="C485" s="58">
        <v>145</v>
      </c>
      <c r="D485" s="59" t="s">
        <v>1658</v>
      </c>
      <c r="E485" s="59" t="s">
        <v>1577</v>
      </c>
      <c r="F485" s="59" t="s">
        <v>2275</v>
      </c>
      <c r="G485" s="59" t="s">
        <v>2278</v>
      </c>
      <c r="H485" s="59" t="s">
        <v>2281</v>
      </c>
      <c r="I485" s="59" t="b">
        <v>1</v>
      </c>
      <c r="J485" s="59"/>
      <c r="K485" s="58">
        <v>1900</v>
      </c>
      <c r="L485" s="58">
        <v>1342</v>
      </c>
      <c r="M485" s="59">
        <v>10</v>
      </c>
      <c r="N485" s="59">
        <v>10</v>
      </c>
      <c r="O485" s="59" t="s">
        <v>3578</v>
      </c>
      <c r="P485" s="58">
        <v>138</v>
      </c>
      <c r="Q485" s="59">
        <v>0</v>
      </c>
      <c r="R485" s="59">
        <v>0</v>
      </c>
      <c r="S485" s="60">
        <f>tblJTL[[#This Row],[timeStamp]]/86400000+DATE(1970,1,1)+TIME(9,0,0)</f>
        <v>46296.418204965274</v>
      </c>
      <c r="T485" s="57">
        <f>tblJTL[[#This Row],[timeStamp]]+tblJTL[[#This Row],[elapsed]]</f>
        <v>1790816533054</v>
      </c>
      <c r="U485" s="61">
        <f>(tblJTL[[#This Row],[timeStamp]]-'17_分析サンプル'!$E$18)/1000</f>
        <v>132.72900000000001</v>
      </c>
      <c r="V485" s="57">
        <f>INT(tblJTL[[#This Row],[経過秒]]/60)</f>
        <v>2</v>
      </c>
      <c r="W485" s="57">
        <f>IF(OR(tblJTL[[#This Row],[success]]=FALSE,tblJTL[[#This Row],[success]]="false"),1,0)</f>
        <v>0</v>
      </c>
      <c r="X485" s="57">
        <f>IF(AND(tblJTL[[#This Row],[経過秒]]&gt;='17_分析サンプル'!$E$11,tblJTL[[#This Row],[経過秒]]&lt;'17_分析サンプル'!$E$12),1,0)</f>
        <v>1</v>
      </c>
    </row>
    <row r="486" spans="2:24" ht="14.4" x14ac:dyDescent="0.3">
      <c r="B486" s="57">
        <v>1790816533062</v>
      </c>
      <c r="C486" s="58">
        <v>154</v>
      </c>
      <c r="D486" s="59" t="s">
        <v>1677</v>
      </c>
      <c r="E486" s="59" t="s">
        <v>3579</v>
      </c>
      <c r="F486" s="59" t="s">
        <v>3580</v>
      </c>
      <c r="G486" s="59" t="s">
        <v>3588</v>
      </c>
      <c r="H486" s="59" t="s">
        <v>2281</v>
      </c>
      <c r="I486" s="59" t="b">
        <v>1</v>
      </c>
      <c r="J486" s="59"/>
      <c r="K486" s="58">
        <v>431</v>
      </c>
      <c r="L486" s="58">
        <v>1478</v>
      </c>
      <c r="M486" s="59">
        <v>10</v>
      </c>
      <c r="N486" s="59">
        <v>10</v>
      </c>
      <c r="O486" s="59" t="s">
        <v>3581</v>
      </c>
      <c r="P486" s="58">
        <v>150</v>
      </c>
      <c r="Q486" s="59">
        <v>0</v>
      </c>
      <c r="R486" s="59">
        <v>0</v>
      </c>
      <c r="S486" s="60">
        <f>tblJTL[[#This Row],[timeStamp]]/86400000+DATE(1970,1,1)+TIME(9,0,0)</f>
        <v>46296.418206736111</v>
      </c>
      <c r="T486" s="57">
        <f>tblJTL[[#This Row],[timeStamp]]+tblJTL[[#This Row],[elapsed]]</f>
        <v>1790816533216</v>
      </c>
      <c r="U486" s="61">
        <f>(tblJTL[[#This Row],[timeStamp]]-'17_分析サンプル'!$E$18)/1000</f>
        <v>132.88200000000001</v>
      </c>
      <c r="V486" s="57">
        <f>INT(tblJTL[[#This Row],[経過秒]]/60)</f>
        <v>2</v>
      </c>
      <c r="W486" s="57">
        <f>IF(OR(tblJTL[[#This Row],[success]]=FALSE,tblJTL[[#This Row],[success]]="false"),1,0)</f>
        <v>0</v>
      </c>
      <c r="X486" s="57">
        <f>IF(AND(tblJTL[[#This Row],[経過秒]]&gt;='17_分析サンプル'!$E$11,tblJTL[[#This Row],[経過秒]]&lt;'17_分析サンプル'!$E$12),1,0)</f>
        <v>1</v>
      </c>
    </row>
    <row r="487" spans="2:24" ht="14.4" x14ac:dyDescent="0.3">
      <c r="B487" s="57">
        <v>1790816533215</v>
      </c>
      <c r="C487" s="58">
        <v>236</v>
      </c>
      <c r="D487" s="59" t="s">
        <v>1677</v>
      </c>
      <c r="E487" s="59" t="s">
        <v>3579</v>
      </c>
      <c r="F487" s="59" t="s">
        <v>3580</v>
      </c>
      <c r="G487" s="59" t="s">
        <v>3582</v>
      </c>
      <c r="H487" s="59" t="s">
        <v>2281</v>
      </c>
      <c r="I487" s="59" t="b">
        <v>1</v>
      </c>
      <c r="J487" s="59"/>
      <c r="K487" s="58">
        <v>412</v>
      </c>
      <c r="L487" s="58">
        <v>1478</v>
      </c>
      <c r="M487" s="59">
        <v>10</v>
      </c>
      <c r="N487" s="59">
        <v>10</v>
      </c>
      <c r="O487" s="59" t="s">
        <v>3581</v>
      </c>
      <c r="P487" s="58">
        <v>232</v>
      </c>
      <c r="Q487" s="59">
        <v>0</v>
      </c>
      <c r="R487" s="59">
        <v>0</v>
      </c>
      <c r="S487" s="60">
        <f>tblJTL[[#This Row],[timeStamp]]/86400000+DATE(1970,1,1)+TIME(9,0,0)</f>
        <v>46296.418208506948</v>
      </c>
      <c r="T487" s="57">
        <f>tblJTL[[#This Row],[timeStamp]]+tblJTL[[#This Row],[elapsed]]</f>
        <v>1790816533451</v>
      </c>
      <c r="U487" s="61">
        <f>(tblJTL[[#This Row],[timeStamp]]-'17_分析サンプル'!$E$18)/1000</f>
        <v>133.035</v>
      </c>
      <c r="V487" s="57">
        <f>INT(tblJTL[[#This Row],[経過秒]]/60)</f>
        <v>2</v>
      </c>
      <c r="W487" s="57">
        <f>IF(OR(tblJTL[[#This Row],[success]]=FALSE,tblJTL[[#This Row],[success]]="false"),1,0)</f>
        <v>0</v>
      </c>
      <c r="X487" s="57">
        <f>IF(AND(tblJTL[[#This Row],[経過秒]]&gt;='17_分析サンプル'!$E$11,tblJTL[[#This Row],[経過秒]]&lt;'17_分析サンプル'!$E$12),1,0)</f>
        <v>1</v>
      </c>
    </row>
    <row r="488" spans="2:24" ht="14.4" x14ac:dyDescent="0.3">
      <c r="B488" s="57">
        <v>1790816533596</v>
      </c>
      <c r="C488" s="58">
        <v>235</v>
      </c>
      <c r="D488" s="59" t="s">
        <v>1677</v>
      </c>
      <c r="E488" s="59" t="s">
        <v>3579</v>
      </c>
      <c r="F488" s="59" t="s">
        <v>3580</v>
      </c>
      <c r="G488" s="59" t="s">
        <v>3587</v>
      </c>
      <c r="H488" s="59" t="s">
        <v>2281</v>
      </c>
      <c r="I488" s="59" t="b">
        <v>1</v>
      </c>
      <c r="J488" s="59"/>
      <c r="K488" s="58">
        <v>438</v>
      </c>
      <c r="L488" s="58">
        <v>1478</v>
      </c>
      <c r="M488" s="59">
        <v>10</v>
      </c>
      <c r="N488" s="59">
        <v>10</v>
      </c>
      <c r="O488" s="59" t="s">
        <v>3581</v>
      </c>
      <c r="P488" s="58">
        <v>232</v>
      </c>
      <c r="Q488" s="59">
        <v>0</v>
      </c>
      <c r="R488" s="59">
        <v>0</v>
      </c>
      <c r="S488" s="60">
        <f>tblJTL[[#This Row],[timeStamp]]/86400000+DATE(1970,1,1)+TIME(9,0,0)</f>
        <v>46296.418212916666</v>
      </c>
      <c r="T488" s="57">
        <f>tblJTL[[#This Row],[timeStamp]]+tblJTL[[#This Row],[elapsed]]</f>
        <v>1790816533831</v>
      </c>
      <c r="U488" s="61">
        <f>(tblJTL[[#This Row],[timeStamp]]-'17_分析サンプル'!$E$18)/1000</f>
        <v>133.416</v>
      </c>
      <c r="V488" s="57">
        <f>INT(tblJTL[[#This Row],[経過秒]]/60)</f>
        <v>2</v>
      </c>
      <c r="W488" s="57">
        <f>IF(OR(tblJTL[[#This Row],[success]]=FALSE,tblJTL[[#This Row],[success]]="false"),1,0)</f>
        <v>0</v>
      </c>
      <c r="X488" s="57">
        <f>IF(AND(tblJTL[[#This Row],[経過秒]]&gt;='17_分析サンプル'!$E$11,tblJTL[[#This Row],[経過秒]]&lt;'17_分析サンプル'!$E$12),1,0)</f>
        <v>1</v>
      </c>
    </row>
    <row r="489" spans="2:24" ht="14.4" x14ac:dyDescent="0.3">
      <c r="B489" s="57">
        <v>1790816533741</v>
      </c>
      <c r="C489" s="58">
        <v>185</v>
      </c>
      <c r="D489" s="59" t="s">
        <v>1677</v>
      </c>
      <c r="E489" s="59" t="s">
        <v>3579</v>
      </c>
      <c r="F489" s="59" t="s">
        <v>3580</v>
      </c>
      <c r="G489" s="59" t="s">
        <v>3586</v>
      </c>
      <c r="H489" s="59" t="s">
        <v>2281</v>
      </c>
      <c r="I489" s="59" t="b">
        <v>1</v>
      </c>
      <c r="J489" s="59"/>
      <c r="K489" s="58">
        <v>416</v>
      </c>
      <c r="L489" s="58">
        <v>1478</v>
      </c>
      <c r="M489" s="59">
        <v>10</v>
      </c>
      <c r="N489" s="59">
        <v>10</v>
      </c>
      <c r="O489" s="59" t="s">
        <v>3581</v>
      </c>
      <c r="P489" s="58">
        <v>178</v>
      </c>
      <c r="Q489" s="59">
        <v>0</v>
      </c>
      <c r="R489" s="59">
        <v>0</v>
      </c>
      <c r="S489" s="60">
        <f>tblJTL[[#This Row],[timeStamp]]/86400000+DATE(1970,1,1)+TIME(9,0,0)</f>
        <v>46296.418214594909</v>
      </c>
      <c r="T489" s="57">
        <f>tblJTL[[#This Row],[timeStamp]]+tblJTL[[#This Row],[elapsed]]</f>
        <v>1790816533926</v>
      </c>
      <c r="U489" s="61">
        <f>(tblJTL[[#This Row],[timeStamp]]-'17_分析サンプル'!$E$18)/1000</f>
        <v>133.56100000000001</v>
      </c>
      <c r="V489" s="57">
        <f>INT(tblJTL[[#This Row],[経過秒]]/60)</f>
        <v>2</v>
      </c>
      <c r="W489" s="57">
        <f>IF(OR(tblJTL[[#This Row],[success]]=FALSE,tblJTL[[#This Row],[success]]="false"),1,0)</f>
        <v>0</v>
      </c>
      <c r="X489" s="57">
        <f>IF(AND(tblJTL[[#This Row],[経過秒]]&gt;='17_分析サンプル'!$E$11,tblJTL[[#This Row],[経過秒]]&lt;'17_分析サンプル'!$E$12),1,0)</f>
        <v>1</v>
      </c>
    </row>
    <row r="490" spans="2:24" ht="14.4" x14ac:dyDescent="0.3">
      <c r="B490" s="57">
        <v>1790816533762</v>
      </c>
      <c r="C490" s="58">
        <v>233</v>
      </c>
      <c r="D490" s="59" t="s">
        <v>1677</v>
      </c>
      <c r="E490" s="59" t="s">
        <v>3579</v>
      </c>
      <c r="F490" s="59" t="s">
        <v>3580</v>
      </c>
      <c r="G490" s="59" t="s">
        <v>3589</v>
      </c>
      <c r="H490" s="59" t="s">
        <v>2281</v>
      </c>
      <c r="I490" s="59" t="b">
        <v>1</v>
      </c>
      <c r="J490" s="59"/>
      <c r="K490" s="58">
        <v>425</v>
      </c>
      <c r="L490" s="58">
        <v>1478</v>
      </c>
      <c r="M490" s="59">
        <v>10</v>
      </c>
      <c r="N490" s="59">
        <v>10</v>
      </c>
      <c r="O490" s="59" t="s">
        <v>3581</v>
      </c>
      <c r="P490" s="58">
        <v>228</v>
      </c>
      <c r="Q490" s="59">
        <v>0</v>
      </c>
      <c r="R490" s="59">
        <v>0</v>
      </c>
      <c r="S490" s="60">
        <f>tblJTL[[#This Row],[timeStamp]]/86400000+DATE(1970,1,1)+TIME(9,0,0)</f>
        <v>46296.418214837962</v>
      </c>
      <c r="T490" s="57">
        <f>tblJTL[[#This Row],[timeStamp]]+tblJTL[[#This Row],[elapsed]]</f>
        <v>1790816533995</v>
      </c>
      <c r="U490" s="61">
        <f>(tblJTL[[#This Row],[timeStamp]]-'17_分析サンプル'!$E$18)/1000</f>
        <v>133.58199999999999</v>
      </c>
      <c r="V490" s="57">
        <f>INT(tblJTL[[#This Row],[経過秒]]/60)</f>
        <v>2</v>
      </c>
      <c r="W490" s="57">
        <f>IF(OR(tblJTL[[#This Row],[success]]=FALSE,tblJTL[[#This Row],[success]]="false"),1,0)</f>
        <v>0</v>
      </c>
      <c r="X490" s="57">
        <f>IF(AND(tblJTL[[#This Row],[経過秒]]&gt;='17_分析サンプル'!$E$11,tblJTL[[#This Row],[経過秒]]&lt;'17_分析サンプル'!$E$12),1,0)</f>
        <v>1</v>
      </c>
    </row>
    <row r="491" spans="2:24" ht="14.4" x14ac:dyDescent="0.3">
      <c r="B491" s="57">
        <v>1790816534332</v>
      </c>
      <c r="C491" s="58">
        <v>157</v>
      </c>
      <c r="D491" s="59" t="s">
        <v>1658</v>
      </c>
      <c r="E491" s="59" t="s">
        <v>1577</v>
      </c>
      <c r="F491" s="59" t="s">
        <v>2275</v>
      </c>
      <c r="G491" s="59" t="s">
        <v>3584</v>
      </c>
      <c r="H491" s="59" t="s">
        <v>2281</v>
      </c>
      <c r="I491" s="59" t="b">
        <v>1</v>
      </c>
      <c r="J491" s="59"/>
      <c r="K491" s="58">
        <v>1877</v>
      </c>
      <c r="L491" s="58">
        <v>1342</v>
      </c>
      <c r="M491" s="59">
        <v>10</v>
      </c>
      <c r="N491" s="59">
        <v>10</v>
      </c>
      <c r="O491" s="59" t="s">
        <v>3578</v>
      </c>
      <c r="P491" s="58">
        <v>151</v>
      </c>
      <c r="Q491" s="59">
        <v>0</v>
      </c>
      <c r="R491" s="59">
        <v>0</v>
      </c>
      <c r="S491" s="60">
        <f>tblJTL[[#This Row],[timeStamp]]/86400000+DATE(1970,1,1)+TIME(9,0,0)</f>
        <v>46296.418221435189</v>
      </c>
      <c r="T491" s="57">
        <f>tblJTL[[#This Row],[timeStamp]]+tblJTL[[#This Row],[elapsed]]</f>
        <v>1790816534489</v>
      </c>
      <c r="U491" s="61">
        <f>(tblJTL[[#This Row],[timeStamp]]-'17_分析サンプル'!$E$18)/1000</f>
        <v>134.15199999999999</v>
      </c>
      <c r="V491" s="57">
        <f>INT(tblJTL[[#This Row],[経過秒]]/60)</f>
        <v>2</v>
      </c>
      <c r="W491" s="57">
        <f>IF(OR(tblJTL[[#This Row],[success]]=FALSE,tblJTL[[#This Row],[success]]="false"),1,0)</f>
        <v>0</v>
      </c>
      <c r="X491" s="57">
        <f>IF(AND(tblJTL[[#This Row],[経過秒]]&gt;='17_分析サンプル'!$E$11,tblJTL[[#This Row],[経過秒]]&lt;'17_分析サンプル'!$E$12),1,0)</f>
        <v>1</v>
      </c>
    </row>
    <row r="492" spans="2:24" ht="14.4" x14ac:dyDescent="0.3">
      <c r="B492" s="57">
        <v>1790816534469</v>
      </c>
      <c r="C492" s="58">
        <v>153</v>
      </c>
      <c r="D492" s="59" t="s">
        <v>1658</v>
      </c>
      <c r="E492" s="59" t="s">
        <v>1577</v>
      </c>
      <c r="F492" s="59" t="s">
        <v>2275</v>
      </c>
      <c r="G492" s="59" t="s">
        <v>3582</v>
      </c>
      <c r="H492" s="59" t="s">
        <v>2281</v>
      </c>
      <c r="I492" s="59" t="b">
        <v>1</v>
      </c>
      <c r="J492" s="59"/>
      <c r="K492" s="58">
        <v>1849</v>
      </c>
      <c r="L492" s="58">
        <v>1342</v>
      </c>
      <c r="M492" s="59">
        <v>10</v>
      </c>
      <c r="N492" s="59">
        <v>10</v>
      </c>
      <c r="O492" s="59" t="s">
        <v>3578</v>
      </c>
      <c r="P492" s="58">
        <v>146</v>
      </c>
      <c r="Q492" s="59">
        <v>0</v>
      </c>
      <c r="R492" s="59">
        <v>0</v>
      </c>
      <c r="S492" s="60">
        <f>tblJTL[[#This Row],[timeStamp]]/86400000+DATE(1970,1,1)+TIME(9,0,0)</f>
        <v>46296.418223020832</v>
      </c>
      <c r="T492" s="57">
        <f>tblJTL[[#This Row],[timeStamp]]+tblJTL[[#This Row],[elapsed]]</f>
        <v>1790816534622</v>
      </c>
      <c r="U492" s="61">
        <f>(tblJTL[[#This Row],[timeStamp]]-'17_分析サンプル'!$E$18)/1000</f>
        <v>134.28899999999999</v>
      </c>
      <c r="V492" s="57">
        <f>INT(tblJTL[[#This Row],[経過秒]]/60)</f>
        <v>2</v>
      </c>
      <c r="W492" s="57">
        <f>IF(OR(tblJTL[[#This Row],[success]]=FALSE,tblJTL[[#This Row],[success]]="false"),1,0)</f>
        <v>0</v>
      </c>
      <c r="X492" s="57">
        <f>IF(AND(tblJTL[[#This Row],[経過秒]]&gt;='17_分析サンプル'!$E$11,tblJTL[[#This Row],[経過秒]]&lt;'17_分析サンプル'!$E$12),1,0)</f>
        <v>1</v>
      </c>
    </row>
    <row r="493" spans="2:24" ht="14.4" x14ac:dyDescent="0.3">
      <c r="B493" s="57">
        <v>1790816534909</v>
      </c>
      <c r="C493" s="58">
        <v>149</v>
      </c>
      <c r="D493" s="59" t="s">
        <v>1658</v>
      </c>
      <c r="E493" s="59" t="s">
        <v>1577</v>
      </c>
      <c r="F493" s="59" t="s">
        <v>2275</v>
      </c>
      <c r="G493" s="59" t="s">
        <v>3585</v>
      </c>
      <c r="H493" s="59" t="s">
        <v>2281</v>
      </c>
      <c r="I493" s="59" t="b">
        <v>1</v>
      </c>
      <c r="J493" s="59"/>
      <c r="K493" s="58">
        <v>1831</v>
      </c>
      <c r="L493" s="58">
        <v>1342</v>
      </c>
      <c r="M493" s="59">
        <v>10</v>
      </c>
      <c r="N493" s="59">
        <v>10</v>
      </c>
      <c r="O493" s="59" t="s">
        <v>3578</v>
      </c>
      <c r="P493" s="58">
        <v>141</v>
      </c>
      <c r="Q493" s="59">
        <v>0</v>
      </c>
      <c r="R493" s="59">
        <v>0</v>
      </c>
      <c r="S493" s="60">
        <f>tblJTL[[#This Row],[timeStamp]]/86400000+DATE(1970,1,1)+TIME(9,0,0)</f>
        <v>46296.418228113427</v>
      </c>
      <c r="T493" s="57">
        <f>tblJTL[[#This Row],[timeStamp]]+tblJTL[[#This Row],[elapsed]]</f>
        <v>1790816535058</v>
      </c>
      <c r="U493" s="61">
        <f>(tblJTL[[#This Row],[timeStamp]]-'17_分析サンプル'!$E$18)/1000</f>
        <v>134.72900000000001</v>
      </c>
      <c r="V493" s="57">
        <f>INT(tblJTL[[#This Row],[経過秒]]/60)</f>
        <v>2</v>
      </c>
      <c r="W493" s="57">
        <f>IF(OR(tblJTL[[#This Row],[success]]=FALSE,tblJTL[[#This Row],[success]]="false"),1,0)</f>
        <v>0</v>
      </c>
      <c r="X493" s="57">
        <f>IF(AND(tblJTL[[#This Row],[経過秒]]&gt;='17_分析サンプル'!$E$11,tblJTL[[#This Row],[経過秒]]&lt;'17_分析サンプル'!$E$12),1,0)</f>
        <v>1</v>
      </c>
    </row>
    <row r="494" spans="2:24" ht="14.4" x14ac:dyDescent="0.3">
      <c r="B494" s="57">
        <v>1790816535005</v>
      </c>
      <c r="C494" s="58">
        <v>127</v>
      </c>
      <c r="D494" s="59" t="s">
        <v>1658</v>
      </c>
      <c r="E494" s="59" t="s">
        <v>1577</v>
      </c>
      <c r="F494" s="59" t="s">
        <v>2275</v>
      </c>
      <c r="G494" s="59" t="s">
        <v>3587</v>
      </c>
      <c r="H494" s="59" t="s">
        <v>2281</v>
      </c>
      <c r="I494" s="59" t="b">
        <v>1</v>
      </c>
      <c r="J494" s="59"/>
      <c r="K494" s="58">
        <v>1850</v>
      </c>
      <c r="L494" s="58">
        <v>1342</v>
      </c>
      <c r="M494" s="59">
        <v>10</v>
      </c>
      <c r="N494" s="59">
        <v>10</v>
      </c>
      <c r="O494" s="59" t="s">
        <v>3578</v>
      </c>
      <c r="P494" s="58">
        <v>120</v>
      </c>
      <c r="Q494" s="59">
        <v>0</v>
      </c>
      <c r="R494" s="59">
        <v>0</v>
      </c>
      <c r="S494" s="60">
        <f>tblJTL[[#This Row],[timeStamp]]/86400000+DATE(1970,1,1)+TIME(9,0,0)</f>
        <v>46296.418229224539</v>
      </c>
      <c r="T494" s="57">
        <f>tblJTL[[#This Row],[timeStamp]]+tblJTL[[#This Row],[elapsed]]</f>
        <v>1790816535132</v>
      </c>
      <c r="U494" s="61">
        <f>(tblJTL[[#This Row],[timeStamp]]-'17_分析サンプル'!$E$18)/1000</f>
        <v>134.82499999999999</v>
      </c>
      <c r="V494" s="57">
        <f>INT(tblJTL[[#This Row],[経過秒]]/60)</f>
        <v>2</v>
      </c>
      <c r="W494" s="57">
        <f>IF(OR(tblJTL[[#This Row],[success]]=FALSE,tblJTL[[#This Row],[success]]="false"),1,0)</f>
        <v>0</v>
      </c>
      <c r="X494" s="57">
        <f>IF(AND(tblJTL[[#This Row],[経過秒]]&gt;='17_分析サンプル'!$E$11,tblJTL[[#This Row],[経過秒]]&lt;'17_分析サンプル'!$E$12),1,0)</f>
        <v>1</v>
      </c>
    </row>
    <row r="495" spans="2:24" ht="14.4" x14ac:dyDescent="0.3">
      <c r="B495" s="57">
        <v>1790816534822</v>
      </c>
      <c r="C495" s="58">
        <v>400</v>
      </c>
      <c r="D495" s="59" t="s">
        <v>1677</v>
      </c>
      <c r="E495" s="59" t="s">
        <v>3579</v>
      </c>
      <c r="F495" s="59" t="s">
        <v>3580</v>
      </c>
      <c r="G495" s="59" t="s">
        <v>2278</v>
      </c>
      <c r="H495" s="59" t="s">
        <v>2281</v>
      </c>
      <c r="I495" s="59" t="b">
        <v>1</v>
      </c>
      <c r="J495" s="59"/>
      <c r="K495" s="58">
        <v>416</v>
      </c>
      <c r="L495" s="58">
        <v>1478</v>
      </c>
      <c r="M495" s="59">
        <v>10</v>
      </c>
      <c r="N495" s="59">
        <v>10</v>
      </c>
      <c r="O495" s="59" t="s">
        <v>3581</v>
      </c>
      <c r="P495" s="58">
        <v>393</v>
      </c>
      <c r="Q495" s="59">
        <v>0</v>
      </c>
      <c r="R495" s="59">
        <v>0</v>
      </c>
      <c r="S495" s="60">
        <f>tblJTL[[#This Row],[timeStamp]]/86400000+DATE(1970,1,1)+TIME(9,0,0)</f>
        <v>46296.418227106478</v>
      </c>
      <c r="T495" s="57">
        <f>tblJTL[[#This Row],[timeStamp]]+tblJTL[[#This Row],[elapsed]]</f>
        <v>1790816535222</v>
      </c>
      <c r="U495" s="61">
        <f>(tblJTL[[#This Row],[timeStamp]]-'17_分析サンプル'!$E$18)/1000</f>
        <v>134.642</v>
      </c>
      <c r="V495" s="57">
        <f>INT(tblJTL[[#This Row],[経過秒]]/60)</f>
        <v>2</v>
      </c>
      <c r="W495" s="57">
        <f>IF(OR(tblJTL[[#This Row],[success]]=FALSE,tblJTL[[#This Row],[success]]="false"),1,0)</f>
        <v>0</v>
      </c>
      <c r="X495" s="57">
        <f>IF(AND(tblJTL[[#This Row],[経過秒]]&gt;='17_分析サンプル'!$E$11,tblJTL[[#This Row],[経過秒]]&lt;'17_分析サンプル'!$E$12),1,0)</f>
        <v>1</v>
      </c>
    </row>
    <row r="496" spans="2:24" ht="14.4" x14ac:dyDescent="0.3">
      <c r="B496" s="57">
        <v>1790816535154</v>
      </c>
      <c r="C496" s="58">
        <v>138</v>
      </c>
      <c r="D496" s="59" t="s">
        <v>1658</v>
      </c>
      <c r="E496" s="59" t="s">
        <v>1577</v>
      </c>
      <c r="F496" s="59" t="s">
        <v>2275</v>
      </c>
      <c r="G496" s="59" t="s">
        <v>3583</v>
      </c>
      <c r="H496" s="59" t="s">
        <v>2281</v>
      </c>
      <c r="I496" s="59" t="b">
        <v>1</v>
      </c>
      <c r="J496" s="59"/>
      <c r="K496" s="58">
        <v>1859</v>
      </c>
      <c r="L496" s="58">
        <v>1342</v>
      </c>
      <c r="M496" s="59">
        <v>10</v>
      </c>
      <c r="N496" s="59">
        <v>10</v>
      </c>
      <c r="O496" s="59" t="s">
        <v>3578</v>
      </c>
      <c r="P496" s="58">
        <v>132</v>
      </c>
      <c r="Q496" s="59">
        <v>0</v>
      </c>
      <c r="R496" s="59">
        <v>0</v>
      </c>
      <c r="S496" s="60">
        <f>tblJTL[[#This Row],[timeStamp]]/86400000+DATE(1970,1,1)+TIME(9,0,0)</f>
        <v>46296.418230949072</v>
      </c>
      <c r="T496" s="57">
        <f>tblJTL[[#This Row],[timeStamp]]+tblJTL[[#This Row],[elapsed]]</f>
        <v>1790816535292</v>
      </c>
      <c r="U496" s="61">
        <f>(tblJTL[[#This Row],[timeStamp]]-'17_分析サンプル'!$E$18)/1000</f>
        <v>134.97399999999999</v>
      </c>
      <c r="V496" s="57">
        <f>INT(tblJTL[[#This Row],[経過秒]]/60)</f>
        <v>2</v>
      </c>
      <c r="W496" s="57">
        <f>IF(OR(tblJTL[[#This Row],[success]]=FALSE,tblJTL[[#This Row],[success]]="false"),1,0)</f>
        <v>0</v>
      </c>
      <c r="X496" s="57">
        <f>IF(AND(tblJTL[[#This Row],[経過秒]]&gt;='17_分析サンプル'!$E$11,tblJTL[[#This Row],[経過秒]]&lt;'17_分析サンプル'!$E$12),1,0)</f>
        <v>1</v>
      </c>
    </row>
    <row r="497" spans="2:24" ht="14.4" x14ac:dyDescent="0.3">
      <c r="B497" s="57">
        <v>1790816535298</v>
      </c>
      <c r="C497" s="58">
        <v>87</v>
      </c>
      <c r="D497" s="59" t="s">
        <v>1658</v>
      </c>
      <c r="E497" s="59" t="s">
        <v>1577</v>
      </c>
      <c r="F497" s="59" t="s">
        <v>2275</v>
      </c>
      <c r="G497" s="59" t="s">
        <v>3586</v>
      </c>
      <c r="H497" s="59" t="s">
        <v>2281</v>
      </c>
      <c r="I497" s="59" t="b">
        <v>1</v>
      </c>
      <c r="J497" s="59"/>
      <c r="K497" s="58">
        <v>1860</v>
      </c>
      <c r="L497" s="58">
        <v>1342</v>
      </c>
      <c r="M497" s="59">
        <v>10</v>
      </c>
      <c r="N497" s="59">
        <v>10</v>
      </c>
      <c r="O497" s="59" t="s">
        <v>3578</v>
      </c>
      <c r="P497" s="58">
        <v>80</v>
      </c>
      <c r="Q497" s="59">
        <v>0</v>
      </c>
      <c r="R497" s="59">
        <v>0</v>
      </c>
      <c r="S497" s="60">
        <f>tblJTL[[#This Row],[timeStamp]]/86400000+DATE(1970,1,1)+TIME(9,0,0)</f>
        <v>46296.418232615746</v>
      </c>
      <c r="T497" s="57">
        <f>tblJTL[[#This Row],[timeStamp]]+tblJTL[[#This Row],[elapsed]]</f>
        <v>1790816535385</v>
      </c>
      <c r="U497" s="61">
        <f>(tblJTL[[#This Row],[timeStamp]]-'17_分析サンプル'!$E$18)/1000</f>
        <v>135.11799999999999</v>
      </c>
      <c r="V497" s="57">
        <f>INT(tblJTL[[#This Row],[経過秒]]/60)</f>
        <v>2</v>
      </c>
      <c r="W497" s="57">
        <f>IF(OR(tblJTL[[#This Row],[success]]=FALSE,tblJTL[[#This Row],[success]]="false"),1,0)</f>
        <v>0</v>
      </c>
      <c r="X497" s="57">
        <f>IF(AND(tblJTL[[#This Row],[経過秒]]&gt;='17_分析サンプル'!$E$11,tblJTL[[#This Row],[経過秒]]&lt;'17_分析サンプル'!$E$12),1,0)</f>
        <v>1</v>
      </c>
    </row>
    <row r="498" spans="2:24" ht="14.4" x14ac:dyDescent="0.3">
      <c r="B498" s="57">
        <v>1790816535029</v>
      </c>
      <c r="C498" s="58">
        <v>439</v>
      </c>
      <c r="D498" s="59" t="s">
        <v>1677</v>
      </c>
      <c r="E498" s="59" t="s">
        <v>3579</v>
      </c>
      <c r="F498" s="59" t="s">
        <v>3580</v>
      </c>
      <c r="G498" s="59" t="s">
        <v>3577</v>
      </c>
      <c r="H498" s="59" t="s">
        <v>2281</v>
      </c>
      <c r="I498" s="59" t="b">
        <v>1</v>
      </c>
      <c r="J498" s="59"/>
      <c r="K498" s="58">
        <v>421</v>
      </c>
      <c r="L498" s="58">
        <v>1478</v>
      </c>
      <c r="M498" s="59">
        <v>10</v>
      </c>
      <c r="N498" s="59">
        <v>10</v>
      </c>
      <c r="O498" s="59" t="s">
        <v>3581</v>
      </c>
      <c r="P498" s="58">
        <v>435</v>
      </c>
      <c r="Q498" s="59">
        <v>0</v>
      </c>
      <c r="R498" s="59">
        <v>0</v>
      </c>
      <c r="S498" s="60">
        <f>tblJTL[[#This Row],[timeStamp]]/86400000+DATE(1970,1,1)+TIME(9,0,0)</f>
        <v>46296.41822950232</v>
      </c>
      <c r="T498" s="57">
        <f>tblJTL[[#This Row],[timeStamp]]+tblJTL[[#This Row],[elapsed]]</f>
        <v>1790816535468</v>
      </c>
      <c r="U498" s="61">
        <f>(tblJTL[[#This Row],[timeStamp]]-'17_分析サンプル'!$E$18)/1000</f>
        <v>134.84899999999999</v>
      </c>
      <c r="V498" s="57">
        <f>INT(tblJTL[[#This Row],[経過秒]]/60)</f>
        <v>2</v>
      </c>
      <c r="W498" s="57">
        <f>IF(OR(tblJTL[[#This Row],[success]]=FALSE,tblJTL[[#This Row],[success]]="false"),1,0)</f>
        <v>0</v>
      </c>
      <c r="X498" s="57">
        <f>IF(AND(tblJTL[[#This Row],[経過秒]]&gt;='17_分析サンプル'!$E$11,tblJTL[[#This Row],[経過秒]]&lt;'17_分析サンプル'!$E$12),1,0)</f>
        <v>1</v>
      </c>
    </row>
    <row r="499" spans="2:24" ht="14.4" x14ac:dyDescent="0.3">
      <c r="B499" s="57">
        <v>1790816536147</v>
      </c>
      <c r="C499" s="58">
        <v>102</v>
      </c>
      <c r="D499" s="59" t="s">
        <v>1658</v>
      </c>
      <c r="E499" s="59" t="s">
        <v>1577</v>
      </c>
      <c r="F499" s="59" t="s">
        <v>2275</v>
      </c>
      <c r="G499" s="59" t="s">
        <v>3588</v>
      </c>
      <c r="H499" s="59" t="s">
        <v>2281</v>
      </c>
      <c r="I499" s="59" t="b">
        <v>1</v>
      </c>
      <c r="J499" s="59"/>
      <c r="K499" s="58">
        <v>1870</v>
      </c>
      <c r="L499" s="58">
        <v>1342</v>
      </c>
      <c r="M499" s="59">
        <v>10</v>
      </c>
      <c r="N499" s="59">
        <v>10</v>
      </c>
      <c r="O499" s="59" t="s">
        <v>3578</v>
      </c>
      <c r="P499" s="58">
        <v>97</v>
      </c>
      <c r="Q499" s="59">
        <v>0</v>
      </c>
      <c r="R499" s="59">
        <v>0</v>
      </c>
      <c r="S499" s="60">
        <f>tblJTL[[#This Row],[timeStamp]]/86400000+DATE(1970,1,1)+TIME(9,0,0)</f>
        <v>46296.418242442131</v>
      </c>
      <c r="T499" s="57">
        <f>tblJTL[[#This Row],[timeStamp]]+tblJTL[[#This Row],[elapsed]]</f>
        <v>1790816536249</v>
      </c>
      <c r="U499" s="61">
        <f>(tblJTL[[#This Row],[timeStamp]]-'17_分析サンプル'!$E$18)/1000</f>
        <v>135.96700000000001</v>
      </c>
      <c r="V499" s="57">
        <f>INT(tblJTL[[#This Row],[経過秒]]/60)</f>
        <v>2</v>
      </c>
      <c r="W499" s="57">
        <f>IF(OR(tblJTL[[#This Row],[success]]=FALSE,tblJTL[[#This Row],[success]]="false"),1,0)</f>
        <v>0</v>
      </c>
      <c r="X499" s="57">
        <f>IF(AND(tblJTL[[#This Row],[経過秒]]&gt;='17_分析サンプル'!$E$11,tblJTL[[#This Row],[経過秒]]&lt;'17_分析サンプル'!$E$12),1,0)</f>
        <v>1</v>
      </c>
    </row>
    <row r="500" spans="2:24" ht="14.4" x14ac:dyDescent="0.3">
      <c r="B500" s="57">
        <v>1790816536285</v>
      </c>
      <c r="C500" s="58">
        <v>284</v>
      </c>
      <c r="D500" s="59" t="s">
        <v>1677</v>
      </c>
      <c r="E500" s="59" t="s">
        <v>3579</v>
      </c>
      <c r="F500" s="59" t="s">
        <v>3580</v>
      </c>
      <c r="G500" s="59" t="s">
        <v>3584</v>
      </c>
      <c r="H500" s="59" t="s">
        <v>2281</v>
      </c>
      <c r="I500" s="59" t="b">
        <v>1</v>
      </c>
      <c r="J500" s="59"/>
      <c r="K500" s="58">
        <v>429</v>
      </c>
      <c r="L500" s="58">
        <v>1478</v>
      </c>
      <c r="M500" s="59">
        <v>10</v>
      </c>
      <c r="N500" s="59">
        <v>10</v>
      </c>
      <c r="O500" s="59" t="s">
        <v>3581</v>
      </c>
      <c r="P500" s="58">
        <v>282</v>
      </c>
      <c r="Q500" s="59">
        <v>0</v>
      </c>
      <c r="R500" s="59">
        <v>0</v>
      </c>
      <c r="S500" s="60">
        <f>tblJTL[[#This Row],[timeStamp]]/86400000+DATE(1970,1,1)+TIME(9,0,0)</f>
        <v>46296.418244039349</v>
      </c>
      <c r="T500" s="57">
        <f>tblJTL[[#This Row],[timeStamp]]+tblJTL[[#This Row],[elapsed]]</f>
        <v>1790816536569</v>
      </c>
      <c r="U500" s="61">
        <f>(tblJTL[[#This Row],[timeStamp]]-'17_分析サンプル'!$E$18)/1000</f>
        <v>136.10499999999999</v>
      </c>
      <c r="V500" s="57">
        <f>INT(tblJTL[[#This Row],[経過秒]]/60)</f>
        <v>2</v>
      </c>
      <c r="W500" s="57">
        <f>IF(OR(tblJTL[[#This Row],[success]]=FALSE,tblJTL[[#This Row],[success]]="false"),1,0)</f>
        <v>0</v>
      </c>
      <c r="X500" s="57">
        <f>IF(AND(tblJTL[[#This Row],[経過秒]]&gt;='17_分析サンプル'!$E$11,tblJTL[[#This Row],[経過秒]]&lt;'17_分析サンプル'!$E$12),1,0)</f>
        <v>1</v>
      </c>
    </row>
    <row r="501" spans="2:24" ht="14.4" x14ac:dyDescent="0.3">
      <c r="B501" s="57">
        <v>1790816536652</v>
      </c>
      <c r="C501" s="58">
        <v>156</v>
      </c>
      <c r="D501" s="59" t="s">
        <v>1677</v>
      </c>
      <c r="E501" s="59" t="s">
        <v>3579</v>
      </c>
      <c r="F501" s="59" t="s">
        <v>3580</v>
      </c>
      <c r="G501" s="59" t="s">
        <v>3583</v>
      </c>
      <c r="H501" s="59" t="s">
        <v>2281</v>
      </c>
      <c r="I501" s="59" t="b">
        <v>1</v>
      </c>
      <c r="J501" s="59"/>
      <c r="K501" s="58">
        <v>411</v>
      </c>
      <c r="L501" s="58">
        <v>1478</v>
      </c>
      <c r="M501" s="59">
        <v>10</v>
      </c>
      <c r="N501" s="59">
        <v>10</v>
      </c>
      <c r="O501" s="59" t="s">
        <v>3581</v>
      </c>
      <c r="P501" s="58">
        <v>148</v>
      </c>
      <c r="Q501" s="59">
        <v>0</v>
      </c>
      <c r="R501" s="59">
        <v>0</v>
      </c>
      <c r="S501" s="60">
        <f>tblJTL[[#This Row],[timeStamp]]/86400000+DATE(1970,1,1)+TIME(9,0,0)</f>
        <v>46296.418248287038</v>
      </c>
      <c r="T501" s="57">
        <f>tblJTL[[#This Row],[timeStamp]]+tblJTL[[#This Row],[elapsed]]</f>
        <v>1790816536808</v>
      </c>
      <c r="U501" s="61">
        <f>(tblJTL[[#This Row],[timeStamp]]-'17_分析サンプル'!$E$18)/1000</f>
        <v>136.47200000000001</v>
      </c>
      <c r="V501" s="57">
        <f>INT(tblJTL[[#This Row],[経過秒]]/60)</f>
        <v>2</v>
      </c>
      <c r="W501" s="57">
        <f>IF(OR(tblJTL[[#This Row],[success]]=FALSE,tblJTL[[#This Row],[success]]="false"),1,0)</f>
        <v>0</v>
      </c>
      <c r="X501" s="57">
        <f>IF(AND(tblJTL[[#This Row],[経過秒]]&gt;='17_分析サンプル'!$E$11,tblJTL[[#This Row],[経過秒]]&lt;'17_分析サンプル'!$E$12),1,0)</f>
        <v>1</v>
      </c>
    </row>
    <row r="502" spans="2:24" ht="14.4" x14ac:dyDescent="0.3">
      <c r="B502" s="57">
        <v>1790816536907</v>
      </c>
      <c r="C502" s="58">
        <v>111</v>
      </c>
      <c r="D502" s="59" t="s">
        <v>1658</v>
      </c>
      <c r="E502" s="59" t="s">
        <v>1577</v>
      </c>
      <c r="F502" s="59" t="s">
        <v>2275</v>
      </c>
      <c r="G502" s="59" t="s">
        <v>3589</v>
      </c>
      <c r="H502" s="59" t="s">
        <v>2281</v>
      </c>
      <c r="I502" s="59" t="b">
        <v>1</v>
      </c>
      <c r="J502" s="59"/>
      <c r="K502" s="58">
        <v>1845</v>
      </c>
      <c r="L502" s="58">
        <v>1342</v>
      </c>
      <c r="M502" s="59">
        <v>10</v>
      </c>
      <c r="N502" s="59">
        <v>10</v>
      </c>
      <c r="O502" s="59" t="s">
        <v>3578</v>
      </c>
      <c r="P502" s="58">
        <v>108</v>
      </c>
      <c r="Q502" s="59">
        <v>0</v>
      </c>
      <c r="R502" s="59">
        <v>0</v>
      </c>
      <c r="S502" s="60">
        <f>tblJTL[[#This Row],[timeStamp]]/86400000+DATE(1970,1,1)+TIME(9,0,0)</f>
        <v>46296.418251238429</v>
      </c>
      <c r="T502" s="57">
        <f>tblJTL[[#This Row],[timeStamp]]+tblJTL[[#This Row],[elapsed]]</f>
        <v>1790816537018</v>
      </c>
      <c r="U502" s="61">
        <f>(tblJTL[[#This Row],[timeStamp]]-'17_分析サンプル'!$E$18)/1000</f>
        <v>136.727</v>
      </c>
      <c r="V502" s="57">
        <f>INT(tblJTL[[#This Row],[経過秒]]/60)</f>
        <v>2</v>
      </c>
      <c r="W502" s="57">
        <f>IF(OR(tblJTL[[#This Row],[success]]=FALSE,tblJTL[[#This Row],[success]]="false"),1,0)</f>
        <v>0</v>
      </c>
      <c r="X502" s="57">
        <f>IF(AND(tblJTL[[#This Row],[経過秒]]&gt;='17_分析サンプル'!$E$11,tblJTL[[#This Row],[経過秒]]&lt;'17_分析サンプル'!$E$12),1,0)</f>
        <v>1</v>
      </c>
    </row>
    <row r="503" spans="2:24" ht="14.4" x14ac:dyDescent="0.3">
      <c r="B503" s="57">
        <v>1790816537104</v>
      </c>
      <c r="C503" s="58">
        <v>260</v>
      </c>
      <c r="D503" s="59" t="s">
        <v>1677</v>
      </c>
      <c r="E503" s="59" t="s">
        <v>3579</v>
      </c>
      <c r="F503" s="59" t="s">
        <v>3580</v>
      </c>
      <c r="G503" s="59" t="s">
        <v>3587</v>
      </c>
      <c r="H503" s="59" t="s">
        <v>2281</v>
      </c>
      <c r="I503" s="59" t="b">
        <v>1</v>
      </c>
      <c r="J503" s="59"/>
      <c r="K503" s="58">
        <v>419</v>
      </c>
      <c r="L503" s="58">
        <v>1478</v>
      </c>
      <c r="M503" s="59">
        <v>10</v>
      </c>
      <c r="N503" s="59">
        <v>10</v>
      </c>
      <c r="O503" s="59" t="s">
        <v>3581</v>
      </c>
      <c r="P503" s="58">
        <v>256</v>
      </c>
      <c r="Q503" s="59">
        <v>0</v>
      </c>
      <c r="R503" s="59">
        <v>0</v>
      </c>
      <c r="S503" s="60">
        <f>tblJTL[[#This Row],[timeStamp]]/86400000+DATE(1970,1,1)+TIME(9,0,0)</f>
        <v>46296.418253518517</v>
      </c>
      <c r="T503" s="57">
        <f>tblJTL[[#This Row],[timeStamp]]+tblJTL[[#This Row],[elapsed]]</f>
        <v>1790816537364</v>
      </c>
      <c r="U503" s="61">
        <f>(tblJTL[[#This Row],[timeStamp]]-'17_分析サンプル'!$E$18)/1000</f>
        <v>136.92400000000001</v>
      </c>
      <c r="V503" s="57">
        <f>INT(tblJTL[[#This Row],[経過秒]]/60)</f>
        <v>2</v>
      </c>
      <c r="W503" s="57">
        <f>IF(OR(tblJTL[[#This Row],[success]]=FALSE,tblJTL[[#This Row],[success]]="false"),1,0)</f>
        <v>0</v>
      </c>
      <c r="X503" s="57">
        <f>IF(AND(tblJTL[[#This Row],[経過秒]]&gt;='17_分析サンプル'!$E$11,tblJTL[[#This Row],[経過秒]]&lt;'17_分析サンプル'!$E$12),1,0)</f>
        <v>1</v>
      </c>
    </row>
    <row r="504" spans="2:24" ht="14.4" x14ac:dyDescent="0.3">
      <c r="B504" s="57">
        <v>1790816537418</v>
      </c>
      <c r="C504" s="58">
        <v>173</v>
      </c>
      <c r="D504" s="59" t="s">
        <v>1677</v>
      </c>
      <c r="E504" s="59" t="s">
        <v>3579</v>
      </c>
      <c r="F504" s="59" t="s">
        <v>3580</v>
      </c>
      <c r="G504" s="59" t="s">
        <v>3582</v>
      </c>
      <c r="H504" s="59" t="s">
        <v>2281</v>
      </c>
      <c r="I504" s="59" t="b">
        <v>1</v>
      </c>
      <c r="J504" s="59"/>
      <c r="K504" s="58">
        <v>415</v>
      </c>
      <c r="L504" s="58">
        <v>1478</v>
      </c>
      <c r="M504" s="59">
        <v>10</v>
      </c>
      <c r="N504" s="59">
        <v>10</v>
      </c>
      <c r="O504" s="59" t="s">
        <v>3581</v>
      </c>
      <c r="P504" s="58">
        <v>165</v>
      </c>
      <c r="Q504" s="59">
        <v>0</v>
      </c>
      <c r="R504" s="59">
        <v>0</v>
      </c>
      <c r="S504" s="60">
        <f>tblJTL[[#This Row],[timeStamp]]/86400000+DATE(1970,1,1)+TIME(9,0,0)</f>
        <v>46296.418257152778</v>
      </c>
      <c r="T504" s="57">
        <f>tblJTL[[#This Row],[timeStamp]]+tblJTL[[#This Row],[elapsed]]</f>
        <v>1790816537591</v>
      </c>
      <c r="U504" s="61">
        <f>(tblJTL[[#This Row],[timeStamp]]-'17_分析サンプル'!$E$18)/1000</f>
        <v>137.238</v>
      </c>
      <c r="V504" s="57">
        <f>INT(tblJTL[[#This Row],[経過秒]]/60)</f>
        <v>2</v>
      </c>
      <c r="W504" s="57">
        <f>IF(OR(tblJTL[[#This Row],[success]]=FALSE,tblJTL[[#This Row],[success]]="false"),1,0)</f>
        <v>0</v>
      </c>
      <c r="X504" s="57">
        <f>IF(AND(tblJTL[[#This Row],[経過秒]]&gt;='17_分析サンプル'!$E$11,tblJTL[[#This Row],[経過秒]]&lt;'17_分析サンプル'!$E$12),1,0)</f>
        <v>1</v>
      </c>
    </row>
    <row r="505" spans="2:24" ht="14.4" x14ac:dyDescent="0.3">
      <c r="B505" s="57">
        <v>1790816537483</v>
      </c>
      <c r="C505" s="58">
        <v>202</v>
      </c>
      <c r="D505" s="59" t="s">
        <v>1658</v>
      </c>
      <c r="E505" s="59" t="s">
        <v>1577</v>
      </c>
      <c r="F505" s="59" t="s">
        <v>2275</v>
      </c>
      <c r="G505" s="59" t="s">
        <v>2278</v>
      </c>
      <c r="H505" s="59" t="s">
        <v>2281</v>
      </c>
      <c r="I505" s="59" t="b">
        <v>1</v>
      </c>
      <c r="J505" s="59"/>
      <c r="K505" s="58">
        <v>1827</v>
      </c>
      <c r="L505" s="58">
        <v>1342</v>
      </c>
      <c r="M505" s="59">
        <v>10</v>
      </c>
      <c r="N505" s="59">
        <v>10</v>
      </c>
      <c r="O505" s="59" t="s">
        <v>3578</v>
      </c>
      <c r="P505" s="58">
        <v>199</v>
      </c>
      <c r="Q505" s="59">
        <v>0</v>
      </c>
      <c r="R505" s="59">
        <v>45</v>
      </c>
      <c r="S505" s="60">
        <f>tblJTL[[#This Row],[timeStamp]]/86400000+DATE(1970,1,1)+TIME(9,0,0)</f>
        <v>46296.418257905098</v>
      </c>
      <c r="T505" s="57">
        <f>tblJTL[[#This Row],[timeStamp]]+tblJTL[[#This Row],[elapsed]]</f>
        <v>1790816537685</v>
      </c>
      <c r="U505" s="61">
        <f>(tblJTL[[#This Row],[timeStamp]]-'17_分析サンプル'!$E$18)/1000</f>
        <v>137.303</v>
      </c>
      <c r="V505" s="57">
        <f>INT(tblJTL[[#This Row],[経過秒]]/60)</f>
        <v>2</v>
      </c>
      <c r="W505" s="57">
        <f>IF(OR(tblJTL[[#This Row],[success]]=FALSE,tblJTL[[#This Row],[success]]="false"),1,0)</f>
        <v>0</v>
      </c>
      <c r="X505" s="57">
        <f>IF(AND(tblJTL[[#This Row],[経過秒]]&gt;='17_分析サンプル'!$E$11,tblJTL[[#This Row],[経過秒]]&lt;'17_分析サンプル'!$E$12),1,0)</f>
        <v>1</v>
      </c>
    </row>
    <row r="506" spans="2:24" ht="14.4" x14ac:dyDescent="0.3">
      <c r="B506" s="57">
        <v>1790816537635</v>
      </c>
      <c r="C506" s="58">
        <v>259</v>
      </c>
      <c r="D506" s="59" t="s">
        <v>1677</v>
      </c>
      <c r="E506" s="59" t="s">
        <v>3579</v>
      </c>
      <c r="F506" s="59" t="s">
        <v>3580</v>
      </c>
      <c r="G506" s="59" t="s">
        <v>3588</v>
      </c>
      <c r="H506" s="59" t="s">
        <v>2281</v>
      </c>
      <c r="I506" s="59" t="b">
        <v>1</v>
      </c>
      <c r="J506" s="59"/>
      <c r="K506" s="58">
        <v>439</v>
      </c>
      <c r="L506" s="58">
        <v>1478</v>
      </c>
      <c r="M506" s="59">
        <v>10</v>
      </c>
      <c r="N506" s="59">
        <v>10</v>
      </c>
      <c r="O506" s="59" t="s">
        <v>3581</v>
      </c>
      <c r="P506" s="58">
        <v>255</v>
      </c>
      <c r="Q506" s="59">
        <v>0</v>
      </c>
      <c r="R506" s="59">
        <v>0</v>
      </c>
      <c r="S506" s="60">
        <f>tblJTL[[#This Row],[timeStamp]]/86400000+DATE(1970,1,1)+TIME(9,0,0)</f>
        <v>46296.418259664351</v>
      </c>
      <c r="T506" s="57">
        <f>tblJTL[[#This Row],[timeStamp]]+tblJTL[[#This Row],[elapsed]]</f>
        <v>1790816537894</v>
      </c>
      <c r="U506" s="61">
        <f>(tblJTL[[#This Row],[timeStamp]]-'17_分析サンプル'!$E$18)/1000</f>
        <v>137.45500000000001</v>
      </c>
      <c r="V506" s="57">
        <f>INT(tblJTL[[#This Row],[経過秒]]/60)</f>
        <v>2</v>
      </c>
      <c r="W506" s="57">
        <f>IF(OR(tblJTL[[#This Row],[success]]=FALSE,tblJTL[[#This Row],[success]]="false"),1,0)</f>
        <v>0</v>
      </c>
      <c r="X506" s="57">
        <f>IF(AND(tblJTL[[#This Row],[経過秒]]&gt;='17_分析サンプル'!$E$11,tblJTL[[#This Row],[経過秒]]&lt;'17_分析サンプル'!$E$12),1,0)</f>
        <v>1</v>
      </c>
    </row>
    <row r="507" spans="2:24" ht="14.4" x14ac:dyDescent="0.3">
      <c r="B507" s="57">
        <v>1790816537835</v>
      </c>
      <c r="C507" s="58">
        <v>108</v>
      </c>
      <c r="D507" s="59" t="s">
        <v>1658</v>
      </c>
      <c r="E507" s="59" t="s">
        <v>1577</v>
      </c>
      <c r="F507" s="59" t="s">
        <v>2275</v>
      </c>
      <c r="G507" s="59" t="s">
        <v>3577</v>
      </c>
      <c r="H507" s="59" t="s">
        <v>2281</v>
      </c>
      <c r="I507" s="59" t="b">
        <v>1</v>
      </c>
      <c r="J507" s="59"/>
      <c r="K507" s="58">
        <v>1863</v>
      </c>
      <c r="L507" s="58">
        <v>1342</v>
      </c>
      <c r="M507" s="59">
        <v>10</v>
      </c>
      <c r="N507" s="59">
        <v>10</v>
      </c>
      <c r="O507" s="59" t="s">
        <v>3578</v>
      </c>
      <c r="P507" s="58">
        <v>102</v>
      </c>
      <c r="Q507" s="59">
        <v>0</v>
      </c>
      <c r="R507" s="59">
        <v>0</v>
      </c>
      <c r="S507" s="60">
        <f>tblJTL[[#This Row],[timeStamp]]/86400000+DATE(1970,1,1)+TIME(9,0,0)</f>
        <v>46296.418261979168</v>
      </c>
      <c r="T507" s="57">
        <f>tblJTL[[#This Row],[timeStamp]]+tblJTL[[#This Row],[elapsed]]</f>
        <v>1790816537943</v>
      </c>
      <c r="U507" s="61">
        <f>(tblJTL[[#This Row],[timeStamp]]-'17_分析サンプル'!$E$18)/1000</f>
        <v>137.655</v>
      </c>
      <c r="V507" s="57">
        <f>INT(tblJTL[[#This Row],[経過秒]]/60)</f>
        <v>2</v>
      </c>
      <c r="W507" s="57">
        <f>IF(OR(tblJTL[[#This Row],[success]]=FALSE,tblJTL[[#This Row],[success]]="false"),1,0)</f>
        <v>0</v>
      </c>
      <c r="X507" s="57">
        <f>IF(AND(tblJTL[[#This Row],[経過秒]]&gt;='17_分析サンプル'!$E$11,tblJTL[[#This Row],[経過秒]]&lt;'17_分析サンプル'!$E$12),1,0)</f>
        <v>1</v>
      </c>
    </row>
    <row r="508" spans="2:24" ht="14.4" x14ac:dyDescent="0.3">
      <c r="B508" s="57">
        <v>1790816537989</v>
      </c>
      <c r="C508" s="58">
        <v>177</v>
      </c>
      <c r="D508" s="59" t="s">
        <v>1677</v>
      </c>
      <c r="E508" s="59" t="s">
        <v>3579</v>
      </c>
      <c r="F508" s="59" t="s">
        <v>3580</v>
      </c>
      <c r="G508" s="59" t="s">
        <v>3586</v>
      </c>
      <c r="H508" s="59" t="s">
        <v>2281</v>
      </c>
      <c r="I508" s="59" t="b">
        <v>1</v>
      </c>
      <c r="J508" s="59"/>
      <c r="K508" s="58">
        <v>412</v>
      </c>
      <c r="L508" s="58">
        <v>1478</v>
      </c>
      <c r="M508" s="59">
        <v>10</v>
      </c>
      <c r="N508" s="59">
        <v>10</v>
      </c>
      <c r="O508" s="59" t="s">
        <v>3581</v>
      </c>
      <c r="P508" s="58">
        <v>170</v>
      </c>
      <c r="Q508" s="59">
        <v>0</v>
      </c>
      <c r="R508" s="59">
        <v>0</v>
      </c>
      <c r="S508" s="60">
        <f>tblJTL[[#This Row],[timeStamp]]/86400000+DATE(1970,1,1)+TIME(9,0,0)</f>
        <v>46296.418263761574</v>
      </c>
      <c r="T508" s="57">
        <f>tblJTL[[#This Row],[timeStamp]]+tblJTL[[#This Row],[elapsed]]</f>
        <v>1790816538166</v>
      </c>
      <c r="U508" s="61">
        <f>(tblJTL[[#This Row],[timeStamp]]-'17_分析サンプル'!$E$18)/1000</f>
        <v>137.809</v>
      </c>
      <c r="V508" s="57">
        <f>INT(tblJTL[[#This Row],[経過秒]]/60)</f>
        <v>2</v>
      </c>
      <c r="W508" s="57">
        <f>IF(OR(tblJTL[[#This Row],[success]]=FALSE,tblJTL[[#This Row],[success]]="false"),1,0)</f>
        <v>0</v>
      </c>
      <c r="X508" s="57">
        <f>IF(AND(tblJTL[[#This Row],[経過秒]]&gt;='17_分析サンプル'!$E$11,tblJTL[[#This Row],[経過秒]]&lt;'17_分析サンプル'!$E$12),1,0)</f>
        <v>1</v>
      </c>
    </row>
    <row r="509" spans="2:24" ht="14.4" x14ac:dyDescent="0.3">
      <c r="B509" s="57">
        <v>1790816538044</v>
      </c>
      <c r="C509" s="58">
        <v>285</v>
      </c>
      <c r="D509" s="59" t="s">
        <v>1677</v>
      </c>
      <c r="E509" s="59" t="s">
        <v>3579</v>
      </c>
      <c r="F509" s="59" t="s">
        <v>3580</v>
      </c>
      <c r="G509" s="59" t="s">
        <v>3585</v>
      </c>
      <c r="H509" s="59" t="s">
        <v>2281</v>
      </c>
      <c r="I509" s="59" t="b">
        <v>1</v>
      </c>
      <c r="J509" s="59"/>
      <c r="K509" s="58">
        <v>417</v>
      </c>
      <c r="L509" s="58">
        <v>1478</v>
      </c>
      <c r="M509" s="59">
        <v>10</v>
      </c>
      <c r="N509" s="59">
        <v>10</v>
      </c>
      <c r="O509" s="59" t="s">
        <v>3581</v>
      </c>
      <c r="P509" s="58">
        <v>279</v>
      </c>
      <c r="Q509" s="59">
        <v>0</v>
      </c>
      <c r="R509" s="59">
        <v>0</v>
      </c>
      <c r="S509" s="60">
        <f>tblJTL[[#This Row],[timeStamp]]/86400000+DATE(1970,1,1)+TIME(9,0,0)</f>
        <v>46296.418264398148</v>
      </c>
      <c r="T509" s="57">
        <f>tblJTL[[#This Row],[timeStamp]]+tblJTL[[#This Row],[elapsed]]</f>
        <v>1790816538329</v>
      </c>
      <c r="U509" s="61">
        <f>(tblJTL[[#This Row],[timeStamp]]-'17_分析サンプル'!$E$18)/1000</f>
        <v>137.864</v>
      </c>
      <c r="V509" s="57">
        <f>INT(tblJTL[[#This Row],[経過秒]]/60)</f>
        <v>2</v>
      </c>
      <c r="W509" s="57">
        <f>IF(OR(tblJTL[[#This Row],[success]]=FALSE,tblJTL[[#This Row],[success]]="false"),1,0)</f>
        <v>0</v>
      </c>
      <c r="X509" s="57">
        <f>IF(AND(tblJTL[[#This Row],[経過秒]]&gt;='17_分析サンプル'!$E$11,tblJTL[[#This Row],[経過秒]]&lt;'17_分析サンプル'!$E$12),1,0)</f>
        <v>1</v>
      </c>
    </row>
    <row r="510" spans="2:24" ht="14.4" x14ac:dyDescent="0.3">
      <c r="B510" s="57">
        <v>1790816538233</v>
      </c>
      <c r="C510" s="58">
        <v>104</v>
      </c>
      <c r="D510" s="59" t="s">
        <v>1658</v>
      </c>
      <c r="E510" s="59" t="s">
        <v>1577</v>
      </c>
      <c r="F510" s="59" t="s">
        <v>2275</v>
      </c>
      <c r="G510" s="59" t="s">
        <v>3584</v>
      </c>
      <c r="H510" s="59" t="s">
        <v>2281</v>
      </c>
      <c r="I510" s="59" t="b">
        <v>1</v>
      </c>
      <c r="J510" s="59"/>
      <c r="K510" s="58">
        <v>1825</v>
      </c>
      <c r="L510" s="58">
        <v>1342</v>
      </c>
      <c r="M510" s="59">
        <v>10</v>
      </c>
      <c r="N510" s="59">
        <v>10</v>
      </c>
      <c r="O510" s="59" t="s">
        <v>3578</v>
      </c>
      <c r="P510" s="58">
        <v>102</v>
      </c>
      <c r="Q510" s="59">
        <v>0</v>
      </c>
      <c r="R510" s="59">
        <v>0</v>
      </c>
      <c r="S510" s="60">
        <f>tblJTL[[#This Row],[timeStamp]]/86400000+DATE(1970,1,1)+TIME(9,0,0)</f>
        <v>46296.41826658565</v>
      </c>
      <c r="T510" s="57">
        <f>tblJTL[[#This Row],[timeStamp]]+tblJTL[[#This Row],[elapsed]]</f>
        <v>1790816538337</v>
      </c>
      <c r="U510" s="61">
        <f>(tblJTL[[#This Row],[timeStamp]]-'17_分析サンプル'!$E$18)/1000</f>
        <v>138.053</v>
      </c>
      <c r="V510" s="57">
        <f>INT(tblJTL[[#This Row],[経過秒]]/60)</f>
        <v>2</v>
      </c>
      <c r="W510" s="57">
        <f>IF(OR(tblJTL[[#This Row],[success]]=FALSE,tblJTL[[#This Row],[success]]="false"),1,0)</f>
        <v>0</v>
      </c>
      <c r="X510" s="57">
        <f>IF(AND(tblJTL[[#This Row],[経過秒]]&gt;='17_分析サンプル'!$E$11,tblJTL[[#This Row],[経過秒]]&lt;'17_分析サンプル'!$E$12),1,0)</f>
        <v>1</v>
      </c>
    </row>
    <row r="511" spans="2:24" ht="14.4" x14ac:dyDescent="0.3">
      <c r="B511" s="57">
        <v>1790816538401</v>
      </c>
      <c r="C511" s="58">
        <v>97</v>
      </c>
      <c r="D511" s="59" t="s">
        <v>1658</v>
      </c>
      <c r="E511" s="59" t="s">
        <v>1577</v>
      </c>
      <c r="F511" s="59" t="s">
        <v>2275</v>
      </c>
      <c r="G511" s="59" t="s">
        <v>3583</v>
      </c>
      <c r="H511" s="59" t="s">
        <v>2281</v>
      </c>
      <c r="I511" s="59" t="b">
        <v>1</v>
      </c>
      <c r="J511" s="59"/>
      <c r="K511" s="58">
        <v>1824</v>
      </c>
      <c r="L511" s="58">
        <v>1342</v>
      </c>
      <c r="M511" s="59">
        <v>10</v>
      </c>
      <c r="N511" s="59">
        <v>10</v>
      </c>
      <c r="O511" s="59" t="s">
        <v>3578</v>
      </c>
      <c r="P511" s="58">
        <v>94</v>
      </c>
      <c r="Q511" s="59">
        <v>0</v>
      </c>
      <c r="R511" s="59">
        <v>0</v>
      </c>
      <c r="S511" s="60">
        <f>tblJTL[[#This Row],[timeStamp]]/86400000+DATE(1970,1,1)+TIME(9,0,0)</f>
        <v>46296.418268530091</v>
      </c>
      <c r="T511" s="57">
        <f>tblJTL[[#This Row],[timeStamp]]+tblJTL[[#This Row],[elapsed]]</f>
        <v>1790816538498</v>
      </c>
      <c r="U511" s="61">
        <f>(tblJTL[[#This Row],[timeStamp]]-'17_分析サンプル'!$E$18)/1000</f>
        <v>138.221</v>
      </c>
      <c r="V511" s="57">
        <f>INT(tblJTL[[#This Row],[経過秒]]/60)</f>
        <v>2</v>
      </c>
      <c r="W511" s="57">
        <f>IF(OR(tblJTL[[#This Row],[success]]=FALSE,tblJTL[[#This Row],[success]]="false"),1,0)</f>
        <v>0</v>
      </c>
      <c r="X511" s="57">
        <f>IF(AND(tblJTL[[#This Row],[経過秒]]&gt;='17_分析サンプル'!$E$11,tblJTL[[#This Row],[経過秒]]&lt;'17_分析サンプル'!$E$12),1,0)</f>
        <v>1</v>
      </c>
    </row>
    <row r="512" spans="2:24" ht="14.4" x14ac:dyDescent="0.3">
      <c r="B512" s="57">
        <v>1790816539024</v>
      </c>
      <c r="C512" s="58">
        <v>276</v>
      </c>
      <c r="D512" s="59" t="s">
        <v>1677</v>
      </c>
      <c r="E512" s="59" t="s">
        <v>3579</v>
      </c>
      <c r="F512" s="59" t="s">
        <v>3580</v>
      </c>
      <c r="G512" s="59" t="s">
        <v>3589</v>
      </c>
      <c r="H512" s="59" t="s">
        <v>2281</v>
      </c>
      <c r="I512" s="59" t="b">
        <v>1</v>
      </c>
      <c r="J512" s="59"/>
      <c r="K512" s="58">
        <v>424</v>
      </c>
      <c r="L512" s="58">
        <v>1478</v>
      </c>
      <c r="M512" s="59">
        <v>10</v>
      </c>
      <c r="N512" s="59">
        <v>10</v>
      </c>
      <c r="O512" s="59" t="s">
        <v>3581</v>
      </c>
      <c r="P512" s="58">
        <v>271</v>
      </c>
      <c r="Q512" s="59">
        <v>0</v>
      </c>
      <c r="R512" s="59">
        <v>0</v>
      </c>
      <c r="S512" s="60">
        <f>tblJTL[[#This Row],[timeStamp]]/86400000+DATE(1970,1,1)+TIME(9,0,0)</f>
        <v>46296.41827574074</v>
      </c>
      <c r="T512" s="57">
        <f>tblJTL[[#This Row],[timeStamp]]+tblJTL[[#This Row],[elapsed]]</f>
        <v>1790816539300</v>
      </c>
      <c r="U512" s="61">
        <f>(tblJTL[[#This Row],[timeStamp]]-'17_分析サンプル'!$E$18)/1000</f>
        <v>138.84399999999999</v>
      </c>
      <c r="V512" s="57">
        <f>INT(tblJTL[[#This Row],[経過秒]]/60)</f>
        <v>2</v>
      </c>
      <c r="W512" s="57">
        <f>IF(OR(tblJTL[[#This Row],[success]]=FALSE,tblJTL[[#This Row],[success]]="false"),1,0)</f>
        <v>0</v>
      </c>
      <c r="X512" s="57">
        <f>IF(AND(tblJTL[[#This Row],[経過秒]]&gt;='17_分析サンプル'!$E$11,tblJTL[[#This Row],[経過秒]]&lt;'17_分析サンプル'!$E$12),1,0)</f>
        <v>1</v>
      </c>
    </row>
    <row r="513" spans="2:24" ht="14.4" x14ac:dyDescent="0.3">
      <c r="B513" s="57">
        <v>1790816539140</v>
      </c>
      <c r="C513" s="58">
        <v>216</v>
      </c>
      <c r="D513" s="59" t="s">
        <v>1677</v>
      </c>
      <c r="E513" s="59" t="s">
        <v>3579</v>
      </c>
      <c r="F513" s="59" t="s">
        <v>3580</v>
      </c>
      <c r="G513" s="59" t="s">
        <v>2278</v>
      </c>
      <c r="H513" s="59" t="s">
        <v>2281</v>
      </c>
      <c r="I513" s="59" t="b">
        <v>1</v>
      </c>
      <c r="J513" s="59"/>
      <c r="K513" s="58">
        <v>431</v>
      </c>
      <c r="L513" s="58">
        <v>1478</v>
      </c>
      <c r="M513" s="59">
        <v>10</v>
      </c>
      <c r="N513" s="59">
        <v>10</v>
      </c>
      <c r="O513" s="59" t="s">
        <v>3581</v>
      </c>
      <c r="P513" s="58">
        <v>210</v>
      </c>
      <c r="Q513" s="59">
        <v>0</v>
      </c>
      <c r="R513" s="59">
        <v>0</v>
      </c>
      <c r="S513" s="60">
        <f>tblJTL[[#This Row],[timeStamp]]/86400000+DATE(1970,1,1)+TIME(9,0,0)</f>
        <v>46296.418277083329</v>
      </c>
      <c r="T513" s="57">
        <f>tblJTL[[#This Row],[timeStamp]]+tblJTL[[#This Row],[elapsed]]</f>
        <v>1790816539356</v>
      </c>
      <c r="U513" s="61">
        <f>(tblJTL[[#This Row],[timeStamp]]-'17_分析サンプル'!$E$18)/1000</f>
        <v>138.96</v>
      </c>
      <c r="V513" s="57">
        <f>INT(tblJTL[[#This Row],[経過秒]]/60)</f>
        <v>2</v>
      </c>
      <c r="W513" s="57">
        <f>IF(OR(tblJTL[[#This Row],[success]]=FALSE,tblJTL[[#This Row],[success]]="false"),1,0)</f>
        <v>0</v>
      </c>
      <c r="X513" s="57">
        <f>IF(AND(tblJTL[[#This Row],[経過秒]]&gt;='17_分析サンプル'!$E$11,tblJTL[[#This Row],[経過秒]]&lt;'17_分析サンプル'!$E$12),1,0)</f>
        <v>1</v>
      </c>
    </row>
    <row r="514" spans="2:24" ht="14.4" x14ac:dyDescent="0.3">
      <c r="B514" s="57">
        <v>1790816539300</v>
      </c>
      <c r="C514" s="58">
        <v>128</v>
      </c>
      <c r="D514" s="59" t="s">
        <v>1658</v>
      </c>
      <c r="E514" s="59" t="s">
        <v>1577</v>
      </c>
      <c r="F514" s="59" t="s">
        <v>2275</v>
      </c>
      <c r="G514" s="59" t="s">
        <v>3586</v>
      </c>
      <c r="H514" s="59" t="s">
        <v>2281</v>
      </c>
      <c r="I514" s="59" t="b">
        <v>1</v>
      </c>
      <c r="J514" s="59"/>
      <c r="K514" s="58">
        <v>1841</v>
      </c>
      <c r="L514" s="58">
        <v>1342</v>
      </c>
      <c r="M514" s="59">
        <v>10</v>
      </c>
      <c r="N514" s="59">
        <v>10</v>
      </c>
      <c r="O514" s="59" t="s">
        <v>3578</v>
      </c>
      <c r="P514" s="58">
        <v>122</v>
      </c>
      <c r="Q514" s="59">
        <v>0</v>
      </c>
      <c r="R514" s="59">
        <v>0</v>
      </c>
      <c r="S514" s="60">
        <f>tblJTL[[#This Row],[timeStamp]]/86400000+DATE(1970,1,1)+TIME(9,0,0)</f>
        <v>46296.418278935183</v>
      </c>
      <c r="T514" s="57">
        <f>tblJTL[[#This Row],[timeStamp]]+tblJTL[[#This Row],[elapsed]]</f>
        <v>1790816539428</v>
      </c>
      <c r="U514" s="61">
        <f>(tblJTL[[#This Row],[timeStamp]]-'17_分析サンプル'!$E$18)/1000</f>
        <v>139.12</v>
      </c>
      <c r="V514" s="57">
        <f>INT(tblJTL[[#This Row],[経過秒]]/60)</f>
        <v>2</v>
      </c>
      <c r="W514" s="57">
        <f>IF(OR(tblJTL[[#This Row],[success]]=FALSE,tblJTL[[#This Row],[success]]="false"),1,0)</f>
        <v>0</v>
      </c>
      <c r="X514" s="57">
        <f>IF(AND(tblJTL[[#This Row],[経過秒]]&gt;='17_分析サンプル'!$E$11,tblJTL[[#This Row],[経過秒]]&lt;'17_分析サンプル'!$E$12),1,0)</f>
        <v>1</v>
      </c>
    </row>
    <row r="515" spans="2:24" ht="14.4" x14ac:dyDescent="0.3">
      <c r="B515" s="57">
        <v>1790816539448</v>
      </c>
      <c r="C515" s="58">
        <v>106</v>
      </c>
      <c r="D515" s="59" t="s">
        <v>1658</v>
      </c>
      <c r="E515" s="59" t="s">
        <v>1577</v>
      </c>
      <c r="F515" s="59" t="s">
        <v>2275</v>
      </c>
      <c r="G515" s="59" t="s">
        <v>3587</v>
      </c>
      <c r="H515" s="59" t="s">
        <v>2281</v>
      </c>
      <c r="I515" s="59" t="b">
        <v>1</v>
      </c>
      <c r="J515" s="59"/>
      <c r="K515" s="58">
        <v>1860</v>
      </c>
      <c r="L515" s="58">
        <v>1342</v>
      </c>
      <c r="M515" s="59">
        <v>10</v>
      </c>
      <c r="N515" s="59">
        <v>10</v>
      </c>
      <c r="O515" s="59" t="s">
        <v>3578</v>
      </c>
      <c r="P515" s="58">
        <v>98</v>
      </c>
      <c r="Q515" s="59">
        <v>0</v>
      </c>
      <c r="R515" s="59">
        <v>0</v>
      </c>
      <c r="S515" s="60">
        <f>tblJTL[[#This Row],[timeStamp]]/86400000+DATE(1970,1,1)+TIME(9,0,0)</f>
        <v>46296.418280648148</v>
      </c>
      <c r="T515" s="57">
        <f>tblJTL[[#This Row],[timeStamp]]+tblJTL[[#This Row],[elapsed]]</f>
        <v>1790816539554</v>
      </c>
      <c r="U515" s="61">
        <f>(tblJTL[[#This Row],[timeStamp]]-'17_分析サンプル'!$E$18)/1000</f>
        <v>139.268</v>
      </c>
      <c r="V515" s="57">
        <f>INT(tblJTL[[#This Row],[経過秒]]/60)</f>
        <v>2</v>
      </c>
      <c r="W515" s="57">
        <f>IF(OR(tblJTL[[#This Row],[success]]=FALSE,tblJTL[[#This Row],[success]]="false"),1,0)</f>
        <v>0</v>
      </c>
      <c r="X515" s="57">
        <f>IF(AND(tblJTL[[#This Row],[経過秒]]&gt;='17_分析サンプル'!$E$11,tblJTL[[#This Row],[経過秒]]&lt;'17_分析サンプル'!$E$12),1,0)</f>
        <v>1</v>
      </c>
    </row>
    <row r="516" spans="2:24" ht="14.4" x14ac:dyDescent="0.3">
      <c r="B516" s="57">
        <v>1790816540038</v>
      </c>
      <c r="C516" s="58">
        <v>223</v>
      </c>
      <c r="D516" s="59" t="s">
        <v>1677</v>
      </c>
      <c r="E516" s="59" t="s">
        <v>3579</v>
      </c>
      <c r="F516" s="59" t="s">
        <v>3580</v>
      </c>
      <c r="G516" s="59" t="s">
        <v>3577</v>
      </c>
      <c r="H516" s="59" t="s">
        <v>2281</v>
      </c>
      <c r="I516" s="59" t="b">
        <v>1</v>
      </c>
      <c r="J516" s="59"/>
      <c r="K516" s="58">
        <v>418</v>
      </c>
      <c r="L516" s="58">
        <v>1478</v>
      </c>
      <c r="M516" s="59">
        <v>10</v>
      </c>
      <c r="N516" s="59">
        <v>10</v>
      </c>
      <c r="O516" s="59" t="s">
        <v>3581</v>
      </c>
      <c r="P516" s="58">
        <v>219</v>
      </c>
      <c r="Q516" s="59">
        <v>0</v>
      </c>
      <c r="R516" s="59">
        <v>0</v>
      </c>
      <c r="S516" s="60">
        <f>tblJTL[[#This Row],[timeStamp]]/86400000+DATE(1970,1,1)+TIME(9,0,0)</f>
        <v>46296.418287476852</v>
      </c>
      <c r="T516" s="57">
        <f>tblJTL[[#This Row],[timeStamp]]+tblJTL[[#This Row],[elapsed]]</f>
        <v>1790816540261</v>
      </c>
      <c r="U516" s="61">
        <f>(tblJTL[[#This Row],[timeStamp]]-'17_分析サンプル'!$E$18)/1000</f>
        <v>139.858</v>
      </c>
      <c r="V516" s="57">
        <f>INT(tblJTL[[#This Row],[経過秒]]/60)</f>
        <v>2</v>
      </c>
      <c r="W516" s="57">
        <f>IF(OR(tblJTL[[#This Row],[success]]=FALSE,tblJTL[[#This Row],[success]]="false"),1,0)</f>
        <v>0</v>
      </c>
      <c r="X516" s="57">
        <f>IF(AND(tblJTL[[#This Row],[経過秒]]&gt;='17_分析サンプル'!$E$11,tblJTL[[#This Row],[経過秒]]&lt;'17_分析サンプル'!$E$12),1,0)</f>
        <v>1</v>
      </c>
    </row>
    <row r="517" spans="2:24" ht="14.4" x14ac:dyDescent="0.3">
      <c r="B517" s="57">
        <v>1790816540468</v>
      </c>
      <c r="C517" s="58">
        <v>121</v>
      </c>
      <c r="D517" s="59" t="s">
        <v>1658</v>
      </c>
      <c r="E517" s="59" t="s">
        <v>1577</v>
      </c>
      <c r="F517" s="59" t="s">
        <v>2275</v>
      </c>
      <c r="G517" s="59" t="s">
        <v>3582</v>
      </c>
      <c r="H517" s="59" t="s">
        <v>2281</v>
      </c>
      <c r="I517" s="59" t="b">
        <v>1</v>
      </c>
      <c r="J517" s="59"/>
      <c r="K517" s="58">
        <v>1871</v>
      </c>
      <c r="L517" s="58">
        <v>1342</v>
      </c>
      <c r="M517" s="59">
        <v>10</v>
      </c>
      <c r="N517" s="59">
        <v>10</v>
      </c>
      <c r="O517" s="59" t="s">
        <v>3578</v>
      </c>
      <c r="P517" s="58">
        <v>117</v>
      </c>
      <c r="Q517" s="59">
        <v>0</v>
      </c>
      <c r="R517" s="59">
        <v>0</v>
      </c>
      <c r="S517" s="60">
        <f>tblJTL[[#This Row],[timeStamp]]/86400000+DATE(1970,1,1)+TIME(9,0,0)</f>
        <v>46296.418292453702</v>
      </c>
      <c r="T517" s="57">
        <f>tblJTL[[#This Row],[timeStamp]]+tblJTL[[#This Row],[elapsed]]</f>
        <v>1790816540589</v>
      </c>
      <c r="U517" s="61">
        <f>(tblJTL[[#This Row],[timeStamp]]-'17_分析サンプル'!$E$18)/1000</f>
        <v>140.28800000000001</v>
      </c>
      <c r="V517" s="57">
        <f>INT(tblJTL[[#This Row],[経過秒]]/60)</f>
        <v>2</v>
      </c>
      <c r="W517" s="57">
        <f>IF(OR(tblJTL[[#This Row],[success]]=FALSE,tblJTL[[#This Row],[success]]="false"),1,0)</f>
        <v>0</v>
      </c>
      <c r="X517" s="57">
        <f>IF(AND(tblJTL[[#This Row],[経過秒]]&gt;='17_分析サンプル'!$E$11,tblJTL[[#This Row],[経過秒]]&lt;'17_分析サンプル'!$E$12),1,0)</f>
        <v>1</v>
      </c>
    </row>
    <row r="518" spans="2:24" ht="14.4" x14ac:dyDescent="0.3">
      <c r="B518" s="57">
        <v>1790816540532</v>
      </c>
      <c r="C518" s="58">
        <v>126</v>
      </c>
      <c r="D518" s="59" t="s">
        <v>1658</v>
      </c>
      <c r="E518" s="59" t="s">
        <v>1577</v>
      </c>
      <c r="F518" s="59" t="s">
        <v>2275</v>
      </c>
      <c r="G518" s="59" t="s">
        <v>3588</v>
      </c>
      <c r="H518" s="59" t="s">
        <v>2281</v>
      </c>
      <c r="I518" s="59" t="b">
        <v>1</v>
      </c>
      <c r="J518" s="59"/>
      <c r="K518" s="58">
        <v>1858</v>
      </c>
      <c r="L518" s="58">
        <v>1342</v>
      </c>
      <c r="M518" s="59">
        <v>10</v>
      </c>
      <c r="N518" s="59">
        <v>10</v>
      </c>
      <c r="O518" s="59" t="s">
        <v>3578</v>
      </c>
      <c r="P518" s="58">
        <v>118</v>
      </c>
      <c r="Q518" s="59">
        <v>0</v>
      </c>
      <c r="R518" s="59">
        <v>0</v>
      </c>
      <c r="S518" s="60">
        <f>tblJTL[[#This Row],[timeStamp]]/86400000+DATE(1970,1,1)+TIME(9,0,0)</f>
        <v>46296.418293194445</v>
      </c>
      <c r="T518" s="57">
        <f>tblJTL[[#This Row],[timeStamp]]+tblJTL[[#This Row],[elapsed]]</f>
        <v>1790816540658</v>
      </c>
      <c r="U518" s="61">
        <f>(tblJTL[[#This Row],[timeStamp]]-'17_分析サンプル'!$E$18)/1000</f>
        <v>140.352</v>
      </c>
      <c r="V518" s="57">
        <f>INT(tblJTL[[#This Row],[経過秒]]/60)</f>
        <v>2</v>
      </c>
      <c r="W518" s="57">
        <f>IF(OR(tblJTL[[#This Row],[success]]=FALSE,tblJTL[[#This Row],[success]]="false"),1,0)</f>
        <v>0</v>
      </c>
      <c r="X518" s="57">
        <f>IF(AND(tblJTL[[#This Row],[経過秒]]&gt;='17_分析サンプル'!$E$11,tblJTL[[#This Row],[経過秒]]&lt;'17_分析サンプル'!$E$12),1,0)</f>
        <v>1</v>
      </c>
    </row>
    <row r="519" spans="2:24" ht="14.4" x14ac:dyDescent="0.3">
      <c r="B519" s="57">
        <v>1790816540834</v>
      </c>
      <c r="C519" s="58">
        <v>71</v>
      </c>
      <c r="D519" s="59" t="s">
        <v>1658</v>
      </c>
      <c r="E519" s="59" t="s">
        <v>1577</v>
      </c>
      <c r="F519" s="59" t="s">
        <v>2275</v>
      </c>
      <c r="G519" s="59" t="s">
        <v>3585</v>
      </c>
      <c r="H519" s="59" t="s">
        <v>2281</v>
      </c>
      <c r="I519" s="59" t="b">
        <v>1</v>
      </c>
      <c r="J519" s="59"/>
      <c r="K519" s="58">
        <v>1839</v>
      </c>
      <c r="L519" s="58">
        <v>1342</v>
      </c>
      <c r="M519" s="59">
        <v>10</v>
      </c>
      <c r="N519" s="59">
        <v>10</v>
      </c>
      <c r="O519" s="59" t="s">
        <v>3578</v>
      </c>
      <c r="P519" s="58">
        <v>65</v>
      </c>
      <c r="Q519" s="59">
        <v>0</v>
      </c>
      <c r="R519" s="59">
        <v>0</v>
      </c>
      <c r="S519" s="60">
        <f>tblJTL[[#This Row],[timeStamp]]/86400000+DATE(1970,1,1)+TIME(9,0,0)</f>
        <v>46296.418296689815</v>
      </c>
      <c r="T519" s="57">
        <f>tblJTL[[#This Row],[timeStamp]]+tblJTL[[#This Row],[elapsed]]</f>
        <v>1790816540905</v>
      </c>
      <c r="U519" s="61">
        <f>(tblJTL[[#This Row],[timeStamp]]-'17_分析サンプル'!$E$18)/1000</f>
        <v>140.654</v>
      </c>
      <c r="V519" s="57">
        <f>INT(tblJTL[[#This Row],[経過秒]]/60)</f>
        <v>2</v>
      </c>
      <c r="W519" s="57">
        <f>IF(OR(tblJTL[[#This Row],[success]]=FALSE,tblJTL[[#This Row],[success]]="false"),1,0)</f>
        <v>0</v>
      </c>
      <c r="X519" s="57">
        <f>IF(AND(tblJTL[[#This Row],[経過秒]]&gt;='17_分析サンプル'!$E$11,tblJTL[[#This Row],[経過秒]]&lt;'17_分析サンプル'!$E$12),1,0)</f>
        <v>1</v>
      </c>
    </row>
    <row r="520" spans="2:24" ht="14.4" x14ac:dyDescent="0.3">
      <c r="B520" s="57">
        <v>1790816540833</v>
      </c>
      <c r="C520" s="58">
        <v>79</v>
      </c>
      <c r="D520" s="59" t="s">
        <v>1658</v>
      </c>
      <c r="E520" s="59" t="s">
        <v>1577</v>
      </c>
      <c r="F520" s="59" t="s">
        <v>2275</v>
      </c>
      <c r="G520" s="59" t="s">
        <v>3589</v>
      </c>
      <c r="H520" s="59" t="s">
        <v>2281</v>
      </c>
      <c r="I520" s="59" t="b">
        <v>1</v>
      </c>
      <c r="J520" s="59"/>
      <c r="K520" s="58">
        <v>1830</v>
      </c>
      <c r="L520" s="58">
        <v>1342</v>
      </c>
      <c r="M520" s="59">
        <v>10</v>
      </c>
      <c r="N520" s="59">
        <v>10</v>
      </c>
      <c r="O520" s="59" t="s">
        <v>3578</v>
      </c>
      <c r="P520" s="58">
        <v>75</v>
      </c>
      <c r="Q520" s="59">
        <v>0</v>
      </c>
      <c r="R520" s="59">
        <v>0</v>
      </c>
      <c r="S520" s="60">
        <f>tblJTL[[#This Row],[timeStamp]]/86400000+DATE(1970,1,1)+TIME(9,0,0)</f>
        <v>46296.418296678239</v>
      </c>
      <c r="T520" s="57">
        <f>tblJTL[[#This Row],[timeStamp]]+tblJTL[[#This Row],[elapsed]]</f>
        <v>1790816540912</v>
      </c>
      <c r="U520" s="61">
        <f>(tblJTL[[#This Row],[timeStamp]]-'17_分析サンプル'!$E$18)/1000</f>
        <v>140.65299999999999</v>
      </c>
      <c r="V520" s="57">
        <f>INT(tblJTL[[#This Row],[経過秒]]/60)</f>
        <v>2</v>
      </c>
      <c r="W520" s="57">
        <f>IF(OR(tblJTL[[#This Row],[success]]=FALSE,tblJTL[[#This Row],[success]]="false"),1,0)</f>
        <v>0</v>
      </c>
      <c r="X520" s="57">
        <f>IF(AND(tblJTL[[#This Row],[経過秒]]&gt;='17_分析サンプル'!$E$11,tblJTL[[#This Row],[経過秒]]&lt;'17_分析サンプル'!$E$12),1,0)</f>
        <v>1</v>
      </c>
    </row>
    <row r="521" spans="2:24" ht="14.4" x14ac:dyDescent="0.3">
      <c r="B521" s="57">
        <v>1790816540587</v>
      </c>
      <c r="C521" s="58">
        <v>356</v>
      </c>
      <c r="D521" s="59" t="s">
        <v>1677</v>
      </c>
      <c r="E521" s="59" t="s">
        <v>3579</v>
      </c>
      <c r="F521" s="59" t="s">
        <v>3580</v>
      </c>
      <c r="G521" s="59" t="s">
        <v>3587</v>
      </c>
      <c r="H521" s="59" t="s">
        <v>2281</v>
      </c>
      <c r="I521" s="59" t="b">
        <v>1</v>
      </c>
      <c r="J521" s="59"/>
      <c r="K521" s="58">
        <v>439</v>
      </c>
      <c r="L521" s="58">
        <v>1478</v>
      </c>
      <c r="M521" s="59">
        <v>10</v>
      </c>
      <c r="N521" s="59">
        <v>10</v>
      </c>
      <c r="O521" s="59" t="s">
        <v>3581</v>
      </c>
      <c r="P521" s="58">
        <v>350</v>
      </c>
      <c r="Q521" s="59">
        <v>0</v>
      </c>
      <c r="R521" s="59">
        <v>0</v>
      </c>
      <c r="S521" s="60">
        <f>tblJTL[[#This Row],[timeStamp]]/86400000+DATE(1970,1,1)+TIME(9,0,0)</f>
        <v>46296.418293831019</v>
      </c>
      <c r="T521" s="57">
        <f>tblJTL[[#This Row],[timeStamp]]+tblJTL[[#This Row],[elapsed]]</f>
        <v>1790816540943</v>
      </c>
      <c r="U521" s="61">
        <f>(tblJTL[[#This Row],[timeStamp]]-'17_分析サンプル'!$E$18)/1000</f>
        <v>140.40700000000001</v>
      </c>
      <c r="V521" s="57">
        <f>INT(tblJTL[[#This Row],[経過秒]]/60)</f>
        <v>2</v>
      </c>
      <c r="W521" s="57">
        <f>IF(OR(tblJTL[[#This Row],[success]]=FALSE,tblJTL[[#This Row],[success]]="false"),1,0)</f>
        <v>0</v>
      </c>
      <c r="X521" s="57">
        <f>IF(AND(tblJTL[[#This Row],[経過秒]]&gt;='17_分析サンプル'!$E$11,tblJTL[[#This Row],[経過秒]]&lt;'17_分析サンプル'!$E$12),1,0)</f>
        <v>1</v>
      </c>
    </row>
    <row r="522" spans="2:24" ht="14.4" x14ac:dyDescent="0.3">
      <c r="B522" s="57">
        <v>1790816540824</v>
      </c>
      <c r="C522" s="58">
        <v>173</v>
      </c>
      <c r="D522" s="59" t="s">
        <v>1677</v>
      </c>
      <c r="E522" s="59" t="s">
        <v>3579</v>
      </c>
      <c r="F522" s="59" t="s">
        <v>3580</v>
      </c>
      <c r="G522" s="59" t="s">
        <v>3584</v>
      </c>
      <c r="H522" s="59" t="s">
        <v>2281</v>
      </c>
      <c r="I522" s="59" t="b">
        <v>1</v>
      </c>
      <c r="J522" s="59"/>
      <c r="K522" s="58">
        <v>412</v>
      </c>
      <c r="L522" s="58">
        <v>1478</v>
      </c>
      <c r="M522" s="59">
        <v>10</v>
      </c>
      <c r="N522" s="59">
        <v>10</v>
      </c>
      <c r="O522" s="59" t="s">
        <v>3581</v>
      </c>
      <c r="P522" s="58">
        <v>171</v>
      </c>
      <c r="Q522" s="59">
        <v>0</v>
      </c>
      <c r="R522" s="59">
        <v>0</v>
      </c>
      <c r="S522" s="60">
        <f>tblJTL[[#This Row],[timeStamp]]/86400000+DATE(1970,1,1)+TIME(9,0,0)</f>
        <v>46296.418296574077</v>
      </c>
      <c r="T522" s="57">
        <f>tblJTL[[#This Row],[timeStamp]]+tblJTL[[#This Row],[elapsed]]</f>
        <v>1790816540997</v>
      </c>
      <c r="U522" s="61">
        <f>(tblJTL[[#This Row],[timeStamp]]-'17_分析サンプル'!$E$18)/1000</f>
        <v>140.64400000000001</v>
      </c>
      <c r="V522" s="57">
        <f>INT(tblJTL[[#This Row],[経過秒]]/60)</f>
        <v>2</v>
      </c>
      <c r="W522" s="57">
        <f>IF(OR(tblJTL[[#This Row],[success]]=FALSE,tblJTL[[#This Row],[success]]="false"),1,0)</f>
        <v>0</v>
      </c>
      <c r="X522" s="57">
        <f>IF(AND(tblJTL[[#This Row],[経過秒]]&gt;='17_分析サンプル'!$E$11,tblJTL[[#This Row],[経過秒]]&lt;'17_分析サンプル'!$E$12),1,0)</f>
        <v>1</v>
      </c>
    </row>
    <row r="523" spans="2:24" ht="14.4" x14ac:dyDescent="0.3">
      <c r="B523" s="57">
        <v>1790816540841</v>
      </c>
      <c r="C523" s="58">
        <v>212</v>
      </c>
      <c r="D523" s="59" t="s">
        <v>1677</v>
      </c>
      <c r="E523" s="59" t="s">
        <v>3579</v>
      </c>
      <c r="F523" s="59" t="s">
        <v>3580</v>
      </c>
      <c r="G523" s="59" t="s">
        <v>3583</v>
      </c>
      <c r="H523" s="59" t="s">
        <v>2281</v>
      </c>
      <c r="I523" s="59" t="b">
        <v>1</v>
      </c>
      <c r="J523" s="59"/>
      <c r="K523" s="58">
        <v>439</v>
      </c>
      <c r="L523" s="58">
        <v>1478</v>
      </c>
      <c r="M523" s="59">
        <v>10</v>
      </c>
      <c r="N523" s="59">
        <v>10</v>
      </c>
      <c r="O523" s="59" t="s">
        <v>3581</v>
      </c>
      <c r="P523" s="58">
        <v>209</v>
      </c>
      <c r="Q523" s="59">
        <v>0</v>
      </c>
      <c r="R523" s="59">
        <v>0</v>
      </c>
      <c r="S523" s="60">
        <f>tblJTL[[#This Row],[timeStamp]]/86400000+DATE(1970,1,1)+TIME(9,0,0)</f>
        <v>46296.418296770833</v>
      </c>
      <c r="T523" s="57">
        <f>tblJTL[[#This Row],[timeStamp]]+tblJTL[[#This Row],[elapsed]]</f>
        <v>1790816541053</v>
      </c>
      <c r="U523" s="61">
        <f>(tblJTL[[#This Row],[timeStamp]]-'17_分析サンプル'!$E$18)/1000</f>
        <v>140.661</v>
      </c>
      <c r="V523" s="57">
        <f>INT(tblJTL[[#This Row],[経過秒]]/60)</f>
        <v>2</v>
      </c>
      <c r="W523" s="57">
        <f>IF(OR(tblJTL[[#This Row],[success]]=FALSE,tblJTL[[#This Row],[success]]="false"),1,0)</f>
        <v>0</v>
      </c>
      <c r="X523" s="57">
        <f>IF(AND(tblJTL[[#This Row],[経過秒]]&gt;='17_分析サンプル'!$E$11,tblJTL[[#This Row],[経過秒]]&lt;'17_分析サンプル'!$E$12),1,0)</f>
        <v>1</v>
      </c>
    </row>
    <row r="524" spans="2:24" ht="14.4" x14ac:dyDescent="0.3">
      <c r="B524" s="57">
        <v>1790816541151</v>
      </c>
      <c r="C524" s="58">
        <v>209</v>
      </c>
      <c r="D524" s="59" t="s">
        <v>1677</v>
      </c>
      <c r="E524" s="59" t="s">
        <v>3579</v>
      </c>
      <c r="F524" s="59" t="s">
        <v>3580</v>
      </c>
      <c r="G524" s="59" t="s">
        <v>3586</v>
      </c>
      <c r="H524" s="59" t="s">
        <v>2281</v>
      </c>
      <c r="I524" s="59" t="b">
        <v>1</v>
      </c>
      <c r="J524" s="59"/>
      <c r="K524" s="58">
        <v>421</v>
      </c>
      <c r="L524" s="58">
        <v>1478</v>
      </c>
      <c r="M524" s="59">
        <v>10</v>
      </c>
      <c r="N524" s="59">
        <v>10</v>
      </c>
      <c r="O524" s="59" t="s">
        <v>3581</v>
      </c>
      <c r="P524" s="58">
        <v>205</v>
      </c>
      <c r="Q524" s="59">
        <v>0</v>
      </c>
      <c r="R524" s="59">
        <v>0</v>
      </c>
      <c r="S524" s="60">
        <f>tblJTL[[#This Row],[timeStamp]]/86400000+DATE(1970,1,1)+TIME(9,0,0)</f>
        <v>46296.418300358797</v>
      </c>
      <c r="T524" s="57">
        <f>tblJTL[[#This Row],[timeStamp]]+tblJTL[[#This Row],[elapsed]]</f>
        <v>1790816541360</v>
      </c>
      <c r="U524" s="61">
        <f>(tblJTL[[#This Row],[timeStamp]]-'17_分析サンプル'!$E$18)/1000</f>
        <v>140.971</v>
      </c>
      <c r="V524" s="57">
        <f>INT(tblJTL[[#This Row],[経過秒]]/60)</f>
        <v>2</v>
      </c>
      <c r="W524" s="57">
        <f>IF(OR(tblJTL[[#This Row],[success]]=FALSE,tblJTL[[#This Row],[success]]="false"),1,0)</f>
        <v>0</v>
      </c>
      <c r="X524" s="57">
        <f>IF(AND(tblJTL[[#This Row],[経過秒]]&gt;='17_分析サンプル'!$E$11,tblJTL[[#This Row],[経過秒]]&lt;'17_分析サンプル'!$E$12),1,0)</f>
        <v>1</v>
      </c>
    </row>
    <row r="525" spans="2:24" ht="14.4" x14ac:dyDescent="0.3">
      <c r="B525" s="57">
        <v>1790816541935</v>
      </c>
      <c r="C525" s="58">
        <v>100</v>
      </c>
      <c r="D525" s="59" t="s">
        <v>1658</v>
      </c>
      <c r="E525" s="59" t="s">
        <v>1577</v>
      </c>
      <c r="F525" s="59" t="s">
        <v>2275</v>
      </c>
      <c r="G525" s="59" t="s">
        <v>2278</v>
      </c>
      <c r="H525" s="59" t="s">
        <v>2281</v>
      </c>
      <c r="I525" s="59" t="b">
        <v>1</v>
      </c>
      <c r="J525" s="59"/>
      <c r="K525" s="58">
        <v>1879</v>
      </c>
      <c r="L525" s="58">
        <v>1342</v>
      </c>
      <c r="M525" s="59">
        <v>10</v>
      </c>
      <c r="N525" s="59">
        <v>10</v>
      </c>
      <c r="O525" s="59" t="s">
        <v>3578</v>
      </c>
      <c r="P525" s="58">
        <v>97</v>
      </c>
      <c r="Q525" s="59">
        <v>0</v>
      </c>
      <c r="R525" s="59">
        <v>0</v>
      </c>
      <c r="S525" s="60">
        <f>tblJTL[[#This Row],[timeStamp]]/86400000+DATE(1970,1,1)+TIME(9,0,0)</f>
        <v>46296.418309432869</v>
      </c>
      <c r="T525" s="57">
        <f>tblJTL[[#This Row],[timeStamp]]+tblJTL[[#This Row],[elapsed]]</f>
        <v>1790816542035</v>
      </c>
      <c r="U525" s="61">
        <f>(tblJTL[[#This Row],[timeStamp]]-'17_分析サンプル'!$E$18)/1000</f>
        <v>141.755</v>
      </c>
      <c r="V525" s="57">
        <f>INT(tblJTL[[#This Row],[経過秒]]/60)</f>
        <v>2</v>
      </c>
      <c r="W525" s="57">
        <f>IF(OR(tblJTL[[#This Row],[success]]=FALSE,tblJTL[[#This Row],[success]]="false"),1,0)</f>
        <v>0</v>
      </c>
      <c r="X525" s="57">
        <f>IF(AND(tblJTL[[#This Row],[経過秒]]&gt;='17_分析サンプル'!$E$11,tblJTL[[#This Row],[経過秒]]&lt;'17_分析サンプル'!$E$12),1,0)</f>
        <v>1</v>
      </c>
    </row>
    <row r="526" spans="2:24" ht="14.4" x14ac:dyDescent="0.3">
      <c r="B526" s="57">
        <v>1790816542127</v>
      </c>
      <c r="C526" s="58">
        <v>220</v>
      </c>
      <c r="D526" s="59" t="s">
        <v>1677</v>
      </c>
      <c r="E526" s="59" t="s">
        <v>3579</v>
      </c>
      <c r="F526" s="59" t="s">
        <v>3580</v>
      </c>
      <c r="G526" s="59" t="s">
        <v>3588</v>
      </c>
      <c r="H526" s="59" t="s">
        <v>2281</v>
      </c>
      <c r="I526" s="59" t="b">
        <v>1</v>
      </c>
      <c r="J526" s="59"/>
      <c r="K526" s="58">
        <v>432</v>
      </c>
      <c r="L526" s="58">
        <v>1478</v>
      </c>
      <c r="M526" s="59">
        <v>10</v>
      </c>
      <c r="N526" s="59">
        <v>10</v>
      </c>
      <c r="O526" s="59" t="s">
        <v>3581</v>
      </c>
      <c r="P526" s="58">
        <v>215</v>
      </c>
      <c r="Q526" s="59">
        <v>0</v>
      </c>
      <c r="R526" s="59">
        <v>0</v>
      </c>
      <c r="S526" s="60">
        <f>tblJTL[[#This Row],[timeStamp]]/86400000+DATE(1970,1,1)+TIME(9,0,0)</f>
        <v>46296.418311655092</v>
      </c>
      <c r="T526" s="57">
        <f>tblJTL[[#This Row],[timeStamp]]+tblJTL[[#This Row],[elapsed]]</f>
        <v>1790816542347</v>
      </c>
      <c r="U526" s="61">
        <f>(tblJTL[[#This Row],[timeStamp]]-'17_分析サンプル'!$E$18)/1000</f>
        <v>141.947</v>
      </c>
      <c r="V526" s="57">
        <f>INT(tblJTL[[#This Row],[経過秒]]/60)</f>
        <v>2</v>
      </c>
      <c r="W526" s="57">
        <f>IF(OR(tblJTL[[#This Row],[success]]=FALSE,tblJTL[[#This Row],[success]]="false"),1,0)</f>
        <v>0</v>
      </c>
      <c r="X526" s="57">
        <f>IF(AND(tblJTL[[#This Row],[経過秒]]&gt;='17_分析サンプル'!$E$11,tblJTL[[#This Row],[経過秒]]&lt;'17_分析サンプル'!$E$12),1,0)</f>
        <v>1</v>
      </c>
    </row>
    <row r="527" spans="2:24" ht="14.4" x14ac:dyDescent="0.3">
      <c r="B527" s="57">
        <v>1790816542451</v>
      </c>
      <c r="C527" s="58">
        <v>127</v>
      </c>
      <c r="D527" s="59" t="s">
        <v>1658</v>
      </c>
      <c r="E527" s="59" t="s">
        <v>1577</v>
      </c>
      <c r="F527" s="59" t="s">
        <v>2275</v>
      </c>
      <c r="G527" s="59" t="s">
        <v>3587</v>
      </c>
      <c r="H527" s="59" t="s">
        <v>2281</v>
      </c>
      <c r="I527" s="59" t="b">
        <v>1</v>
      </c>
      <c r="J527" s="59"/>
      <c r="K527" s="58">
        <v>1896</v>
      </c>
      <c r="L527" s="58">
        <v>1342</v>
      </c>
      <c r="M527" s="59">
        <v>10</v>
      </c>
      <c r="N527" s="59">
        <v>10</v>
      </c>
      <c r="O527" s="59" t="s">
        <v>3578</v>
      </c>
      <c r="P527" s="58">
        <v>121</v>
      </c>
      <c r="Q527" s="59">
        <v>0</v>
      </c>
      <c r="R527" s="59">
        <v>0</v>
      </c>
      <c r="S527" s="60">
        <f>tblJTL[[#This Row],[timeStamp]]/86400000+DATE(1970,1,1)+TIME(9,0,0)</f>
        <v>46296.418315405092</v>
      </c>
      <c r="T527" s="57">
        <f>tblJTL[[#This Row],[timeStamp]]+tblJTL[[#This Row],[elapsed]]</f>
        <v>1790816542578</v>
      </c>
      <c r="U527" s="61">
        <f>(tblJTL[[#This Row],[timeStamp]]-'17_分析サンプル'!$E$18)/1000</f>
        <v>142.27099999999999</v>
      </c>
      <c r="V527" s="57">
        <f>INT(tblJTL[[#This Row],[経過秒]]/60)</f>
        <v>2</v>
      </c>
      <c r="W527" s="57">
        <f>IF(OR(tblJTL[[#This Row],[success]]=FALSE,tblJTL[[#This Row],[success]]="false"),1,0)</f>
        <v>0</v>
      </c>
      <c r="X527" s="57">
        <f>IF(AND(tblJTL[[#This Row],[経過秒]]&gt;='17_分析サンプル'!$E$11,tblJTL[[#This Row],[経過秒]]&lt;'17_分析サンプル'!$E$12),1,0)</f>
        <v>1</v>
      </c>
    </row>
    <row r="528" spans="2:24" ht="14.4" x14ac:dyDescent="0.3">
      <c r="B528" s="57">
        <v>1790816542492</v>
      </c>
      <c r="C528" s="58">
        <v>107</v>
      </c>
      <c r="D528" s="59" t="s">
        <v>1658</v>
      </c>
      <c r="E528" s="59" t="s">
        <v>1577</v>
      </c>
      <c r="F528" s="59" t="s">
        <v>2275</v>
      </c>
      <c r="G528" s="59" t="s">
        <v>3586</v>
      </c>
      <c r="H528" s="59" t="s">
        <v>2281</v>
      </c>
      <c r="I528" s="59" t="b">
        <v>1</v>
      </c>
      <c r="J528" s="59"/>
      <c r="K528" s="58">
        <v>1896</v>
      </c>
      <c r="L528" s="58">
        <v>1342</v>
      </c>
      <c r="M528" s="59">
        <v>10</v>
      </c>
      <c r="N528" s="59">
        <v>10</v>
      </c>
      <c r="O528" s="59" t="s">
        <v>3578</v>
      </c>
      <c r="P528" s="58">
        <v>105</v>
      </c>
      <c r="Q528" s="59">
        <v>0</v>
      </c>
      <c r="R528" s="59">
        <v>0</v>
      </c>
      <c r="S528" s="60">
        <f>tblJTL[[#This Row],[timeStamp]]/86400000+DATE(1970,1,1)+TIME(9,0,0)</f>
        <v>46296.41831587963</v>
      </c>
      <c r="T528" s="57">
        <f>tblJTL[[#This Row],[timeStamp]]+tblJTL[[#This Row],[elapsed]]</f>
        <v>1790816542599</v>
      </c>
      <c r="U528" s="61">
        <f>(tblJTL[[#This Row],[timeStamp]]-'17_分析サンプル'!$E$18)/1000</f>
        <v>142.31200000000001</v>
      </c>
      <c r="V528" s="57">
        <f>INT(tblJTL[[#This Row],[経過秒]]/60)</f>
        <v>2</v>
      </c>
      <c r="W528" s="57">
        <f>IF(OR(tblJTL[[#This Row],[success]]=FALSE,tblJTL[[#This Row],[success]]="false"),1,0)</f>
        <v>0</v>
      </c>
      <c r="X528" s="57">
        <f>IF(AND(tblJTL[[#This Row],[経過秒]]&gt;='17_分析サンプル'!$E$11,tblJTL[[#This Row],[経過秒]]&lt;'17_分析サンプル'!$E$12),1,0)</f>
        <v>1</v>
      </c>
    </row>
    <row r="529" spans="2:24" ht="14.4" x14ac:dyDescent="0.3">
      <c r="B529" s="57">
        <v>1790816542775</v>
      </c>
      <c r="C529" s="58">
        <v>161</v>
      </c>
      <c r="D529" s="59" t="s">
        <v>1677</v>
      </c>
      <c r="E529" s="59" t="s">
        <v>3579</v>
      </c>
      <c r="F529" s="59" t="s">
        <v>3580</v>
      </c>
      <c r="G529" s="59" t="s">
        <v>3589</v>
      </c>
      <c r="H529" s="59" t="s">
        <v>2281</v>
      </c>
      <c r="I529" s="59" t="b">
        <v>1</v>
      </c>
      <c r="J529" s="59"/>
      <c r="K529" s="58">
        <v>433</v>
      </c>
      <c r="L529" s="58">
        <v>1478</v>
      </c>
      <c r="M529" s="59">
        <v>10</v>
      </c>
      <c r="N529" s="59">
        <v>10</v>
      </c>
      <c r="O529" s="59" t="s">
        <v>3581</v>
      </c>
      <c r="P529" s="58">
        <v>155</v>
      </c>
      <c r="Q529" s="59">
        <v>0</v>
      </c>
      <c r="R529" s="59">
        <v>0</v>
      </c>
      <c r="S529" s="60">
        <f>tblJTL[[#This Row],[timeStamp]]/86400000+DATE(1970,1,1)+TIME(9,0,0)</f>
        <v>46296.418319155091</v>
      </c>
      <c r="T529" s="57">
        <f>tblJTL[[#This Row],[timeStamp]]+tblJTL[[#This Row],[elapsed]]</f>
        <v>1790816542936</v>
      </c>
      <c r="U529" s="61">
        <f>(tblJTL[[#This Row],[timeStamp]]-'17_分析サンプル'!$E$18)/1000</f>
        <v>142.595</v>
      </c>
      <c r="V529" s="57">
        <f>INT(tblJTL[[#This Row],[経過秒]]/60)</f>
        <v>2</v>
      </c>
      <c r="W529" s="57">
        <f>IF(OR(tblJTL[[#This Row],[success]]=FALSE,tblJTL[[#This Row],[success]]="false"),1,0)</f>
        <v>0</v>
      </c>
      <c r="X529" s="57">
        <f>IF(AND(tblJTL[[#This Row],[経過秒]]&gt;='17_分析サンプル'!$E$11,tblJTL[[#This Row],[経過秒]]&lt;'17_分析サンプル'!$E$12),1,0)</f>
        <v>1</v>
      </c>
    </row>
    <row r="530" spans="2:24" ht="14.4" x14ac:dyDescent="0.3">
      <c r="B530" s="57">
        <v>1790816543015</v>
      </c>
      <c r="C530" s="58">
        <v>98</v>
      </c>
      <c r="D530" s="59" t="s">
        <v>1658</v>
      </c>
      <c r="E530" s="59" t="s">
        <v>1577</v>
      </c>
      <c r="F530" s="59" t="s">
        <v>2275</v>
      </c>
      <c r="G530" s="59" t="s">
        <v>3577</v>
      </c>
      <c r="H530" s="59" t="s">
        <v>2281</v>
      </c>
      <c r="I530" s="59" t="b">
        <v>1</v>
      </c>
      <c r="J530" s="59"/>
      <c r="K530" s="58">
        <v>1863</v>
      </c>
      <c r="L530" s="58">
        <v>1342</v>
      </c>
      <c r="M530" s="59">
        <v>10</v>
      </c>
      <c r="N530" s="59">
        <v>10</v>
      </c>
      <c r="O530" s="59" t="s">
        <v>3578</v>
      </c>
      <c r="P530" s="58">
        <v>90</v>
      </c>
      <c r="Q530" s="59">
        <v>0</v>
      </c>
      <c r="R530" s="59">
        <v>0</v>
      </c>
      <c r="S530" s="60">
        <f>tblJTL[[#This Row],[timeStamp]]/86400000+DATE(1970,1,1)+TIME(9,0,0)</f>
        <v>46296.41832193287</v>
      </c>
      <c r="T530" s="57">
        <f>tblJTL[[#This Row],[timeStamp]]+tblJTL[[#This Row],[elapsed]]</f>
        <v>1790816543113</v>
      </c>
      <c r="U530" s="61">
        <f>(tblJTL[[#This Row],[timeStamp]]-'17_分析サンプル'!$E$18)/1000</f>
        <v>142.83500000000001</v>
      </c>
      <c r="V530" s="57">
        <f>INT(tblJTL[[#This Row],[経過秒]]/60)</f>
        <v>2</v>
      </c>
      <c r="W530" s="57">
        <f>IF(OR(tblJTL[[#This Row],[success]]=FALSE,tblJTL[[#This Row],[success]]="false"),1,0)</f>
        <v>0</v>
      </c>
      <c r="X530" s="57">
        <f>IF(AND(tblJTL[[#This Row],[経過秒]]&gt;='17_分析サンプル'!$E$11,tblJTL[[#This Row],[経過秒]]&lt;'17_分析サンプル'!$E$12),1,0)</f>
        <v>1</v>
      </c>
    </row>
    <row r="531" spans="2:24" ht="14.4" x14ac:dyDescent="0.3">
      <c r="B531" s="57">
        <v>1790816543070</v>
      </c>
      <c r="C531" s="58">
        <v>113</v>
      </c>
      <c r="D531" s="59" t="s">
        <v>1658</v>
      </c>
      <c r="E531" s="59" t="s">
        <v>1577</v>
      </c>
      <c r="F531" s="59" t="s">
        <v>2275</v>
      </c>
      <c r="G531" s="59" t="s">
        <v>3584</v>
      </c>
      <c r="H531" s="59" t="s">
        <v>2281</v>
      </c>
      <c r="I531" s="59" t="b">
        <v>1</v>
      </c>
      <c r="J531" s="59"/>
      <c r="K531" s="58">
        <v>1830</v>
      </c>
      <c r="L531" s="58">
        <v>1342</v>
      </c>
      <c r="M531" s="59">
        <v>10</v>
      </c>
      <c r="N531" s="59">
        <v>10</v>
      </c>
      <c r="O531" s="59" t="s">
        <v>3578</v>
      </c>
      <c r="P531" s="58">
        <v>108</v>
      </c>
      <c r="Q531" s="59">
        <v>0</v>
      </c>
      <c r="R531" s="59">
        <v>0</v>
      </c>
      <c r="S531" s="60">
        <f>tblJTL[[#This Row],[timeStamp]]/86400000+DATE(1970,1,1)+TIME(9,0,0)</f>
        <v>46296.418322569443</v>
      </c>
      <c r="T531" s="57">
        <f>tblJTL[[#This Row],[timeStamp]]+tblJTL[[#This Row],[elapsed]]</f>
        <v>1790816543183</v>
      </c>
      <c r="U531" s="61">
        <f>(tblJTL[[#This Row],[timeStamp]]-'17_分析サンプル'!$E$18)/1000</f>
        <v>142.88999999999999</v>
      </c>
      <c r="V531" s="57">
        <f>INT(tblJTL[[#This Row],[経過秒]]/60)</f>
        <v>2</v>
      </c>
      <c r="W531" s="57">
        <f>IF(OR(tblJTL[[#This Row],[success]]=FALSE,tblJTL[[#This Row],[success]]="false"),1,0)</f>
        <v>0</v>
      </c>
      <c r="X531" s="57">
        <f>IF(AND(tblJTL[[#This Row],[経過秒]]&gt;='17_分析サンプル'!$E$11,tblJTL[[#This Row],[経過秒]]&lt;'17_分析サンプル'!$E$12),1,0)</f>
        <v>1</v>
      </c>
    </row>
    <row r="532" spans="2:24" ht="14.4" x14ac:dyDescent="0.3">
      <c r="B532" s="57">
        <v>1790816543563</v>
      </c>
      <c r="C532" s="58">
        <v>138</v>
      </c>
      <c r="D532" s="59" t="s">
        <v>1658</v>
      </c>
      <c r="E532" s="59" t="s">
        <v>1577</v>
      </c>
      <c r="F532" s="59" t="s">
        <v>2275</v>
      </c>
      <c r="G532" s="59" t="s">
        <v>3583</v>
      </c>
      <c r="H532" s="59" t="s">
        <v>2281</v>
      </c>
      <c r="I532" s="59" t="b">
        <v>1</v>
      </c>
      <c r="J532" s="59"/>
      <c r="K532" s="58">
        <v>1900</v>
      </c>
      <c r="L532" s="58">
        <v>1342</v>
      </c>
      <c r="M532" s="59">
        <v>10</v>
      </c>
      <c r="N532" s="59">
        <v>10</v>
      </c>
      <c r="O532" s="59" t="s">
        <v>3578</v>
      </c>
      <c r="P532" s="58">
        <v>130</v>
      </c>
      <c r="Q532" s="59">
        <v>0</v>
      </c>
      <c r="R532" s="59">
        <v>46</v>
      </c>
      <c r="S532" s="60">
        <f>tblJTL[[#This Row],[timeStamp]]/86400000+DATE(1970,1,1)+TIME(9,0,0)</f>
        <v>46296.418328275468</v>
      </c>
      <c r="T532" s="57">
        <f>tblJTL[[#This Row],[timeStamp]]+tblJTL[[#This Row],[elapsed]]</f>
        <v>1790816543701</v>
      </c>
      <c r="U532" s="61">
        <f>(tblJTL[[#This Row],[timeStamp]]-'17_分析サンプル'!$E$18)/1000</f>
        <v>143.38300000000001</v>
      </c>
      <c r="V532" s="57">
        <f>INT(tblJTL[[#This Row],[経過秒]]/60)</f>
        <v>2</v>
      </c>
      <c r="W532" s="57">
        <f>IF(OR(tblJTL[[#This Row],[success]]=FALSE,tblJTL[[#This Row],[success]]="false"),1,0)</f>
        <v>0</v>
      </c>
      <c r="X532" s="57">
        <f>IF(AND(tblJTL[[#This Row],[経過秒]]&gt;='17_分析サンプル'!$E$11,tblJTL[[#This Row],[経過秒]]&lt;'17_分析サンプル'!$E$12),1,0)</f>
        <v>1</v>
      </c>
    </row>
    <row r="533" spans="2:24" ht="14.4" x14ac:dyDescent="0.3">
      <c r="B533" s="57">
        <v>1790816543581</v>
      </c>
      <c r="C533" s="58">
        <v>207</v>
      </c>
      <c r="D533" s="59" t="s">
        <v>1677</v>
      </c>
      <c r="E533" s="59" t="s">
        <v>3579</v>
      </c>
      <c r="F533" s="59" t="s">
        <v>3580</v>
      </c>
      <c r="G533" s="59" t="s">
        <v>3582</v>
      </c>
      <c r="H533" s="59" t="s">
        <v>2281</v>
      </c>
      <c r="I533" s="59" t="b">
        <v>1</v>
      </c>
      <c r="J533" s="59"/>
      <c r="K533" s="58">
        <v>436</v>
      </c>
      <c r="L533" s="58">
        <v>1478</v>
      </c>
      <c r="M533" s="59">
        <v>10</v>
      </c>
      <c r="N533" s="59">
        <v>10</v>
      </c>
      <c r="O533" s="59" t="s">
        <v>3581</v>
      </c>
      <c r="P533" s="58">
        <v>200</v>
      </c>
      <c r="Q533" s="59">
        <v>0</v>
      </c>
      <c r="R533" s="59">
        <v>0</v>
      </c>
      <c r="S533" s="60">
        <f>tblJTL[[#This Row],[timeStamp]]/86400000+DATE(1970,1,1)+TIME(9,0,0)</f>
        <v>46296.418328483793</v>
      </c>
      <c r="T533" s="57">
        <f>tblJTL[[#This Row],[timeStamp]]+tblJTL[[#This Row],[elapsed]]</f>
        <v>1790816543788</v>
      </c>
      <c r="U533" s="61">
        <f>(tblJTL[[#This Row],[timeStamp]]-'17_分析サンプル'!$E$18)/1000</f>
        <v>143.40100000000001</v>
      </c>
      <c r="V533" s="57">
        <f>INT(tblJTL[[#This Row],[経過秒]]/60)</f>
        <v>2</v>
      </c>
      <c r="W533" s="57">
        <f>IF(OR(tblJTL[[#This Row],[success]]=FALSE,tblJTL[[#This Row],[success]]="false"),1,0)</f>
        <v>0</v>
      </c>
      <c r="X533" s="57">
        <f>IF(AND(tblJTL[[#This Row],[経過秒]]&gt;='17_分析サンプル'!$E$11,tblJTL[[#This Row],[経過秒]]&lt;'17_分析サンプル'!$E$12),1,0)</f>
        <v>1</v>
      </c>
    </row>
    <row r="534" spans="2:24" ht="14.4" x14ac:dyDescent="0.3">
      <c r="B534" s="57">
        <v>1790816543744</v>
      </c>
      <c r="C534" s="58">
        <v>55</v>
      </c>
      <c r="D534" s="59" t="s">
        <v>1658</v>
      </c>
      <c r="E534" s="59" t="s">
        <v>1577</v>
      </c>
      <c r="F534" s="59" t="s">
        <v>2275</v>
      </c>
      <c r="G534" s="59" t="s">
        <v>3588</v>
      </c>
      <c r="H534" s="59" t="s">
        <v>2281</v>
      </c>
      <c r="I534" s="59" t="b">
        <v>1</v>
      </c>
      <c r="J534" s="59"/>
      <c r="K534" s="58">
        <v>1899</v>
      </c>
      <c r="L534" s="58">
        <v>1342</v>
      </c>
      <c r="M534" s="59">
        <v>10</v>
      </c>
      <c r="N534" s="59">
        <v>10</v>
      </c>
      <c r="O534" s="59" t="s">
        <v>3578</v>
      </c>
      <c r="P534" s="58">
        <v>48</v>
      </c>
      <c r="Q534" s="59">
        <v>0</v>
      </c>
      <c r="R534" s="59">
        <v>0</v>
      </c>
      <c r="S534" s="60">
        <f>tblJTL[[#This Row],[timeStamp]]/86400000+DATE(1970,1,1)+TIME(9,0,0)</f>
        <v>46296.418330370376</v>
      </c>
      <c r="T534" s="57">
        <f>tblJTL[[#This Row],[timeStamp]]+tblJTL[[#This Row],[elapsed]]</f>
        <v>1790816543799</v>
      </c>
      <c r="U534" s="61">
        <f>(tblJTL[[#This Row],[timeStamp]]-'17_分析サンプル'!$E$18)/1000</f>
        <v>143.56399999999999</v>
      </c>
      <c r="V534" s="57">
        <f>INT(tblJTL[[#This Row],[経過秒]]/60)</f>
        <v>2</v>
      </c>
      <c r="W534" s="57">
        <f>IF(OR(tblJTL[[#This Row],[success]]=FALSE,tblJTL[[#This Row],[success]]="false"),1,0)</f>
        <v>0</v>
      </c>
      <c r="X534" s="57">
        <f>IF(AND(tblJTL[[#This Row],[経過秒]]&gt;='17_分析サンプル'!$E$11,tblJTL[[#This Row],[経過秒]]&lt;'17_分析サンプル'!$E$12),1,0)</f>
        <v>1</v>
      </c>
    </row>
    <row r="535" spans="2:24" ht="14.4" x14ac:dyDescent="0.3">
      <c r="B535" s="57">
        <v>1790816543638</v>
      </c>
      <c r="C535" s="58">
        <v>220</v>
      </c>
      <c r="D535" s="59" t="s">
        <v>1677</v>
      </c>
      <c r="E535" s="59" t="s">
        <v>3579</v>
      </c>
      <c r="F535" s="59" t="s">
        <v>3580</v>
      </c>
      <c r="G535" s="59" t="s">
        <v>3586</v>
      </c>
      <c r="H535" s="59" t="s">
        <v>2281</v>
      </c>
      <c r="I535" s="59" t="b">
        <v>1</v>
      </c>
      <c r="J535" s="59"/>
      <c r="K535" s="58">
        <v>415</v>
      </c>
      <c r="L535" s="58">
        <v>1478</v>
      </c>
      <c r="M535" s="59">
        <v>10</v>
      </c>
      <c r="N535" s="59">
        <v>10</v>
      </c>
      <c r="O535" s="59" t="s">
        <v>3581</v>
      </c>
      <c r="P535" s="58">
        <v>212</v>
      </c>
      <c r="Q535" s="59">
        <v>0</v>
      </c>
      <c r="R535" s="59">
        <v>0</v>
      </c>
      <c r="S535" s="60">
        <f>tblJTL[[#This Row],[timeStamp]]/86400000+DATE(1970,1,1)+TIME(9,0,0)</f>
        <v>46296.418329143518</v>
      </c>
      <c r="T535" s="57">
        <f>tblJTL[[#This Row],[timeStamp]]+tblJTL[[#This Row],[elapsed]]</f>
        <v>1790816543858</v>
      </c>
      <c r="U535" s="61">
        <f>(tblJTL[[#This Row],[timeStamp]]-'17_分析サンプル'!$E$18)/1000</f>
        <v>143.458</v>
      </c>
      <c r="V535" s="57">
        <f>INT(tblJTL[[#This Row],[経過秒]]/60)</f>
        <v>2</v>
      </c>
      <c r="W535" s="57">
        <f>IF(OR(tblJTL[[#This Row],[success]]=FALSE,tblJTL[[#This Row],[success]]="false"),1,0)</f>
        <v>0</v>
      </c>
      <c r="X535" s="57">
        <f>IF(AND(tblJTL[[#This Row],[経過秒]]&gt;='17_分析サンプル'!$E$11,tblJTL[[#This Row],[経過秒]]&lt;'17_分析サンプル'!$E$12),1,0)</f>
        <v>1</v>
      </c>
    </row>
    <row r="536" spans="2:24" ht="14.4" x14ac:dyDescent="0.3">
      <c r="B536" s="57">
        <v>1790816543946</v>
      </c>
      <c r="C536" s="58">
        <v>292</v>
      </c>
      <c r="D536" s="59" t="s">
        <v>1677</v>
      </c>
      <c r="E536" s="59" t="s">
        <v>3579</v>
      </c>
      <c r="F536" s="59" t="s">
        <v>3580</v>
      </c>
      <c r="G536" s="59" t="s">
        <v>2278</v>
      </c>
      <c r="H536" s="59" t="s">
        <v>2281</v>
      </c>
      <c r="I536" s="59" t="b">
        <v>1</v>
      </c>
      <c r="J536" s="59"/>
      <c r="K536" s="58">
        <v>433</v>
      </c>
      <c r="L536" s="58">
        <v>1478</v>
      </c>
      <c r="M536" s="59">
        <v>10</v>
      </c>
      <c r="N536" s="59">
        <v>10</v>
      </c>
      <c r="O536" s="59" t="s">
        <v>3581</v>
      </c>
      <c r="P536" s="58">
        <v>288</v>
      </c>
      <c r="Q536" s="59">
        <v>0</v>
      </c>
      <c r="R536" s="59">
        <v>0</v>
      </c>
      <c r="S536" s="60">
        <f>tblJTL[[#This Row],[timeStamp]]/86400000+DATE(1970,1,1)+TIME(9,0,0)</f>
        <v>46296.41833270833</v>
      </c>
      <c r="T536" s="57">
        <f>tblJTL[[#This Row],[timeStamp]]+tblJTL[[#This Row],[elapsed]]</f>
        <v>1790816544238</v>
      </c>
      <c r="U536" s="61">
        <f>(tblJTL[[#This Row],[timeStamp]]-'17_分析サンプル'!$E$18)/1000</f>
        <v>143.76599999999999</v>
      </c>
      <c r="V536" s="57">
        <f>INT(tblJTL[[#This Row],[経過秒]]/60)</f>
        <v>2</v>
      </c>
      <c r="W536" s="57">
        <f>IF(OR(tblJTL[[#This Row],[success]]=FALSE,tblJTL[[#This Row],[success]]="false"),1,0)</f>
        <v>0</v>
      </c>
      <c r="X536" s="57">
        <f>IF(AND(tblJTL[[#This Row],[経過秒]]&gt;='17_分析サンプル'!$E$11,tblJTL[[#This Row],[経過秒]]&lt;'17_分析サンプル'!$E$12),1,0)</f>
        <v>1</v>
      </c>
    </row>
    <row r="537" spans="2:24" ht="14.4" x14ac:dyDescent="0.3">
      <c r="B537" s="57">
        <v>1790816543281</v>
      </c>
      <c r="C537" s="58">
        <v>1018</v>
      </c>
      <c r="D537" s="59" t="s">
        <v>1677</v>
      </c>
      <c r="E537" s="59" t="s">
        <v>3579</v>
      </c>
      <c r="F537" s="59" t="s">
        <v>3580</v>
      </c>
      <c r="G537" s="59" t="s">
        <v>3585</v>
      </c>
      <c r="H537" s="59" t="s">
        <v>2281</v>
      </c>
      <c r="I537" s="59" t="b">
        <v>1</v>
      </c>
      <c r="J537" s="59"/>
      <c r="K537" s="58">
        <v>412</v>
      </c>
      <c r="L537" s="58">
        <v>1478</v>
      </c>
      <c r="M537" s="59">
        <v>10</v>
      </c>
      <c r="N537" s="59">
        <v>10</v>
      </c>
      <c r="O537" s="59" t="s">
        <v>3581</v>
      </c>
      <c r="P537" s="58">
        <v>1011</v>
      </c>
      <c r="Q537" s="59">
        <v>0</v>
      </c>
      <c r="R537" s="59">
        <v>0</v>
      </c>
      <c r="S537" s="60">
        <f>tblJTL[[#This Row],[timeStamp]]/86400000+DATE(1970,1,1)+TIME(9,0,0)</f>
        <v>46296.418325011575</v>
      </c>
      <c r="T537" s="57">
        <f>tblJTL[[#This Row],[timeStamp]]+tblJTL[[#This Row],[elapsed]]</f>
        <v>1790816544299</v>
      </c>
      <c r="U537" s="61">
        <f>(tblJTL[[#This Row],[timeStamp]]-'17_分析サンプル'!$E$18)/1000</f>
        <v>143.101</v>
      </c>
      <c r="V537" s="57">
        <f>INT(tblJTL[[#This Row],[経過秒]]/60)</f>
        <v>2</v>
      </c>
      <c r="W537" s="57">
        <f>IF(OR(tblJTL[[#This Row],[success]]=FALSE,tblJTL[[#This Row],[success]]="false"),1,0)</f>
        <v>0</v>
      </c>
      <c r="X537" s="57">
        <f>IF(AND(tblJTL[[#This Row],[経過秒]]&gt;='17_分析サンプル'!$E$11,tblJTL[[#This Row],[経過秒]]&lt;'17_分析サンプル'!$E$12),1,0)</f>
        <v>1</v>
      </c>
    </row>
    <row r="538" spans="2:24" ht="14.4" x14ac:dyDescent="0.3">
      <c r="B538" s="57">
        <v>1790816544272</v>
      </c>
      <c r="C538" s="58">
        <v>186</v>
      </c>
      <c r="D538" s="59" t="s">
        <v>1677</v>
      </c>
      <c r="E538" s="59" t="s">
        <v>3579</v>
      </c>
      <c r="F538" s="59" t="s">
        <v>3580</v>
      </c>
      <c r="G538" s="59" t="s">
        <v>3587</v>
      </c>
      <c r="H538" s="59" t="s">
        <v>2281</v>
      </c>
      <c r="I538" s="59" t="b">
        <v>1</v>
      </c>
      <c r="J538" s="59"/>
      <c r="K538" s="58">
        <v>436</v>
      </c>
      <c r="L538" s="58">
        <v>1478</v>
      </c>
      <c r="M538" s="59">
        <v>10</v>
      </c>
      <c r="N538" s="59">
        <v>10</v>
      </c>
      <c r="O538" s="59" t="s">
        <v>3581</v>
      </c>
      <c r="P538" s="58">
        <v>183</v>
      </c>
      <c r="Q538" s="59">
        <v>0</v>
      </c>
      <c r="R538" s="59">
        <v>0</v>
      </c>
      <c r="S538" s="60">
        <f>tblJTL[[#This Row],[timeStamp]]/86400000+DATE(1970,1,1)+TIME(9,0,0)</f>
        <v>46296.418336481482</v>
      </c>
      <c r="T538" s="57">
        <f>tblJTL[[#This Row],[timeStamp]]+tblJTL[[#This Row],[elapsed]]</f>
        <v>1790816544458</v>
      </c>
      <c r="U538" s="61">
        <f>(tblJTL[[#This Row],[timeStamp]]-'17_分析サンプル'!$E$18)/1000</f>
        <v>144.09200000000001</v>
      </c>
      <c r="V538" s="57">
        <f>INT(tblJTL[[#This Row],[経過秒]]/60)</f>
        <v>2</v>
      </c>
      <c r="W538" s="57">
        <f>IF(OR(tblJTL[[#This Row],[success]]=FALSE,tblJTL[[#This Row],[success]]="false"),1,0)</f>
        <v>0</v>
      </c>
      <c r="X538" s="57">
        <f>IF(AND(tblJTL[[#This Row],[経過秒]]&gt;='17_分析サンプル'!$E$11,tblJTL[[#This Row],[経過秒]]&lt;'17_分析サンプル'!$E$12),1,0)</f>
        <v>1</v>
      </c>
    </row>
    <row r="539" spans="2:24" ht="14.4" x14ac:dyDescent="0.3">
      <c r="B539" s="57">
        <v>1790816544816</v>
      </c>
      <c r="C539" s="58">
        <v>63</v>
      </c>
      <c r="D539" s="59" t="s">
        <v>1658</v>
      </c>
      <c r="E539" s="59" t="s">
        <v>1577</v>
      </c>
      <c r="F539" s="59" t="s">
        <v>2275</v>
      </c>
      <c r="G539" s="59" t="s">
        <v>3589</v>
      </c>
      <c r="H539" s="59" t="s">
        <v>2281</v>
      </c>
      <c r="I539" s="59" t="b">
        <v>1</v>
      </c>
      <c r="J539" s="59"/>
      <c r="K539" s="58">
        <v>1868</v>
      </c>
      <c r="L539" s="58">
        <v>1342</v>
      </c>
      <c r="M539" s="59">
        <v>10</v>
      </c>
      <c r="N539" s="59">
        <v>10</v>
      </c>
      <c r="O539" s="59" t="s">
        <v>3578</v>
      </c>
      <c r="P539" s="58">
        <v>61</v>
      </c>
      <c r="Q539" s="59">
        <v>0</v>
      </c>
      <c r="R539" s="59">
        <v>0</v>
      </c>
      <c r="S539" s="60">
        <f>tblJTL[[#This Row],[timeStamp]]/86400000+DATE(1970,1,1)+TIME(9,0,0)</f>
        <v>46296.418342777775</v>
      </c>
      <c r="T539" s="57">
        <f>tblJTL[[#This Row],[timeStamp]]+tblJTL[[#This Row],[elapsed]]</f>
        <v>1790816544879</v>
      </c>
      <c r="U539" s="61">
        <f>(tblJTL[[#This Row],[timeStamp]]-'17_分析サンプル'!$E$18)/1000</f>
        <v>144.636</v>
      </c>
      <c r="V539" s="57">
        <f>INT(tblJTL[[#This Row],[経過秒]]/60)</f>
        <v>2</v>
      </c>
      <c r="W539" s="57">
        <f>IF(OR(tblJTL[[#This Row],[success]]=FALSE,tblJTL[[#This Row],[success]]="false"),1,0)</f>
        <v>0</v>
      </c>
      <c r="X539" s="57">
        <f>IF(AND(tblJTL[[#This Row],[経過秒]]&gt;='17_分析サンプル'!$E$11,tblJTL[[#This Row],[経過秒]]&lt;'17_分析サンプル'!$E$12),1,0)</f>
        <v>1</v>
      </c>
    </row>
    <row r="540" spans="2:24" ht="14.4" x14ac:dyDescent="0.3">
      <c r="B540" s="57">
        <v>1790816545003</v>
      </c>
      <c r="C540" s="58">
        <v>107</v>
      </c>
      <c r="D540" s="59" t="s">
        <v>1658</v>
      </c>
      <c r="E540" s="59" t="s">
        <v>1577</v>
      </c>
      <c r="F540" s="59" t="s">
        <v>2275</v>
      </c>
      <c r="G540" s="59" t="s">
        <v>3586</v>
      </c>
      <c r="H540" s="59" t="s">
        <v>2281</v>
      </c>
      <c r="I540" s="59" t="b">
        <v>1</v>
      </c>
      <c r="J540" s="59"/>
      <c r="K540" s="58">
        <v>1855</v>
      </c>
      <c r="L540" s="58">
        <v>1342</v>
      </c>
      <c r="M540" s="59">
        <v>10</v>
      </c>
      <c r="N540" s="59">
        <v>10</v>
      </c>
      <c r="O540" s="59" t="s">
        <v>3578</v>
      </c>
      <c r="P540" s="58">
        <v>103</v>
      </c>
      <c r="Q540" s="59">
        <v>0</v>
      </c>
      <c r="R540" s="59">
        <v>0</v>
      </c>
      <c r="S540" s="60">
        <f>tblJTL[[#This Row],[timeStamp]]/86400000+DATE(1970,1,1)+TIME(9,0,0)</f>
        <v>46296.418344942125</v>
      </c>
      <c r="T540" s="57">
        <f>tblJTL[[#This Row],[timeStamp]]+tblJTL[[#This Row],[elapsed]]</f>
        <v>1790816545110</v>
      </c>
      <c r="U540" s="61">
        <f>(tblJTL[[#This Row],[timeStamp]]-'17_分析サンプル'!$E$18)/1000</f>
        <v>144.82300000000001</v>
      </c>
      <c r="V540" s="57">
        <f>INT(tblJTL[[#This Row],[経過秒]]/60)</f>
        <v>2</v>
      </c>
      <c r="W540" s="57">
        <f>IF(OR(tblJTL[[#This Row],[success]]=FALSE,tblJTL[[#This Row],[success]]="false"),1,0)</f>
        <v>0</v>
      </c>
      <c r="X540" s="57">
        <f>IF(AND(tblJTL[[#This Row],[経過秒]]&gt;='17_分析サンプル'!$E$11,tblJTL[[#This Row],[経過秒]]&lt;'17_分析サンプル'!$E$12),1,0)</f>
        <v>1</v>
      </c>
    </row>
    <row r="541" spans="2:24" ht="14.4" x14ac:dyDescent="0.3">
      <c r="B541" s="57">
        <v>1790816545178</v>
      </c>
      <c r="C541" s="58">
        <v>247</v>
      </c>
      <c r="D541" s="59" t="s">
        <v>1677</v>
      </c>
      <c r="E541" s="59" t="s">
        <v>3579</v>
      </c>
      <c r="F541" s="59" t="s">
        <v>3580</v>
      </c>
      <c r="G541" s="59" t="s">
        <v>3588</v>
      </c>
      <c r="H541" s="59" t="s">
        <v>2281</v>
      </c>
      <c r="I541" s="59" t="b">
        <v>1</v>
      </c>
      <c r="J541" s="59"/>
      <c r="K541" s="58">
        <v>434</v>
      </c>
      <c r="L541" s="58">
        <v>1478</v>
      </c>
      <c r="M541" s="59">
        <v>10</v>
      </c>
      <c r="N541" s="59">
        <v>10</v>
      </c>
      <c r="O541" s="59" t="s">
        <v>3581</v>
      </c>
      <c r="P541" s="58">
        <v>244</v>
      </c>
      <c r="Q541" s="59">
        <v>0</v>
      </c>
      <c r="R541" s="59">
        <v>0</v>
      </c>
      <c r="S541" s="60">
        <f>tblJTL[[#This Row],[timeStamp]]/86400000+DATE(1970,1,1)+TIME(9,0,0)</f>
        <v>46296.418346967592</v>
      </c>
      <c r="T541" s="57">
        <f>tblJTL[[#This Row],[timeStamp]]+tblJTL[[#This Row],[elapsed]]</f>
        <v>1790816545425</v>
      </c>
      <c r="U541" s="61">
        <f>(tblJTL[[#This Row],[timeStamp]]-'17_分析サンプル'!$E$18)/1000</f>
        <v>144.99799999999999</v>
      </c>
      <c r="V541" s="57">
        <f>INT(tblJTL[[#This Row],[経過秒]]/60)</f>
        <v>2</v>
      </c>
      <c r="W541" s="57">
        <f>IF(OR(tblJTL[[#This Row],[success]]=FALSE,tblJTL[[#This Row],[success]]="false"),1,0)</f>
        <v>0</v>
      </c>
      <c r="X541" s="57">
        <f>IF(AND(tblJTL[[#This Row],[経過秒]]&gt;='17_分析サンプル'!$E$11,tblJTL[[#This Row],[経過秒]]&lt;'17_分析サンプル'!$E$12),1,0)</f>
        <v>1</v>
      </c>
    </row>
    <row r="542" spans="2:24" ht="14.4" x14ac:dyDescent="0.3">
      <c r="B542" s="57">
        <v>1790816545492</v>
      </c>
      <c r="C542" s="58">
        <v>228</v>
      </c>
      <c r="D542" s="59" t="s">
        <v>1677</v>
      </c>
      <c r="E542" s="59" t="s">
        <v>3579</v>
      </c>
      <c r="F542" s="59" t="s">
        <v>3580</v>
      </c>
      <c r="G542" s="59" t="s">
        <v>3584</v>
      </c>
      <c r="H542" s="59" t="s">
        <v>2281</v>
      </c>
      <c r="I542" s="59" t="b">
        <v>1</v>
      </c>
      <c r="J542" s="59"/>
      <c r="K542" s="58">
        <v>421</v>
      </c>
      <c r="L542" s="58">
        <v>1478</v>
      </c>
      <c r="M542" s="59">
        <v>10</v>
      </c>
      <c r="N542" s="59">
        <v>10</v>
      </c>
      <c r="O542" s="59" t="s">
        <v>3581</v>
      </c>
      <c r="P542" s="58">
        <v>223</v>
      </c>
      <c r="Q542" s="59">
        <v>0</v>
      </c>
      <c r="R542" s="59">
        <v>0</v>
      </c>
      <c r="S542" s="60">
        <f>tblJTL[[#This Row],[timeStamp]]/86400000+DATE(1970,1,1)+TIME(9,0,0)</f>
        <v>46296.418350601853</v>
      </c>
      <c r="T542" s="57">
        <f>tblJTL[[#This Row],[timeStamp]]+tblJTL[[#This Row],[elapsed]]</f>
        <v>1790816545720</v>
      </c>
      <c r="U542" s="61">
        <f>(tblJTL[[#This Row],[timeStamp]]-'17_分析サンプル'!$E$18)/1000</f>
        <v>145.31200000000001</v>
      </c>
      <c r="V542" s="57">
        <f>INT(tblJTL[[#This Row],[経過秒]]/60)</f>
        <v>2</v>
      </c>
      <c r="W542" s="57">
        <f>IF(OR(tblJTL[[#This Row],[success]]=FALSE,tblJTL[[#This Row],[success]]="false"),1,0)</f>
        <v>0</v>
      </c>
      <c r="X542" s="57">
        <f>IF(AND(tblJTL[[#This Row],[経過秒]]&gt;='17_分析サンプル'!$E$11,tblJTL[[#This Row],[経過秒]]&lt;'17_分析サンプル'!$E$12),1,0)</f>
        <v>1</v>
      </c>
    </row>
    <row r="543" spans="2:24" ht="14.4" x14ac:dyDescent="0.3">
      <c r="B543" s="57">
        <v>1790816545630</v>
      </c>
      <c r="C543" s="58">
        <v>144</v>
      </c>
      <c r="D543" s="59" t="s">
        <v>1658</v>
      </c>
      <c r="E543" s="59" t="s">
        <v>1577</v>
      </c>
      <c r="F543" s="59" t="s">
        <v>2275</v>
      </c>
      <c r="G543" s="59" t="s">
        <v>3585</v>
      </c>
      <c r="H543" s="59" t="s">
        <v>2281</v>
      </c>
      <c r="I543" s="59" t="b">
        <v>1</v>
      </c>
      <c r="J543" s="59"/>
      <c r="K543" s="58">
        <v>1880</v>
      </c>
      <c r="L543" s="58">
        <v>1342</v>
      </c>
      <c r="M543" s="59">
        <v>10</v>
      </c>
      <c r="N543" s="59">
        <v>10</v>
      </c>
      <c r="O543" s="59" t="s">
        <v>3578</v>
      </c>
      <c r="P543" s="58">
        <v>140</v>
      </c>
      <c r="Q543" s="59">
        <v>0</v>
      </c>
      <c r="R543" s="59">
        <v>0</v>
      </c>
      <c r="S543" s="60">
        <f>tblJTL[[#This Row],[timeStamp]]/86400000+DATE(1970,1,1)+TIME(9,0,0)</f>
        <v>46296.418352199078</v>
      </c>
      <c r="T543" s="57">
        <f>tblJTL[[#This Row],[timeStamp]]+tblJTL[[#This Row],[elapsed]]</f>
        <v>1790816545774</v>
      </c>
      <c r="U543" s="61">
        <f>(tblJTL[[#This Row],[timeStamp]]-'17_分析サンプル'!$E$18)/1000</f>
        <v>145.44999999999999</v>
      </c>
      <c r="V543" s="57">
        <f>INT(tblJTL[[#This Row],[経過秒]]/60)</f>
        <v>2</v>
      </c>
      <c r="W543" s="57">
        <f>IF(OR(tblJTL[[#This Row],[success]]=FALSE,tblJTL[[#This Row],[success]]="false"),1,0)</f>
        <v>0</v>
      </c>
      <c r="X543" s="57">
        <f>IF(AND(tblJTL[[#This Row],[経過秒]]&gt;='17_分析サンプル'!$E$11,tblJTL[[#This Row],[経過秒]]&lt;'17_分析サンプル'!$E$12),1,0)</f>
        <v>1</v>
      </c>
    </row>
    <row r="544" spans="2:24" ht="14.4" x14ac:dyDescent="0.3">
      <c r="B544" s="57">
        <v>1790816545954</v>
      </c>
      <c r="C544" s="58">
        <v>254</v>
      </c>
      <c r="D544" s="59" t="s">
        <v>1677</v>
      </c>
      <c r="E544" s="59" t="s">
        <v>3579</v>
      </c>
      <c r="F544" s="59" t="s">
        <v>3580</v>
      </c>
      <c r="G544" s="59" t="s">
        <v>3577</v>
      </c>
      <c r="H544" s="59" t="s">
        <v>2281</v>
      </c>
      <c r="I544" s="59" t="b">
        <v>1</v>
      </c>
      <c r="J544" s="59"/>
      <c r="K544" s="58">
        <v>430</v>
      </c>
      <c r="L544" s="58">
        <v>1478</v>
      </c>
      <c r="M544" s="59">
        <v>10</v>
      </c>
      <c r="N544" s="59">
        <v>10</v>
      </c>
      <c r="O544" s="59" t="s">
        <v>3581</v>
      </c>
      <c r="P544" s="58">
        <v>252</v>
      </c>
      <c r="Q544" s="59">
        <v>0</v>
      </c>
      <c r="R544" s="59">
        <v>0</v>
      </c>
      <c r="S544" s="60">
        <f>tblJTL[[#This Row],[timeStamp]]/86400000+DATE(1970,1,1)+TIME(9,0,0)</f>
        <v>46296.418355949078</v>
      </c>
      <c r="T544" s="57">
        <f>tblJTL[[#This Row],[timeStamp]]+tblJTL[[#This Row],[elapsed]]</f>
        <v>1790816546208</v>
      </c>
      <c r="U544" s="61">
        <f>(tblJTL[[#This Row],[timeStamp]]-'17_分析サンプル'!$E$18)/1000</f>
        <v>145.774</v>
      </c>
      <c r="V544" s="57">
        <f>INT(tblJTL[[#This Row],[経過秒]]/60)</f>
        <v>2</v>
      </c>
      <c r="W544" s="57">
        <f>IF(OR(tblJTL[[#This Row],[success]]=FALSE,tblJTL[[#This Row],[success]]="false"),1,0)</f>
        <v>0</v>
      </c>
      <c r="X544" s="57">
        <f>IF(AND(tblJTL[[#This Row],[経過秒]]&gt;='17_分析サンプル'!$E$11,tblJTL[[#This Row],[経過秒]]&lt;'17_分析サンプル'!$E$12),1,0)</f>
        <v>1</v>
      </c>
    </row>
    <row r="545" spans="2:24" ht="14.4" x14ac:dyDescent="0.3">
      <c r="B545" s="57">
        <v>1790816545928</v>
      </c>
      <c r="C545" s="58">
        <v>297</v>
      </c>
      <c r="D545" s="59" t="s">
        <v>1677</v>
      </c>
      <c r="E545" s="59" t="s">
        <v>3579</v>
      </c>
      <c r="F545" s="59" t="s">
        <v>3580</v>
      </c>
      <c r="G545" s="59" t="s">
        <v>3589</v>
      </c>
      <c r="H545" s="59" t="s">
        <v>2281</v>
      </c>
      <c r="I545" s="59" t="b">
        <v>1</v>
      </c>
      <c r="J545" s="59"/>
      <c r="K545" s="58">
        <v>427</v>
      </c>
      <c r="L545" s="58">
        <v>1478</v>
      </c>
      <c r="M545" s="59">
        <v>10</v>
      </c>
      <c r="N545" s="59">
        <v>10</v>
      </c>
      <c r="O545" s="59" t="s">
        <v>3581</v>
      </c>
      <c r="P545" s="58">
        <v>294</v>
      </c>
      <c r="Q545" s="59">
        <v>0</v>
      </c>
      <c r="R545" s="59">
        <v>0</v>
      </c>
      <c r="S545" s="60">
        <f>tblJTL[[#This Row],[timeStamp]]/86400000+DATE(1970,1,1)+TIME(9,0,0)</f>
        <v>46296.418355648144</v>
      </c>
      <c r="T545" s="57">
        <f>tblJTL[[#This Row],[timeStamp]]+tblJTL[[#This Row],[elapsed]]</f>
        <v>1790816546225</v>
      </c>
      <c r="U545" s="61">
        <f>(tblJTL[[#This Row],[timeStamp]]-'17_分析サンプル'!$E$18)/1000</f>
        <v>145.74799999999999</v>
      </c>
      <c r="V545" s="57">
        <f>INT(tblJTL[[#This Row],[経過秒]]/60)</f>
        <v>2</v>
      </c>
      <c r="W545" s="57">
        <f>IF(OR(tblJTL[[#This Row],[success]]=FALSE,tblJTL[[#This Row],[success]]="false"),1,0)</f>
        <v>0</v>
      </c>
      <c r="X545" s="57">
        <f>IF(AND(tblJTL[[#This Row],[経過秒]]&gt;='17_分析サンプル'!$E$11,tblJTL[[#This Row],[経過秒]]&lt;'17_分析サンプル'!$E$12),1,0)</f>
        <v>1</v>
      </c>
    </row>
    <row r="546" spans="2:24" ht="14.4" x14ac:dyDescent="0.3">
      <c r="B546" s="57">
        <v>1790816546224</v>
      </c>
      <c r="C546" s="58">
        <v>144</v>
      </c>
      <c r="D546" s="59" t="s">
        <v>1677</v>
      </c>
      <c r="E546" s="59" t="s">
        <v>3579</v>
      </c>
      <c r="F546" s="59" t="s">
        <v>3580</v>
      </c>
      <c r="G546" s="59" t="s">
        <v>3583</v>
      </c>
      <c r="H546" s="59" t="s">
        <v>2281</v>
      </c>
      <c r="I546" s="59" t="b">
        <v>1</v>
      </c>
      <c r="J546" s="59"/>
      <c r="K546" s="58">
        <v>438</v>
      </c>
      <c r="L546" s="58">
        <v>1478</v>
      </c>
      <c r="M546" s="59">
        <v>10</v>
      </c>
      <c r="N546" s="59">
        <v>10</v>
      </c>
      <c r="O546" s="59" t="s">
        <v>3581</v>
      </c>
      <c r="P546" s="58">
        <v>136</v>
      </c>
      <c r="Q546" s="59">
        <v>0</v>
      </c>
      <c r="R546" s="59">
        <v>0</v>
      </c>
      <c r="S546" s="60">
        <f>tblJTL[[#This Row],[timeStamp]]/86400000+DATE(1970,1,1)+TIME(9,0,0)</f>
        <v>46296.418359074072</v>
      </c>
      <c r="T546" s="57">
        <f>tblJTL[[#This Row],[timeStamp]]+tblJTL[[#This Row],[elapsed]]</f>
        <v>1790816546368</v>
      </c>
      <c r="U546" s="61">
        <f>(tblJTL[[#This Row],[timeStamp]]-'17_分析サンプル'!$E$18)/1000</f>
        <v>146.04400000000001</v>
      </c>
      <c r="V546" s="57">
        <f>INT(tblJTL[[#This Row],[経過秒]]/60)</f>
        <v>2</v>
      </c>
      <c r="W546" s="57">
        <f>IF(OR(tblJTL[[#This Row],[success]]=FALSE,tblJTL[[#This Row],[success]]="false"),1,0)</f>
        <v>0</v>
      </c>
      <c r="X546" s="57">
        <f>IF(AND(tblJTL[[#This Row],[経過秒]]&gt;='17_分析サンプル'!$E$11,tblJTL[[#This Row],[経過秒]]&lt;'17_分析サンプル'!$E$12),1,0)</f>
        <v>1</v>
      </c>
    </row>
    <row r="547" spans="2:24" ht="14.4" x14ac:dyDescent="0.3">
      <c r="B547" s="57">
        <v>1790816546631</v>
      </c>
      <c r="C547" s="58">
        <v>187</v>
      </c>
      <c r="D547" s="59" t="s">
        <v>1658</v>
      </c>
      <c r="E547" s="59" t="s">
        <v>1577</v>
      </c>
      <c r="F547" s="59" t="s">
        <v>2275</v>
      </c>
      <c r="G547" s="59" t="s">
        <v>3582</v>
      </c>
      <c r="H547" s="59" t="s">
        <v>2281</v>
      </c>
      <c r="I547" s="59" t="b">
        <v>1</v>
      </c>
      <c r="J547" s="59"/>
      <c r="K547" s="58">
        <v>1884</v>
      </c>
      <c r="L547" s="58">
        <v>1342</v>
      </c>
      <c r="M547" s="59">
        <v>10</v>
      </c>
      <c r="N547" s="59">
        <v>10</v>
      </c>
      <c r="O547" s="59" t="s">
        <v>3578</v>
      </c>
      <c r="P547" s="58">
        <v>184</v>
      </c>
      <c r="Q547" s="59">
        <v>0</v>
      </c>
      <c r="R547" s="59">
        <v>0</v>
      </c>
      <c r="S547" s="60">
        <f>tblJTL[[#This Row],[timeStamp]]/86400000+DATE(1970,1,1)+TIME(9,0,0)</f>
        <v>46296.418363784724</v>
      </c>
      <c r="T547" s="57">
        <f>tblJTL[[#This Row],[timeStamp]]+tblJTL[[#This Row],[elapsed]]</f>
        <v>1790816546818</v>
      </c>
      <c r="U547" s="61">
        <f>(tblJTL[[#This Row],[timeStamp]]-'17_分析サンプル'!$E$18)/1000</f>
        <v>146.45099999999999</v>
      </c>
      <c r="V547" s="57">
        <f>INT(tblJTL[[#This Row],[経過秒]]/60)</f>
        <v>2</v>
      </c>
      <c r="W547" s="57">
        <f>IF(OR(tblJTL[[#This Row],[success]]=FALSE,tblJTL[[#This Row],[success]]="false"),1,0)</f>
        <v>0</v>
      </c>
      <c r="X547" s="57">
        <f>IF(AND(tblJTL[[#This Row],[経過秒]]&gt;='17_分析サンプル'!$E$11,tblJTL[[#This Row],[経過秒]]&lt;'17_分析サンプル'!$E$12),1,0)</f>
        <v>1</v>
      </c>
    </row>
    <row r="548" spans="2:24" ht="14.4" x14ac:dyDescent="0.3">
      <c r="B548" s="57">
        <v>1790816546884</v>
      </c>
      <c r="C548" s="58">
        <v>111</v>
      </c>
      <c r="D548" s="59" t="s">
        <v>1658</v>
      </c>
      <c r="E548" s="59" t="s">
        <v>1577</v>
      </c>
      <c r="F548" s="59" t="s">
        <v>2275</v>
      </c>
      <c r="G548" s="59" t="s">
        <v>2278</v>
      </c>
      <c r="H548" s="59" t="s">
        <v>2281</v>
      </c>
      <c r="I548" s="59" t="b">
        <v>1</v>
      </c>
      <c r="J548" s="59"/>
      <c r="K548" s="58">
        <v>1824</v>
      </c>
      <c r="L548" s="58">
        <v>1342</v>
      </c>
      <c r="M548" s="59">
        <v>10</v>
      </c>
      <c r="N548" s="59">
        <v>10</v>
      </c>
      <c r="O548" s="59" t="s">
        <v>3578</v>
      </c>
      <c r="P548" s="58">
        <v>104</v>
      </c>
      <c r="Q548" s="59">
        <v>0</v>
      </c>
      <c r="R548" s="59">
        <v>0</v>
      </c>
      <c r="S548" s="60">
        <f>tblJTL[[#This Row],[timeStamp]]/86400000+DATE(1970,1,1)+TIME(9,0,0)</f>
        <v>46296.418366712962</v>
      </c>
      <c r="T548" s="57">
        <f>tblJTL[[#This Row],[timeStamp]]+tblJTL[[#This Row],[elapsed]]</f>
        <v>1790816546995</v>
      </c>
      <c r="U548" s="61">
        <f>(tblJTL[[#This Row],[timeStamp]]-'17_分析サンプル'!$E$18)/1000</f>
        <v>146.70400000000001</v>
      </c>
      <c r="V548" s="57">
        <f>INT(tblJTL[[#This Row],[経過秒]]/60)</f>
        <v>2</v>
      </c>
      <c r="W548" s="57">
        <f>IF(OR(tblJTL[[#This Row],[success]]=FALSE,tblJTL[[#This Row],[success]]="false"),1,0)</f>
        <v>0</v>
      </c>
      <c r="X548" s="57">
        <f>IF(AND(tblJTL[[#This Row],[経過秒]]&gt;='17_分析サンプル'!$E$11,tblJTL[[#This Row],[経過秒]]&lt;'17_分析サンプル'!$E$12),1,0)</f>
        <v>1</v>
      </c>
    </row>
    <row r="549" spans="2:24" ht="14.4" x14ac:dyDescent="0.3">
      <c r="B549" s="57">
        <v>1790816547171</v>
      </c>
      <c r="C549" s="58">
        <v>89</v>
      </c>
      <c r="D549" s="59" t="s">
        <v>1658</v>
      </c>
      <c r="E549" s="59" t="s">
        <v>1577</v>
      </c>
      <c r="F549" s="59" t="s">
        <v>2275</v>
      </c>
      <c r="G549" s="59" t="s">
        <v>3587</v>
      </c>
      <c r="H549" s="59" t="s">
        <v>2281</v>
      </c>
      <c r="I549" s="59" t="b">
        <v>1</v>
      </c>
      <c r="J549" s="59"/>
      <c r="K549" s="58">
        <v>1854</v>
      </c>
      <c r="L549" s="58">
        <v>1342</v>
      </c>
      <c r="M549" s="59">
        <v>10</v>
      </c>
      <c r="N549" s="59">
        <v>10</v>
      </c>
      <c r="O549" s="59" t="s">
        <v>3578</v>
      </c>
      <c r="P549" s="58">
        <v>87</v>
      </c>
      <c r="Q549" s="59">
        <v>0</v>
      </c>
      <c r="R549" s="59">
        <v>0</v>
      </c>
      <c r="S549" s="60">
        <f>tblJTL[[#This Row],[timeStamp]]/86400000+DATE(1970,1,1)+TIME(9,0,0)</f>
        <v>46296.41837003472</v>
      </c>
      <c r="T549" s="57">
        <f>tblJTL[[#This Row],[timeStamp]]+tblJTL[[#This Row],[elapsed]]</f>
        <v>1790816547260</v>
      </c>
      <c r="U549" s="61">
        <f>(tblJTL[[#This Row],[timeStamp]]-'17_分析サンプル'!$E$18)/1000</f>
        <v>146.99100000000001</v>
      </c>
      <c r="V549" s="57">
        <f>INT(tblJTL[[#This Row],[経過秒]]/60)</f>
        <v>2</v>
      </c>
      <c r="W549" s="57">
        <f>IF(OR(tblJTL[[#This Row],[success]]=FALSE,tblJTL[[#This Row],[success]]="false"),1,0)</f>
        <v>0</v>
      </c>
      <c r="X549" s="57">
        <f>IF(AND(tblJTL[[#This Row],[経過秒]]&gt;='17_分析サンプル'!$E$11,tblJTL[[#This Row],[経過秒]]&lt;'17_分析サンプル'!$E$12),1,0)</f>
        <v>1</v>
      </c>
    </row>
    <row r="550" spans="2:24" ht="14.4" x14ac:dyDescent="0.3">
      <c r="B550" s="57">
        <v>1790816547562</v>
      </c>
      <c r="C550" s="58">
        <v>88</v>
      </c>
      <c r="D550" s="59" t="s">
        <v>1658</v>
      </c>
      <c r="E550" s="59" t="s">
        <v>1577</v>
      </c>
      <c r="F550" s="59" t="s">
        <v>2275</v>
      </c>
      <c r="G550" s="59" t="s">
        <v>3583</v>
      </c>
      <c r="H550" s="59" t="s">
        <v>2281</v>
      </c>
      <c r="I550" s="59" t="b">
        <v>1</v>
      </c>
      <c r="J550" s="59"/>
      <c r="K550" s="58">
        <v>1864</v>
      </c>
      <c r="L550" s="58">
        <v>1342</v>
      </c>
      <c r="M550" s="59">
        <v>10</v>
      </c>
      <c r="N550" s="59">
        <v>10</v>
      </c>
      <c r="O550" s="59" t="s">
        <v>3578</v>
      </c>
      <c r="P550" s="58">
        <v>80</v>
      </c>
      <c r="Q550" s="59">
        <v>0</v>
      </c>
      <c r="R550" s="59">
        <v>0</v>
      </c>
      <c r="S550" s="60">
        <f>tblJTL[[#This Row],[timeStamp]]/86400000+DATE(1970,1,1)+TIME(9,0,0)</f>
        <v>46296.418374560184</v>
      </c>
      <c r="T550" s="57">
        <f>tblJTL[[#This Row],[timeStamp]]+tblJTL[[#This Row],[elapsed]]</f>
        <v>1790816547650</v>
      </c>
      <c r="U550" s="61">
        <f>(tblJTL[[#This Row],[timeStamp]]-'17_分析サンプル'!$E$18)/1000</f>
        <v>147.38200000000001</v>
      </c>
      <c r="V550" s="57">
        <f>INT(tblJTL[[#This Row],[経過秒]]/60)</f>
        <v>2</v>
      </c>
      <c r="W550" s="57">
        <f>IF(OR(tblJTL[[#This Row],[success]]=FALSE,tblJTL[[#This Row],[success]]="false"),1,0)</f>
        <v>0</v>
      </c>
      <c r="X550" s="57">
        <f>IF(AND(tblJTL[[#This Row],[経過秒]]&gt;='17_分析サンプル'!$E$11,tblJTL[[#This Row],[経過秒]]&lt;'17_分析サンプル'!$E$12),1,0)</f>
        <v>1</v>
      </c>
    </row>
    <row r="551" spans="2:24" ht="14.4" x14ac:dyDescent="0.3">
      <c r="B551" s="57">
        <v>1790816547500</v>
      </c>
      <c r="C551" s="58">
        <v>166</v>
      </c>
      <c r="D551" s="59" t="s">
        <v>1677</v>
      </c>
      <c r="E551" s="59" t="s">
        <v>3579</v>
      </c>
      <c r="F551" s="59" t="s">
        <v>3580</v>
      </c>
      <c r="G551" s="59" t="s">
        <v>3586</v>
      </c>
      <c r="H551" s="59" t="s">
        <v>2281</v>
      </c>
      <c r="I551" s="59" t="b">
        <v>1</v>
      </c>
      <c r="J551" s="59"/>
      <c r="K551" s="58">
        <v>427</v>
      </c>
      <c r="L551" s="58">
        <v>1478</v>
      </c>
      <c r="M551" s="59">
        <v>10</v>
      </c>
      <c r="N551" s="59">
        <v>10</v>
      </c>
      <c r="O551" s="59" t="s">
        <v>3581</v>
      </c>
      <c r="P551" s="58">
        <v>162</v>
      </c>
      <c r="Q551" s="59">
        <v>0</v>
      </c>
      <c r="R551" s="59">
        <v>0</v>
      </c>
      <c r="S551" s="60">
        <f>tblJTL[[#This Row],[timeStamp]]/86400000+DATE(1970,1,1)+TIME(9,0,0)</f>
        <v>46296.418373842593</v>
      </c>
      <c r="T551" s="57">
        <f>tblJTL[[#This Row],[timeStamp]]+tblJTL[[#This Row],[elapsed]]</f>
        <v>1790816547666</v>
      </c>
      <c r="U551" s="61">
        <f>(tblJTL[[#This Row],[timeStamp]]-'17_分析サンプル'!$E$18)/1000</f>
        <v>147.32</v>
      </c>
      <c r="V551" s="57">
        <f>INT(tblJTL[[#This Row],[経過秒]]/60)</f>
        <v>2</v>
      </c>
      <c r="W551" s="57">
        <f>IF(OR(tblJTL[[#This Row],[success]]=FALSE,tblJTL[[#This Row],[success]]="false"),1,0)</f>
        <v>0</v>
      </c>
      <c r="X551" s="57">
        <f>IF(AND(tblJTL[[#This Row],[経過秒]]&gt;='17_分析サンプル'!$E$11,tblJTL[[#This Row],[経過秒]]&lt;'17_分析サンプル'!$E$12),1,0)</f>
        <v>1</v>
      </c>
    </row>
    <row r="552" spans="2:24" ht="14.4" x14ac:dyDescent="0.3">
      <c r="B552" s="57">
        <v>1790816547738</v>
      </c>
      <c r="C552" s="58">
        <v>107</v>
      </c>
      <c r="D552" s="59" t="s">
        <v>1658</v>
      </c>
      <c r="E552" s="59" t="s">
        <v>1577</v>
      </c>
      <c r="F552" s="59" t="s">
        <v>2275</v>
      </c>
      <c r="G552" s="59" t="s">
        <v>3584</v>
      </c>
      <c r="H552" s="59" t="s">
        <v>2281</v>
      </c>
      <c r="I552" s="59" t="b">
        <v>1</v>
      </c>
      <c r="J552" s="59"/>
      <c r="K552" s="58">
        <v>1882</v>
      </c>
      <c r="L552" s="58">
        <v>1342</v>
      </c>
      <c r="M552" s="59">
        <v>10</v>
      </c>
      <c r="N552" s="59">
        <v>10</v>
      </c>
      <c r="O552" s="59" t="s">
        <v>3578</v>
      </c>
      <c r="P552" s="58">
        <v>102</v>
      </c>
      <c r="Q552" s="59">
        <v>0</v>
      </c>
      <c r="R552" s="59">
        <v>0</v>
      </c>
      <c r="S552" s="60">
        <f>tblJTL[[#This Row],[timeStamp]]/86400000+DATE(1970,1,1)+TIME(9,0,0)</f>
        <v>46296.418376597227</v>
      </c>
      <c r="T552" s="57">
        <f>tblJTL[[#This Row],[timeStamp]]+tblJTL[[#This Row],[elapsed]]</f>
        <v>1790816547845</v>
      </c>
      <c r="U552" s="61">
        <f>(tblJTL[[#This Row],[timeStamp]]-'17_分析サンプル'!$E$18)/1000</f>
        <v>147.55799999999999</v>
      </c>
      <c r="V552" s="57">
        <f>INT(tblJTL[[#This Row],[経過秒]]/60)</f>
        <v>2</v>
      </c>
      <c r="W552" s="57">
        <f>IF(OR(tblJTL[[#This Row],[success]]=FALSE,tblJTL[[#This Row],[success]]="false"),1,0)</f>
        <v>0</v>
      </c>
      <c r="X552" s="57">
        <f>IF(AND(tblJTL[[#This Row],[経過秒]]&gt;='17_分析サンプル'!$E$11,tblJTL[[#This Row],[経過秒]]&lt;'17_分析サンプル'!$E$12),1,0)</f>
        <v>1</v>
      </c>
    </row>
    <row r="553" spans="2:24" ht="14.4" x14ac:dyDescent="0.3">
      <c r="B553" s="57">
        <v>1790816547975</v>
      </c>
      <c r="C553" s="58">
        <v>182</v>
      </c>
      <c r="D553" s="59" t="s">
        <v>1658</v>
      </c>
      <c r="E553" s="59" t="s">
        <v>1577</v>
      </c>
      <c r="F553" s="59" t="s">
        <v>2275</v>
      </c>
      <c r="G553" s="59" t="s">
        <v>3589</v>
      </c>
      <c r="H553" s="59" t="s">
        <v>2281</v>
      </c>
      <c r="I553" s="59" t="b">
        <v>1</v>
      </c>
      <c r="J553" s="59"/>
      <c r="K553" s="58">
        <v>1838</v>
      </c>
      <c r="L553" s="58">
        <v>1342</v>
      </c>
      <c r="M553" s="59">
        <v>10</v>
      </c>
      <c r="N553" s="59">
        <v>10</v>
      </c>
      <c r="O553" s="59" t="s">
        <v>3578</v>
      </c>
      <c r="P553" s="58">
        <v>178</v>
      </c>
      <c r="Q553" s="59">
        <v>0</v>
      </c>
      <c r="R553" s="59">
        <v>0</v>
      </c>
      <c r="S553" s="60">
        <f>tblJTL[[#This Row],[timeStamp]]/86400000+DATE(1970,1,1)+TIME(9,0,0)</f>
        <v>46296.418379340277</v>
      </c>
      <c r="T553" s="57">
        <f>tblJTL[[#This Row],[timeStamp]]+tblJTL[[#This Row],[elapsed]]</f>
        <v>1790816548157</v>
      </c>
      <c r="U553" s="61">
        <f>(tblJTL[[#This Row],[timeStamp]]-'17_分析サンプル'!$E$18)/1000</f>
        <v>147.79499999999999</v>
      </c>
      <c r="V553" s="57">
        <f>INT(tblJTL[[#This Row],[経過秒]]/60)</f>
        <v>2</v>
      </c>
      <c r="W553" s="57">
        <f>IF(OR(tblJTL[[#This Row],[success]]=FALSE,tblJTL[[#This Row],[success]]="false"),1,0)</f>
        <v>0</v>
      </c>
      <c r="X553" s="57">
        <f>IF(AND(tblJTL[[#This Row],[経過秒]]&gt;='17_分析サンプル'!$E$11,tblJTL[[#This Row],[経過秒]]&lt;'17_分析サンプル'!$E$12),1,0)</f>
        <v>1</v>
      </c>
    </row>
    <row r="554" spans="2:24" ht="14.4" x14ac:dyDescent="0.3">
      <c r="B554" s="57">
        <v>1790816547864</v>
      </c>
      <c r="C554" s="58">
        <v>308</v>
      </c>
      <c r="D554" s="59" t="s">
        <v>1677</v>
      </c>
      <c r="E554" s="59" t="s">
        <v>3579</v>
      </c>
      <c r="F554" s="59" t="s">
        <v>3580</v>
      </c>
      <c r="G554" s="59" t="s">
        <v>3585</v>
      </c>
      <c r="H554" s="59" t="s">
        <v>2281</v>
      </c>
      <c r="I554" s="59" t="b">
        <v>1</v>
      </c>
      <c r="J554" s="59"/>
      <c r="K554" s="58">
        <v>420</v>
      </c>
      <c r="L554" s="58">
        <v>1478</v>
      </c>
      <c r="M554" s="59">
        <v>10</v>
      </c>
      <c r="N554" s="59">
        <v>10</v>
      </c>
      <c r="O554" s="59" t="s">
        <v>3581</v>
      </c>
      <c r="P554" s="58">
        <v>306</v>
      </c>
      <c r="Q554" s="59">
        <v>0</v>
      </c>
      <c r="R554" s="59">
        <v>0</v>
      </c>
      <c r="S554" s="60">
        <f>tblJTL[[#This Row],[timeStamp]]/86400000+DATE(1970,1,1)+TIME(9,0,0)</f>
        <v>46296.418378055554</v>
      </c>
      <c r="T554" s="57">
        <f>tblJTL[[#This Row],[timeStamp]]+tblJTL[[#This Row],[elapsed]]</f>
        <v>1790816548172</v>
      </c>
      <c r="U554" s="61">
        <f>(tblJTL[[#This Row],[timeStamp]]-'17_分析サンプル'!$E$18)/1000</f>
        <v>147.684</v>
      </c>
      <c r="V554" s="57">
        <f>INT(tblJTL[[#This Row],[経過秒]]/60)</f>
        <v>2</v>
      </c>
      <c r="W554" s="57">
        <f>IF(OR(tblJTL[[#This Row],[success]]=FALSE,tblJTL[[#This Row],[success]]="false"),1,0)</f>
        <v>0</v>
      </c>
      <c r="X554" s="57">
        <f>IF(AND(tblJTL[[#This Row],[経過秒]]&gt;='17_分析サンプル'!$E$11,tblJTL[[#This Row],[経過秒]]&lt;'17_分析サンプル'!$E$12),1,0)</f>
        <v>1</v>
      </c>
    </row>
    <row r="555" spans="2:24" ht="14.4" x14ac:dyDescent="0.3">
      <c r="B555" s="57">
        <v>1790816548174</v>
      </c>
      <c r="C555" s="58">
        <v>99</v>
      </c>
      <c r="D555" s="59" t="s">
        <v>1658</v>
      </c>
      <c r="E555" s="59" t="s">
        <v>1577</v>
      </c>
      <c r="F555" s="59" t="s">
        <v>2275</v>
      </c>
      <c r="G555" s="59" t="s">
        <v>3588</v>
      </c>
      <c r="H555" s="59" t="s">
        <v>2281</v>
      </c>
      <c r="I555" s="59" t="b">
        <v>1</v>
      </c>
      <c r="J555" s="59"/>
      <c r="K555" s="58">
        <v>1867</v>
      </c>
      <c r="L555" s="58">
        <v>1342</v>
      </c>
      <c r="M555" s="59">
        <v>10</v>
      </c>
      <c r="N555" s="59">
        <v>10</v>
      </c>
      <c r="O555" s="59" t="s">
        <v>3578</v>
      </c>
      <c r="P555" s="58">
        <v>97</v>
      </c>
      <c r="Q555" s="59">
        <v>0</v>
      </c>
      <c r="R555" s="59">
        <v>0</v>
      </c>
      <c r="S555" s="60">
        <f>tblJTL[[#This Row],[timeStamp]]/86400000+DATE(1970,1,1)+TIME(9,0,0)</f>
        <v>46296.418381643518</v>
      </c>
      <c r="T555" s="57">
        <f>tblJTL[[#This Row],[timeStamp]]+tblJTL[[#This Row],[elapsed]]</f>
        <v>1790816548273</v>
      </c>
      <c r="U555" s="61">
        <f>(tblJTL[[#This Row],[timeStamp]]-'17_分析サンプル'!$E$18)/1000</f>
        <v>147.994</v>
      </c>
      <c r="V555" s="57">
        <f>INT(tblJTL[[#This Row],[経過秒]]/60)</f>
        <v>2</v>
      </c>
      <c r="W555" s="57">
        <f>IF(OR(tblJTL[[#This Row],[success]]=FALSE,tblJTL[[#This Row],[success]]="false"),1,0)</f>
        <v>0</v>
      </c>
      <c r="X555" s="57">
        <f>IF(AND(tblJTL[[#This Row],[経過秒]]&gt;='17_分析サンプル'!$E$11,tblJTL[[#This Row],[経過秒]]&lt;'17_分析サンプル'!$E$12),1,0)</f>
        <v>1</v>
      </c>
    </row>
    <row r="556" spans="2:24" ht="14.4" x14ac:dyDescent="0.3">
      <c r="B556" s="57">
        <v>1790816548208</v>
      </c>
      <c r="C556" s="58">
        <v>197</v>
      </c>
      <c r="D556" s="59" t="s">
        <v>1677</v>
      </c>
      <c r="E556" s="59" t="s">
        <v>3579</v>
      </c>
      <c r="F556" s="59" t="s">
        <v>3580</v>
      </c>
      <c r="G556" s="59" t="s">
        <v>2278</v>
      </c>
      <c r="H556" s="59" t="s">
        <v>2281</v>
      </c>
      <c r="I556" s="59" t="b">
        <v>1</v>
      </c>
      <c r="J556" s="59"/>
      <c r="K556" s="58">
        <v>415</v>
      </c>
      <c r="L556" s="58">
        <v>1478</v>
      </c>
      <c r="M556" s="59">
        <v>10</v>
      </c>
      <c r="N556" s="59">
        <v>10</v>
      </c>
      <c r="O556" s="59" t="s">
        <v>3581</v>
      </c>
      <c r="P556" s="58">
        <v>194</v>
      </c>
      <c r="Q556" s="59">
        <v>0</v>
      </c>
      <c r="R556" s="59">
        <v>0</v>
      </c>
      <c r="S556" s="60">
        <f>tblJTL[[#This Row],[timeStamp]]/86400000+DATE(1970,1,1)+TIME(9,0,0)</f>
        <v>46296.418382037038</v>
      </c>
      <c r="T556" s="57">
        <f>tblJTL[[#This Row],[timeStamp]]+tblJTL[[#This Row],[elapsed]]</f>
        <v>1790816548405</v>
      </c>
      <c r="U556" s="61">
        <f>(tblJTL[[#This Row],[timeStamp]]-'17_分析サンプル'!$E$18)/1000</f>
        <v>148.02799999999999</v>
      </c>
      <c r="V556" s="57">
        <f>INT(tblJTL[[#This Row],[経過秒]]/60)</f>
        <v>2</v>
      </c>
      <c r="W556" s="57">
        <f>IF(OR(tblJTL[[#This Row],[success]]=FALSE,tblJTL[[#This Row],[success]]="false"),1,0)</f>
        <v>0</v>
      </c>
      <c r="X556" s="57">
        <f>IF(AND(tblJTL[[#This Row],[経過秒]]&gt;='17_分析サンプル'!$E$11,tblJTL[[#This Row],[経過秒]]&lt;'17_分析サンプル'!$E$12),1,0)</f>
        <v>1</v>
      </c>
    </row>
    <row r="557" spans="2:24" ht="14.4" x14ac:dyDescent="0.3">
      <c r="B557" s="57">
        <v>1790816548635</v>
      </c>
      <c r="C557" s="58">
        <v>121</v>
      </c>
      <c r="D557" s="59" t="s">
        <v>1658</v>
      </c>
      <c r="E557" s="59" t="s">
        <v>1577</v>
      </c>
      <c r="F557" s="59" t="s">
        <v>2275</v>
      </c>
      <c r="G557" s="59" t="s">
        <v>3577</v>
      </c>
      <c r="H557" s="59" t="s">
        <v>2281</v>
      </c>
      <c r="I557" s="59" t="b">
        <v>1</v>
      </c>
      <c r="J557" s="59"/>
      <c r="K557" s="58">
        <v>1829</v>
      </c>
      <c r="L557" s="58">
        <v>1342</v>
      </c>
      <c r="M557" s="59">
        <v>10</v>
      </c>
      <c r="N557" s="59">
        <v>10</v>
      </c>
      <c r="O557" s="59" t="s">
        <v>3578</v>
      </c>
      <c r="P557" s="58">
        <v>116</v>
      </c>
      <c r="Q557" s="59">
        <v>0</v>
      </c>
      <c r="R557" s="59">
        <v>0</v>
      </c>
      <c r="S557" s="60">
        <f>tblJTL[[#This Row],[timeStamp]]/86400000+DATE(1970,1,1)+TIME(9,0,0)</f>
        <v>46296.418386979167</v>
      </c>
      <c r="T557" s="57">
        <f>tblJTL[[#This Row],[timeStamp]]+tblJTL[[#This Row],[elapsed]]</f>
        <v>1790816548756</v>
      </c>
      <c r="U557" s="61">
        <f>(tblJTL[[#This Row],[timeStamp]]-'17_分析サンプル'!$E$18)/1000</f>
        <v>148.45500000000001</v>
      </c>
      <c r="V557" s="57">
        <f>INT(tblJTL[[#This Row],[経過秒]]/60)</f>
        <v>2</v>
      </c>
      <c r="W557" s="57">
        <f>IF(OR(tblJTL[[#This Row],[success]]=FALSE,tblJTL[[#This Row],[success]]="false"),1,0)</f>
        <v>0</v>
      </c>
      <c r="X557" s="57">
        <f>IF(AND(tblJTL[[#This Row],[経過秒]]&gt;='17_分析サンプル'!$E$11,tblJTL[[#This Row],[経過秒]]&lt;'17_分析サンプル'!$E$12),1,0)</f>
        <v>1</v>
      </c>
    </row>
    <row r="558" spans="2:24" ht="14.4" x14ac:dyDescent="0.3">
      <c r="B558" s="57">
        <v>1790816549162</v>
      </c>
      <c r="C558" s="58">
        <v>231</v>
      </c>
      <c r="D558" s="59" t="s">
        <v>1677</v>
      </c>
      <c r="E558" s="59" t="s">
        <v>3579</v>
      </c>
      <c r="F558" s="59" t="s">
        <v>3580</v>
      </c>
      <c r="G558" s="59" t="s">
        <v>3582</v>
      </c>
      <c r="H558" s="59" t="s">
        <v>2281</v>
      </c>
      <c r="I558" s="59" t="b">
        <v>1</v>
      </c>
      <c r="J558" s="59"/>
      <c r="K558" s="58">
        <v>433</v>
      </c>
      <c r="L558" s="58">
        <v>1478</v>
      </c>
      <c r="M558" s="59">
        <v>10</v>
      </c>
      <c r="N558" s="59">
        <v>10</v>
      </c>
      <c r="O558" s="59" t="s">
        <v>3581</v>
      </c>
      <c r="P558" s="58">
        <v>226</v>
      </c>
      <c r="Q558" s="59">
        <v>0</v>
      </c>
      <c r="R558" s="59">
        <v>0</v>
      </c>
      <c r="S558" s="60">
        <f>tblJTL[[#This Row],[timeStamp]]/86400000+DATE(1970,1,1)+TIME(9,0,0)</f>
        <v>46296.418393078704</v>
      </c>
      <c r="T558" s="57">
        <f>tblJTL[[#This Row],[timeStamp]]+tblJTL[[#This Row],[elapsed]]</f>
        <v>1790816549393</v>
      </c>
      <c r="U558" s="61">
        <f>(tblJTL[[#This Row],[timeStamp]]-'17_分析サンプル'!$E$18)/1000</f>
        <v>148.982</v>
      </c>
      <c r="V558" s="57">
        <f>INT(tblJTL[[#This Row],[経過秒]]/60)</f>
        <v>2</v>
      </c>
      <c r="W558" s="57">
        <f>IF(OR(tblJTL[[#This Row],[success]]=FALSE,tblJTL[[#This Row],[success]]="false"),1,0)</f>
        <v>0</v>
      </c>
      <c r="X558" s="57">
        <f>IF(AND(tblJTL[[#This Row],[経過秒]]&gt;='17_分析サンプル'!$E$11,tblJTL[[#This Row],[経過秒]]&lt;'17_分析サンプル'!$E$12),1,0)</f>
        <v>1</v>
      </c>
    </row>
    <row r="559" spans="2:24" ht="14.4" x14ac:dyDescent="0.3">
      <c r="B559" s="57">
        <v>1790816549226</v>
      </c>
      <c r="C559" s="58">
        <v>199</v>
      </c>
      <c r="D559" s="59" t="s">
        <v>1677</v>
      </c>
      <c r="E559" s="59" t="s">
        <v>3579</v>
      </c>
      <c r="F559" s="59" t="s">
        <v>3580</v>
      </c>
      <c r="G559" s="59" t="s">
        <v>3583</v>
      </c>
      <c r="H559" s="59" t="s">
        <v>2281</v>
      </c>
      <c r="I559" s="59" t="b">
        <v>1</v>
      </c>
      <c r="J559" s="59"/>
      <c r="K559" s="58">
        <v>413</v>
      </c>
      <c r="L559" s="58">
        <v>1478</v>
      </c>
      <c r="M559" s="59">
        <v>10</v>
      </c>
      <c r="N559" s="59">
        <v>10</v>
      </c>
      <c r="O559" s="59" t="s">
        <v>3581</v>
      </c>
      <c r="P559" s="58">
        <v>195</v>
      </c>
      <c r="Q559" s="59">
        <v>0</v>
      </c>
      <c r="R559" s="59">
        <v>0</v>
      </c>
      <c r="S559" s="60">
        <f>tblJTL[[#This Row],[timeStamp]]/86400000+DATE(1970,1,1)+TIME(9,0,0)</f>
        <v>46296.418393819447</v>
      </c>
      <c r="T559" s="57">
        <f>tblJTL[[#This Row],[timeStamp]]+tblJTL[[#This Row],[elapsed]]</f>
        <v>1790816549425</v>
      </c>
      <c r="U559" s="61">
        <f>(tblJTL[[#This Row],[timeStamp]]-'17_分析サンプル'!$E$18)/1000</f>
        <v>149.04599999999999</v>
      </c>
      <c r="V559" s="57">
        <f>INT(tblJTL[[#This Row],[経過秒]]/60)</f>
        <v>2</v>
      </c>
      <c r="W559" s="57">
        <f>IF(OR(tblJTL[[#This Row],[success]]=FALSE,tblJTL[[#This Row],[success]]="false"),1,0)</f>
        <v>0</v>
      </c>
      <c r="X559" s="57">
        <f>IF(AND(tblJTL[[#This Row],[経過秒]]&gt;='17_分析サンプル'!$E$11,tblJTL[[#This Row],[経過秒]]&lt;'17_分析サンプル'!$E$12),1,0)</f>
        <v>1</v>
      </c>
    </row>
    <row r="560" spans="2:24" ht="14.4" x14ac:dyDescent="0.3">
      <c r="B560" s="57">
        <v>1790816549424</v>
      </c>
      <c r="C560" s="58">
        <v>91</v>
      </c>
      <c r="D560" s="59" t="s">
        <v>1658</v>
      </c>
      <c r="E560" s="59" t="s">
        <v>1577</v>
      </c>
      <c r="F560" s="59" t="s">
        <v>2275</v>
      </c>
      <c r="G560" s="59" t="s">
        <v>3586</v>
      </c>
      <c r="H560" s="59" t="s">
        <v>2281</v>
      </c>
      <c r="I560" s="59" t="b">
        <v>1</v>
      </c>
      <c r="J560" s="59"/>
      <c r="K560" s="58">
        <v>1826</v>
      </c>
      <c r="L560" s="58">
        <v>1342</v>
      </c>
      <c r="M560" s="59">
        <v>10</v>
      </c>
      <c r="N560" s="59">
        <v>10</v>
      </c>
      <c r="O560" s="59" t="s">
        <v>3578</v>
      </c>
      <c r="P560" s="58">
        <v>88</v>
      </c>
      <c r="Q560" s="59">
        <v>0</v>
      </c>
      <c r="R560" s="59">
        <v>0</v>
      </c>
      <c r="S560" s="60">
        <f>tblJTL[[#This Row],[timeStamp]]/86400000+DATE(1970,1,1)+TIME(9,0,0)</f>
        <v>46296.418396111112</v>
      </c>
      <c r="T560" s="57">
        <f>tblJTL[[#This Row],[timeStamp]]+tblJTL[[#This Row],[elapsed]]</f>
        <v>1790816549515</v>
      </c>
      <c r="U560" s="61">
        <f>(tblJTL[[#This Row],[timeStamp]]-'17_分析サンプル'!$E$18)/1000</f>
        <v>149.244</v>
      </c>
      <c r="V560" s="57">
        <f>INT(tblJTL[[#This Row],[経過秒]]/60)</f>
        <v>2</v>
      </c>
      <c r="W560" s="57">
        <f>IF(OR(tblJTL[[#This Row],[success]]=FALSE,tblJTL[[#This Row],[success]]="false"),1,0)</f>
        <v>0</v>
      </c>
      <c r="X560" s="57">
        <f>IF(AND(tblJTL[[#This Row],[経過秒]]&gt;='17_分析サンプル'!$E$11,tblJTL[[#This Row],[経過秒]]&lt;'17_分析サンプル'!$E$12),1,0)</f>
        <v>1</v>
      </c>
    </row>
    <row r="561" spans="2:24" ht="14.4" x14ac:dyDescent="0.3">
      <c r="B561" s="57">
        <v>1790816549681</v>
      </c>
      <c r="C561" s="58">
        <v>213</v>
      </c>
      <c r="D561" s="59" t="s">
        <v>1677</v>
      </c>
      <c r="E561" s="59" t="s">
        <v>3579</v>
      </c>
      <c r="F561" s="59" t="s">
        <v>3580</v>
      </c>
      <c r="G561" s="59" t="s">
        <v>3589</v>
      </c>
      <c r="H561" s="59" t="s">
        <v>2281</v>
      </c>
      <c r="I561" s="59" t="b">
        <v>1</v>
      </c>
      <c r="J561" s="59"/>
      <c r="K561" s="58">
        <v>437</v>
      </c>
      <c r="L561" s="58">
        <v>1478</v>
      </c>
      <c r="M561" s="59">
        <v>10</v>
      </c>
      <c r="N561" s="59">
        <v>10</v>
      </c>
      <c r="O561" s="59" t="s">
        <v>3581</v>
      </c>
      <c r="P561" s="58">
        <v>208</v>
      </c>
      <c r="Q561" s="59">
        <v>0</v>
      </c>
      <c r="R561" s="59">
        <v>0</v>
      </c>
      <c r="S561" s="60">
        <f>tblJTL[[#This Row],[timeStamp]]/86400000+DATE(1970,1,1)+TIME(9,0,0)</f>
        <v>46296.418399085647</v>
      </c>
      <c r="T561" s="57">
        <f>tblJTL[[#This Row],[timeStamp]]+tblJTL[[#This Row],[elapsed]]</f>
        <v>1790816549894</v>
      </c>
      <c r="U561" s="61">
        <f>(tblJTL[[#This Row],[timeStamp]]-'17_分析サンプル'!$E$18)/1000</f>
        <v>149.501</v>
      </c>
      <c r="V561" s="57">
        <f>INT(tblJTL[[#This Row],[経過秒]]/60)</f>
        <v>2</v>
      </c>
      <c r="W561" s="57">
        <f>IF(OR(tblJTL[[#This Row],[success]]=FALSE,tblJTL[[#This Row],[success]]="false"),1,0)</f>
        <v>0</v>
      </c>
      <c r="X561" s="57">
        <f>IF(AND(tblJTL[[#This Row],[経過秒]]&gt;='17_分析サンプル'!$E$11,tblJTL[[#This Row],[経過秒]]&lt;'17_分析サンプル'!$E$12),1,0)</f>
        <v>1</v>
      </c>
    </row>
    <row r="562" spans="2:24" ht="14.4" x14ac:dyDescent="0.3">
      <c r="B562" s="57">
        <v>1790816550104</v>
      </c>
      <c r="C562" s="58">
        <v>128</v>
      </c>
      <c r="D562" s="59" t="s">
        <v>1658</v>
      </c>
      <c r="E562" s="59" t="s">
        <v>1577</v>
      </c>
      <c r="F562" s="59" t="s">
        <v>2275</v>
      </c>
      <c r="G562" s="59" t="s">
        <v>3585</v>
      </c>
      <c r="H562" s="59" t="s">
        <v>2281</v>
      </c>
      <c r="I562" s="59" t="b">
        <v>1</v>
      </c>
      <c r="J562" s="59"/>
      <c r="K562" s="58">
        <v>1847</v>
      </c>
      <c r="L562" s="58">
        <v>1342</v>
      </c>
      <c r="M562" s="59">
        <v>10</v>
      </c>
      <c r="N562" s="59">
        <v>10</v>
      </c>
      <c r="O562" s="59" t="s">
        <v>3578</v>
      </c>
      <c r="P562" s="58">
        <v>122</v>
      </c>
      <c r="Q562" s="59">
        <v>0</v>
      </c>
      <c r="R562" s="59">
        <v>0</v>
      </c>
      <c r="S562" s="60">
        <f>tblJTL[[#This Row],[timeStamp]]/86400000+DATE(1970,1,1)+TIME(9,0,0)</f>
        <v>46296.418403981486</v>
      </c>
      <c r="T562" s="57">
        <f>tblJTL[[#This Row],[timeStamp]]+tblJTL[[#This Row],[elapsed]]</f>
        <v>1790816550232</v>
      </c>
      <c r="U562" s="61">
        <f>(tblJTL[[#This Row],[timeStamp]]-'17_分析サンプル'!$E$18)/1000</f>
        <v>149.92400000000001</v>
      </c>
      <c r="V562" s="57">
        <f>INT(tblJTL[[#This Row],[経過秒]]/60)</f>
        <v>2</v>
      </c>
      <c r="W562" s="57">
        <f>IF(OR(tblJTL[[#This Row],[success]]=FALSE,tblJTL[[#This Row],[success]]="false"),1,0)</f>
        <v>0</v>
      </c>
      <c r="X562" s="57">
        <f>IF(AND(tblJTL[[#This Row],[経過秒]]&gt;='17_分析サンプル'!$E$11,tblJTL[[#This Row],[経過秒]]&lt;'17_分析サンプル'!$E$12),1,0)</f>
        <v>1</v>
      </c>
    </row>
    <row r="563" spans="2:24" ht="14.4" x14ac:dyDescent="0.3">
      <c r="B563" s="57">
        <v>1790816550277</v>
      </c>
      <c r="C563" s="58">
        <v>86</v>
      </c>
      <c r="D563" s="59" t="s">
        <v>1658</v>
      </c>
      <c r="E563" s="59" t="s">
        <v>1577</v>
      </c>
      <c r="F563" s="59" t="s">
        <v>2275</v>
      </c>
      <c r="G563" s="59" t="s">
        <v>2278</v>
      </c>
      <c r="H563" s="59" t="s">
        <v>2281</v>
      </c>
      <c r="I563" s="59" t="b">
        <v>1</v>
      </c>
      <c r="J563" s="59"/>
      <c r="K563" s="58">
        <v>1895</v>
      </c>
      <c r="L563" s="58">
        <v>1342</v>
      </c>
      <c r="M563" s="59">
        <v>10</v>
      </c>
      <c r="N563" s="59">
        <v>10</v>
      </c>
      <c r="O563" s="59" t="s">
        <v>3578</v>
      </c>
      <c r="P563" s="58">
        <v>81</v>
      </c>
      <c r="Q563" s="59">
        <v>0</v>
      </c>
      <c r="R563" s="59">
        <v>0</v>
      </c>
      <c r="S563" s="60">
        <f>tblJTL[[#This Row],[timeStamp]]/86400000+DATE(1970,1,1)+TIME(9,0,0)</f>
        <v>46296.418405983801</v>
      </c>
      <c r="T563" s="57">
        <f>tblJTL[[#This Row],[timeStamp]]+tblJTL[[#This Row],[elapsed]]</f>
        <v>1790816550363</v>
      </c>
      <c r="U563" s="61">
        <f>(tblJTL[[#This Row],[timeStamp]]-'17_分析サンプル'!$E$18)/1000</f>
        <v>150.09700000000001</v>
      </c>
      <c r="V563" s="57">
        <f>INT(tblJTL[[#This Row],[経過秒]]/60)</f>
        <v>2</v>
      </c>
      <c r="W563" s="57">
        <f>IF(OR(tblJTL[[#This Row],[success]]=FALSE,tblJTL[[#This Row],[success]]="false"),1,0)</f>
        <v>0</v>
      </c>
      <c r="X563" s="57">
        <f>IF(AND(tblJTL[[#This Row],[経過秒]]&gt;='17_分析サンプル'!$E$11,tblJTL[[#This Row],[経過秒]]&lt;'17_分析サンプル'!$E$12),1,0)</f>
        <v>1</v>
      </c>
    </row>
    <row r="564" spans="2:24" ht="14.4" x14ac:dyDescent="0.3">
      <c r="B564" s="57">
        <v>1790816550143</v>
      </c>
      <c r="C564" s="58">
        <v>243</v>
      </c>
      <c r="D564" s="59" t="s">
        <v>1677</v>
      </c>
      <c r="E564" s="59" t="s">
        <v>3579</v>
      </c>
      <c r="F564" s="59" t="s">
        <v>3580</v>
      </c>
      <c r="G564" s="59" t="s">
        <v>3587</v>
      </c>
      <c r="H564" s="59" t="s">
        <v>2281</v>
      </c>
      <c r="I564" s="59" t="b">
        <v>1</v>
      </c>
      <c r="J564" s="59"/>
      <c r="K564" s="58">
        <v>415</v>
      </c>
      <c r="L564" s="58">
        <v>1478</v>
      </c>
      <c r="M564" s="59">
        <v>10</v>
      </c>
      <c r="N564" s="59">
        <v>10</v>
      </c>
      <c r="O564" s="59" t="s">
        <v>3581</v>
      </c>
      <c r="P564" s="58">
        <v>239</v>
      </c>
      <c r="Q564" s="59">
        <v>0</v>
      </c>
      <c r="R564" s="59">
        <v>0</v>
      </c>
      <c r="S564" s="60">
        <f>tblJTL[[#This Row],[timeStamp]]/86400000+DATE(1970,1,1)+TIME(9,0,0)</f>
        <v>46296.418404432872</v>
      </c>
      <c r="T564" s="57">
        <f>tblJTL[[#This Row],[timeStamp]]+tblJTL[[#This Row],[elapsed]]</f>
        <v>1790816550386</v>
      </c>
      <c r="U564" s="61">
        <f>(tblJTL[[#This Row],[timeStamp]]-'17_分析サンプル'!$E$18)/1000</f>
        <v>149.96299999999999</v>
      </c>
      <c r="V564" s="57">
        <f>INT(tblJTL[[#This Row],[経過秒]]/60)</f>
        <v>2</v>
      </c>
      <c r="W564" s="57">
        <f>IF(OR(tblJTL[[#This Row],[success]]=FALSE,tblJTL[[#This Row],[success]]="false"),1,0)</f>
        <v>0</v>
      </c>
      <c r="X564" s="57">
        <f>IF(AND(tblJTL[[#This Row],[経過秒]]&gt;='17_分析サンプル'!$E$11,tblJTL[[#This Row],[経過秒]]&lt;'17_分析サンプル'!$E$12),1,0)</f>
        <v>1</v>
      </c>
    </row>
    <row r="565" spans="2:24" ht="14.4" x14ac:dyDescent="0.3">
      <c r="B565" s="57">
        <v>1790816550147</v>
      </c>
      <c r="C565" s="58">
        <v>317</v>
      </c>
      <c r="D565" s="59" t="s">
        <v>1677</v>
      </c>
      <c r="E565" s="59" t="s">
        <v>3579</v>
      </c>
      <c r="F565" s="59" t="s">
        <v>3580</v>
      </c>
      <c r="G565" s="59" t="s">
        <v>3584</v>
      </c>
      <c r="H565" s="59" t="s">
        <v>2281</v>
      </c>
      <c r="I565" s="59" t="b">
        <v>1</v>
      </c>
      <c r="J565" s="59"/>
      <c r="K565" s="58">
        <v>438</v>
      </c>
      <c r="L565" s="58">
        <v>1478</v>
      </c>
      <c r="M565" s="59">
        <v>10</v>
      </c>
      <c r="N565" s="59">
        <v>10</v>
      </c>
      <c r="O565" s="59" t="s">
        <v>3581</v>
      </c>
      <c r="P565" s="58">
        <v>314</v>
      </c>
      <c r="Q565" s="59">
        <v>0</v>
      </c>
      <c r="R565" s="59">
        <v>69</v>
      </c>
      <c r="S565" s="60">
        <f>tblJTL[[#This Row],[timeStamp]]/86400000+DATE(1970,1,1)+TIME(9,0,0)</f>
        <v>46296.418404479162</v>
      </c>
      <c r="T565" s="57">
        <f>tblJTL[[#This Row],[timeStamp]]+tblJTL[[#This Row],[elapsed]]</f>
        <v>1790816550464</v>
      </c>
      <c r="U565" s="61">
        <f>(tblJTL[[#This Row],[timeStamp]]-'17_分析サンプル'!$E$18)/1000</f>
        <v>149.96700000000001</v>
      </c>
      <c r="V565" s="57">
        <f>INT(tblJTL[[#This Row],[経過秒]]/60)</f>
        <v>2</v>
      </c>
      <c r="W565" s="57">
        <f>IF(OR(tblJTL[[#This Row],[success]]=FALSE,tblJTL[[#This Row],[success]]="false"),1,0)</f>
        <v>0</v>
      </c>
      <c r="X565" s="57">
        <f>IF(AND(tblJTL[[#This Row],[経過秒]]&gt;='17_分析サンプル'!$E$11,tblJTL[[#This Row],[経過秒]]&lt;'17_分析サンプル'!$E$12),1,0)</f>
        <v>1</v>
      </c>
    </row>
    <row r="566" spans="2:24" ht="14.4" x14ac:dyDescent="0.3">
      <c r="B566" s="57">
        <v>1790816550499</v>
      </c>
      <c r="C566" s="58">
        <v>125</v>
      </c>
      <c r="D566" s="59" t="s">
        <v>1677</v>
      </c>
      <c r="E566" s="59" t="s">
        <v>3579</v>
      </c>
      <c r="F566" s="59" t="s">
        <v>3580</v>
      </c>
      <c r="G566" s="59" t="s">
        <v>3588</v>
      </c>
      <c r="H566" s="59" t="s">
        <v>2281</v>
      </c>
      <c r="I566" s="59" t="b">
        <v>1</v>
      </c>
      <c r="J566" s="59"/>
      <c r="K566" s="58">
        <v>422</v>
      </c>
      <c r="L566" s="58">
        <v>1478</v>
      </c>
      <c r="M566" s="59">
        <v>10</v>
      </c>
      <c r="N566" s="59">
        <v>10</v>
      </c>
      <c r="O566" s="59" t="s">
        <v>3581</v>
      </c>
      <c r="P566" s="58">
        <v>121</v>
      </c>
      <c r="Q566" s="59">
        <v>0</v>
      </c>
      <c r="R566" s="59">
        <v>0</v>
      </c>
      <c r="S566" s="60">
        <f>tblJTL[[#This Row],[timeStamp]]/86400000+DATE(1970,1,1)+TIME(9,0,0)</f>
        <v>46296.41840855324</v>
      </c>
      <c r="T566" s="57">
        <f>tblJTL[[#This Row],[timeStamp]]+tblJTL[[#This Row],[elapsed]]</f>
        <v>1790816550624</v>
      </c>
      <c r="U566" s="61">
        <f>(tblJTL[[#This Row],[timeStamp]]-'17_分析サンプル'!$E$18)/1000</f>
        <v>150.31899999999999</v>
      </c>
      <c r="V566" s="57">
        <f>INT(tblJTL[[#This Row],[経過秒]]/60)</f>
        <v>2</v>
      </c>
      <c r="W566" s="57">
        <f>IF(OR(tblJTL[[#This Row],[success]]=FALSE,tblJTL[[#This Row],[success]]="false"),1,0)</f>
        <v>0</v>
      </c>
      <c r="X566" s="57">
        <f>IF(AND(tblJTL[[#This Row],[経過秒]]&gt;='17_分析サンプル'!$E$11,tblJTL[[#This Row],[経過秒]]&lt;'17_分析サンプル'!$E$12),1,0)</f>
        <v>1</v>
      </c>
    </row>
    <row r="567" spans="2:24" ht="14.4" x14ac:dyDescent="0.3">
      <c r="B567" s="57">
        <v>1790816550733</v>
      </c>
      <c r="C567" s="58">
        <v>346</v>
      </c>
      <c r="D567" s="59" t="s">
        <v>1677</v>
      </c>
      <c r="E567" s="59" t="s">
        <v>3579</v>
      </c>
      <c r="F567" s="59" t="s">
        <v>3580</v>
      </c>
      <c r="G567" s="59" t="s">
        <v>3586</v>
      </c>
      <c r="H567" s="59" t="s">
        <v>2281</v>
      </c>
      <c r="I567" s="59" t="b">
        <v>1</v>
      </c>
      <c r="J567" s="59"/>
      <c r="K567" s="58">
        <v>422</v>
      </c>
      <c r="L567" s="58">
        <v>1478</v>
      </c>
      <c r="M567" s="59">
        <v>10</v>
      </c>
      <c r="N567" s="59">
        <v>10</v>
      </c>
      <c r="O567" s="59" t="s">
        <v>3581</v>
      </c>
      <c r="P567" s="58">
        <v>343</v>
      </c>
      <c r="Q567" s="59">
        <v>0</v>
      </c>
      <c r="R567" s="59">
        <v>0</v>
      </c>
      <c r="S567" s="60">
        <f>tblJTL[[#This Row],[timeStamp]]/86400000+DATE(1970,1,1)+TIME(9,0,0)</f>
        <v>46296.418411261577</v>
      </c>
      <c r="T567" s="57">
        <f>tblJTL[[#This Row],[timeStamp]]+tblJTL[[#This Row],[elapsed]]</f>
        <v>1790816551079</v>
      </c>
      <c r="U567" s="61">
        <f>(tblJTL[[#This Row],[timeStamp]]-'17_分析サンプル'!$E$18)/1000</f>
        <v>150.553</v>
      </c>
      <c r="V567" s="57">
        <f>INT(tblJTL[[#This Row],[経過秒]]/60)</f>
        <v>2</v>
      </c>
      <c r="W567" s="57">
        <f>IF(OR(tblJTL[[#This Row],[success]]=FALSE,tblJTL[[#This Row],[success]]="false"),1,0)</f>
        <v>0</v>
      </c>
      <c r="X567" s="57">
        <f>IF(AND(tblJTL[[#This Row],[経過秒]]&gt;='17_分析サンプル'!$E$11,tblJTL[[#This Row],[経過秒]]&lt;'17_分析サンプル'!$E$12),1,0)</f>
        <v>1</v>
      </c>
    </row>
    <row r="568" spans="2:24" ht="14.4" x14ac:dyDescent="0.3">
      <c r="B568" s="57">
        <v>1790816550876</v>
      </c>
      <c r="C568" s="58">
        <v>269</v>
      </c>
      <c r="D568" s="59" t="s">
        <v>1677</v>
      </c>
      <c r="E568" s="59" t="s">
        <v>3579</v>
      </c>
      <c r="F568" s="59" t="s">
        <v>3580</v>
      </c>
      <c r="G568" s="59" t="s">
        <v>3577</v>
      </c>
      <c r="H568" s="59" t="s">
        <v>2281</v>
      </c>
      <c r="I568" s="59" t="b">
        <v>1</v>
      </c>
      <c r="J568" s="59"/>
      <c r="K568" s="58">
        <v>421</v>
      </c>
      <c r="L568" s="58">
        <v>1478</v>
      </c>
      <c r="M568" s="59">
        <v>10</v>
      </c>
      <c r="N568" s="59">
        <v>10</v>
      </c>
      <c r="O568" s="59" t="s">
        <v>3581</v>
      </c>
      <c r="P568" s="58">
        <v>262</v>
      </c>
      <c r="Q568" s="59">
        <v>0</v>
      </c>
      <c r="R568" s="59">
        <v>0</v>
      </c>
      <c r="S568" s="60">
        <f>tblJTL[[#This Row],[timeStamp]]/86400000+DATE(1970,1,1)+TIME(9,0,0)</f>
        <v>46296.418412916668</v>
      </c>
      <c r="T568" s="57">
        <f>tblJTL[[#This Row],[timeStamp]]+tblJTL[[#This Row],[elapsed]]</f>
        <v>1790816551145</v>
      </c>
      <c r="U568" s="61">
        <f>(tblJTL[[#This Row],[timeStamp]]-'17_分析サンプル'!$E$18)/1000</f>
        <v>150.696</v>
      </c>
      <c r="V568" s="57">
        <f>INT(tblJTL[[#This Row],[経過秒]]/60)</f>
        <v>2</v>
      </c>
      <c r="W568" s="57">
        <f>IF(OR(tblJTL[[#This Row],[success]]=FALSE,tblJTL[[#This Row],[success]]="false"),1,0)</f>
        <v>0</v>
      </c>
      <c r="X568" s="57">
        <f>IF(AND(tblJTL[[#This Row],[経過秒]]&gt;='17_分析サンプル'!$E$11,tblJTL[[#This Row],[経過秒]]&lt;'17_分析サンプル'!$E$12),1,0)</f>
        <v>1</v>
      </c>
    </row>
    <row r="569" spans="2:24" ht="14.4" x14ac:dyDescent="0.3">
      <c r="B569" s="57">
        <v>1790816551378</v>
      </c>
      <c r="C569" s="58">
        <v>65</v>
      </c>
      <c r="D569" s="59" t="s">
        <v>1658</v>
      </c>
      <c r="E569" s="59" t="s">
        <v>1577</v>
      </c>
      <c r="F569" s="59" t="s">
        <v>2275</v>
      </c>
      <c r="G569" s="59" t="s">
        <v>3583</v>
      </c>
      <c r="H569" s="59" t="s">
        <v>2281</v>
      </c>
      <c r="I569" s="59" t="b">
        <v>1</v>
      </c>
      <c r="J569" s="59"/>
      <c r="K569" s="58">
        <v>1894</v>
      </c>
      <c r="L569" s="58">
        <v>1342</v>
      </c>
      <c r="M569" s="59">
        <v>10</v>
      </c>
      <c r="N569" s="59">
        <v>10</v>
      </c>
      <c r="O569" s="59" t="s">
        <v>3578</v>
      </c>
      <c r="P569" s="58">
        <v>60</v>
      </c>
      <c r="Q569" s="59">
        <v>0</v>
      </c>
      <c r="R569" s="59">
        <v>0</v>
      </c>
      <c r="S569" s="60">
        <f>tblJTL[[#This Row],[timeStamp]]/86400000+DATE(1970,1,1)+TIME(9,0,0)</f>
        <v>46296.418418726855</v>
      </c>
      <c r="T569" s="57">
        <f>tblJTL[[#This Row],[timeStamp]]+tblJTL[[#This Row],[elapsed]]</f>
        <v>1790816551443</v>
      </c>
      <c r="U569" s="61">
        <f>(tblJTL[[#This Row],[timeStamp]]-'17_分析サンプル'!$E$18)/1000</f>
        <v>151.19800000000001</v>
      </c>
      <c r="V569" s="57">
        <f>INT(tblJTL[[#This Row],[経過秒]]/60)</f>
        <v>2</v>
      </c>
      <c r="W569" s="57">
        <f>IF(OR(tblJTL[[#This Row],[success]]=FALSE,tblJTL[[#This Row],[success]]="false"),1,0)</f>
        <v>0</v>
      </c>
      <c r="X569" s="57">
        <f>IF(AND(tblJTL[[#This Row],[経過秒]]&gt;='17_分析サンプル'!$E$11,tblJTL[[#This Row],[経過秒]]&lt;'17_分析サンプル'!$E$12),1,0)</f>
        <v>1</v>
      </c>
    </row>
    <row r="570" spans="2:24" ht="14.4" x14ac:dyDescent="0.3">
      <c r="B570" s="57">
        <v>1790816551415</v>
      </c>
      <c r="C570" s="58">
        <v>103</v>
      </c>
      <c r="D570" s="59" t="s">
        <v>1658</v>
      </c>
      <c r="E570" s="59" t="s">
        <v>1577</v>
      </c>
      <c r="F570" s="59" t="s">
        <v>2275</v>
      </c>
      <c r="G570" s="59" t="s">
        <v>3587</v>
      </c>
      <c r="H570" s="59" t="s">
        <v>2281</v>
      </c>
      <c r="I570" s="59" t="b">
        <v>1</v>
      </c>
      <c r="J570" s="59"/>
      <c r="K570" s="58">
        <v>1853</v>
      </c>
      <c r="L570" s="58">
        <v>1342</v>
      </c>
      <c r="M570" s="59">
        <v>10</v>
      </c>
      <c r="N570" s="59">
        <v>10</v>
      </c>
      <c r="O570" s="59" t="s">
        <v>3578</v>
      </c>
      <c r="P570" s="58">
        <v>96</v>
      </c>
      <c r="Q570" s="59">
        <v>0</v>
      </c>
      <c r="R570" s="59">
        <v>0</v>
      </c>
      <c r="S570" s="60">
        <f>tblJTL[[#This Row],[timeStamp]]/86400000+DATE(1970,1,1)+TIME(9,0,0)</f>
        <v>46296.418419155088</v>
      </c>
      <c r="T570" s="57">
        <f>tblJTL[[#This Row],[timeStamp]]+tblJTL[[#This Row],[elapsed]]</f>
        <v>1790816551518</v>
      </c>
      <c r="U570" s="61">
        <f>(tblJTL[[#This Row],[timeStamp]]-'17_分析サンプル'!$E$18)/1000</f>
        <v>151.23500000000001</v>
      </c>
      <c r="V570" s="57">
        <f>INT(tblJTL[[#This Row],[経過秒]]/60)</f>
        <v>2</v>
      </c>
      <c r="W570" s="57">
        <f>IF(OR(tblJTL[[#This Row],[success]]=FALSE,tblJTL[[#This Row],[success]]="false"),1,0)</f>
        <v>0</v>
      </c>
      <c r="X570" s="57">
        <f>IF(AND(tblJTL[[#This Row],[経過秒]]&gt;='17_分析サンプル'!$E$11,tblJTL[[#This Row],[経過秒]]&lt;'17_分析サンプル'!$E$12),1,0)</f>
        <v>1</v>
      </c>
    </row>
    <row r="571" spans="2:24" ht="14.4" x14ac:dyDescent="0.3">
      <c r="B571" s="57">
        <v>1790816551594</v>
      </c>
      <c r="C571" s="58">
        <v>77</v>
      </c>
      <c r="D571" s="59" t="s">
        <v>1658</v>
      </c>
      <c r="E571" s="59" t="s">
        <v>1577</v>
      </c>
      <c r="F571" s="59" t="s">
        <v>2275</v>
      </c>
      <c r="G571" s="59" t="s">
        <v>3582</v>
      </c>
      <c r="H571" s="59" t="s">
        <v>2281</v>
      </c>
      <c r="I571" s="59" t="b">
        <v>1</v>
      </c>
      <c r="J571" s="59"/>
      <c r="K571" s="58">
        <v>1892</v>
      </c>
      <c r="L571" s="58">
        <v>1342</v>
      </c>
      <c r="M571" s="59">
        <v>10</v>
      </c>
      <c r="N571" s="59">
        <v>10</v>
      </c>
      <c r="O571" s="59" t="s">
        <v>3578</v>
      </c>
      <c r="P571" s="58">
        <v>75</v>
      </c>
      <c r="Q571" s="59">
        <v>0</v>
      </c>
      <c r="R571" s="59">
        <v>0</v>
      </c>
      <c r="S571" s="60">
        <f>tblJTL[[#This Row],[timeStamp]]/86400000+DATE(1970,1,1)+TIME(9,0,0)</f>
        <v>46296.418421226852</v>
      </c>
      <c r="T571" s="57">
        <f>tblJTL[[#This Row],[timeStamp]]+tblJTL[[#This Row],[elapsed]]</f>
        <v>1790816551671</v>
      </c>
      <c r="U571" s="61">
        <f>(tblJTL[[#This Row],[timeStamp]]-'17_分析サンプル'!$E$18)/1000</f>
        <v>151.41399999999999</v>
      </c>
      <c r="V571" s="57">
        <f>INT(tblJTL[[#This Row],[経過秒]]/60)</f>
        <v>2</v>
      </c>
      <c r="W571" s="57">
        <f>IF(OR(tblJTL[[#This Row],[success]]=FALSE,tblJTL[[#This Row],[success]]="false"),1,0)</f>
        <v>0</v>
      </c>
      <c r="X571" s="57">
        <f>IF(AND(tblJTL[[#This Row],[経過秒]]&gt;='17_分析サンプル'!$E$11,tblJTL[[#This Row],[経過秒]]&lt;'17_分析サンプル'!$E$12),1,0)</f>
        <v>1</v>
      </c>
    </row>
    <row r="572" spans="2:24" ht="14.4" x14ac:dyDescent="0.3">
      <c r="B572" s="57">
        <v>1790816551643</v>
      </c>
      <c r="C572" s="58">
        <v>133</v>
      </c>
      <c r="D572" s="59" t="s">
        <v>1658</v>
      </c>
      <c r="E572" s="59" t="s">
        <v>1577</v>
      </c>
      <c r="F572" s="59" t="s">
        <v>2275</v>
      </c>
      <c r="G572" s="59" t="s">
        <v>3588</v>
      </c>
      <c r="H572" s="59" t="s">
        <v>2281</v>
      </c>
      <c r="I572" s="59" t="b">
        <v>1</v>
      </c>
      <c r="J572" s="59"/>
      <c r="K572" s="58">
        <v>1844</v>
      </c>
      <c r="L572" s="58">
        <v>1342</v>
      </c>
      <c r="M572" s="59">
        <v>10</v>
      </c>
      <c r="N572" s="59">
        <v>10</v>
      </c>
      <c r="O572" s="59" t="s">
        <v>3578</v>
      </c>
      <c r="P572" s="58">
        <v>129</v>
      </c>
      <c r="Q572" s="59">
        <v>0</v>
      </c>
      <c r="R572" s="59">
        <v>0</v>
      </c>
      <c r="S572" s="60">
        <f>tblJTL[[#This Row],[timeStamp]]/86400000+DATE(1970,1,1)+TIME(9,0,0)</f>
        <v>46296.418421793976</v>
      </c>
      <c r="T572" s="57">
        <f>tblJTL[[#This Row],[timeStamp]]+tblJTL[[#This Row],[elapsed]]</f>
        <v>1790816551776</v>
      </c>
      <c r="U572" s="61">
        <f>(tblJTL[[#This Row],[timeStamp]]-'17_分析サンプル'!$E$18)/1000</f>
        <v>151.46299999999999</v>
      </c>
      <c r="V572" s="57">
        <f>INT(tblJTL[[#This Row],[経過秒]]/60)</f>
        <v>2</v>
      </c>
      <c r="W572" s="57">
        <f>IF(OR(tblJTL[[#This Row],[success]]=FALSE,tblJTL[[#This Row],[success]]="false"),1,0)</f>
        <v>0</v>
      </c>
      <c r="X572" s="57">
        <f>IF(AND(tblJTL[[#This Row],[経過秒]]&gt;='17_分析サンプル'!$E$11,tblJTL[[#This Row],[経過秒]]&lt;'17_分析サンプル'!$E$12),1,0)</f>
        <v>1</v>
      </c>
    </row>
    <row r="573" spans="2:24" ht="14.4" x14ac:dyDescent="0.3">
      <c r="B573" s="57">
        <v>1790816551843</v>
      </c>
      <c r="C573" s="58">
        <v>247</v>
      </c>
      <c r="D573" s="59" t="s">
        <v>1677</v>
      </c>
      <c r="E573" s="59" t="s">
        <v>3579</v>
      </c>
      <c r="F573" s="59" t="s">
        <v>3580</v>
      </c>
      <c r="G573" s="59" t="s">
        <v>2278</v>
      </c>
      <c r="H573" s="59" t="s">
        <v>2281</v>
      </c>
      <c r="I573" s="59" t="b">
        <v>1</v>
      </c>
      <c r="J573" s="59"/>
      <c r="K573" s="58">
        <v>428</v>
      </c>
      <c r="L573" s="58">
        <v>1478</v>
      </c>
      <c r="M573" s="59">
        <v>10</v>
      </c>
      <c r="N573" s="59">
        <v>10</v>
      </c>
      <c r="O573" s="59" t="s">
        <v>3581</v>
      </c>
      <c r="P573" s="58">
        <v>241</v>
      </c>
      <c r="Q573" s="59">
        <v>0</v>
      </c>
      <c r="R573" s="59">
        <v>0</v>
      </c>
      <c r="S573" s="60">
        <f>tblJTL[[#This Row],[timeStamp]]/86400000+DATE(1970,1,1)+TIME(9,0,0)</f>
        <v>46296.418424108793</v>
      </c>
      <c r="T573" s="57">
        <f>tblJTL[[#This Row],[timeStamp]]+tblJTL[[#This Row],[elapsed]]</f>
        <v>1790816552090</v>
      </c>
      <c r="U573" s="61">
        <f>(tblJTL[[#This Row],[timeStamp]]-'17_分析サンプル'!$E$18)/1000</f>
        <v>151.66300000000001</v>
      </c>
      <c r="V573" s="57">
        <f>INT(tblJTL[[#This Row],[経過秒]]/60)</f>
        <v>2</v>
      </c>
      <c r="W573" s="57">
        <f>IF(OR(tblJTL[[#This Row],[success]]=FALSE,tblJTL[[#This Row],[success]]="false"),1,0)</f>
        <v>0</v>
      </c>
      <c r="X573" s="57">
        <f>IF(AND(tblJTL[[#This Row],[経過秒]]&gt;='17_分析サンプル'!$E$11,tblJTL[[#This Row],[経過秒]]&lt;'17_分析サンプル'!$E$12),1,0)</f>
        <v>1</v>
      </c>
    </row>
    <row r="574" spans="2:24" ht="14.4" x14ac:dyDescent="0.3">
      <c r="B574" s="57">
        <v>1790816552435</v>
      </c>
      <c r="C574" s="58">
        <v>155</v>
      </c>
      <c r="D574" s="59" t="s">
        <v>1658</v>
      </c>
      <c r="E574" s="59" t="s">
        <v>1577</v>
      </c>
      <c r="F574" s="59" t="s">
        <v>2275</v>
      </c>
      <c r="G574" s="59" t="s">
        <v>3589</v>
      </c>
      <c r="H574" s="59" t="s">
        <v>2281</v>
      </c>
      <c r="I574" s="59" t="b">
        <v>1</v>
      </c>
      <c r="J574" s="59"/>
      <c r="K574" s="58">
        <v>1863</v>
      </c>
      <c r="L574" s="58">
        <v>1342</v>
      </c>
      <c r="M574" s="59">
        <v>10</v>
      </c>
      <c r="N574" s="59">
        <v>10</v>
      </c>
      <c r="O574" s="59" t="s">
        <v>3578</v>
      </c>
      <c r="P574" s="58">
        <v>147</v>
      </c>
      <c r="Q574" s="59">
        <v>0</v>
      </c>
      <c r="R574" s="59">
        <v>0</v>
      </c>
      <c r="S574" s="60">
        <f>tblJTL[[#This Row],[timeStamp]]/86400000+DATE(1970,1,1)+TIME(9,0,0)</f>
        <v>46296.41843096065</v>
      </c>
      <c r="T574" s="57">
        <f>tblJTL[[#This Row],[timeStamp]]+tblJTL[[#This Row],[elapsed]]</f>
        <v>1790816552590</v>
      </c>
      <c r="U574" s="61">
        <f>(tblJTL[[#This Row],[timeStamp]]-'17_分析サンプル'!$E$18)/1000</f>
        <v>152.255</v>
      </c>
      <c r="V574" s="57">
        <f>INT(tblJTL[[#This Row],[経過秒]]/60)</f>
        <v>2</v>
      </c>
      <c r="W574" s="57">
        <f>IF(OR(tblJTL[[#This Row],[success]]=FALSE,tblJTL[[#This Row],[success]]="false"),1,0)</f>
        <v>0</v>
      </c>
      <c r="X574" s="57">
        <f>IF(AND(tblJTL[[#This Row],[経過秒]]&gt;='17_分析サンプル'!$E$11,tblJTL[[#This Row],[経過秒]]&lt;'17_分析サンプル'!$E$12),1,0)</f>
        <v>1</v>
      </c>
    </row>
    <row r="575" spans="2:24" ht="14.4" x14ac:dyDescent="0.3">
      <c r="B575" s="57">
        <v>1790816552693</v>
      </c>
      <c r="C575" s="58">
        <v>169</v>
      </c>
      <c r="D575" s="59" t="s">
        <v>1677</v>
      </c>
      <c r="E575" s="59" t="s">
        <v>3579</v>
      </c>
      <c r="F575" s="59" t="s">
        <v>3580</v>
      </c>
      <c r="G575" s="59" t="s">
        <v>3582</v>
      </c>
      <c r="H575" s="59" t="s">
        <v>2281</v>
      </c>
      <c r="I575" s="59" t="b">
        <v>1</v>
      </c>
      <c r="J575" s="59"/>
      <c r="K575" s="58">
        <v>423</v>
      </c>
      <c r="L575" s="58">
        <v>1478</v>
      </c>
      <c r="M575" s="59">
        <v>10</v>
      </c>
      <c r="N575" s="59">
        <v>10</v>
      </c>
      <c r="O575" s="59" t="s">
        <v>3581</v>
      </c>
      <c r="P575" s="58">
        <v>167</v>
      </c>
      <c r="Q575" s="59">
        <v>0</v>
      </c>
      <c r="R575" s="59">
        <v>0</v>
      </c>
      <c r="S575" s="60">
        <f>tblJTL[[#This Row],[timeStamp]]/86400000+DATE(1970,1,1)+TIME(9,0,0)</f>
        <v>46296.418433946761</v>
      </c>
      <c r="T575" s="57">
        <f>tblJTL[[#This Row],[timeStamp]]+tblJTL[[#This Row],[elapsed]]</f>
        <v>1790816552862</v>
      </c>
      <c r="U575" s="61">
        <f>(tblJTL[[#This Row],[timeStamp]]-'17_分析サンプル'!$E$18)/1000</f>
        <v>152.51300000000001</v>
      </c>
      <c r="V575" s="57">
        <f>INT(tblJTL[[#This Row],[経過秒]]/60)</f>
        <v>2</v>
      </c>
      <c r="W575" s="57">
        <f>IF(OR(tblJTL[[#This Row],[success]]=FALSE,tblJTL[[#This Row],[success]]="false"),1,0)</f>
        <v>0</v>
      </c>
      <c r="X575" s="57">
        <f>IF(AND(tblJTL[[#This Row],[経過秒]]&gt;='17_分析サンプル'!$E$11,tblJTL[[#This Row],[経過秒]]&lt;'17_分析サンプル'!$E$12),1,0)</f>
        <v>1</v>
      </c>
    </row>
    <row r="576" spans="2:24" ht="14.4" x14ac:dyDescent="0.3">
      <c r="B576" s="57">
        <v>1790816552757</v>
      </c>
      <c r="C576" s="58">
        <v>180</v>
      </c>
      <c r="D576" s="59" t="s">
        <v>1677</v>
      </c>
      <c r="E576" s="59" t="s">
        <v>3579</v>
      </c>
      <c r="F576" s="59" t="s">
        <v>3580</v>
      </c>
      <c r="G576" s="59" t="s">
        <v>3585</v>
      </c>
      <c r="H576" s="59" t="s">
        <v>2281</v>
      </c>
      <c r="I576" s="59" t="b">
        <v>1</v>
      </c>
      <c r="J576" s="59"/>
      <c r="K576" s="58">
        <v>417</v>
      </c>
      <c r="L576" s="58">
        <v>1478</v>
      </c>
      <c r="M576" s="59">
        <v>10</v>
      </c>
      <c r="N576" s="59">
        <v>10</v>
      </c>
      <c r="O576" s="59" t="s">
        <v>3581</v>
      </c>
      <c r="P576" s="58">
        <v>175</v>
      </c>
      <c r="Q576" s="59">
        <v>0</v>
      </c>
      <c r="R576" s="59">
        <v>0</v>
      </c>
      <c r="S576" s="60">
        <f>tblJTL[[#This Row],[timeStamp]]/86400000+DATE(1970,1,1)+TIME(9,0,0)</f>
        <v>46296.418434687497</v>
      </c>
      <c r="T576" s="57">
        <f>tblJTL[[#This Row],[timeStamp]]+tblJTL[[#This Row],[elapsed]]</f>
        <v>1790816552937</v>
      </c>
      <c r="U576" s="61">
        <f>(tblJTL[[#This Row],[timeStamp]]-'17_分析サンプル'!$E$18)/1000</f>
        <v>152.577</v>
      </c>
      <c r="V576" s="57">
        <f>INT(tblJTL[[#This Row],[経過秒]]/60)</f>
        <v>2</v>
      </c>
      <c r="W576" s="57">
        <f>IF(OR(tblJTL[[#This Row],[success]]=FALSE,tblJTL[[#This Row],[success]]="false"),1,0)</f>
        <v>0</v>
      </c>
      <c r="X576" s="57">
        <f>IF(AND(tblJTL[[#This Row],[経過秒]]&gt;='17_分析サンプル'!$E$11,tblJTL[[#This Row],[経過秒]]&lt;'17_分析サンプル'!$E$12),1,0)</f>
        <v>1</v>
      </c>
    </row>
    <row r="577" spans="2:24" ht="14.4" x14ac:dyDescent="0.3">
      <c r="B577" s="57">
        <v>1790816552897</v>
      </c>
      <c r="C577" s="58">
        <v>124</v>
      </c>
      <c r="D577" s="59" t="s">
        <v>1658</v>
      </c>
      <c r="E577" s="59" t="s">
        <v>1577</v>
      </c>
      <c r="F577" s="59" t="s">
        <v>2275</v>
      </c>
      <c r="G577" s="59" t="s">
        <v>3584</v>
      </c>
      <c r="H577" s="59" t="s">
        <v>2281</v>
      </c>
      <c r="I577" s="59" t="b">
        <v>1</v>
      </c>
      <c r="J577" s="59"/>
      <c r="K577" s="58">
        <v>1832</v>
      </c>
      <c r="L577" s="58">
        <v>1342</v>
      </c>
      <c r="M577" s="59">
        <v>10</v>
      </c>
      <c r="N577" s="59">
        <v>10</v>
      </c>
      <c r="O577" s="59" t="s">
        <v>3578</v>
      </c>
      <c r="P577" s="58">
        <v>119</v>
      </c>
      <c r="Q577" s="59">
        <v>0</v>
      </c>
      <c r="R577" s="59">
        <v>0</v>
      </c>
      <c r="S577" s="60">
        <f>tblJTL[[#This Row],[timeStamp]]/86400000+DATE(1970,1,1)+TIME(9,0,0)</f>
        <v>46296.418436307868</v>
      </c>
      <c r="T577" s="57">
        <f>tblJTL[[#This Row],[timeStamp]]+tblJTL[[#This Row],[elapsed]]</f>
        <v>1790816553021</v>
      </c>
      <c r="U577" s="61">
        <f>(tblJTL[[#This Row],[timeStamp]]-'17_分析サンプル'!$E$18)/1000</f>
        <v>152.71700000000001</v>
      </c>
      <c r="V577" s="57">
        <f>INT(tblJTL[[#This Row],[経過秒]]/60)</f>
        <v>2</v>
      </c>
      <c r="W577" s="57">
        <f>IF(OR(tblJTL[[#This Row],[success]]=FALSE,tblJTL[[#This Row],[success]]="false"),1,0)</f>
        <v>0</v>
      </c>
      <c r="X577" s="57">
        <f>IF(AND(tblJTL[[#This Row],[経過秒]]&gt;='17_分析サンプル'!$E$11,tblJTL[[#This Row],[経過秒]]&lt;'17_分析サンプル'!$E$12),1,0)</f>
        <v>1</v>
      </c>
    </row>
    <row r="578" spans="2:24" ht="14.4" x14ac:dyDescent="0.3">
      <c r="B578" s="57">
        <v>1790816553310</v>
      </c>
      <c r="C578" s="58">
        <v>107</v>
      </c>
      <c r="D578" s="59" t="s">
        <v>1658</v>
      </c>
      <c r="E578" s="59" t="s">
        <v>1577</v>
      </c>
      <c r="F578" s="59" t="s">
        <v>2275</v>
      </c>
      <c r="G578" s="59" t="s">
        <v>3586</v>
      </c>
      <c r="H578" s="59" t="s">
        <v>2281</v>
      </c>
      <c r="I578" s="59" t="b">
        <v>1</v>
      </c>
      <c r="J578" s="59"/>
      <c r="K578" s="58">
        <v>1866</v>
      </c>
      <c r="L578" s="58">
        <v>1342</v>
      </c>
      <c r="M578" s="59">
        <v>10</v>
      </c>
      <c r="N578" s="59">
        <v>10</v>
      </c>
      <c r="O578" s="59" t="s">
        <v>3578</v>
      </c>
      <c r="P578" s="58">
        <v>99</v>
      </c>
      <c r="Q578" s="59">
        <v>0</v>
      </c>
      <c r="R578" s="59">
        <v>0</v>
      </c>
      <c r="S578" s="60">
        <f>tblJTL[[#This Row],[timeStamp]]/86400000+DATE(1970,1,1)+TIME(9,0,0)</f>
        <v>46296.418441087968</v>
      </c>
      <c r="T578" s="57">
        <f>tblJTL[[#This Row],[timeStamp]]+tblJTL[[#This Row],[elapsed]]</f>
        <v>1790816553417</v>
      </c>
      <c r="U578" s="61">
        <f>(tblJTL[[#This Row],[timeStamp]]-'17_分析サンプル'!$E$18)/1000</f>
        <v>153.13</v>
      </c>
      <c r="V578" s="57">
        <f>INT(tblJTL[[#This Row],[経過秒]]/60)</f>
        <v>2</v>
      </c>
      <c r="W578" s="57">
        <f>IF(OR(tblJTL[[#This Row],[success]]=FALSE,tblJTL[[#This Row],[success]]="false"),1,0)</f>
        <v>0</v>
      </c>
      <c r="X578" s="57">
        <f>IF(AND(tblJTL[[#This Row],[経過秒]]&gt;='17_分析サンプル'!$E$11,tblJTL[[#This Row],[経過秒]]&lt;'17_分析サンプル'!$E$12),1,0)</f>
        <v>1</v>
      </c>
    </row>
    <row r="579" spans="2:24" ht="14.4" x14ac:dyDescent="0.3">
      <c r="B579" s="57">
        <v>1790816553387</v>
      </c>
      <c r="C579" s="58">
        <v>260</v>
      </c>
      <c r="D579" s="59" t="s">
        <v>1677</v>
      </c>
      <c r="E579" s="59" t="s">
        <v>3579</v>
      </c>
      <c r="F579" s="59" t="s">
        <v>3580</v>
      </c>
      <c r="G579" s="59" t="s">
        <v>3587</v>
      </c>
      <c r="H579" s="59" t="s">
        <v>2281</v>
      </c>
      <c r="I579" s="59" t="b">
        <v>1</v>
      </c>
      <c r="J579" s="59"/>
      <c r="K579" s="58">
        <v>433</v>
      </c>
      <c r="L579" s="58">
        <v>1478</v>
      </c>
      <c r="M579" s="59">
        <v>10</v>
      </c>
      <c r="N579" s="59">
        <v>10</v>
      </c>
      <c r="O579" s="59" t="s">
        <v>3581</v>
      </c>
      <c r="P579" s="58">
        <v>254</v>
      </c>
      <c r="Q579" s="59">
        <v>0</v>
      </c>
      <c r="R579" s="59">
        <v>0</v>
      </c>
      <c r="S579" s="60">
        <f>tblJTL[[#This Row],[timeStamp]]/86400000+DATE(1970,1,1)+TIME(9,0,0)</f>
        <v>46296.418441979171</v>
      </c>
      <c r="T579" s="57">
        <f>tblJTL[[#This Row],[timeStamp]]+tblJTL[[#This Row],[elapsed]]</f>
        <v>1790816553647</v>
      </c>
      <c r="U579" s="61">
        <f>(tblJTL[[#This Row],[timeStamp]]-'17_分析サンプル'!$E$18)/1000</f>
        <v>153.20699999999999</v>
      </c>
      <c r="V579" s="57">
        <f>INT(tblJTL[[#This Row],[経過秒]]/60)</f>
        <v>2</v>
      </c>
      <c r="W579" s="57">
        <f>IF(OR(tblJTL[[#This Row],[success]]=FALSE,tblJTL[[#This Row],[success]]="false"),1,0)</f>
        <v>0</v>
      </c>
      <c r="X579" s="57">
        <f>IF(AND(tblJTL[[#This Row],[経過秒]]&gt;='17_分析サンプル'!$E$11,tblJTL[[#This Row],[経過秒]]&lt;'17_分析サンプル'!$E$12),1,0)</f>
        <v>1</v>
      </c>
    </row>
    <row r="580" spans="2:24" ht="14.4" x14ac:dyDescent="0.3">
      <c r="B580" s="57">
        <v>1790816554015</v>
      </c>
      <c r="C580" s="58">
        <v>142</v>
      </c>
      <c r="D580" s="59" t="s">
        <v>1658</v>
      </c>
      <c r="E580" s="59" t="s">
        <v>1577</v>
      </c>
      <c r="F580" s="59" t="s">
        <v>2275</v>
      </c>
      <c r="G580" s="59" t="s">
        <v>3577</v>
      </c>
      <c r="H580" s="59" t="s">
        <v>2281</v>
      </c>
      <c r="I580" s="59" t="b">
        <v>1</v>
      </c>
      <c r="J580" s="59"/>
      <c r="K580" s="58">
        <v>1854</v>
      </c>
      <c r="L580" s="58">
        <v>1342</v>
      </c>
      <c r="M580" s="59">
        <v>10</v>
      </c>
      <c r="N580" s="59">
        <v>10</v>
      </c>
      <c r="O580" s="59" t="s">
        <v>3578</v>
      </c>
      <c r="P580" s="58">
        <v>136</v>
      </c>
      <c r="Q580" s="59">
        <v>0</v>
      </c>
      <c r="R580" s="59">
        <v>0</v>
      </c>
      <c r="S580" s="60">
        <f>tblJTL[[#This Row],[timeStamp]]/86400000+DATE(1970,1,1)+TIME(9,0,0)</f>
        <v>46296.418449247685</v>
      </c>
      <c r="T580" s="57">
        <f>tblJTL[[#This Row],[timeStamp]]+tblJTL[[#This Row],[elapsed]]</f>
        <v>1790816554157</v>
      </c>
      <c r="U580" s="61">
        <f>(tblJTL[[#This Row],[timeStamp]]-'17_分析サンプル'!$E$18)/1000</f>
        <v>153.83500000000001</v>
      </c>
      <c r="V580" s="57">
        <f>INT(tblJTL[[#This Row],[経過秒]]/60)</f>
        <v>2</v>
      </c>
      <c r="W580" s="57">
        <f>IF(OR(tblJTL[[#This Row],[success]]=FALSE,tblJTL[[#This Row],[success]]="false"),1,0)</f>
        <v>0</v>
      </c>
      <c r="X580" s="57">
        <f>IF(AND(tblJTL[[#This Row],[経過秒]]&gt;='17_分析サンプル'!$E$11,tblJTL[[#This Row],[経過秒]]&lt;'17_分析サンプル'!$E$12),1,0)</f>
        <v>1</v>
      </c>
    </row>
    <row r="581" spans="2:24" ht="14.4" x14ac:dyDescent="0.3">
      <c r="B581" s="57">
        <v>1790816554310</v>
      </c>
      <c r="C581" s="58">
        <v>141</v>
      </c>
      <c r="D581" s="59" t="s">
        <v>1658</v>
      </c>
      <c r="E581" s="59" t="s">
        <v>1577</v>
      </c>
      <c r="F581" s="59" t="s">
        <v>2275</v>
      </c>
      <c r="G581" s="59" t="s">
        <v>3585</v>
      </c>
      <c r="H581" s="59" t="s">
        <v>2281</v>
      </c>
      <c r="I581" s="59" t="b">
        <v>1</v>
      </c>
      <c r="J581" s="59"/>
      <c r="K581" s="58">
        <v>1845</v>
      </c>
      <c r="L581" s="58">
        <v>1342</v>
      </c>
      <c r="M581" s="59">
        <v>10</v>
      </c>
      <c r="N581" s="59">
        <v>10</v>
      </c>
      <c r="O581" s="59" t="s">
        <v>3578</v>
      </c>
      <c r="P581" s="58">
        <v>135</v>
      </c>
      <c r="Q581" s="59">
        <v>0</v>
      </c>
      <c r="R581" s="59">
        <v>0</v>
      </c>
      <c r="S581" s="60">
        <f>tblJTL[[#This Row],[timeStamp]]/86400000+DATE(1970,1,1)+TIME(9,0,0)</f>
        <v>46296.418452662037</v>
      </c>
      <c r="T581" s="57">
        <f>tblJTL[[#This Row],[timeStamp]]+tblJTL[[#This Row],[elapsed]]</f>
        <v>1790816554451</v>
      </c>
      <c r="U581" s="61">
        <f>(tblJTL[[#This Row],[timeStamp]]-'17_分析サンプル'!$E$18)/1000</f>
        <v>154.13</v>
      </c>
      <c r="V581" s="57">
        <f>INT(tblJTL[[#This Row],[経過秒]]/60)</f>
        <v>2</v>
      </c>
      <c r="W581" s="57">
        <f>IF(OR(tblJTL[[#This Row],[success]]=FALSE,tblJTL[[#This Row],[success]]="false"),1,0)</f>
        <v>0</v>
      </c>
      <c r="X581" s="57">
        <f>IF(AND(tblJTL[[#This Row],[経過秒]]&gt;='17_分析サンプル'!$E$11,tblJTL[[#This Row],[経過秒]]&lt;'17_分析サンプル'!$E$12),1,0)</f>
        <v>1</v>
      </c>
    </row>
    <row r="582" spans="2:24" ht="14.4" x14ac:dyDescent="0.3">
      <c r="B582" s="57">
        <v>1790816554207</v>
      </c>
      <c r="C582" s="58">
        <v>260</v>
      </c>
      <c r="D582" s="59" t="s">
        <v>1677</v>
      </c>
      <c r="E582" s="59" t="s">
        <v>3579</v>
      </c>
      <c r="F582" s="59" t="s">
        <v>3580</v>
      </c>
      <c r="G582" s="59" t="s">
        <v>3583</v>
      </c>
      <c r="H582" s="59" t="s">
        <v>2281</v>
      </c>
      <c r="I582" s="59" t="b">
        <v>1</v>
      </c>
      <c r="J582" s="59"/>
      <c r="K582" s="58">
        <v>440</v>
      </c>
      <c r="L582" s="58">
        <v>1478</v>
      </c>
      <c r="M582" s="59">
        <v>10</v>
      </c>
      <c r="N582" s="59">
        <v>10</v>
      </c>
      <c r="O582" s="59" t="s">
        <v>3581</v>
      </c>
      <c r="P582" s="58">
        <v>256</v>
      </c>
      <c r="Q582" s="59">
        <v>0</v>
      </c>
      <c r="R582" s="59">
        <v>0</v>
      </c>
      <c r="S582" s="60">
        <f>tblJTL[[#This Row],[timeStamp]]/86400000+DATE(1970,1,1)+TIME(9,0,0)</f>
        <v>46296.418451469908</v>
      </c>
      <c r="T582" s="57">
        <f>tblJTL[[#This Row],[timeStamp]]+tblJTL[[#This Row],[elapsed]]</f>
        <v>1790816554467</v>
      </c>
      <c r="U582" s="61">
        <f>(tblJTL[[#This Row],[timeStamp]]-'17_分析サンプル'!$E$18)/1000</f>
        <v>154.02699999999999</v>
      </c>
      <c r="V582" s="57">
        <f>INT(tblJTL[[#This Row],[経過秒]]/60)</f>
        <v>2</v>
      </c>
      <c r="W582" s="57">
        <f>IF(OR(tblJTL[[#This Row],[success]]=FALSE,tblJTL[[#This Row],[success]]="false"),1,0)</f>
        <v>0</v>
      </c>
      <c r="X582" s="57">
        <f>IF(AND(tblJTL[[#This Row],[経過秒]]&gt;='17_分析サンプル'!$E$11,tblJTL[[#This Row],[経過秒]]&lt;'17_分析サンプル'!$E$12),1,0)</f>
        <v>1</v>
      </c>
    </row>
    <row r="583" spans="2:24" ht="14.4" x14ac:dyDescent="0.3">
      <c r="B583" s="57">
        <v>1790816554645</v>
      </c>
      <c r="C583" s="58">
        <v>222</v>
      </c>
      <c r="D583" s="59" t="s">
        <v>1677</v>
      </c>
      <c r="E583" s="59" t="s">
        <v>3579</v>
      </c>
      <c r="F583" s="59" t="s">
        <v>3580</v>
      </c>
      <c r="G583" s="59" t="s">
        <v>3588</v>
      </c>
      <c r="H583" s="59" t="s">
        <v>2281</v>
      </c>
      <c r="I583" s="59" t="b">
        <v>1</v>
      </c>
      <c r="J583" s="59"/>
      <c r="K583" s="58">
        <v>439</v>
      </c>
      <c r="L583" s="58">
        <v>1478</v>
      </c>
      <c r="M583" s="59">
        <v>10</v>
      </c>
      <c r="N583" s="59">
        <v>10</v>
      </c>
      <c r="O583" s="59" t="s">
        <v>3581</v>
      </c>
      <c r="P583" s="58">
        <v>216</v>
      </c>
      <c r="Q583" s="59">
        <v>0</v>
      </c>
      <c r="R583" s="59">
        <v>0</v>
      </c>
      <c r="S583" s="60">
        <f>tblJTL[[#This Row],[timeStamp]]/86400000+DATE(1970,1,1)+TIME(9,0,0)</f>
        <v>46296.418456539352</v>
      </c>
      <c r="T583" s="57">
        <f>tblJTL[[#This Row],[timeStamp]]+tblJTL[[#This Row],[elapsed]]</f>
        <v>1790816554867</v>
      </c>
      <c r="U583" s="61">
        <f>(tblJTL[[#This Row],[timeStamp]]-'17_分析サンプル'!$E$18)/1000</f>
        <v>154.465</v>
      </c>
      <c r="V583" s="57">
        <f>INT(tblJTL[[#This Row],[経過秒]]/60)</f>
        <v>2</v>
      </c>
      <c r="W583" s="57">
        <f>IF(OR(tblJTL[[#This Row],[success]]=FALSE,tblJTL[[#This Row],[success]]="false"),1,0)</f>
        <v>0</v>
      </c>
      <c r="X583" s="57">
        <f>IF(AND(tblJTL[[#This Row],[経過秒]]&gt;='17_分析サンプル'!$E$11,tblJTL[[#This Row],[経過秒]]&lt;'17_分析サンプル'!$E$12),1,0)</f>
        <v>1</v>
      </c>
    </row>
    <row r="584" spans="2:24" ht="14.4" x14ac:dyDescent="0.3">
      <c r="B584" s="57">
        <v>1790816555035</v>
      </c>
      <c r="C584" s="58">
        <v>118</v>
      </c>
      <c r="D584" s="59" t="s">
        <v>1658</v>
      </c>
      <c r="E584" s="59" t="s">
        <v>1577</v>
      </c>
      <c r="F584" s="59" t="s">
        <v>2275</v>
      </c>
      <c r="G584" s="59" t="s">
        <v>2278</v>
      </c>
      <c r="H584" s="59" t="s">
        <v>2281</v>
      </c>
      <c r="I584" s="59" t="b">
        <v>1</v>
      </c>
      <c r="J584" s="59"/>
      <c r="K584" s="58">
        <v>1831</v>
      </c>
      <c r="L584" s="58">
        <v>1342</v>
      </c>
      <c r="M584" s="59">
        <v>10</v>
      </c>
      <c r="N584" s="59">
        <v>10</v>
      </c>
      <c r="O584" s="59" t="s">
        <v>3578</v>
      </c>
      <c r="P584" s="58">
        <v>110</v>
      </c>
      <c r="Q584" s="59">
        <v>0</v>
      </c>
      <c r="R584" s="59">
        <v>0</v>
      </c>
      <c r="S584" s="60">
        <f>tblJTL[[#This Row],[timeStamp]]/86400000+DATE(1970,1,1)+TIME(9,0,0)</f>
        <v>46296.418461053239</v>
      </c>
      <c r="T584" s="57">
        <f>tblJTL[[#This Row],[timeStamp]]+tblJTL[[#This Row],[elapsed]]</f>
        <v>1790816555153</v>
      </c>
      <c r="U584" s="61">
        <f>(tblJTL[[#This Row],[timeStamp]]-'17_分析サンプル'!$E$18)/1000</f>
        <v>154.85499999999999</v>
      </c>
      <c r="V584" s="57">
        <f>INT(tblJTL[[#This Row],[経過秒]]/60)</f>
        <v>2</v>
      </c>
      <c r="W584" s="57">
        <f>IF(OR(tblJTL[[#This Row],[success]]=FALSE,tblJTL[[#This Row],[success]]="false"),1,0)</f>
        <v>0</v>
      </c>
      <c r="X584" s="57">
        <f>IF(AND(tblJTL[[#This Row],[経過秒]]&gt;='17_分析サンプル'!$E$11,tblJTL[[#This Row],[経過秒]]&lt;'17_分析サンプル'!$E$12),1,0)</f>
        <v>1</v>
      </c>
    </row>
    <row r="585" spans="2:24" ht="14.4" x14ac:dyDescent="0.3">
      <c r="B585" s="57">
        <v>1790816555049</v>
      </c>
      <c r="C585" s="58">
        <v>171</v>
      </c>
      <c r="D585" s="59" t="s">
        <v>1677</v>
      </c>
      <c r="E585" s="59" t="s">
        <v>3579</v>
      </c>
      <c r="F585" s="59" t="s">
        <v>3580</v>
      </c>
      <c r="G585" s="59" t="s">
        <v>3584</v>
      </c>
      <c r="H585" s="59" t="s">
        <v>2281</v>
      </c>
      <c r="I585" s="59" t="b">
        <v>1</v>
      </c>
      <c r="J585" s="59"/>
      <c r="K585" s="58">
        <v>413</v>
      </c>
      <c r="L585" s="58">
        <v>1478</v>
      </c>
      <c r="M585" s="59">
        <v>10</v>
      </c>
      <c r="N585" s="59">
        <v>10</v>
      </c>
      <c r="O585" s="59" t="s">
        <v>3581</v>
      </c>
      <c r="P585" s="58">
        <v>166</v>
      </c>
      <c r="Q585" s="59">
        <v>0</v>
      </c>
      <c r="R585" s="59">
        <v>0</v>
      </c>
      <c r="S585" s="60">
        <f>tblJTL[[#This Row],[timeStamp]]/86400000+DATE(1970,1,1)+TIME(9,0,0)</f>
        <v>46296.418461215275</v>
      </c>
      <c r="T585" s="57">
        <f>tblJTL[[#This Row],[timeStamp]]+tblJTL[[#This Row],[elapsed]]</f>
        <v>1790816555220</v>
      </c>
      <c r="U585" s="61">
        <f>(tblJTL[[#This Row],[timeStamp]]-'17_分析サンプル'!$E$18)/1000</f>
        <v>154.869</v>
      </c>
      <c r="V585" s="57">
        <f>INT(tblJTL[[#This Row],[経過秒]]/60)</f>
        <v>2</v>
      </c>
      <c r="W585" s="57">
        <f>IF(OR(tblJTL[[#This Row],[success]]=FALSE,tblJTL[[#This Row],[success]]="false"),1,0)</f>
        <v>0</v>
      </c>
      <c r="X585" s="57">
        <f>IF(AND(tblJTL[[#This Row],[経過秒]]&gt;='17_分析サンプル'!$E$11,tblJTL[[#This Row],[経過秒]]&lt;'17_分析サンプル'!$E$12),1,0)</f>
        <v>1</v>
      </c>
    </row>
    <row r="586" spans="2:24" ht="14.4" x14ac:dyDescent="0.3">
      <c r="B586" s="57">
        <v>1790816555174</v>
      </c>
      <c r="C586" s="58">
        <v>179</v>
      </c>
      <c r="D586" s="59" t="s">
        <v>1677</v>
      </c>
      <c r="E586" s="59" t="s">
        <v>3579</v>
      </c>
      <c r="F586" s="59" t="s">
        <v>3580</v>
      </c>
      <c r="G586" s="59" t="s">
        <v>3577</v>
      </c>
      <c r="H586" s="59" t="s">
        <v>2281</v>
      </c>
      <c r="I586" s="59" t="b">
        <v>1</v>
      </c>
      <c r="J586" s="59"/>
      <c r="K586" s="58">
        <v>430</v>
      </c>
      <c r="L586" s="58">
        <v>1478</v>
      </c>
      <c r="M586" s="59">
        <v>10</v>
      </c>
      <c r="N586" s="59">
        <v>10</v>
      </c>
      <c r="O586" s="59" t="s">
        <v>3581</v>
      </c>
      <c r="P586" s="58">
        <v>176</v>
      </c>
      <c r="Q586" s="59">
        <v>0</v>
      </c>
      <c r="R586" s="59">
        <v>0</v>
      </c>
      <c r="S586" s="60">
        <f>tblJTL[[#This Row],[timeStamp]]/86400000+DATE(1970,1,1)+TIME(9,0,0)</f>
        <v>46296.418462662041</v>
      </c>
      <c r="T586" s="57">
        <f>tblJTL[[#This Row],[timeStamp]]+tblJTL[[#This Row],[elapsed]]</f>
        <v>1790816555353</v>
      </c>
      <c r="U586" s="61">
        <f>(tblJTL[[#This Row],[timeStamp]]-'17_分析サンプル'!$E$18)/1000</f>
        <v>154.994</v>
      </c>
      <c r="V586" s="57">
        <f>INT(tblJTL[[#This Row],[経過秒]]/60)</f>
        <v>2</v>
      </c>
      <c r="W586" s="57">
        <f>IF(OR(tblJTL[[#This Row],[success]]=FALSE,tblJTL[[#This Row],[success]]="false"),1,0)</f>
        <v>0</v>
      </c>
      <c r="X586" s="57">
        <f>IF(AND(tblJTL[[#This Row],[経過秒]]&gt;='17_分析サンプル'!$E$11,tblJTL[[#This Row],[経過秒]]&lt;'17_分析サンプル'!$E$12),1,0)</f>
        <v>1</v>
      </c>
    </row>
    <row r="587" spans="2:24" ht="14.4" x14ac:dyDescent="0.3">
      <c r="B587" s="57">
        <v>1790816555036</v>
      </c>
      <c r="C587" s="58">
        <v>334</v>
      </c>
      <c r="D587" s="59" t="s">
        <v>1677</v>
      </c>
      <c r="E587" s="59" t="s">
        <v>3579</v>
      </c>
      <c r="F587" s="59" t="s">
        <v>3580</v>
      </c>
      <c r="G587" s="59" t="s">
        <v>3589</v>
      </c>
      <c r="H587" s="59" t="s">
        <v>2281</v>
      </c>
      <c r="I587" s="59" t="b">
        <v>1</v>
      </c>
      <c r="J587" s="59"/>
      <c r="K587" s="58">
        <v>428</v>
      </c>
      <c r="L587" s="58">
        <v>1478</v>
      </c>
      <c r="M587" s="59">
        <v>10</v>
      </c>
      <c r="N587" s="59">
        <v>10</v>
      </c>
      <c r="O587" s="59" t="s">
        <v>3581</v>
      </c>
      <c r="P587" s="58">
        <v>330</v>
      </c>
      <c r="Q587" s="59">
        <v>0</v>
      </c>
      <c r="R587" s="59">
        <v>0</v>
      </c>
      <c r="S587" s="60">
        <f>tblJTL[[#This Row],[timeStamp]]/86400000+DATE(1970,1,1)+TIME(9,0,0)</f>
        <v>46296.418461064815</v>
      </c>
      <c r="T587" s="57">
        <f>tblJTL[[#This Row],[timeStamp]]+tblJTL[[#This Row],[elapsed]]</f>
        <v>1790816555370</v>
      </c>
      <c r="U587" s="61">
        <f>(tblJTL[[#This Row],[timeStamp]]-'17_分析サンプル'!$E$18)/1000</f>
        <v>154.85599999999999</v>
      </c>
      <c r="V587" s="57">
        <f>INT(tblJTL[[#This Row],[経過秒]]/60)</f>
        <v>2</v>
      </c>
      <c r="W587" s="57">
        <f>IF(OR(tblJTL[[#This Row],[success]]=FALSE,tblJTL[[#This Row],[success]]="false"),1,0)</f>
        <v>0</v>
      </c>
      <c r="X587" s="57">
        <f>IF(AND(tblJTL[[#This Row],[経過秒]]&gt;='17_分析サンプル'!$E$11,tblJTL[[#This Row],[経過秒]]&lt;'17_分析サンプル'!$E$12),1,0)</f>
        <v>1</v>
      </c>
    </row>
    <row r="588" spans="2:24" ht="14.4" x14ac:dyDescent="0.3">
      <c r="B588" s="57">
        <v>1790816555266</v>
      </c>
      <c r="C588" s="58">
        <v>163</v>
      </c>
      <c r="D588" s="59" t="s">
        <v>1658</v>
      </c>
      <c r="E588" s="59" t="s">
        <v>1577</v>
      </c>
      <c r="F588" s="59" t="s">
        <v>2275</v>
      </c>
      <c r="G588" s="59" t="s">
        <v>3582</v>
      </c>
      <c r="H588" s="59" t="s">
        <v>2281</v>
      </c>
      <c r="I588" s="59" t="b">
        <v>1</v>
      </c>
      <c r="J588" s="59"/>
      <c r="K588" s="58">
        <v>1863</v>
      </c>
      <c r="L588" s="58">
        <v>1342</v>
      </c>
      <c r="M588" s="59">
        <v>10</v>
      </c>
      <c r="N588" s="59">
        <v>10</v>
      </c>
      <c r="O588" s="59" t="s">
        <v>3578</v>
      </c>
      <c r="P588" s="58">
        <v>156</v>
      </c>
      <c r="Q588" s="59">
        <v>0</v>
      </c>
      <c r="R588" s="59">
        <v>0</v>
      </c>
      <c r="S588" s="60">
        <f>tblJTL[[#This Row],[timeStamp]]/86400000+DATE(1970,1,1)+TIME(9,0,0)</f>
        <v>46296.418463726848</v>
      </c>
      <c r="T588" s="57">
        <f>tblJTL[[#This Row],[timeStamp]]+tblJTL[[#This Row],[elapsed]]</f>
        <v>1790816555429</v>
      </c>
      <c r="U588" s="61">
        <f>(tblJTL[[#This Row],[timeStamp]]-'17_分析サンプル'!$E$18)/1000</f>
        <v>155.08600000000001</v>
      </c>
      <c r="V588" s="57">
        <f>INT(tblJTL[[#This Row],[経過秒]]/60)</f>
        <v>2</v>
      </c>
      <c r="W588" s="57">
        <f>IF(OR(tblJTL[[#This Row],[success]]=FALSE,tblJTL[[#This Row],[success]]="false"),1,0)</f>
        <v>0</v>
      </c>
      <c r="X588" s="57">
        <f>IF(AND(tblJTL[[#This Row],[経過秒]]&gt;='17_分析サンプル'!$E$11,tblJTL[[#This Row],[経過秒]]&lt;'17_分析サンプル'!$E$12),1,0)</f>
        <v>1</v>
      </c>
    </row>
    <row r="589" spans="2:24" ht="14.4" x14ac:dyDescent="0.3">
      <c r="B589" s="57">
        <v>1790816555421</v>
      </c>
      <c r="C589" s="58">
        <v>365</v>
      </c>
      <c r="D589" s="59" t="s">
        <v>1677</v>
      </c>
      <c r="E589" s="59" t="s">
        <v>3579</v>
      </c>
      <c r="F589" s="59" t="s">
        <v>3580</v>
      </c>
      <c r="G589" s="59" t="s">
        <v>3586</v>
      </c>
      <c r="H589" s="59" t="s">
        <v>2281</v>
      </c>
      <c r="I589" s="59" t="b">
        <v>1</v>
      </c>
      <c r="J589" s="59"/>
      <c r="K589" s="58">
        <v>428</v>
      </c>
      <c r="L589" s="58">
        <v>1478</v>
      </c>
      <c r="M589" s="59">
        <v>10</v>
      </c>
      <c r="N589" s="59">
        <v>10</v>
      </c>
      <c r="O589" s="59" t="s">
        <v>3581</v>
      </c>
      <c r="P589" s="58">
        <v>361</v>
      </c>
      <c r="Q589" s="59">
        <v>0</v>
      </c>
      <c r="R589" s="59">
        <v>0</v>
      </c>
      <c r="S589" s="60">
        <f>tblJTL[[#This Row],[timeStamp]]/86400000+DATE(1970,1,1)+TIME(9,0,0)</f>
        <v>46296.418465520837</v>
      </c>
      <c r="T589" s="57">
        <f>tblJTL[[#This Row],[timeStamp]]+tblJTL[[#This Row],[elapsed]]</f>
        <v>1790816555786</v>
      </c>
      <c r="U589" s="61">
        <f>(tblJTL[[#This Row],[timeStamp]]-'17_分析サンプル'!$E$18)/1000</f>
        <v>155.24100000000001</v>
      </c>
      <c r="V589" s="57">
        <f>INT(tblJTL[[#This Row],[経過秒]]/60)</f>
        <v>2</v>
      </c>
      <c r="W589" s="57">
        <f>IF(OR(tblJTL[[#This Row],[success]]=FALSE,tblJTL[[#This Row],[success]]="false"),1,0)</f>
        <v>0</v>
      </c>
      <c r="X589" s="57">
        <f>IF(AND(tblJTL[[#This Row],[経過秒]]&gt;='17_分析サンプル'!$E$11,tblJTL[[#This Row],[経過秒]]&lt;'17_分析サンプル'!$E$12),1,0)</f>
        <v>1</v>
      </c>
    </row>
    <row r="590" spans="2:24" ht="14.4" x14ac:dyDescent="0.3">
      <c r="B590" s="57">
        <v>1790816555825</v>
      </c>
      <c r="C590" s="58">
        <v>85</v>
      </c>
      <c r="D590" s="59" t="s">
        <v>1658</v>
      </c>
      <c r="E590" s="59" t="s">
        <v>1577</v>
      </c>
      <c r="F590" s="59" t="s">
        <v>2275</v>
      </c>
      <c r="G590" s="59" t="s">
        <v>3587</v>
      </c>
      <c r="H590" s="59" t="s">
        <v>2281</v>
      </c>
      <c r="I590" s="59" t="b">
        <v>1</v>
      </c>
      <c r="J590" s="59"/>
      <c r="K590" s="58">
        <v>1847</v>
      </c>
      <c r="L590" s="58">
        <v>1342</v>
      </c>
      <c r="M590" s="59">
        <v>10</v>
      </c>
      <c r="N590" s="59">
        <v>10</v>
      </c>
      <c r="O590" s="59" t="s">
        <v>3578</v>
      </c>
      <c r="P590" s="58">
        <v>81</v>
      </c>
      <c r="Q590" s="59">
        <v>0</v>
      </c>
      <c r="R590" s="59">
        <v>0</v>
      </c>
      <c r="S590" s="60">
        <f>tblJTL[[#This Row],[timeStamp]]/86400000+DATE(1970,1,1)+TIME(9,0,0)</f>
        <v>46296.418470196761</v>
      </c>
      <c r="T590" s="57">
        <f>tblJTL[[#This Row],[timeStamp]]+tblJTL[[#This Row],[elapsed]]</f>
        <v>1790816555910</v>
      </c>
      <c r="U590" s="61">
        <f>(tblJTL[[#This Row],[timeStamp]]-'17_分析サンプル'!$E$18)/1000</f>
        <v>155.64500000000001</v>
      </c>
      <c r="V590" s="57">
        <f>INT(tblJTL[[#This Row],[経過秒]]/60)</f>
        <v>2</v>
      </c>
      <c r="W590" s="57">
        <f>IF(OR(tblJTL[[#This Row],[success]]=FALSE,tblJTL[[#This Row],[success]]="false"),1,0)</f>
        <v>0</v>
      </c>
      <c r="X590" s="57">
        <f>IF(AND(tblJTL[[#This Row],[経過秒]]&gt;='17_分析サンプル'!$E$11,tblJTL[[#This Row],[経過秒]]&lt;'17_分析サンプル'!$E$12),1,0)</f>
        <v>1</v>
      </c>
    </row>
    <row r="591" spans="2:24" ht="14.4" x14ac:dyDescent="0.3">
      <c r="B591" s="57">
        <v>1790816556089</v>
      </c>
      <c r="C591" s="58">
        <v>119</v>
      </c>
      <c r="D591" s="59" t="s">
        <v>1658</v>
      </c>
      <c r="E591" s="59" t="s">
        <v>1577</v>
      </c>
      <c r="F591" s="59" t="s">
        <v>2275</v>
      </c>
      <c r="G591" s="59" t="s">
        <v>3588</v>
      </c>
      <c r="H591" s="59" t="s">
        <v>2281</v>
      </c>
      <c r="I591" s="59" t="b">
        <v>1</v>
      </c>
      <c r="J591" s="59"/>
      <c r="K591" s="58">
        <v>1858</v>
      </c>
      <c r="L591" s="58">
        <v>1342</v>
      </c>
      <c r="M591" s="59">
        <v>10</v>
      </c>
      <c r="N591" s="59">
        <v>10</v>
      </c>
      <c r="O591" s="59" t="s">
        <v>3578</v>
      </c>
      <c r="P591" s="58">
        <v>113</v>
      </c>
      <c r="Q591" s="59">
        <v>0</v>
      </c>
      <c r="R591" s="59">
        <v>0</v>
      </c>
      <c r="S591" s="60">
        <f>tblJTL[[#This Row],[timeStamp]]/86400000+DATE(1970,1,1)+TIME(9,0,0)</f>
        <v>46296.418473252314</v>
      </c>
      <c r="T591" s="57">
        <f>tblJTL[[#This Row],[timeStamp]]+tblJTL[[#This Row],[elapsed]]</f>
        <v>1790816556208</v>
      </c>
      <c r="U591" s="61">
        <f>(tblJTL[[#This Row],[timeStamp]]-'17_分析サンプル'!$E$18)/1000</f>
        <v>155.90899999999999</v>
      </c>
      <c r="V591" s="57">
        <f>INT(tblJTL[[#This Row],[経過秒]]/60)</f>
        <v>2</v>
      </c>
      <c r="W591" s="57">
        <f>IF(OR(tblJTL[[#This Row],[success]]=FALSE,tblJTL[[#This Row],[success]]="false"),1,0)</f>
        <v>0</v>
      </c>
      <c r="X591" s="57">
        <f>IF(AND(tblJTL[[#This Row],[経過秒]]&gt;='17_分析サンプル'!$E$11,tblJTL[[#This Row],[経過秒]]&lt;'17_分析サンプル'!$E$12),1,0)</f>
        <v>1</v>
      </c>
    </row>
    <row r="592" spans="2:24" ht="14.4" x14ac:dyDescent="0.3">
      <c r="B592" s="57">
        <v>1790816556488</v>
      </c>
      <c r="C592" s="58">
        <v>255</v>
      </c>
      <c r="D592" s="59" t="s">
        <v>1677</v>
      </c>
      <c r="E592" s="59" t="s">
        <v>3579</v>
      </c>
      <c r="F592" s="59" t="s">
        <v>3580</v>
      </c>
      <c r="G592" s="59" t="s">
        <v>3582</v>
      </c>
      <c r="H592" s="59" t="s">
        <v>2281</v>
      </c>
      <c r="I592" s="59" t="b">
        <v>1</v>
      </c>
      <c r="J592" s="59"/>
      <c r="K592" s="58">
        <v>435</v>
      </c>
      <c r="L592" s="58">
        <v>1478</v>
      </c>
      <c r="M592" s="59">
        <v>10</v>
      </c>
      <c r="N592" s="59">
        <v>10</v>
      </c>
      <c r="O592" s="59" t="s">
        <v>3581</v>
      </c>
      <c r="P592" s="58">
        <v>250</v>
      </c>
      <c r="Q592" s="59">
        <v>0</v>
      </c>
      <c r="R592" s="59">
        <v>0</v>
      </c>
      <c r="S592" s="60">
        <f>tblJTL[[#This Row],[timeStamp]]/86400000+DATE(1970,1,1)+TIME(9,0,0)</f>
        <v>46296.418477870371</v>
      </c>
      <c r="T592" s="57">
        <f>tblJTL[[#This Row],[timeStamp]]+tblJTL[[#This Row],[elapsed]]</f>
        <v>1790816556743</v>
      </c>
      <c r="U592" s="61">
        <f>(tblJTL[[#This Row],[timeStamp]]-'17_分析サンプル'!$E$18)/1000</f>
        <v>156.30799999999999</v>
      </c>
      <c r="V592" s="57">
        <f>INT(tblJTL[[#This Row],[経過秒]]/60)</f>
        <v>2</v>
      </c>
      <c r="W592" s="57">
        <f>IF(OR(tblJTL[[#This Row],[success]]=FALSE,tblJTL[[#This Row],[success]]="false"),1,0)</f>
        <v>0</v>
      </c>
      <c r="X592" s="57">
        <f>IF(AND(tblJTL[[#This Row],[経過秒]]&gt;='17_分析サンプル'!$E$11,tblJTL[[#This Row],[経過秒]]&lt;'17_分析サンプル'!$E$12),1,0)</f>
        <v>1</v>
      </c>
    </row>
    <row r="593" spans="2:24" ht="14.4" x14ac:dyDescent="0.3">
      <c r="B593" s="57">
        <v>1790816556647</v>
      </c>
      <c r="C593" s="58">
        <v>194</v>
      </c>
      <c r="D593" s="59" t="s">
        <v>1658</v>
      </c>
      <c r="E593" s="59" t="s">
        <v>1577</v>
      </c>
      <c r="F593" s="59" t="s">
        <v>2275</v>
      </c>
      <c r="G593" s="59" t="s">
        <v>3577</v>
      </c>
      <c r="H593" s="59" t="s">
        <v>2281</v>
      </c>
      <c r="I593" s="59" t="b">
        <v>1</v>
      </c>
      <c r="J593" s="59"/>
      <c r="K593" s="58">
        <v>1833</v>
      </c>
      <c r="L593" s="58">
        <v>1342</v>
      </c>
      <c r="M593" s="59">
        <v>10</v>
      </c>
      <c r="N593" s="59">
        <v>10</v>
      </c>
      <c r="O593" s="59" t="s">
        <v>3578</v>
      </c>
      <c r="P593" s="58">
        <v>191</v>
      </c>
      <c r="Q593" s="59">
        <v>0</v>
      </c>
      <c r="R593" s="59">
        <v>0</v>
      </c>
      <c r="S593" s="60">
        <f>tblJTL[[#This Row],[timeStamp]]/86400000+DATE(1970,1,1)+TIME(9,0,0)</f>
        <v>46296.418479710643</v>
      </c>
      <c r="T593" s="57">
        <f>tblJTL[[#This Row],[timeStamp]]+tblJTL[[#This Row],[elapsed]]</f>
        <v>1790816556841</v>
      </c>
      <c r="U593" s="61">
        <f>(tblJTL[[#This Row],[timeStamp]]-'17_分析サンプル'!$E$18)/1000</f>
        <v>156.46700000000001</v>
      </c>
      <c r="V593" s="57">
        <f>INT(tblJTL[[#This Row],[経過秒]]/60)</f>
        <v>2</v>
      </c>
      <c r="W593" s="57">
        <f>IF(OR(tblJTL[[#This Row],[success]]=FALSE,tblJTL[[#This Row],[success]]="false"),1,0)</f>
        <v>0</v>
      </c>
      <c r="X593" s="57">
        <f>IF(AND(tblJTL[[#This Row],[経過秒]]&gt;='17_分析サンプル'!$E$11,tblJTL[[#This Row],[経過秒]]&lt;'17_分析サンプル'!$E$12),1,0)</f>
        <v>1</v>
      </c>
    </row>
    <row r="594" spans="2:24" ht="14.4" x14ac:dyDescent="0.3">
      <c r="B594" s="57">
        <v>1790816556872</v>
      </c>
      <c r="C594" s="58">
        <v>146</v>
      </c>
      <c r="D594" s="59" t="s">
        <v>1658</v>
      </c>
      <c r="E594" s="59" t="s">
        <v>1577</v>
      </c>
      <c r="F594" s="59" t="s">
        <v>2275</v>
      </c>
      <c r="G594" s="59" t="s">
        <v>3583</v>
      </c>
      <c r="H594" s="59" t="s">
        <v>2281</v>
      </c>
      <c r="I594" s="59" t="b">
        <v>1</v>
      </c>
      <c r="J594" s="59"/>
      <c r="K594" s="58">
        <v>1869</v>
      </c>
      <c r="L594" s="58">
        <v>1342</v>
      </c>
      <c r="M594" s="59">
        <v>10</v>
      </c>
      <c r="N594" s="59">
        <v>10</v>
      </c>
      <c r="O594" s="59" t="s">
        <v>3578</v>
      </c>
      <c r="P594" s="58">
        <v>141</v>
      </c>
      <c r="Q594" s="59">
        <v>0</v>
      </c>
      <c r="R594" s="59">
        <v>0</v>
      </c>
      <c r="S594" s="60">
        <f>tblJTL[[#This Row],[timeStamp]]/86400000+DATE(1970,1,1)+TIME(9,0,0)</f>
        <v>46296.41848231481</v>
      </c>
      <c r="T594" s="57">
        <f>tblJTL[[#This Row],[timeStamp]]+tblJTL[[#This Row],[elapsed]]</f>
        <v>1790816557018</v>
      </c>
      <c r="U594" s="61">
        <f>(tblJTL[[#This Row],[timeStamp]]-'17_分析サンプル'!$E$18)/1000</f>
        <v>156.69200000000001</v>
      </c>
      <c r="V594" s="57">
        <f>INT(tblJTL[[#This Row],[経過秒]]/60)</f>
        <v>2</v>
      </c>
      <c r="W594" s="57">
        <f>IF(OR(tblJTL[[#This Row],[success]]=FALSE,tblJTL[[#This Row],[success]]="false"),1,0)</f>
        <v>0</v>
      </c>
      <c r="X594" s="57">
        <f>IF(AND(tblJTL[[#This Row],[経過秒]]&gt;='17_分析サンプル'!$E$11,tblJTL[[#This Row],[経過秒]]&lt;'17_分析サンプル'!$E$12),1,0)</f>
        <v>1</v>
      </c>
    </row>
    <row r="595" spans="2:24" ht="14.4" x14ac:dyDescent="0.3">
      <c r="B595" s="57">
        <v>1790816557015</v>
      </c>
      <c r="C595" s="58">
        <v>137</v>
      </c>
      <c r="D595" s="59" t="s">
        <v>1658</v>
      </c>
      <c r="E595" s="59" t="s">
        <v>1577</v>
      </c>
      <c r="F595" s="59" t="s">
        <v>2275</v>
      </c>
      <c r="G595" s="59" t="s">
        <v>3589</v>
      </c>
      <c r="H595" s="59" t="s">
        <v>2281</v>
      </c>
      <c r="I595" s="59" t="b">
        <v>1</v>
      </c>
      <c r="J595" s="59"/>
      <c r="K595" s="58">
        <v>1896</v>
      </c>
      <c r="L595" s="58">
        <v>1342</v>
      </c>
      <c r="M595" s="59">
        <v>10</v>
      </c>
      <c r="N595" s="59">
        <v>10</v>
      </c>
      <c r="O595" s="59" t="s">
        <v>3578</v>
      </c>
      <c r="P595" s="58">
        <v>130</v>
      </c>
      <c r="Q595" s="59">
        <v>0</v>
      </c>
      <c r="R595" s="59">
        <v>0</v>
      </c>
      <c r="S595" s="60">
        <f>tblJTL[[#This Row],[timeStamp]]/86400000+DATE(1970,1,1)+TIME(9,0,0)</f>
        <v>46296.418483969908</v>
      </c>
      <c r="T595" s="57">
        <f>tblJTL[[#This Row],[timeStamp]]+tblJTL[[#This Row],[elapsed]]</f>
        <v>1790816557152</v>
      </c>
      <c r="U595" s="61">
        <f>(tblJTL[[#This Row],[timeStamp]]-'17_分析サンプル'!$E$18)/1000</f>
        <v>156.83500000000001</v>
      </c>
      <c r="V595" s="57">
        <f>INT(tblJTL[[#This Row],[経過秒]]/60)</f>
        <v>2</v>
      </c>
      <c r="W595" s="57">
        <f>IF(OR(tblJTL[[#This Row],[success]]=FALSE,tblJTL[[#This Row],[success]]="false"),1,0)</f>
        <v>0</v>
      </c>
      <c r="X595" s="57">
        <f>IF(AND(tblJTL[[#This Row],[経過秒]]&gt;='17_分析サンプル'!$E$11,tblJTL[[#This Row],[経過秒]]&lt;'17_分析サンプル'!$E$12),1,0)</f>
        <v>1</v>
      </c>
    </row>
    <row r="596" spans="2:24" ht="14.4" x14ac:dyDescent="0.3">
      <c r="B596" s="57">
        <v>1790816557059</v>
      </c>
      <c r="C596" s="58">
        <v>362</v>
      </c>
      <c r="D596" s="59" t="s">
        <v>1677</v>
      </c>
      <c r="E596" s="59" t="s">
        <v>3579</v>
      </c>
      <c r="F596" s="59" t="s">
        <v>3580</v>
      </c>
      <c r="G596" s="59" t="s">
        <v>3585</v>
      </c>
      <c r="H596" s="59" t="s">
        <v>2281</v>
      </c>
      <c r="I596" s="59" t="b">
        <v>1</v>
      </c>
      <c r="J596" s="59"/>
      <c r="K596" s="58">
        <v>411</v>
      </c>
      <c r="L596" s="58">
        <v>1478</v>
      </c>
      <c r="M596" s="59">
        <v>10</v>
      </c>
      <c r="N596" s="59">
        <v>10</v>
      </c>
      <c r="O596" s="59" t="s">
        <v>3581</v>
      </c>
      <c r="P596" s="58">
        <v>355</v>
      </c>
      <c r="Q596" s="59">
        <v>0</v>
      </c>
      <c r="R596" s="59">
        <v>58</v>
      </c>
      <c r="S596" s="60">
        <f>tblJTL[[#This Row],[timeStamp]]/86400000+DATE(1970,1,1)+TIME(9,0,0)</f>
        <v>46296.418484479167</v>
      </c>
      <c r="T596" s="57">
        <f>tblJTL[[#This Row],[timeStamp]]+tblJTL[[#This Row],[elapsed]]</f>
        <v>1790816557421</v>
      </c>
      <c r="U596" s="61">
        <f>(tblJTL[[#This Row],[timeStamp]]-'17_分析サンプル'!$E$18)/1000</f>
        <v>156.87899999999999</v>
      </c>
      <c r="V596" s="57">
        <f>INT(tblJTL[[#This Row],[経過秒]]/60)</f>
        <v>2</v>
      </c>
      <c r="W596" s="57">
        <f>IF(OR(tblJTL[[#This Row],[success]]=FALSE,tblJTL[[#This Row],[success]]="false"),1,0)</f>
        <v>0</v>
      </c>
      <c r="X596" s="57">
        <f>IF(AND(tblJTL[[#This Row],[経過秒]]&gt;='17_分析サンプル'!$E$11,tblJTL[[#This Row],[経過秒]]&lt;'17_分析サンプル'!$E$12),1,0)</f>
        <v>1</v>
      </c>
    </row>
    <row r="597" spans="2:24" ht="14.4" x14ac:dyDescent="0.3">
      <c r="B597" s="57">
        <v>1790816557555</v>
      </c>
      <c r="C597" s="58">
        <v>121</v>
      </c>
      <c r="D597" s="59" t="s">
        <v>1658</v>
      </c>
      <c r="E597" s="59" t="s">
        <v>1577</v>
      </c>
      <c r="F597" s="59" t="s">
        <v>2275</v>
      </c>
      <c r="G597" s="59" t="s">
        <v>3586</v>
      </c>
      <c r="H597" s="59" t="s">
        <v>2281</v>
      </c>
      <c r="I597" s="59" t="b">
        <v>1</v>
      </c>
      <c r="J597" s="59"/>
      <c r="K597" s="58">
        <v>1866</v>
      </c>
      <c r="L597" s="58">
        <v>1342</v>
      </c>
      <c r="M597" s="59">
        <v>10</v>
      </c>
      <c r="N597" s="59">
        <v>10</v>
      </c>
      <c r="O597" s="59" t="s">
        <v>3578</v>
      </c>
      <c r="P597" s="58">
        <v>115</v>
      </c>
      <c r="Q597" s="59">
        <v>0</v>
      </c>
      <c r="R597" s="59">
        <v>0</v>
      </c>
      <c r="S597" s="60">
        <f>tblJTL[[#This Row],[timeStamp]]/86400000+DATE(1970,1,1)+TIME(9,0,0)</f>
        <v>46296.418490219905</v>
      </c>
      <c r="T597" s="57">
        <f>tblJTL[[#This Row],[timeStamp]]+tblJTL[[#This Row],[elapsed]]</f>
        <v>1790816557676</v>
      </c>
      <c r="U597" s="61">
        <f>(tblJTL[[#This Row],[timeStamp]]-'17_分析サンプル'!$E$18)/1000</f>
        <v>157.375</v>
      </c>
      <c r="V597" s="57">
        <f>INT(tblJTL[[#This Row],[経過秒]]/60)</f>
        <v>2</v>
      </c>
      <c r="W597" s="57">
        <f>IF(OR(tblJTL[[#This Row],[success]]=FALSE,tblJTL[[#This Row],[success]]="false"),1,0)</f>
        <v>0</v>
      </c>
      <c r="X597" s="57">
        <f>IF(AND(tblJTL[[#This Row],[経過秒]]&gt;='17_分析サンプル'!$E$11,tblJTL[[#This Row],[経過秒]]&lt;'17_分析サンプル'!$E$12),1,0)</f>
        <v>1</v>
      </c>
    </row>
    <row r="598" spans="2:24" ht="14.4" x14ac:dyDescent="0.3">
      <c r="B598" s="57">
        <v>1790816557612</v>
      </c>
      <c r="C598" s="58">
        <v>134</v>
      </c>
      <c r="D598" s="59" t="s">
        <v>1658</v>
      </c>
      <c r="E598" s="59" t="s">
        <v>1577</v>
      </c>
      <c r="F598" s="59" t="s">
        <v>2275</v>
      </c>
      <c r="G598" s="59" t="s">
        <v>3584</v>
      </c>
      <c r="H598" s="59" t="s">
        <v>2281</v>
      </c>
      <c r="I598" s="59" t="b">
        <v>1</v>
      </c>
      <c r="J598" s="59"/>
      <c r="K598" s="58">
        <v>1849</v>
      </c>
      <c r="L598" s="58">
        <v>1342</v>
      </c>
      <c r="M598" s="59">
        <v>10</v>
      </c>
      <c r="N598" s="59">
        <v>10</v>
      </c>
      <c r="O598" s="59" t="s">
        <v>3578</v>
      </c>
      <c r="P598" s="58">
        <v>126</v>
      </c>
      <c r="Q598" s="59">
        <v>0</v>
      </c>
      <c r="R598" s="59">
        <v>0</v>
      </c>
      <c r="S598" s="60">
        <f>tblJTL[[#This Row],[timeStamp]]/86400000+DATE(1970,1,1)+TIME(9,0,0)</f>
        <v>46296.418490879631</v>
      </c>
      <c r="T598" s="57">
        <f>tblJTL[[#This Row],[timeStamp]]+tblJTL[[#This Row],[elapsed]]</f>
        <v>1790816557746</v>
      </c>
      <c r="U598" s="61">
        <f>(tblJTL[[#This Row],[timeStamp]]-'17_分析サンプル'!$E$18)/1000</f>
        <v>157.43199999999999</v>
      </c>
      <c r="V598" s="57">
        <f>INT(tblJTL[[#This Row],[経過秒]]/60)</f>
        <v>2</v>
      </c>
      <c r="W598" s="57">
        <f>IF(OR(tblJTL[[#This Row],[success]]=FALSE,tblJTL[[#This Row],[success]]="false"),1,0)</f>
        <v>0</v>
      </c>
      <c r="X598" s="57">
        <f>IF(AND(tblJTL[[#This Row],[経過秒]]&gt;='17_分析サンプル'!$E$11,tblJTL[[#This Row],[経過秒]]&lt;'17_分析サンプル'!$E$12),1,0)</f>
        <v>1</v>
      </c>
    </row>
    <row r="599" spans="2:24" ht="14.4" x14ac:dyDescent="0.3">
      <c r="B599" s="57">
        <v>1790816557684</v>
      </c>
      <c r="C599" s="58">
        <v>186</v>
      </c>
      <c r="D599" s="59" t="s">
        <v>1677</v>
      </c>
      <c r="E599" s="59" t="s">
        <v>3579</v>
      </c>
      <c r="F599" s="59" t="s">
        <v>3580</v>
      </c>
      <c r="G599" s="59" t="s">
        <v>3587</v>
      </c>
      <c r="H599" s="59" t="s">
        <v>2281</v>
      </c>
      <c r="I599" s="59" t="b">
        <v>1</v>
      </c>
      <c r="J599" s="59"/>
      <c r="K599" s="58">
        <v>434</v>
      </c>
      <c r="L599" s="58">
        <v>1478</v>
      </c>
      <c r="M599" s="59">
        <v>10</v>
      </c>
      <c r="N599" s="59">
        <v>10</v>
      </c>
      <c r="O599" s="59" t="s">
        <v>3581</v>
      </c>
      <c r="P599" s="58">
        <v>179</v>
      </c>
      <c r="Q599" s="59">
        <v>0</v>
      </c>
      <c r="R599" s="59">
        <v>0</v>
      </c>
      <c r="S599" s="60">
        <f>tblJTL[[#This Row],[timeStamp]]/86400000+DATE(1970,1,1)+TIME(9,0,0)</f>
        <v>46296.418491712961</v>
      </c>
      <c r="T599" s="57">
        <f>tblJTL[[#This Row],[timeStamp]]+tblJTL[[#This Row],[elapsed]]</f>
        <v>1790816557870</v>
      </c>
      <c r="U599" s="61">
        <f>(tblJTL[[#This Row],[timeStamp]]-'17_分析サンプル'!$E$18)/1000</f>
        <v>157.50399999999999</v>
      </c>
      <c r="V599" s="57">
        <f>INT(tblJTL[[#This Row],[経過秒]]/60)</f>
        <v>2</v>
      </c>
      <c r="W599" s="57">
        <f>IF(OR(tblJTL[[#This Row],[success]]=FALSE,tblJTL[[#This Row],[success]]="false"),1,0)</f>
        <v>0</v>
      </c>
      <c r="X599" s="57">
        <f>IF(AND(tblJTL[[#This Row],[経過秒]]&gt;='17_分析サンプル'!$E$11,tblJTL[[#This Row],[経過秒]]&lt;'17_分析サンプル'!$E$12),1,0)</f>
        <v>1</v>
      </c>
    </row>
    <row r="600" spans="2:24" ht="14.4" x14ac:dyDescent="0.3">
      <c r="B600" s="57">
        <v>1790816558089</v>
      </c>
      <c r="C600" s="58">
        <v>181</v>
      </c>
      <c r="D600" s="59" t="s">
        <v>1677</v>
      </c>
      <c r="E600" s="59" t="s">
        <v>3579</v>
      </c>
      <c r="F600" s="59" t="s">
        <v>3580</v>
      </c>
      <c r="G600" s="59" t="s">
        <v>2278</v>
      </c>
      <c r="H600" s="59" t="s">
        <v>2281</v>
      </c>
      <c r="I600" s="59" t="b">
        <v>1</v>
      </c>
      <c r="J600" s="59"/>
      <c r="K600" s="58">
        <v>424</v>
      </c>
      <c r="L600" s="58">
        <v>1478</v>
      </c>
      <c r="M600" s="59">
        <v>10</v>
      </c>
      <c r="N600" s="59">
        <v>10</v>
      </c>
      <c r="O600" s="59" t="s">
        <v>3581</v>
      </c>
      <c r="P600" s="58">
        <v>177</v>
      </c>
      <c r="Q600" s="59">
        <v>0</v>
      </c>
      <c r="R600" s="59">
        <v>0</v>
      </c>
      <c r="S600" s="60">
        <f>tblJTL[[#This Row],[timeStamp]]/86400000+DATE(1970,1,1)+TIME(9,0,0)</f>
        <v>46296.418496400467</v>
      </c>
      <c r="T600" s="57">
        <f>tblJTL[[#This Row],[timeStamp]]+tblJTL[[#This Row],[elapsed]]</f>
        <v>1790816558270</v>
      </c>
      <c r="U600" s="61">
        <f>(tblJTL[[#This Row],[timeStamp]]-'17_分析サンプル'!$E$18)/1000</f>
        <v>157.90899999999999</v>
      </c>
      <c r="V600" s="57">
        <f>INT(tblJTL[[#This Row],[経過秒]]/60)</f>
        <v>2</v>
      </c>
      <c r="W600" s="57">
        <f>IF(OR(tblJTL[[#This Row],[success]]=FALSE,tblJTL[[#This Row],[success]]="false"),1,0)</f>
        <v>0</v>
      </c>
      <c r="X600" s="57">
        <f>IF(AND(tblJTL[[#This Row],[経過秒]]&gt;='17_分析サンプル'!$E$11,tblJTL[[#This Row],[経過秒]]&lt;'17_分析サンプル'!$E$12),1,0)</f>
        <v>1</v>
      </c>
    </row>
    <row r="601" spans="2:24" ht="14.4" x14ac:dyDescent="0.3">
      <c r="B601" s="57">
        <v>1790816558087</v>
      </c>
      <c r="C601" s="58">
        <v>245</v>
      </c>
      <c r="D601" s="59" t="s">
        <v>1677</v>
      </c>
      <c r="E601" s="59" t="s">
        <v>3579</v>
      </c>
      <c r="F601" s="59" t="s">
        <v>3580</v>
      </c>
      <c r="G601" s="59" t="s">
        <v>3588</v>
      </c>
      <c r="H601" s="59" t="s">
        <v>2281</v>
      </c>
      <c r="I601" s="59" t="b">
        <v>1</v>
      </c>
      <c r="J601" s="59"/>
      <c r="K601" s="58">
        <v>420</v>
      </c>
      <c r="L601" s="58">
        <v>1478</v>
      </c>
      <c r="M601" s="59">
        <v>10</v>
      </c>
      <c r="N601" s="59">
        <v>10</v>
      </c>
      <c r="O601" s="59" t="s">
        <v>3581</v>
      </c>
      <c r="P601" s="58">
        <v>241</v>
      </c>
      <c r="Q601" s="59">
        <v>0</v>
      </c>
      <c r="R601" s="59">
        <v>0</v>
      </c>
      <c r="S601" s="60">
        <f>tblJTL[[#This Row],[timeStamp]]/86400000+DATE(1970,1,1)+TIME(9,0,0)</f>
        <v>46296.418496377315</v>
      </c>
      <c r="T601" s="57">
        <f>tblJTL[[#This Row],[timeStamp]]+tblJTL[[#This Row],[elapsed]]</f>
        <v>1790816558332</v>
      </c>
      <c r="U601" s="61">
        <f>(tblJTL[[#This Row],[timeStamp]]-'17_分析サンプル'!$E$18)/1000</f>
        <v>157.90700000000001</v>
      </c>
      <c r="V601" s="57">
        <f>INT(tblJTL[[#This Row],[経過秒]]/60)</f>
        <v>2</v>
      </c>
      <c r="W601" s="57">
        <f>IF(OR(tblJTL[[#This Row],[success]]=FALSE,tblJTL[[#This Row],[success]]="false"),1,0)</f>
        <v>0</v>
      </c>
      <c r="X601" s="57">
        <f>IF(AND(tblJTL[[#This Row],[経過秒]]&gt;='17_分析サンプル'!$E$11,tblJTL[[#This Row],[経過秒]]&lt;'17_分析サンプル'!$E$12),1,0)</f>
        <v>1</v>
      </c>
    </row>
    <row r="602" spans="2:24" ht="14.4" x14ac:dyDescent="0.3">
      <c r="B602" s="57">
        <v>1790816558551</v>
      </c>
      <c r="C602" s="58">
        <v>265</v>
      </c>
      <c r="D602" s="59" t="s">
        <v>1677</v>
      </c>
      <c r="E602" s="59" t="s">
        <v>3579</v>
      </c>
      <c r="F602" s="59" t="s">
        <v>3580</v>
      </c>
      <c r="G602" s="59" t="s">
        <v>3577</v>
      </c>
      <c r="H602" s="59" t="s">
        <v>2281</v>
      </c>
      <c r="I602" s="59" t="b">
        <v>1</v>
      </c>
      <c r="J602" s="59"/>
      <c r="K602" s="58">
        <v>440</v>
      </c>
      <c r="L602" s="58">
        <v>1478</v>
      </c>
      <c r="M602" s="59">
        <v>10</v>
      </c>
      <c r="N602" s="59">
        <v>10</v>
      </c>
      <c r="O602" s="59" t="s">
        <v>3581</v>
      </c>
      <c r="P602" s="58">
        <v>262</v>
      </c>
      <c r="Q602" s="59">
        <v>0</v>
      </c>
      <c r="R602" s="59">
        <v>0</v>
      </c>
      <c r="S602" s="60">
        <f>tblJTL[[#This Row],[timeStamp]]/86400000+DATE(1970,1,1)+TIME(9,0,0)</f>
        <v>46296.418501747685</v>
      </c>
      <c r="T602" s="57">
        <f>tblJTL[[#This Row],[timeStamp]]+tblJTL[[#This Row],[elapsed]]</f>
        <v>1790816558816</v>
      </c>
      <c r="U602" s="61">
        <f>(tblJTL[[#This Row],[timeStamp]]-'17_分析サンプル'!$E$18)/1000</f>
        <v>158.37100000000001</v>
      </c>
      <c r="V602" s="57">
        <f>INT(tblJTL[[#This Row],[経過秒]]/60)</f>
        <v>2</v>
      </c>
      <c r="W602" s="57">
        <f>IF(OR(tblJTL[[#This Row],[success]]=FALSE,tblJTL[[#This Row],[success]]="false"),1,0)</f>
        <v>0</v>
      </c>
      <c r="X602" s="57">
        <f>IF(AND(tblJTL[[#This Row],[経過秒]]&gt;='17_分析サンプル'!$E$11,tblJTL[[#This Row],[経過秒]]&lt;'17_分析サンプル'!$E$12),1,0)</f>
        <v>1</v>
      </c>
    </row>
    <row r="603" spans="2:24" ht="14.4" x14ac:dyDescent="0.3">
      <c r="B603" s="57">
        <v>1790816559093</v>
      </c>
      <c r="C603" s="58">
        <v>246</v>
      </c>
      <c r="D603" s="59" t="s">
        <v>1677</v>
      </c>
      <c r="E603" s="59" t="s">
        <v>3579</v>
      </c>
      <c r="F603" s="59" t="s">
        <v>3580</v>
      </c>
      <c r="G603" s="59" t="s">
        <v>3586</v>
      </c>
      <c r="H603" s="59" t="s">
        <v>2281</v>
      </c>
      <c r="I603" s="59" t="b">
        <v>1</v>
      </c>
      <c r="J603" s="59"/>
      <c r="K603" s="58">
        <v>438</v>
      </c>
      <c r="L603" s="58">
        <v>1478</v>
      </c>
      <c r="M603" s="59">
        <v>10</v>
      </c>
      <c r="N603" s="59">
        <v>10</v>
      </c>
      <c r="O603" s="59" t="s">
        <v>3581</v>
      </c>
      <c r="P603" s="58">
        <v>238</v>
      </c>
      <c r="Q603" s="59">
        <v>0</v>
      </c>
      <c r="R603" s="59">
        <v>0</v>
      </c>
      <c r="S603" s="60">
        <f>tblJTL[[#This Row],[timeStamp]]/86400000+DATE(1970,1,1)+TIME(9,0,0)</f>
        <v>46296.418508020834</v>
      </c>
      <c r="T603" s="57">
        <f>tblJTL[[#This Row],[timeStamp]]+tblJTL[[#This Row],[elapsed]]</f>
        <v>1790816559339</v>
      </c>
      <c r="U603" s="61">
        <f>(tblJTL[[#This Row],[timeStamp]]-'17_分析サンプル'!$E$18)/1000</f>
        <v>158.91300000000001</v>
      </c>
      <c r="V603" s="57">
        <f>INT(tblJTL[[#This Row],[経過秒]]/60)</f>
        <v>2</v>
      </c>
      <c r="W603" s="57">
        <f>IF(OR(tblJTL[[#This Row],[success]]=FALSE,tblJTL[[#This Row],[success]]="false"),1,0)</f>
        <v>0</v>
      </c>
      <c r="X603" s="57">
        <f>IF(AND(tblJTL[[#This Row],[経過秒]]&gt;='17_分析サンプル'!$E$11,tblJTL[[#This Row],[経過秒]]&lt;'17_分析サンプル'!$E$12),1,0)</f>
        <v>1</v>
      </c>
    </row>
    <row r="604" spans="2:24" ht="14.4" x14ac:dyDescent="0.3">
      <c r="B604" s="57">
        <v>1790816559401</v>
      </c>
      <c r="C604" s="58">
        <v>83</v>
      </c>
      <c r="D604" s="59" t="s">
        <v>1658</v>
      </c>
      <c r="E604" s="59" t="s">
        <v>1577</v>
      </c>
      <c r="F604" s="59" t="s">
        <v>2275</v>
      </c>
      <c r="G604" s="59" t="s">
        <v>3582</v>
      </c>
      <c r="H604" s="59" t="s">
        <v>2281</v>
      </c>
      <c r="I604" s="59" t="b">
        <v>1</v>
      </c>
      <c r="J604" s="59"/>
      <c r="K604" s="58">
        <v>1886</v>
      </c>
      <c r="L604" s="58">
        <v>1342</v>
      </c>
      <c r="M604" s="59">
        <v>10</v>
      </c>
      <c r="N604" s="59">
        <v>10</v>
      </c>
      <c r="O604" s="59" t="s">
        <v>3578</v>
      </c>
      <c r="P604" s="58">
        <v>79</v>
      </c>
      <c r="Q604" s="59">
        <v>0</v>
      </c>
      <c r="R604" s="59">
        <v>0</v>
      </c>
      <c r="S604" s="60">
        <f>tblJTL[[#This Row],[timeStamp]]/86400000+DATE(1970,1,1)+TIME(9,0,0)</f>
        <v>46296.418511585653</v>
      </c>
      <c r="T604" s="57">
        <f>tblJTL[[#This Row],[timeStamp]]+tblJTL[[#This Row],[elapsed]]</f>
        <v>1790816559484</v>
      </c>
      <c r="U604" s="61">
        <f>(tblJTL[[#This Row],[timeStamp]]-'17_分析サンプル'!$E$18)/1000</f>
        <v>159.221</v>
      </c>
      <c r="V604" s="57">
        <f>INT(tblJTL[[#This Row],[経過秒]]/60)</f>
        <v>2</v>
      </c>
      <c r="W604" s="57">
        <f>IF(OR(tblJTL[[#This Row],[success]]=FALSE,tblJTL[[#This Row],[success]]="false"),1,0)</f>
        <v>0</v>
      </c>
      <c r="X604" s="57">
        <f>IF(AND(tblJTL[[#This Row],[経過秒]]&gt;='17_分析サンプル'!$E$11,tblJTL[[#This Row],[経過秒]]&lt;'17_分析サンプル'!$E$12),1,0)</f>
        <v>1</v>
      </c>
    </row>
    <row r="605" spans="2:24" ht="14.4" x14ac:dyDescent="0.3">
      <c r="B605" s="57">
        <v>1790816559504</v>
      </c>
      <c r="C605" s="58">
        <v>97</v>
      </c>
      <c r="D605" s="59" t="s">
        <v>1658</v>
      </c>
      <c r="E605" s="59" t="s">
        <v>1577</v>
      </c>
      <c r="F605" s="59" t="s">
        <v>2275</v>
      </c>
      <c r="G605" s="59" t="s">
        <v>3587</v>
      </c>
      <c r="H605" s="59" t="s">
        <v>2281</v>
      </c>
      <c r="I605" s="59" t="b">
        <v>1</v>
      </c>
      <c r="J605" s="59"/>
      <c r="K605" s="58">
        <v>1865</v>
      </c>
      <c r="L605" s="58">
        <v>1342</v>
      </c>
      <c r="M605" s="59">
        <v>10</v>
      </c>
      <c r="N605" s="59">
        <v>10</v>
      </c>
      <c r="O605" s="59" t="s">
        <v>3578</v>
      </c>
      <c r="P605" s="58">
        <v>94</v>
      </c>
      <c r="Q605" s="59">
        <v>0</v>
      </c>
      <c r="R605" s="59">
        <v>0</v>
      </c>
      <c r="S605" s="60">
        <f>tblJTL[[#This Row],[timeStamp]]/86400000+DATE(1970,1,1)+TIME(9,0,0)</f>
        <v>46296.418512777775</v>
      </c>
      <c r="T605" s="57">
        <f>tblJTL[[#This Row],[timeStamp]]+tblJTL[[#This Row],[elapsed]]</f>
        <v>1790816559601</v>
      </c>
      <c r="U605" s="61">
        <f>(tblJTL[[#This Row],[timeStamp]]-'17_分析サンプル'!$E$18)/1000</f>
        <v>159.32400000000001</v>
      </c>
      <c r="V605" s="57">
        <f>INT(tblJTL[[#This Row],[経過秒]]/60)</f>
        <v>2</v>
      </c>
      <c r="W605" s="57">
        <f>IF(OR(tblJTL[[#This Row],[success]]=FALSE,tblJTL[[#This Row],[success]]="false"),1,0)</f>
        <v>0</v>
      </c>
      <c r="X605" s="57">
        <f>IF(AND(tblJTL[[#This Row],[経過秒]]&gt;='17_分析サンプル'!$E$11,tblJTL[[#This Row],[経過秒]]&lt;'17_分析サンプル'!$E$12),1,0)</f>
        <v>1</v>
      </c>
    </row>
    <row r="606" spans="2:24" ht="14.4" x14ac:dyDescent="0.3">
      <c r="B606" s="57">
        <v>1790816559585</v>
      </c>
      <c r="C606" s="58">
        <v>121</v>
      </c>
      <c r="D606" s="59" t="s">
        <v>1658</v>
      </c>
      <c r="E606" s="59" t="s">
        <v>1577</v>
      </c>
      <c r="F606" s="59" t="s">
        <v>2275</v>
      </c>
      <c r="G606" s="59" t="s">
        <v>3588</v>
      </c>
      <c r="H606" s="59" t="s">
        <v>2281</v>
      </c>
      <c r="I606" s="59" t="b">
        <v>1</v>
      </c>
      <c r="J606" s="59"/>
      <c r="K606" s="58">
        <v>1880</v>
      </c>
      <c r="L606" s="58">
        <v>1342</v>
      </c>
      <c r="M606" s="59">
        <v>10</v>
      </c>
      <c r="N606" s="59">
        <v>10</v>
      </c>
      <c r="O606" s="59" t="s">
        <v>3578</v>
      </c>
      <c r="P606" s="58">
        <v>118</v>
      </c>
      <c r="Q606" s="59">
        <v>0</v>
      </c>
      <c r="R606" s="59">
        <v>0</v>
      </c>
      <c r="S606" s="60">
        <f>tblJTL[[#This Row],[timeStamp]]/86400000+DATE(1970,1,1)+TIME(9,0,0)</f>
        <v>46296.418513715282</v>
      </c>
      <c r="T606" s="57">
        <f>tblJTL[[#This Row],[timeStamp]]+tblJTL[[#This Row],[elapsed]]</f>
        <v>1790816559706</v>
      </c>
      <c r="U606" s="61">
        <f>(tblJTL[[#This Row],[timeStamp]]-'17_分析サンプル'!$E$18)/1000</f>
        <v>159.405</v>
      </c>
      <c r="V606" s="57">
        <f>INT(tblJTL[[#This Row],[経過秒]]/60)</f>
        <v>2</v>
      </c>
      <c r="W606" s="57">
        <f>IF(OR(tblJTL[[#This Row],[success]]=FALSE,tblJTL[[#This Row],[success]]="false"),1,0)</f>
        <v>0</v>
      </c>
      <c r="X606" s="57">
        <f>IF(AND(tblJTL[[#This Row],[経過秒]]&gt;='17_分析サンプル'!$E$11,tblJTL[[#This Row],[経過秒]]&lt;'17_分析サンプル'!$E$12),1,0)</f>
        <v>1</v>
      </c>
    </row>
    <row r="607" spans="2:24" ht="14.4" x14ac:dyDescent="0.3">
      <c r="B607" s="57">
        <v>1790816559612</v>
      </c>
      <c r="C607" s="58">
        <v>149</v>
      </c>
      <c r="D607" s="59" t="s">
        <v>1658</v>
      </c>
      <c r="E607" s="59" t="s">
        <v>1577</v>
      </c>
      <c r="F607" s="59" t="s">
        <v>2275</v>
      </c>
      <c r="G607" s="59" t="s">
        <v>2278</v>
      </c>
      <c r="H607" s="59" t="s">
        <v>2281</v>
      </c>
      <c r="I607" s="59" t="b">
        <v>1</v>
      </c>
      <c r="J607" s="59"/>
      <c r="K607" s="58">
        <v>1830</v>
      </c>
      <c r="L607" s="58">
        <v>1342</v>
      </c>
      <c r="M607" s="59">
        <v>10</v>
      </c>
      <c r="N607" s="59">
        <v>10</v>
      </c>
      <c r="O607" s="59" t="s">
        <v>3578</v>
      </c>
      <c r="P607" s="58">
        <v>141</v>
      </c>
      <c r="Q607" s="59">
        <v>0</v>
      </c>
      <c r="R607" s="59">
        <v>0</v>
      </c>
      <c r="S607" s="60">
        <f>tblJTL[[#This Row],[timeStamp]]/86400000+DATE(1970,1,1)+TIME(9,0,0)</f>
        <v>46296.418514027777</v>
      </c>
      <c r="T607" s="57">
        <f>tblJTL[[#This Row],[timeStamp]]+tblJTL[[#This Row],[elapsed]]</f>
        <v>1790816559761</v>
      </c>
      <c r="U607" s="61">
        <f>(tblJTL[[#This Row],[timeStamp]]-'17_分析サンプル'!$E$18)/1000</f>
        <v>159.43199999999999</v>
      </c>
      <c r="V607" s="57">
        <f>INT(tblJTL[[#This Row],[経過秒]]/60)</f>
        <v>2</v>
      </c>
      <c r="W607" s="57">
        <f>IF(OR(tblJTL[[#This Row],[success]]=FALSE,tblJTL[[#This Row],[success]]="false"),1,0)</f>
        <v>0</v>
      </c>
      <c r="X607" s="57">
        <f>IF(AND(tblJTL[[#This Row],[経過秒]]&gt;='17_分析サンプル'!$E$11,tblJTL[[#This Row],[経過秒]]&lt;'17_分析サンプル'!$E$12),1,0)</f>
        <v>1</v>
      </c>
    </row>
    <row r="608" spans="2:24" ht="14.4" x14ac:dyDescent="0.3">
      <c r="B608" s="57">
        <v>1790816559624</v>
      </c>
      <c r="C608" s="58">
        <v>147</v>
      </c>
      <c r="D608" s="59" t="s">
        <v>1677</v>
      </c>
      <c r="E608" s="59" t="s">
        <v>3579</v>
      </c>
      <c r="F608" s="59" t="s">
        <v>3580</v>
      </c>
      <c r="G608" s="59" t="s">
        <v>3583</v>
      </c>
      <c r="H608" s="59" t="s">
        <v>2281</v>
      </c>
      <c r="I608" s="59" t="b">
        <v>1</v>
      </c>
      <c r="J608" s="59"/>
      <c r="K608" s="58">
        <v>421</v>
      </c>
      <c r="L608" s="58">
        <v>1478</v>
      </c>
      <c r="M608" s="59">
        <v>10</v>
      </c>
      <c r="N608" s="59">
        <v>10</v>
      </c>
      <c r="O608" s="59" t="s">
        <v>3581</v>
      </c>
      <c r="P608" s="58">
        <v>143</v>
      </c>
      <c r="Q608" s="59">
        <v>0</v>
      </c>
      <c r="R608" s="59">
        <v>0</v>
      </c>
      <c r="S608" s="60">
        <f>tblJTL[[#This Row],[timeStamp]]/86400000+DATE(1970,1,1)+TIME(9,0,0)</f>
        <v>46296.418514166668</v>
      </c>
      <c r="T608" s="57">
        <f>tblJTL[[#This Row],[timeStamp]]+tblJTL[[#This Row],[elapsed]]</f>
        <v>1790816559771</v>
      </c>
      <c r="U608" s="61">
        <f>(tblJTL[[#This Row],[timeStamp]]-'17_分析サンプル'!$E$18)/1000</f>
        <v>159.44399999999999</v>
      </c>
      <c r="V608" s="57">
        <f>INT(tblJTL[[#This Row],[経過秒]]/60)</f>
        <v>2</v>
      </c>
      <c r="W608" s="57">
        <f>IF(OR(tblJTL[[#This Row],[success]]=FALSE,tblJTL[[#This Row],[success]]="false"),1,0)</f>
        <v>0</v>
      </c>
      <c r="X608" s="57">
        <f>IF(AND(tblJTL[[#This Row],[経過秒]]&gt;='17_分析サンプル'!$E$11,tblJTL[[#This Row],[経過秒]]&lt;'17_分析サンプル'!$E$12),1,0)</f>
        <v>1</v>
      </c>
    </row>
    <row r="609" spans="2:24" ht="14.4" x14ac:dyDescent="0.3">
      <c r="B609" s="57">
        <v>1790816559811</v>
      </c>
      <c r="C609" s="58">
        <v>147</v>
      </c>
      <c r="D609" s="59" t="s">
        <v>1658</v>
      </c>
      <c r="E609" s="59" t="s">
        <v>1577</v>
      </c>
      <c r="F609" s="59" t="s">
        <v>2275</v>
      </c>
      <c r="G609" s="59" t="s">
        <v>3585</v>
      </c>
      <c r="H609" s="59" t="s">
        <v>2281</v>
      </c>
      <c r="I609" s="59" t="b">
        <v>1</v>
      </c>
      <c r="J609" s="59"/>
      <c r="K609" s="58">
        <v>1892</v>
      </c>
      <c r="L609" s="58">
        <v>1342</v>
      </c>
      <c r="M609" s="59">
        <v>10</v>
      </c>
      <c r="N609" s="59">
        <v>10</v>
      </c>
      <c r="O609" s="59" t="s">
        <v>3578</v>
      </c>
      <c r="P609" s="58">
        <v>141</v>
      </c>
      <c r="Q609" s="59">
        <v>0</v>
      </c>
      <c r="R609" s="59">
        <v>0</v>
      </c>
      <c r="S609" s="60">
        <f>tblJTL[[#This Row],[timeStamp]]/86400000+DATE(1970,1,1)+TIME(9,0,0)</f>
        <v>46296.418516331018</v>
      </c>
      <c r="T609" s="57">
        <f>tblJTL[[#This Row],[timeStamp]]+tblJTL[[#This Row],[elapsed]]</f>
        <v>1790816559958</v>
      </c>
      <c r="U609" s="61">
        <f>(tblJTL[[#This Row],[timeStamp]]-'17_分析サンプル'!$E$18)/1000</f>
        <v>159.631</v>
      </c>
      <c r="V609" s="57">
        <f>INT(tblJTL[[#This Row],[経過秒]]/60)</f>
        <v>2</v>
      </c>
      <c r="W609" s="57">
        <f>IF(OR(tblJTL[[#This Row],[success]]=FALSE,tblJTL[[#This Row],[success]]="false"),1,0)</f>
        <v>0</v>
      </c>
      <c r="X609" s="57">
        <f>IF(AND(tblJTL[[#This Row],[経過秒]]&gt;='17_分析サンプル'!$E$11,tblJTL[[#This Row],[経過秒]]&lt;'17_分析サンプル'!$E$12),1,0)</f>
        <v>1</v>
      </c>
    </row>
    <row r="610" spans="2:24" ht="14.4" x14ac:dyDescent="0.3">
      <c r="B610" s="57">
        <v>1790816559997</v>
      </c>
      <c r="C610" s="58">
        <v>243</v>
      </c>
      <c r="D610" s="59" t="s">
        <v>1677</v>
      </c>
      <c r="E610" s="59" t="s">
        <v>3579</v>
      </c>
      <c r="F610" s="59" t="s">
        <v>3580</v>
      </c>
      <c r="G610" s="59" t="s">
        <v>3589</v>
      </c>
      <c r="H610" s="59" t="s">
        <v>2281</v>
      </c>
      <c r="I610" s="59" t="b">
        <v>1</v>
      </c>
      <c r="J610" s="59"/>
      <c r="K610" s="58">
        <v>440</v>
      </c>
      <c r="L610" s="58">
        <v>1478</v>
      </c>
      <c r="M610" s="59">
        <v>10</v>
      </c>
      <c r="N610" s="59">
        <v>10</v>
      </c>
      <c r="O610" s="59" t="s">
        <v>3581</v>
      </c>
      <c r="P610" s="58">
        <v>241</v>
      </c>
      <c r="Q610" s="59">
        <v>0</v>
      </c>
      <c r="R610" s="59">
        <v>0</v>
      </c>
      <c r="S610" s="60">
        <f>tblJTL[[#This Row],[timeStamp]]/86400000+DATE(1970,1,1)+TIME(9,0,0)</f>
        <v>46296.418518483799</v>
      </c>
      <c r="T610" s="57">
        <f>tblJTL[[#This Row],[timeStamp]]+tblJTL[[#This Row],[elapsed]]</f>
        <v>1790816560240</v>
      </c>
      <c r="U610" s="61">
        <f>(tblJTL[[#This Row],[timeStamp]]-'17_分析サンプル'!$E$18)/1000</f>
        <v>159.81700000000001</v>
      </c>
      <c r="V610" s="57">
        <f>INT(tblJTL[[#This Row],[経過秒]]/60)</f>
        <v>2</v>
      </c>
      <c r="W610" s="57">
        <f>IF(OR(tblJTL[[#This Row],[success]]=FALSE,tblJTL[[#This Row],[success]]="false"),1,0)</f>
        <v>0</v>
      </c>
      <c r="X610" s="57">
        <f>IF(AND(tblJTL[[#This Row],[経過秒]]&gt;='17_分析サンプル'!$E$11,tblJTL[[#This Row],[経過秒]]&lt;'17_分析サンプル'!$E$12),1,0)</f>
        <v>1</v>
      </c>
    </row>
    <row r="611" spans="2:24" ht="14.4" x14ac:dyDescent="0.3">
      <c r="B611" s="57">
        <v>1790816560699</v>
      </c>
      <c r="C611" s="58">
        <v>82</v>
      </c>
      <c r="D611" s="59" t="s">
        <v>1658</v>
      </c>
      <c r="E611" s="59" t="s">
        <v>1577</v>
      </c>
      <c r="F611" s="59" t="s">
        <v>2275</v>
      </c>
      <c r="G611" s="59" t="s">
        <v>3586</v>
      </c>
      <c r="H611" s="59" t="s">
        <v>2281</v>
      </c>
      <c r="I611" s="59" t="b">
        <v>1</v>
      </c>
      <c r="J611" s="59"/>
      <c r="K611" s="58">
        <v>1866</v>
      </c>
      <c r="L611" s="58">
        <v>1342</v>
      </c>
      <c r="M611" s="59">
        <v>10</v>
      </c>
      <c r="N611" s="59">
        <v>10</v>
      </c>
      <c r="O611" s="59" t="s">
        <v>3578</v>
      </c>
      <c r="P611" s="58">
        <v>77</v>
      </c>
      <c r="Q611" s="59">
        <v>0</v>
      </c>
      <c r="R611" s="59">
        <v>0</v>
      </c>
      <c r="S611" s="60">
        <f>tblJTL[[#This Row],[timeStamp]]/86400000+DATE(1970,1,1)+TIME(9,0,0)</f>
        <v>46296.418526608795</v>
      </c>
      <c r="T611" s="57">
        <f>tblJTL[[#This Row],[timeStamp]]+tblJTL[[#This Row],[elapsed]]</f>
        <v>1790816560781</v>
      </c>
      <c r="U611" s="61">
        <f>(tblJTL[[#This Row],[timeStamp]]-'17_分析サンプル'!$E$18)/1000</f>
        <v>160.51900000000001</v>
      </c>
      <c r="V611" s="57">
        <f>INT(tblJTL[[#This Row],[経過秒]]/60)</f>
        <v>2</v>
      </c>
      <c r="W611" s="57">
        <f>IF(OR(tblJTL[[#This Row],[success]]=FALSE,tblJTL[[#This Row],[success]]="false"),1,0)</f>
        <v>0</v>
      </c>
      <c r="X611" s="57">
        <f>IF(AND(tblJTL[[#This Row],[経過秒]]&gt;='17_分析サンプル'!$E$11,tblJTL[[#This Row],[経過秒]]&lt;'17_分析サンプル'!$E$12),1,0)</f>
        <v>1</v>
      </c>
    </row>
    <row r="612" spans="2:24" ht="14.4" x14ac:dyDescent="0.3">
      <c r="B612" s="57">
        <v>1790816560789</v>
      </c>
      <c r="C612" s="58">
        <v>322</v>
      </c>
      <c r="D612" s="59" t="s">
        <v>1677</v>
      </c>
      <c r="E612" s="59" t="s">
        <v>3579</v>
      </c>
      <c r="F612" s="59" t="s">
        <v>3580</v>
      </c>
      <c r="G612" s="59" t="s">
        <v>3588</v>
      </c>
      <c r="H612" s="59" t="s">
        <v>2281</v>
      </c>
      <c r="I612" s="59" t="b">
        <v>1</v>
      </c>
      <c r="J612" s="59"/>
      <c r="K612" s="58">
        <v>415</v>
      </c>
      <c r="L612" s="58">
        <v>1478</v>
      </c>
      <c r="M612" s="59">
        <v>10</v>
      </c>
      <c r="N612" s="59">
        <v>10</v>
      </c>
      <c r="O612" s="59" t="s">
        <v>3581</v>
      </c>
      <c r="P612" s="58">
        <v>316</v>
      </c>
      <c r="Q612" s="59">
        <v>0</v>
      </c>
      <c r="R612" s="59">
        <v>0</v>
      </c>
      <c r="S612" s="60">
        <f>tblJTL[[#This Row],[timeStamp]]/86400000+DATE(1970,1,1)+TIME(9,0,0)</f>
        <v>46296.418527650458</v>
      </c>
      <c r="T612" s="57">
        <f>tblJTL[[#This Row],[timeStamp]]+tblJTL[[#This Row],[elapsed]]</f>
        <v>1790816561111</v>
      </c>
      <c r="U612" s="61">
        <f>(tblJTL[[#This Row],[timeStamp]]-'17_分析サンプル'!$E$18)/1000</f>
        <v>160.60900000000001</v>
      </c>
      <c r="V612" s="57">
        <f>INT(tblJTL[[#This Row],[経過秒]]/60)</f>
        <v>2</v>
      </c>
      <c r="W612" s="57">
        <f>IF(OR(tblJTL[[#This Row],[success]]=FALSE,tblJTL[[#This Row],[success]]="false"),1,0)</f>
        <v>0</v>
      </c>
      <c r="X612" s="57">
        <f>IF(AND(tblJTL[[#This Row],[経過秒]]&gt;='17_分析サンプル'!$E$11,tblJTL[[#This Row],[経過秒]]&lt;'17_分析サンプル'!$E$12),1,0)</f>
        <v>1</v>
      </c>
    </row>
    <row r="613" spans="2:24" ht="14.4" x14ac:dyDescent="0.3">
      <c r="B613" s="57">
        <v>1790816561172</v>
      </c>
      <c r="C613" s="58">
        <v>147</v>
      </c>
      <c r="D613" s="59" t="s">
        <v>1658</v>
      </c>
      <c r="E613" s="59" t="s">
        <v>1577</v>
      </c>
      <c r="F613" s="59" t="s">
        <v>2275</v>
      </c>
      <c r="G613" s="59" t="s">
        <v>3577</v>
      </c>
      <c r="H613" s="59" t="s">
        <v>2281</v>
      </c>
      <c r="I613" s="59" t="b">
        <v>1</v>
      </c>
      <c r="J613" s="59"/>
      <c r="K613" s="58">
        <v>1839</v>
      </c>
      <c r="L613" s="58">
        <v>1342</v>
      </c>
      <c r="M613" s="59">
        <v>10</v>
      </c>
      <c r="N613" s="59">
        <v>10</v>
      </c>
      <c r="O613" s="59" t="s">
        <v>3578</v>
      </c>
      <c r="P613" s="58">
        <v>143</v>
      </c>
      <c r="Q613" s="59">
        <v>0</v>
      </c>
      <c r="R613" s="59">
        <v>0</v>
      </c>
      <c r="S613" s="60">
        <f>tblJTL[[#This Row],[timeStamp]]/86400000+DATE(1970,1,1)+TIME(9,0,0)</f>
        <v>46296.418532083335</v>
      </c>
      <c r="T613" s="57">
        <f>tblJTL[[#This Row],[timeStamp]]+tblJTL[[#This Row],[elapsed]]</f>
        <v>1790816561319</v>
      </c>
      <c r="U613" s="61">
        <f>(tblJTL[[#This Row],[timeStamp]]-'17_分析サンプル'!$E$18)/1000</f>
        <v>160.99199999999999</v>
      </c>
      <c r="V613" s="57">
        <f>INT(tblJTL[[#This Row],[経過秒]]/60)</f>
        <v>2</v>
      </c>
      <c r="W613" s="57">
        <f>IF(OR(tblJTL[[#This Row],[success]]=FALSE,tblJTL[[#This Row],[success]]="false"),1,0)</f>
        <v>0</v>
      </c>
      <c r="X613" s="57">
        <f>IF(AND(tblJTL[[#This Row],[経過秒]]&gt;='17_分析サンプル'!$E$11,tblJTL[[#This Row],[経過秒]]&lt;'17_分析サンプル'!$E$12),1,0)</f>
        <v>1</v>
      </c>
    </row>
    <row r="614" spans="2:24" ht="14.4" x14ac:dyDescent="0.3">
      <c r="B614" s="57">
        <v>1790816561422</v>
      </c>
      <c r="C614" s="58">
        <v>225</v>
      </c>
      <c r="D614" s="59" t="s">
        <v>1677</v>
      </c>
      <c r="E614" s="59" t="s">
        <v>3579</v>
      </c>
      <c r="F614" s="59" t="s">
        <v>3580</v>
      </c>
      <c r="G614" s="59" t="s">
        <v>3582</v>
      </c>
      <c r="H614" s="59" t="s">
        <v>2281</v>
      </c>
      <c r="I614" s="59" t="b">
        <v>1</v>
      </c>
      <c r="J614" s="59"/>
      <c r="K614" s="58">
        <v>431</v>
      </c>
      <c r="L614" s="58">
        <v>1478</v>
      </c>
      <c r="M614" s="59">
        <v>10</v>
      </c>
      <c r="N614" s="59">
        <v>10</v>
      </c>
      <c r="O614" s="59" t="s">
        <v>3581</v>
      </c>
      <c r="P614" s="58">
        <v>219</v>
      </c>
      <c r="Q614" s="59">
        <v>0</v>
      </c>
      <c r="R614" s="59">
        <v>0</v>
      </c>
      <c r="S614" s="60">
        <f>tblJTL[[#This Row],[timeStamp]]/86400000+DATE(1970,1,1)+TIME(9,0,0)</f>
        <v>46296.418534976852</v>
      </c>
      <c r="T614" s="57">
        <f>tblJTL[[#This Row],[timeStamp]]+tblJTL[[#This Row],[elapsed]]</f>
        <v>1790816561647</v>
      </c>
      <c r="U614" s="61">
        <f>(tblJTL[[#This Row],[timeStamp]]-'17_分析サンプル'!$E$18)/1000</f>
        <v>161.24199999999999</v>
      </c>
      <c r="V614" s="57">
        <f>INT(tblJTL[[#This Row],[経過秒]]/60)</f>
        <v>2</v>
      </c>
      <c r="W614" s="57">
        <f>IF(OR(tblJTL[[#This Row],[success]]=FALSE,tblJTL[[#This Row],[success]]="false"),1,0)</f>
        <v>0</v>
      </c>
      <c r="X614" s="57">
        <f>IF(AND(tblJTL[[#This Row],[経過秒]]&gt;='17_分析サンプル'!$E$11,tblJTL[[#This Row],[経過秒]]&lt;'17_分析サンプル'!$E$12),1,0)</f>
        <v>1</v>
      </c>
    </row>
    <row r="615" spans="2:24" ht="14.4" x14ac:dyDescent="0.3">
      <c r="B615" s="57">
        <v>1790816561706</v>
      </c>
      <c r="C615" s="58">
        <v>253</v>
      </c>
      <c r="D615" s="59" t="s">
        <v>1677</v>
      </c>
      <c r="E615" s="59" t="s">
        <v>3579</v>
      </c>
      <c r="F615" s="59" t="s">
        <v>3580</v>
      </c>
      <c r="G615" s="59" t="s">
        <v>2278</v>
      </c>
      <c r="H615" s="59" t="s">
        <v>2281</v>
      </c>
      <c r="I615" s="59" t="b">
        <v>1</v>
      </c>
      <c r="J615" s="59"/>
      <c r="K615" s="58">
        <v>428</v>
      </c>
      <c r="L615" s="58">
        <v>1478</v>
      </c>
      <c r="M615" s="59">
        <v>10</v>
      </c>
      <c r="N615" s="59">
        <v>10</v>
      </c>
      <c r="O615" s="59" t="s">
        <v>3581</v>
      </c>
      <c r="P615" s="58">
        <v>249</v>
      </c>
      <c r="Q615" s="59">
        <v>0</v>
      </c>
      <c r="R615" s="59">
        <v>0</v>
      </c>
      <c r="S615" s="60">
        <f>tblJTL[[#This Row],[timeStamp]]/86400000+DATE(1970,1,1)+TIME(9,0,0)</f>
        <v>46296.41853826389</v>
      </c>
      <c r="T615" s="57">
        <f>tblJTL[[#This Row],[timeStamp]]+tblJTL[[#This Row],[elapsed]]</f>
        <v>1790816561959</v>
      </c>
      <c r="U615" s="61">
        <f>(tblJTL[[#This Row],[timeStamp]]-'17_分析サンプル'!$E$18)/1000</f>
        <v>161.52600000000001</v>
      </c>
      <c r="V615" s="57">
        <f>INT(tblJTL[[#This Row],[経過秒]]/60)</f>
        <v>2</v>
      </c>
      <c r="W615" s="57">
        <f>IF(OR(tblJTL[[#This Row],[success]]=FALSE,tblJTL[[#This Row],[success]]="false"),1,0)</f>
        <v>0</v>
      </c>
      <c r="X615" s="57">
        <f>IF(AND(tblJTL[[#This Row],[経過秒]]&gt;='17_分析サンプル'!$E$11,tblJTL[[#This Row],[経過秒]]&lt;'17_分析サンプル'!$E$12),1,0)</f>
        <v>1</v>
      </c>
    </row>
    <row r="616" spans="2:24" ht="14.4" x14ac:dyDescent="0.3">
      <c r="B616" s="57">
        <v>1790816560646</v>
      </c>
      <c r="C616" s="58">
        <v>1339</v>
      </c>
      <c r="D616" s="59" t="s">
        <v>1677</v>
      </c>
      <c r="E616" s="59" t="s">
        <v>3579</v>
      </c>
      <c r="F616" s="59" t="s">
        <v>3580</v>
      </c>
      <c r="G616" s="59" t="s">
        <v>3584</v>
      </c>
      <c r="H616" s="59" t="s">
        <v>2281</v>
      </c>
      <c r="I616" s="59" t="b">
        <v>1</v>
      </c>
      <c r="J616" s="59"/>
      <c r="K616" s="58">
        <v>425</v>
      </c>
      <c r="L616" s="58">
        <v>1478</v>
      </c>
      <c r="M616" s="59">
        <v>10</v>
      </c>
      <c r="N616" s="59">
        <v>10</v>
      </c>
      <c r="O616" s="59" t="s">
        <v>3581</v>
      </c>
      <c r="P616" s="58">
        <v>1333</v>
      </c>
      <c r="Q616" s="59">
        <v>0</v>
      </c>
      <c r="R616" s="59">
        <v>0</v>
      </c>
      <c r="S616" s="60">
        <f>tblJTL[[#This Row],[timeStamp]]/86400000+DATE(1970,1,1)+TIME(9,0,0)</f>
        <v>46296.418525995367</v>
      </c>
      <c r="T616" s="57">
        <f>tblJTL[[#This Row],[timeStamp]]+tblJTL[[#This Row],[elapsed]]</f>
        <v>1790816561985</v>
      </c>
      <c r="U616" s="61">
        <f>(tblJTL[[#This Row],[timeStamp]]-'17_分析サンプル'!$E$18)/1000</f>
        <v>160.46600000000001</v>
      </c>
      <c r="V616" s="57">
        <f>INT(tblJTL[[#This Row],[経過秒]]/60)</f>
        <v>2</v>
      </c>
      <c r="W616" s="57">
        <f>IF(OR(tblJTL[[#This Row],[success]]=FALSE,tblJTL[[#This Row],[success]]="false"),1,0)</f>
        <v>0</v>
      </c>
      <c r="X616" s="57">
        <f>IF(AND(tblJTL[[#This Row],[経過秒]]&gt;='17_分析サンプル'!$E$11,tblJTL[[#This Row],[経過秒]]&lt;'17_分析サンプル'!$E$12),1,0)</f>
        <v>1</v>
      </c>
    </row>
    <row r="617" spans="2:24" ht="14.4" x14ac:dyDescent="0.3">
      <c r="B617" s="57">
        <v>1790816561723</v>
      </c>
      <c r="C617" s="58">
        <v>347</v>
      </c>
      <c r="D617" s="59" t="s">
        <v>1677</v>
      </c>
      <c r="E617" s="59" t="s">
        <v>3579</v>
      </c>
      <c r="F617" s="59" t="s">
        <v>3580</v>
      </c>
      <c r="G617" s="59" t="s">
        <v>3585</v>
      </c>
      <c r="H617" s="59" t="s">
        <v>2281</v>
      </c>
      <c r="I617" s="59" t="b">
        <v>1</v>
      </c>
      <c r="J617" s="59"/>
      <c r="K617" s="58">
        <v>413</v>
      </c>
      <c r="L617" s="58">
        <v>1478</v>
      </c>
      <c r="M617" s="59">
        <v>10</v>
      </c>
      <c r="N617" s="59">
        <v>10</v>
      </c>
      <c r="O617" s="59" t="s">
        <v>3581</v>
      </c>
      <c r="P617" s="58">
        <v>343</v>
      </c>
      <c r="Q617" s="59">
        <v>0</v>
      </c>
      <c r="R617" s="59">
        <v>0</v>
      </c>
      <c r="S617" s="60">
        <f>tblJTL[[#This Row],[timeStamp]]/86400000+DATE(1970,1,1)+TIME(9,0,0)</f>
        <v>46296.418538460654</v>
      </c>
      <c r="T617" s="57">
        <f>tblJTL[[#This Row],[timeStamp]]+tblJTL[[#This Row],[elapsed]]</f>
        <v>1790816562070</v>
      </c>
      <c r="U617" s="61">
        <f>(tblJTL[[#This Row],[timeStamp]]-'17_分析サンプル'!$E$18)/1000</f>
        <v>161.54300000000001</v>
      </c>
      <c r="V617" s="57">
        <f>INT(tblJTL[[#This Row],[経過秒]]/60)</f>
        <v>2</v>
      </c>
      <c r="W617" s="57">
        <f>IF(OR(tblJTL[[#This Row],[success]]=FALSE,tblJTL[[#This Row],[success]]="false"),1,0)</f>
        <v>0</v>
      </c>
      <c r="X617" s="57">
        <f>IF(AND(tblJTL[[#This Row],[経過秒]]&gt;='17_分析サンプル'!$E$11,tblJTL[[#This Row],[経過秒]]&lt;'17_分析サンプル'!$E$12),1,0)</f>
        <v>1</v>
      </c>
    </row>
    <row r="618" spans="2:24" ht="14.4" x14ac:dyDescent="0.3">
      <c r="B618" s="57">
        <v>1790816562103</v>
      </c>
      <c r="C618" s="58">
        <v>107</v>
      </c>
      <c r="D618" s="59" t="s">
        <v>1658</v>
      </c>
      <c r="E618" s="59" t="s">
        <v>1577</v>
      </c>
      <c r="F618" s="59" t="s">
        <v>2275</v>
      </c>
      <c r="G618" s="59" t="s">
        <v>3583</v>
      </c>
      <c r="H618" s="59" t="s">
        <v>2281</v>
      </c>
      <c r="I618" s="59" t="b">
        <v>1</v>
      </c>
      <c r="J618" s="59"/>
      <c r="K618" s="58">
        <v>1861</v>
      </c>
      <c r="L618" s="58">
        <v>1342</v>
      </c>
      <c r="M618" s="59">
        <v>10</v>
      </c>
      <c r="N618" s="59">
        <v>10</v>
      </c>
      <c r="O618" s="59" t="s">
        <v>3578</v>
      </c>
      <c r="P618" s="58">
        <v>102</v>
      </c>
      <c r="Q618" s="59">
        <v>0</v>
      </c>
      <c r="R618" s="59">
        <v>0</v>
      </c>
      <c r="S618" s="60">
        <f>tblJTL[[#This Row],[timeStamp]]/86400000+DATE(1970,1,1)+TIME(9,0,0)</f>
        <v>46296.418542858795</v>
      </c>
      <c r="T618" s="57">
        <f>tblJTL[[#This Row],[timeStamp]]+tblJTL[[#This Row],[elapsed]]</f>
        <v>1790816562210</v>
      </c>
      <c r="U618" s="61">
        <f>(tblJTL[[#This Row],[timeStamp]]-'17_分析サンプル'!$E$18)/1000</f>
        <v>161.923</v>
      </c>
      <c r="V618" s="57">
        <f>INT(tblJTL[[#This Row],[経過秒]]/60)</f>
        <v>2</v>
      </c>
      <c r="W618" s="57">
        <f>IF(OR(tblJTL[[#This Row],[success]]=FALSE,tblJTL[[#This Row],[success]]="false"),1,0)</f>
        <v>0</v>
      </c>
      <c r="X618" s="57">
        <f>IF(AND(tblJTL[[#This Row],[経過秒]]&gt;='17_分析サンプル'!$E$11,tblJTL[[#This Row],[経過秒]]&lt;'17_分析サンプル'!$E$12),1,0)</f>
        <v>1</v>
      </c>
    </row>
    <row r="619" spans="2:24" ht="14.4" x14ac:dyDescent="0.3">
      <c r="B619" s="57">
        <v>1790816562205</v>
      </c>
      <c r="C619" s="58">
        <v>159</v>
      </c>
      <c r="D619" s="59" t="s">
        <v>1677</v>
      </c>
      <c r="E619" s="59" t="s">
        <v>3579</v>
      </c>
      <c r="F619" s="59" t="s">
        <v>3580</v>
      </c>
      <c r="G619" s="59" t="s">
        <v>3587</v>
      </c>
      <c r="H619" s="59" t="s">
        <v>2281</v>
      </c>
      <c r="I619" s="59" t="b">
        <v>1</v>
      </c>
      <c r="J619" s="59"/>
      <c r="K619" s="58">
        <v>429</v>
      </c>
      <c r="L619" s="58">
        <v>1478</v>
      </c>
      <c r="M619" s="59">
        <v>10</v>
      </c>
      <c r="N619" s="59">
        <v>10</v>
      </c>
      <c r="O619" s="59" t="s">
        <v>3581</v>
      </c>
      <c r="P619" s="58">
        <v>157</v>
      </c>
      <c r="Q619" s="59">
        <v>0</v>
      </c>
      <c r="R619" s="59">
        <v>0</v>
      </c>
      <c r="S619" s="60">
        <f>tblJTL[[#This Row],[timeStamp]]/86400000+DATE(1970,1,1)+TIME(9,0,0)</f>
        <v>46296.418544039348</v>
      </c>
      <c r="T619" s="57">
        <f>tblJTL[[#This Row],[timeStamp]]+tblJTL[[#This Row],[elapsed]]</f>
        <v>1790816562364</v>
      </c>
      <c r="U619" s="61">
        <f>(tblJTL[[#This Row],[timeStamp]]-'17_分析サンプル'!$E$18)/1000</f>
        <v>162.02500000000001</v>
      </c>
      <c r="V619" s="57">
        <f>INT(tblJTL[[#This Row],[経過秒]]/60)</f>
        <v>2</v>
      </c>
      <c r="W619" s="57">
        <f>IF(OR(tblJTL[[#This Row],[success]]=FALSE,tblJTL[[#This Row],[success]]="false"),1,0)</f>
        <v>0</v>
      </c>
      <c r="X619" s="57">
        <f>IF(AND(tblJTL[[#This Row],[経過秒]]&gt;='17_分析サンプル'!$E$11,tblJTL[[#This Row],[経過秒]]&lt;'17_分析サンプル'!$E$12),1,0)</f>
        <v>1</v>
      </c>
    </row>
    <row r="620" spans="2:24" ht="14.4" x14ac:dyDescent="0.3">
      <c r="B620" s="57">
        <v>1790816562639</v>
      </c>
      <c r="C620" s="58">
        <v>153</v>
      </c>
      <c r="D620" s="59" t="s">
        <v>1658</v>
      </c>
      <c r="E620" s="59" t="s">
        <v>1577</v>
      </c>
      <c r="F620" s="59" t="s">
        <v>2275</v>
      </c>
      <c r="G620" s="59" t="s">
        <v>3589</v>
      </c>
      <c r="H620" s="59" t="s">
        <v>2281</v>
      </c>
      <c r="I620" s="59" t="b">
        <v>1</v>
      </c>
      <c r="J620" s="59"/>
      <c r="K620" s="58">
        <v>1857</v>
      </c>
      <c r="L620" s="58">
        <v>1342</v>
      </c>
      <c r="M620" s="59">
        <v>10</v>
      </c>
      <c r="N620" s="59">
        <v>10</v>
      </c>
      <c r="O620" s="59" t="s">
        <v>3578</v>
      </c>
      <c r="P620" s="58">
        <v>145</v>
      </c>
      <c r="Q620" s="59">
        <v>0</v>
      </c>
      <c r="R620" s="59">
        <v>0</v>
      </c>
      <c r="S620" s="60">
        <f>tblJTL[[#This Row],[timeStamp]]/86400000+DATE(1970,1,1)+TIME(9,0,0)</f>
        <v>46296.418549062495</v>
      </c>
      <c r="T620" s="57">
        <f>tblJTL[[#This Row],[timeStamp]]+tblJTL[[#This Row],[elapsed]]</f>
        <v>1790816562792</v>
      </c>
      <c r="U620" s="61">
        <f>(tblJTL[[#This Row],[timeStamp]]-'17_分析サンプル'!$E$18)/1000</f>
        <v>162.459</v>
      </c>
      <c r="V620" s="57">
        <f>INT(tblJTL[[#This Row],[経過秒]]/60)</f>
        <v>2</v>
      </c>
      <c r="W620" s="57">
        <f>IF(OR(tblJTL[[#This Row],[success]]=FALSE,tblJTL[[#This Row],[success]]="false"),1,0)</f>
        <v>0</v>
      </c>
      <c r="X620" s="57">
        <f>IF(AND(tblJTL[[#This Row],[経過秒]]&gt;='17_分析サンプル'!$E$11,tblJTL[[#This Row],[経過秒]]&lt;'17_分析サンプル'!$E$12),1,0)</f>
        <v>1</v>
      </c>
    </row>
    <row r="621" spans="2:24" ht="14.4" x14ac:dyDescent="0.3">
      <c r="B621" s="57">
        <v>1790816562686</v>
      </c>
      <c r="C621" s="58">
        <v>182</v>
      </c>
      <c r="D621" s="59" t="s">
        <v>1658</v>
      </c>
      <c r="E621" s="59" t="s">
        <v>1577</v>
      </c>
      <c r="F621" s="59" t="s">
        <v>2275</v>
      </c>
      <c r="G621" s="59" t="s">
        <v>3582</v>
      </c>
      <c r="H621" s="59" t="s">
        <v>2281</v>
      </c>
      <c r="I621" s="59" t="b">
        <v>1</v>
      </c>
      <c r="J621" s="59"/>
      <c r="K621" s="58">
        <v>1899</v>
      </c>
      <c r="L621" s="58">
        <v>1342</v>
      </c>
      <c r="M621" s="59">
        <v>10</v>
      </c>
      <c r="N621" s="59">
        <v>10</v>
      </c>
      <c r="O621" s="59" t="s">
        <v>3578</v>
      </c>
      <c r="P621" s="58">
        <v>178</v>
      </c>
      <c r="Q621" s="59">
        <v>0</v>
      </c>
      <c r="R621" s="59">
        <v>0</v>
      </c>
      <c r="S621" s="60">
        <f>tblJTL[[#This Row],[timeStamp]]/86400000+DATE(1970,1,1)+TIME(9,0,0)</f>
        <v>46296.418549606482</v>
      </c>
      <c r="T621" s="57">
        <f>tblJTL[[#This Row],[timeStamp]]+tblJTL[[#This Row],[elapsed]]</f>
        <v>1790816562868</v>
      </c>
      <c r="U621" s="61">
        <f>(tblJTL[[#This Row],[timeStamp]]-'17_分析サンプル'!$E$18)/1000</f>
        <v>162.506</v>
      </c>
      <c r="V621" s="57">
        <f>INT(tblJTL[[#This Row],[経過秒]]/60)</f>
        <v>2</v>
      </c>
      <c r="W621" s="57">
        <f>IF(OR(tblJTL[[#This Row],[success]]=FALSE,tblJTL[[#This Row],[success]]="false"),1,0)</f>
        <v>0</v>
      </c>
      <c r="X621" s="57">
        <f>IF(AND(tblJTL[[#This Row],[経過秒]]&gt;='17_分析サンプル'!$E$11,tblJTL[[#This Row],[経過秒]]&lt;'17_分析サンプル'!$E$12),1,0)</f>
        <v>1</v>
      </c>
    </row>
    <row r="622" spans="2:24" ht="14.4" x14ac:dyDescent="0.3">
      <c r="B622" s="57">
        <v>1790816563134</v>
      </c>
      <c r="C622" s="58">
        <v>234</v>
      </c>
      <c r="D622" s="59" t="s">
        <v>1677</v>
      </c>
      <c r="E622" s="59" t="s">
        <v>3579</v>
      </c>
      <c r="F622" s="59" t="s">
        <v>3580</v>
      </c>
      <c r="G622" s="59" t="s">
        <v>3577</v>
      </c>
      <c r="H622" s="59" t="s">
        <v>2281</v>
      </c>
      <c r="I622" s="59" t="b">
        <v>1</v>
      </c>
      <c r="J622" s="59"/>
      <c r="K622" s="58">
        <v>434</v>
      </c>
      <c r="L622" s="58">
        <v>1478</v>
      </c>
      <c r="M622" s="59">
        <v>10</v>
      </c>
      <c r="N622" s="59">
        <v>10</v>
      </c>
      <c r="O622" s="59" t="s">
        <v>3581</v>
      </c>
      <c r="P622" s="58">
        <v>230</v>
      </c>
      <c r="Q622" s="59">
        <v>0</v>
      </c>
      <c r="R622" s="59">
        <v>0</v>
      </c>
      <c r="S622" s="60">
        <f>tblJTL[[#This Row],[timeStamp]]/86400000+DATE(1970,1,1)+TIME(9,0,0)</f>
        <v>46296.418554791671</v>
      </c>
      <c r="T622" s="57">
        <f>tblJTL[[#This Row],[timeStamp]]+tblJTL[[#This Row],[elapsed]]</f>
        <v>1790816563368</v>
      </c>
      <c r="U622" s="61">
        <f>(tblJTL[[#This Row],[timeStamp]]-'17_分析サンプル'!$E$18)/1000</f>
        <v>162.95400000000001</v>
      </c>
      <c r="V622" s="57">
        <f>INT(tblJTL[[#This Row],[経過秒]]/60)</f>
        <v>2</v>
      </c>
      <c r="W622" s="57">
        <f>IF(OR(tblJTL[[#This Row],[success]]=FALSE,tblJTL[[#This Row],[success]]="false"),1,0)</f>
        <v>0</v>
      </c>
      <c r="X622" s="57">
        <f>IF(AND(tblJTL[[#This Row],[経過秒]]&gt;='17_分析サンプル'!$E$11,tblJTL[[#This Row],[経過秒]]&lt;'17_分析サンプル'!$E$12),1,0)</f>
        <v>1</v>
      </c>
    </row>
    <row r="623" spans="2:24" ht="14.4" x14ac:dyDescent="0.3">
      <c r="B623" s="57">
        <v>1790816563552</v>
      </c>
      <c r="C623" s="58">
        <v>84</v>
      </c>
      <c r="D623" s="59" t="s">
        <v>1658</v>
      </c>
      <c r="E623" s="59" t="s">
        <v>1577</v>
      </c>
      <c r="F623" s="59" t="s">
        <v>2275</v>
      </c>
      <c r="G623" s="59" t="s">
        <v>2278</v>
      </c>
      <c r="H623" s="59" t="s">
        <v>2281</v>
      </c>
      <c r="I623" s="59" t="b">
        <v>1</v>
      </c>
      <c r="J623" s="59"/>
      <c r="K623" s="58">
        <v>1879</v>
      </c>
      <c r="L623" s="58">
        <v>1342</v>
      </c>
      <c r="M623" s="59">
        <v>10</v>
      </c>
      <c r="N623" s="59">
        <v>10</v>
      </c>
      <c r="O623" s="59" t="s">
        <v>3578</v>
      </c>
      <c r="P623" s="58">
        <v>80</v>
      </c>
      <c r="Q623" s="59">
        <v>0</v>
      </c>
      <c r="R623" s="59">
        <v>0</v>
      </c>
      <c r="S623" s="60">
        <f>tblJTL[[#This Row],[timeStamp]]/86400000+DATE(1970,1,1)+TIME(9,0,0)</f>
        <v>46296.41855962963</v>
      </c>
      <c r="T623" s="57">
        <f>tblJTL[[#This Row],[timeStamp]]+tblJTL[[#This Row],[elapsed]]</f>
        <v>1790816563636</v>
      </c>
      <c r="U623" s="61">
        <f>(tblJTL[[#This Row],[timeStamp]]-'17_分析サンプル'!$E$18)/1000</f>
        <v>163.37200000000001</v>
      </c>
      <c r="V623" s="57">
        <f>INT(tblJTL[[#This Row],[経過秒]]/60)</f>
        <v>2</v>
      </c>
      <c r="W623" s="57">
        <f>IF(OR(tblJTL[[#This Row],[success]]=FALSE,tblJTL[[#This Row],[success]]="false"),1,0)</f>
        <v>0</v>
      </c>
      <c r="X623" s="57">
        <f>IF(AND(tblJTL[[#This Row],[経過秒]]&gt;='17_分析サンプル'!$E$11,tblJTL[[#This Row],[経過秒]]&lt;'17_分析サンプル'!$E$12),1,0)</f>
        <v>1</v>
      </c>
    </row>
    <row r="624" spans="2:24" ht="14.4" x14ac:dyDescent="0.3">
      <c r="B624" s="57">
        <v>1790816563392</v>
      </c>
      <c r="C624" s="58">
        <v>379</v>
      </c>
      <c r="D624" s="59" t="s">
        <v>1677</v>
      </c>
      <c r="E624" s="59" t="s">
        <v>3579</v>
      </c>
      <c r="F624" s="59" t="s">
        <v>3580</v>
      </c>
      <c r="G624" s="59" t="s">
        <v>3586</v>
      </c>
      <c r="H624" s="59" t="s">
        <v>2281</v>
      </c>
      <c r="I624" s="59" t="b">
        <v>1</v>
      </c>
      <c r="J624" s="59"/>
      <c r="K624" s="58">
        <v>430</v>
      </c>
      <c r="L624" s="58">
        <v>1478</v>
      </c>
      <c r="M624" s="59">
        <v>10</v>
      </c>
      <c r="N624" s="59">
        <v>10</v>
      </c>
      <c r="O624" s="59" t="s">
        <v>3581</v>
      </c>
      <c r="P624" s="58">
        <v>375</v>
      </c>
      <c r="Q624" s="59">
        <v>0</v>
      </c>
      <c r="R624" s="59">
        <v>68</v>
      </c>
      <c r="S624" s="60">
        <f>tblJTL[[#This Row],[timeStamp]]/86400000+DATE(1970,1,1)+TIME(9,0,0)</f>
        <v>46296.418557777783</v>
      </c>
      <c r="T624" s="57">
        <f>tblJTL[[#This Row],[timeStamp]]+tblJTL[[#This Row],[elapsed]]</f>
        <v>1790816563771</v>
      </c>
      <c r="U624" s="61">
        <f>(tblJTL[[#This Row],[timeStamp]]-'17_分析サンプル'!$E$18)/1000</f>
        <v>163.21199999999999</v>
      </c>
      <c r="V624" s="57">
        <f>INT(tblJTL[[#This Row],[経過秒]]/60)</f>
        <v>2</v>
      </c>
      <c r="W624" s="57">
        <f>IF(OR(tblJTL[[#This Row],[success]]=FALSE,tblJTL[[#This Row],[success]]="false"),1,0)</f>
        <v>0</v>
      </c>
      <c r="X624" s="57">
        <f>IF(AND(tblJTL[[#This Row],[経過秒]]&gt;='17_分析サンプル'!$E$11,tblJTL[[#This Row],[経過秒]]&lt;'17_分析サンプル'!$E$12),1,0)</f>
        <v>1</v>
      </c>
    </row>
    <row r="625" spans="2:24" ht="14.4" x14ac:dyDescent="0.3">
      <c r="B625" s="57">
        <v>1790816563534</v>
      </c>
      <c r="C625" s="58">
        <v>252</v>
      </c>
      <c r="D625" s="59" t="s">
        <v>1677</v>
      </c>
      <c r="E625" s="59" t="s">
        <v>3579</v>
      </c>
      <c r="F625" s="59" t="s">
        <v>3580</v>
      </c>
      <c r="G625" s="59" t="s">
        <v>3583</v>
      </c>
      <c r="H625" s="59" t="s">
        <v>2281</v>
      </c>
      <c r="I625" s="59" t="b">
        <v>1</v>
      </c>
      <c r="J625" s="59"/>
      <c r="K625" s="58">
        <v>435</v>
      </c>
      <c r="L625" s="58">
        <v>1478</v>
      </c>
      <c r="M625" s="59">
        <v>10</v>
      </c>
      <c r="N625" s="59">
        <v>10</v>
      </c>
      <c r="O625" s="59" t="s">
        <v>3581</v>
      </c>
      <c r="P625" s="58">
        <v>244</v>
      </c>
      <c r="Q625" s="59">
        <v>0</v>
      </c>
      <c r="R625" s="59">
        <v>0</v>
      </c>
      <c r="S625" s="60">
        <f>tblJTL[[#This Row],[timeStamp]]/86400000+DATE(1970,1,1)+TIME(9,0,0)</f>
        <v>46296.418559421298</v>
      </c>
      <c r="T625" s="57">
        <f>tblJTL[[#This Row],[timeStamp]]+tblJTL[[#This Row],[elapsed]]</f>
        <v>1790816563786</v>
      </c>
      <c r="U625" s="61">
        <f>(tblJTL[[#This Row],[timeStamp]]-'17_分析サンプル'!$E$18)/1000</f>
        <v>163.35400000000001</v>
      </c>
      <c r="V625" s="57">
        <f>INT(tblJTL[[#This Row],[経過秒]]/60)</f>
        <v>2</v>
      </c>
      <c r="W625" s="57">
        <f>IF(OR(tblJTL[[#This Row],[success]]=FALSE,tblJTL[[#This Row],[success]]="false"),1,0)</f>
        <v>0</v>
      </c>
      <c r="X625" s="57">
        <f>IF(AND(tblJTL[[#This Row],[経過秒]]&gt;='17_分析サンプル'!$E$11,tblJTL[[#This Row],[経過秒]]&lt;'17_分析サンプル'!$E$12),1,0)</f>
        <v>1</v>
      </c>
    </row>
    <row r="626" spans="2:24" ht="14.4" x14ac:dyDescent="0.3">
      <c r="B626" s="57">
        <v>1790816563763</v>
      </c>
      <c r="C626" s="58">
        <v>148</v>
      </c>
      <c r="D626" s="59" t="s">
        <v>1658</v>
      </c>
      <c r="E626" s="59" t="s">
        <v>1577</v>
      </c>
      <c r="F626" s="59" t="s">
        <v>2275</v>
      </c>
      <c r="G626" s="59" t="s">
        <v>3587</v>
      </c>
      <c r="H626" s="59" t="s">
        <v>2281</v>
      </c>
      <c r="I626" s="59" t="b">
        <v>1</v>
      </c>
      <c r="J626" s="59"/>
      <c r="K626" s="58">
        <v>1834</v>
      </c>
      <c r="L626" s="58">
        <v>1342</v>
      </c>
      <c r="M626" s="59">
        <v>10</v>
      </c>
      <c r="N626" s="59">
        <v>10</v>
      </c>
      <c r="O626" s="59" t="s">
        <v>3578</v>
      </c>
      <c r="P626" s="58">
        <v>143</v>
      </c>
      <c r="Q626" s="59">
        <v>0</v>
      </c>
      <c r="R626" s="59">
        <v>0</v>
      </c>
      <c r="S626" s="60">
        <f>tblJTL[[#This Row],[timeStamp]]/86400000+DATE(1970,1,1)+TIME(9,0,0)</f>
        <v>46296.418562071762</v>
      </c>
      <c r="T626" s="57">
        <f>tblJTL[[#This Row],[timeStamp]]+tblJTL[[#This Row],[elapsed]]</f>
        <v>1790816563911</v>
      </c>
      <c r="U626" s="61">
        <f>(tblJTL[[#This Row],[timeStamp]]-'17_分析サンプル'!$E$18)/1000</f>
        <v>163.583</v>
      </c>
      <c r="V626" s="57">
        <f>INT(tblJTL[[#This Row],[経過秒]]/60)</f>
        <v>2</v>
      </c>
      <c r="W626" s="57">
        <f>IF(OR(tblJTL[[#This Row],[success]]=FALSE,tblJTL[[#This Row],[success]]="false"),1,0)</f>
        <v>0</v>
      </c>
      <c r="X626" s="57">
        <f>IF(AND(tblJTL[[#This Row],[経過秒]]&gt;='17_分析サンプル'!$E$11,tblJTL[[#This Row],[経過秒]]&lt;'17_分析サンプル'!$E$12),1,0)</f>
        <v>1</v>
      </c>
    </row>
    <row r="627" spans="2:24" ht="14.4" x14ac:dyDescent="0.3">
      <c r="B627" s="57">
        <v>1790816563947</v>
      </c>
      <c r="C627" s="58">
        <v>105</v>
      </c>
      <c r="D627" s="59" t="s">
        <v>1658</v>
      </c>
      <c r="E627" s="59" t="s">
        <v>1577</v>
      </c>
      <c r="F627" s="59" t="s">
        <v>2275</v>
      </c>
      <c r="G627" s="59" t="s">
        <v>3585</v>
      </c>
      <c r="H627" s="59" t="s">
        <v>2281</v>
      </c>
      <c r="I627" s="59" t="b">
        <v>1</v>
      </c>
      <c r="J627" s="59"/>
      <c r="K627" s="58">
        <v>1886</v>
      </c>
      <c r="L627" s="58">
        <v>1342</v>
      </c>
      <c r="M627" s="59">
        <v>10</v>
      </c>
      <c r="N627" s="59">
        <v>10</v>
      </c>
      <c r="O627" s="59" t="s">
        <v>3578</v>
      </c>
      <c r="P627" s="58">
        <v>97</v>
      </c>
      <c r="Q627" s="59">
        <v>0</v>
      </c>
      <c r="R627" s="59">
        <v>0</v>
      </c>
      <c r="S627" s="60">
        <f>tblJTL[[#This Row],[timeStamp]]/86400000+DATE(1970,1,1)+TIME(9,0,0)</f>
        <v>46296.418564201391</v>
      </c>
      <c r="T627" s="57">
        <f>tblJTL[[#This Row],[timeStamp]]+tblJTL[[#This Row],[elapsed]]</f>
        <v>1790816564052</v>
      </c>
      <c r="U627" s="61">
        <f>(tblJTL[[#This Row],[timeStamp]]-'17_分析サンプル'!$E$18)/1000</f>
        <v>163.767</v>
      </c>
      <c r="V627" s="57">
        <f>INT(tblJTL[[#This Row],[経過秒]]/60)</f>
        <v>2</v>
      </c>
      <c r="W627" s="57">
        <f>IF(OR(tblJTL[[#This Row],[success]]=FALSE,tblJTL[[#This Row],[success]]="false"),1,0)</f>
        <v>0</v>
      </c>
      <c r="X627" s="57">
        <f>IF(AND(tblJTL[[#This Row],[経過秒]]&gt;='17_分析サンプル'!$E$11,tblJTL[[#This Row],[経過秒]]&lt;'17_分析サンプル'!$E$12),1,0)</f>
        <v>1</v>
      </c>
    </row>
    <row r="628" spans="2:24" ht="14.4" x14ac:dyDescent="0.3">
      <c r="B628" s="57">
        <v>1790816564004</v>
      </c>
      <c r="C628" s="58">
        <v>94</v>
      </c>
      <c r="D628" s="59" t="s">
        <v>1658</v>
      </c>
      <c r="E628" s="59" t="s">
        <v>1577</v>
      </c>
      <c r="F628" s="59" t="s">
        <v>2275</v>
      </c>
      <c r="G628" s="59" t="s">
        <v>3588</v>
      </c>
      <c r="H628" s="59" t="s">
        <v>2281</v>
      </c>
      <c r="I628" s="59" t="b">
        <v>1</v>
      </c>
      <c r="J628" s="59"/>
      <c r="K628" s="58">
        <v>1830</v>
      </c>
      <c r="L628" s="58">
        <v>1342</v>
      </c>
      <c r="M628" s="59">
        <v>10</v>
      </c>
      <c r="N628" s="59">
        <v>10</v>
      </c>
      <c r="O628" s="59" t="s">
        <v>3578</v>
      </c>
      <c r="P628" s="58">
        <v>86</v>
      </c>
      <c r="Q628" s="59">
        <v>0</v>
      </c>
      <c r="R628" s="59">
        <v>0</v>
      </c>
      <c r="S628" s="60">
        <f>tblJTL[[#This Row],[timeStamp]]/86400000+DATE(1970,1,1)+TIME(9,0,0)</f>
        <v>46296.418564861116</v>
      </c>
      <c r="T628" s="57">
        <f>tblJTL[[#This Row],[timeStamp]]+tblJTL[[#This Row],[elapsed]]</f>
        <v>1790816564098</v>
      </c>
      <c r="U628" s="61">
        <f>(tblJTL[[#This Row],[timeStamp]]-'17_分析サンプル'!$E$18)/1000</f>
        <v>163.82400000000001</v>
      </c>
      <c r="V628" s="57">
        <f>INT(tblJTL[[#This Row],[経過秒]]/60)</f>
        <v>2</v>
      </c>
      <c r="W628" s="57">
        <f>IF(OR(tblJTL[[#This Row],[success]]=FALSE,tblJTL[[#This Row],[success]]="false"),1,0)</f>
        <v>0</v>
      </c>
      <c r="X628" s="57">
        <f>IF(AND(tblJTL[[#This Row],[経過秒]]&gt;='17_分析サンプル'!$E$11,tblJTL[[#This Row],[経過秒]]&lt;'17_分析サンプル'!$E$12),1,0)</f>
        <v>1</v>
      </c>
    </row>
    <row r="629" spans="2:24" ht="14.4" x14ac:dyDescent="0.3">
      <c r="B629" s="57">
        <v>1790816564702</v>
      </c>
      <c r="C629" s="58">
        <v>165</v>
      </c>
      <c r="D629" s="59" t="s">
        <v>1658</v>
      </c>
      <c r="E629" s="59" t="s">
        <v>1577</v>
      </c>
      <c r="F629" s="59" t="s">
        <v>2275</v>
      </c>
      <c r="G629" s="59" t="s">
        <v>3584</v>
      </c>
      <c r="H629" s="59" t="s">
        <v>2281</v>
      </c>
      <c r="I629" s="59" t="b">
        <v>1</v>
      </c>
      <c r="J629" s="59"/>
      <c r="K629" s="58">
        <v>1890</v>
      </c>
      <c r="L629" s="58">
        <v>1342</v>
      </c>
      <c r="M629" s="59">
        <v>10</v>
      </c>
      <c r="N629" s="59">
        <v>10</v>
      </c>
      <c r="O629" s="59" t="s">
        <v>3578</v>
      </c>
      <c r="P629" s="58">
        <v>158</v>
      </c>
      <c r="Q629" s="59">
        <v>0</v>
      </c>
      <c r="R629" s="59">
        <v>0</v>
      </c>
      <c r="S629" s="60">
        <f>tblJTL[[#This Row],[timeStamp]]/86400000+DATE(1970,1,1)+TIME(9,0,0)</f>
        <v>46296.418572939816</v>
      </c>
      <c r="T629" s="57">
        <f>tblJTL[[#This Row],[timeStamp]]+tblJTL[[#This Row],[elapsed]]</f>
        <v>1790816564867</v>
      </c>
      <c r="U629" s="61">
        <f>(tblJTL[[#This Row],[timeStamp]]-'17_分析サンプル'!$E$18)/1000</f>
        <v>164.52199999999999</v>
      </c>
      <c r="V629" s="57">
        <f>INT(tblJTL[[#This Row],[経過秒]]/60)</f>
        <v>2</v>
      </c>
      <c r="W629" s="57">
        <f>IF(OR(tblJTL[[#This Row],[success]]=FALSE,tblJTL[[#This Row],[success]]="false"),1,0)</f>
        <v>0</v>
      </c>
      <c r="X629" s="57">
        <f>IF(AND(tblJTL[[#This Row],[経過秒]]&gt;='17_分析サンプル'!$E$11,tblJTL[[#This Row],[経過秒]]&lt;'17_分析サンプル'!$E$12),1,0)</f>
        <v>1</v>
      </c>
    </row>
    <row r="630" spans="2:24" ht="14.4" x14ac:dyDescent="0.3">
      <c r="B630" s="57">
        <v>1790816565049</v>
      </c>
      <c r="C630" s="58">
        <v>346</v>
      </c>
      <c r="D630" s="59" t="s">
        <v>1677</v>
      </c>
      <c r="E630" s="59" t="s">
        <v>3579</v>
      </c>
      <c r="F630" s="59" t="s">
        <v>3580</v>
      </c>
      <c r="G630" s="59" t="s">
        <v>3582</v>
      </c>
      <c r="H630" s="59" t="s">
        <v>2281</v>
      </c>
      <c r="I630" s="59" t="b">
        <v>1</v>
      </c>
      <c r="J630" s="59"/>
      <c r="K630" s="58">
        <v>418</v>
      </c>
      <c r="L630" s="58">
        <v>1478</v>
      </c>
      <c r="M630" s="59">
        <v>10</v>
      </c>
      <c r="N630" s="59">
        <v>10</v>
      </c>
      <c r="O630" s="59" t="s">
        <v>3581</v>
      </c>
      <c r="P630" s="58">
        <v>339</v>
      </c>
      <c r="Q630" s="59">
        <v>0</v>
      </c>
      <c r="R630" s="59">
        <v>0</v>
      </c>
      <c r="S630" s="60">
        <f>tblJTL[[#This Row],[timeStamp]]/86400000+DATE(1970,1,1)+TIME(9,0,0)</f>
        <v>46296.418576956014</v>
      </c>
      <c r="T630" s="57">
        <f>tblJTL[[#This Row],[timeStamp]]+tblJTL[[#This Row],[elapsed]]</f>
        <v>1790816565395</v>
      </c>
      <c r="U630" s="61">
        <f>(tblJTL[[#This Row],[timeStamp]]-'17_分析サンプル'!$E$18)/1000</f>
        <v>164.869</v>
      </c>
      <c r="V630" s="57">
        <f>INT(tblJTL[[#This Row],[経過秒]]/60)</f>
        <v>2</v>
      </c>
      <c r="W630" s="57">
        <f>IF(OR(tblJTL[[#This Row],[success]]=FALSE,tblJTL[[#This Row],[success]]="false"),1,0)</f>
        <v>0</v>
      </c>
      <c r="X630" s="57">
        <f>IF(AND(tblJTL[[#This Row],[経過秒]]&gt;='17_分析サンプル'!$E$11,tblJTL[[#This Row],[経過秒]]&lt;'17_分析サンプル'!$E$12),1,0)</f>
        <v>1</v>
      </c>
    </row>
    <row r="631" spans="2:24" ht="14.4" x14ac:dyDescent="0.3">
      <c r="B631" s="57">
        <v>1790816565502</v>
      </c>
      <c r="C631" s="58">
        <v>162</v>
      </c>
      <c r="D631" s="59" t="s">
        <v>1658</v>
      </c>
      <c r="E631" s="59" t="s">
        <v>1577</v>
      </c>
      <c r="F631" s="59" t="s">
        <v>2275</v>
      </c>
      <c r="G631" s="59" t="s">
        <v>3577</v>
      </c>
      <c r="H631" s="59" t="s">
        <v>2281</v>
      </c>
      <c r="I631" s="59" t="b">
        <v>1</v>
      </c>
      <c r="J631" s="59"/>
      <c r="K631" s="58">
        <v>1875</v>
      </c>
      <c r="L631" s="58">
        <v>1342</v>
      </c>
      <c r="M631" s="59">
        <v>10</v>
      </c>
      <c r="N631" s="59">
        <v>10</v>
      </c>
      <c r="O631" s="59" t="s">
        <v>3578</v>
      </c>
      <c r="P631" s="58">
        <v>156</v>
      </c>
      <c r="Q631" s="59">
        <v>0</v>
      </c>
      <c r="R631" s="59">
        <v>0</v>
      </c>
      <c r="S631" s="60">
        <f>tblJTL[[#This Row],[timeStamp]]/86400000+DATE(1970,1,1)+TIME(9,0,0)</f>
        <v>46296.418582199069</v>
      </c>
      <c r="T631" s="57">
        <f>tblJTL[[#This Row],[timeStamp]]+tblJTL[[#This Row],[elapsed]]</f>
        <v>1790816565664</v>
      </c>
      <c r="U631" s="61">
        <f>(tblJTL[[#This Row],[timeStamp]]-'17_分析サンプル'!$E$18)/1000</f>
        <v>165.322</v>
      </c>
      <c r="V631" s="57">
        <f>INT(tblJTL[[#This Row],[経過秒]]/60)</f>
        <v>2</v>
      </c>
      <c r="W631" s="57">
        <f>IF(OR(tblJTL[[#This Row],[success]]=FALSE,tblJTL[[#This Row],[success]]="false"),1,0)</f>
        <v>0</v>
      </c>
      <c r="X631" s="57">
        <f>IF(AND(tblJTL[[#This Row],[経過秒]]&gt;='17_分析サンプル'!$E$11,tblJTL[[#This Row],[経過秒]]&lt;'17_分析サンプル'!$E$12),1,0)</f>
        <v>1</v>
      </c>
    </row>
    <row r="632" spans="2:24" ht="14.4" x14ac:dyDescent="0.3">
      <c r="B632" s="57">
        <v>1790816565481</v>
      </c>
      <c r="C632" s="58">
        <v>310</v>
      </c>
      <c r="D632" s="59" t="s">
        <v>1677</v>
      </c>
      <c r="E632" s="59" t="s">
        <v>3579</v>
      </c>
      <c r="F632" s="59" t="s">
        <v>3580</v>
      </c>
      <c r="G632" s="59" t="s">
        <v>3589</v>
      </c>
      <c r="H632" s="59" t="s">
        <v>2281</v>
      </c>
      <c r="I632" s="59" t="b">
        <v>1</v>
      </c>
      <c r="J632" s="59"/>
      <c r="K632" s="58">
        <v>422</v>
      </c>
      <c r="L632" s="58">
        <v>1478</v>
      </c>
      <c r="M632" s="59">
        <v>10</v>
      </c>
      <c r="N632" s="59">
        <v>10</v>
      </c>
      <c r="O632" s="59" t="s">
        <v>3581</v>
      </c>
      <c r="P632" s="58">
        <v>303</v>
      </c>
      <c r="Q632" s="59">
        <v>0</v>
      </c>
      <c r="R632" s="59">
        <v>0</v>
      </c>
      <c r="S632" s="60">
        <f>tblJTL[[#This Row],[timeStamp]]/86400000+DATE(1970,1,1)+TIME(9,0,0)</f>
        <v>46296.418581956023</v>
      </c>
      <c r="T632" s="57">
        <f>tblJTL[[#This Row],[timeStamp]]+tblJTL[[#This Row],[elapsed]]</f>
        <v>1790816565791</v>
      </c>
      <c r="U632" s="61">
        <f>(tblJTL[[#This Row],[timeStamp]]-'17_分析サンプル'!$E$18)/1000</f>
        <v>165.30099999999999</v>
      </c>
      <c r="V632" s="57">
        <f>INT(tblJTL[[#This Row],[経過秒]]/60)</f>
        <v>2</v>
      </c>
      <c r="W632" s="57">
        <f>IF(OR(tblJTL[[#This Row],[success]]=FALSE,tblJTL[[#This Row],[success]]="false"),1,0)</f>
        <v>0</v>
      </c>
      <c r="X632" s="57">
        <f>IF(AND(tblJTL[[#This Row],[経過秒]]&gt;='17_分析サンプル'!$E$11,tblJTL[[#This Row],[経過秒]]&lt;'17_分析サンプル'!$E$12),1,0)</f>
        <v>1</v>
      </c>
    </row>
    <row r="633" spans="2:24" ht="14.4" x14ac:dyDescent="0.3">
      <c r="B633" s="57">
        <v>1790816565761</v>
      </c>
      <c r="C633" s="58">
        <v>127</v>
      </c>
      <c r="D633" s="59" t="s">
        <v>1658</v>
      </c>
      <c r="E633" s="59" t="s">
        <v>1577</v>
      </c>
      <c r="F633" s="59" t="s">
        <v>2275</v>
      </c>
      <c r="G633" s="59" t="s">
        <v>3583</v>
      </c>
      <c r="H633" s="59" t="s">
        <v>2281</v>
      </c>
      <c r="I633" s="59" t="b">
        <v>1</v>
      </c>
      <c r="J633" s="59"/>
      <c r="K633" s="58">
        <v>1841</v>
      </c>
      <c r="L633" s="58">
        <v>1342</v>
      </c>
      <c r="M633" s="59">
        <v>10</v>
      </c>
      <c r="N633" s="59">
        <v>10</v>
      </c>
      <c r="O633" s="59" t="s">
        <v>3578</v>
      </c>
      <c r="P633" s="58">
        <v>124</v>
      </c>
      <c r="Q633" s="59">
        <v>0</v>
      </c>
      <c r="R633" s="59">
        <v>0</v>
      </c>
      <c r="S633" s="60">
        <f>tblJTL[[#This Row],[timeStamp]]/86400000+DATE(1970,1,1)+TIME(9,0,0)</f>
        <v>46296.418585196763</v>
      </c>
      <c r="T633" s="57">
        <f>tblJTL[[#This Row],[timeStamp]]+tblJTL[[#This Row],[elapsed]]</f>
        <v>1790816565888</v>
      </c>
      <c r="U633" s="61">
        <f>(tblJTL[[#This Row],[timeStamp]]-'17_分析サンプル'!$E$18)/1000</f>
        <v>165.58099999999999</v>
      </c>
      <c r="V633" s="57">
        <f>INT(tblJTL[[#This Row],[経過秒]]/60)</f>
        <v>2</v>
      </c>
      <c r="W633" s="57">
        <f>IF(OR(tblJTL[[#This Row],[success]]=FALSE,tblJTL[[#This Row],[success]]="false"),1,0)</f>
        <v>0</v>
      </c>
      <c r="X633" s="57">
        <f>IF(AND(tblJTL[[#This Row],[経過秒]]&gt;='17_分析サンプル'!$E$11,tblJTL[[#This Row],[経過秒]]&lt;'17_分析サンプル'!$E$12),1,0)</f>
        <v>1</v>
      </c>
    </row>
    <row r="634" spans="2:24" ht="14.4" x14ac:dyDescent="0.3">
      <c r="B634" s="57">
        <v>1790816565960</v>
      </c>
      <c r="C634" s="58">
        <v>148</v>
      </c>
      <c r="D634" s="59" t="s">
        <v>1677</v>
      </c>
      <c r="E634" s="59" t="s">
        <v>3579</v>
      </c>
      <c r="F634" s="59" t="s">
        <v>3580</v>
      </c>
      <c r="G634" s="59" t="s">
        <v>2278</v>
      </c>
      <c r="H634" s="59" t="s">
        <v>2281</v>
      </c>
      <c r="I634" s="59" t="b">
        <v>1</v>
      </c>
      <c r="J634" s="59"/>
      <c r="K634" s="58">
        <v>426</v>
      </c>
      <c r="L634" s="58">
        <v>1478</v>
      </c>
      <c r="M634" s="59">
        <v>10</v>
      </c>
      <c r="N634" s="59">
        <v>10</v>
      </c>
      <c r="O634" s="59" t="s">
        <v>3581</v>
      </c>
      <c r="P634" s="58">
        <v>141</v>
      </c>
      <c r="Q634" s="59">
        <v>0</v>
      </c>
      <c r="R634" s="59">
        <v>0</v>
      </c>
      <c r="S634" s="60">
        <f>tblJTL[[#This Row],[timeStamp]]/86400000+DATE(1970,1,1)+TIME(9,0,0)</f>
        <v>46296.418587499997</v>
      </c>
      <c r="T634" s="57">
        <f>tblJTL[[#This Row],[timeStamp]]+tblJTL[[#This Row],[elapsed]]</f>
        <v>1790816566108</v>
      </c>
      <c r="U634" s="61">
        <f>(tblJTL[[#This Row],[timeStamp]]-'17_分析サンプル'!$E$18)/1000</f>
        <v>165.78</v>
      </c>
      <c r="V634" s="57">
        <f>INT(tblJTL[[#This Row],[経過秒]]/60)</f>
        <v>2</v>
      </c>
      <c r="W634" s="57">
        <f>IF(OR(tblJTL[[#This Row],[success]]=FALSE,tblJTL[[#This Row],[success]]="false"),1,0)</f>
        <v>0</v>
      </c>
      <c r="X634" s="57">
        <f>IF(AND(tblJTL[[#This Row],[経過秒]]&gt;='17_分析サンプル'!$E$11,tblJTL[[#This Row],[経過秒]]&lt;'17_分析サンプル'!$E$12),1,0)</f>
        <v>1</v>
      </c>
    </row>
    <row r="635" spans="2:24" ht="14.4" x14ac:dyDescent="0.3">
      <c r="B635" s="57">
        <v>1790816566200</v>
      </c>
      <c r="C635" s="58">
        <v>282</v>
      </c>
      <c r="D635" s="59" t="s">
        <v>1677</v>
      </c>
      <c r="E635" s="59" t="s">
        <v>3579</v>
      </c>
      <c r="F635" s="59" t="s">
        <v>3580</v>
      </c>
      <c r="G635" s="59" t="s">
        <v>3587</v>
      </c>
      <c r="H635" s="59" t="s">
        <v>2281</v>
      </c>
      <c r="I635" s="59" t="b">
        <v>1</v>
      </c>
      <c r="J635" s="59"/>
      <c r="K635" s="58">
        <v>440</v>
      </c>
      <c r="L635" s="58">
        <v>1478</v>
      </c>
      <c r="M635" s="59">
        <v>10</v>
      </c>
      <c r="N635" s="59">
        <v>10</v>
      </c>
      <c r="O635" s="59" t="s">
        <v>3581</v>
      </c>
      <c r="P635" s="58">
        <v>274</v>
      </c>
      <c r="Q635" s="59">
        <v>0</v>
      </c>
      <c r="R635" s="59">
        <v>0</v>
      </c>
      <c r="S635" s="60">
        <f>tblJTL[[#This Row],[timeStamp]]/86400000+DATE(1970,1,1)+TIME(9,0,0)</f>
        <v>46296.418590277783</v>
      </c>
      <c r="T635" s="57">
        <f>tblJTL[[#This Row],[timeStamp]]+tblJTL[[#This Row],[elapsed]]</f>
        <v>1790816566482</v>
      </c>
      <c r="U635" s="61">
        <f>(tblJTL[[#This Row],[timeStamp]]-'17_分析サンプル'!$E$18)/1000</f>
        <v>166.02</v>
      </c>
      <c r="V635" s="57">
        <f>INT(tblJTL[[#This Row],[経過秒]]/60)</f>
        <v>2</v>
      </c>
      <c r="W635" s="57">
        <f>IF(OR(tblJTL[[#This Row],[success]]=FALSE,tblJTL[[#This Row],[success]]="false"),1,0)</f>
        <v>0</v>
      </c>
      <c r="X635" s="57">
        <f>IF(AND(tblJTL[[#This Row],[経過秒]]&gt;='17_分析サンプル'!$E$11,tblJTL[[#This Row],[経過秒]]&lt;'17_分析サンプル'!$E$12),1,0)</f>
        <v>1</v>
      </c>
    </row>
    <row r="636" spans="2:24" ht="14.4" x14ac:dyDescent="0.3">
      <c r="B636" s="57">
        <v>1790816566439</v>
      </c>
      <c r="C636" s="58">
        <v>105</v>
      </c>
      <c r="D636" s="59" t="s">
        <v>1658</v>
      </c>
      <c r="E636" s="59" t="s">
        <v>1577</v>
      </c>
      <c r="F636" s="59" t="s">
        <v>2275</v>
      </c>
      <c r="G636" s="59" t="s">
        <v>3586</v>
      </c>
      <c r="H636" s="59" t="s">
        <v>2281</v>
      </c>
      <c r="I636" s="59" t="b">
        <v>1</v>
      </c>
      <c r="J636" s="59"/>
      <c r="K636" s="58">
        <v>1864</v>
      </c>
      <c r="L636" s="58">
        <v>1342</v>
      </c>
      <c r="M636" s="59">
        <v>10</v>
      </c>
      <c r="N636" s="59">
        <v>10</v>
      </c>
      <c r="O636" s="59" t="s">
        <v>3578</v>
      </c>
      <c r="P636" s="58">
        <v>103</v>
      </c>
      <c r="Q636" s="59">
        <v>0</v>
      </c>
      <c r="R636" s="59">
        <v>0</v>
      </c>
      <c r="S636" s="60">
        <f>tblJTL[[#This Row],[timeStamp]]/86400000+DATE(1970,1,1)+TIME(9,0,0)</f>
        <v>46296.418593043985</v>
      </c>
      <c r="T636" s="57">
        <f>tblJTL[[#This Row],[timeStamp]]+tblJTL[[#This Row],[elapsed]]</f>
        <v>1790816566544</v>
      </c>
      <c r="U636" s="61">
        <f>(tblJTL[[#This Row],[timeStamp]]-'17_分析サンプル'!$E$18)/1000</f>
        <v>166.25899999999999</v>
      </c>
      <c r="V636" s="57">
        <f>INT(tblJTL[[#This Row],[経過秒]]/60)</f>
        <v>2</v>
      </c>
      <c r="W636" s="57">
        <f>IF(OR(tblJTL[[#This Row],[success]]=FALSE,tblJTL[[#This Row],[success]]="false"),1,0)</f>
        <v>0</v>
      </c>
      <c r="X636" s="57">
        <f>IF(AND(tblJTL[[#This Row],[経過秒]]&gt;='17_分析サンプル'!$E$11,tblJTL[[#This Row],[経過秒]]&lt;'17_分析サンプル'!$E$12),1,0)</f>
        <v>1</v>
      </c>
    </row>
    <row r="637" spans="2:24" ht="14.4" x14ac:dyDescent="0.3">
      <c r="B637" s="57">
        <v>1790816566511</v>
      </c>
      <c r="C637" s="58">
        <v>331</v>
      </c>
      <c r="D637" s="59" t="s">
        <v>1677</v>
      </c>
      <c r="E637" s="59" t="s">
        <v>3579</v>
      </c>
      <c r="F637" s="59" t="s">
        <v>3580</v>
      </c>
      <c r="G637" s="59" t="s">
        <v>3585</v>
      </c>
      <c r="H637" s="59" t="s">
        <v>2281</v>
      </c>
      <c r="I637" s="59" t="b">
        <v>1</v>
      </c>
      <c r="J637" s="59"/>
      <c r="K637" s="58">
        <v>435</v>
      </c>
      <c r="L637" s="58">
        <v>1478</v>
      </c>
      <c r="M637" s="59">
        <v>10</v>
      </c>
      <c r="N637" s="59">
        <v>10</v>
      </c>
      <c r="O637" s="59" t="s">
        <v>3581</v>
      </c>
      <c r="P637" s="58">
        <v>327</v>
      </c>
      <c r="Q637" s="59">
        <v>0</v>
      </c>
      <c r="R637" s="59">
        <v>0</v>
      </c>
      <c r="S637" s="60">
        <f>tblJTL[[#This Row],[timeStamp]]/86400000+DATE(1970,1,1)+TIME(9,0,0)</f>
        <v>46296.418593877315</v>
      </c>
      <c r="T637" s="57">
        <f>tblJTL[[#This Row],[timeStamp]]+tblJTL[[#This Row],[elapsed]]</f>
        <v>1790816566842</v>
      </c>
      <c r="U637" s="61">
        <f>(tblJTL[[#This Row],[timeStamp]]-'17_分析サンプル'!$E$18)/1000</f>
        <v>166.33099999999999</v>
      </c>
      <c r="V637" s="57">
        <f>INT(tblJTL[[#This Row],[経過秒]]/60)</f>
        <v>2</v>
      </c>
      <c r="W637" s="57">
        <f>IF(OR(tblJTL[[#This Row],[success]]=FALSE,tblJTL[[#This Row],[success]]="false"),1,0)</f>
        <v>0</v>
      </c>
      <c r="X637" s="57">
        <f>IF(AND(tblJTL[[#This Row],[経過秒]]&gt;='17_分析サンプル'!$E$11,tblJTL[[#This Row],[経過秒]]&lt;'17_分析サンプル'!$E$12),1,0)</f>
        <v>1</v>
      </c>
    </row>
    <row r="638" spans="2:24" ht="14.4" x14ac:dyDescent="0.3">
      <c r="B638" s="57">
        <v>1790816566928</v>
      </c>
      <c r="C638" s="58">
        <v>205</v>
      </c>
      <c r="D638" s="59" t="s">
        <v>1677</v>
      </c>
      <c r="E638" s="59" t="s">
        <v>3579</v>
      </c>
      <c r="F638" s="59" t="s">
        <v>3580</v>
      </c>
      <c r="G638" s="59" t="s">
        <v>3588</v>
      </c>
      <c r="H638" s="59" t="s">
        <v>2281</v>
      </c>
      <c r="I638" s="59" t="b">
        <v>1</v>
      </c>
      <c r="J638" s="59"/>
      <c r="K638" s="58">
        <v>423</v>
      </c>
      <c r="L638" s="58">
        <v>1478</v>
      </c>
      <c r="M638" s="59">
        <v>10</v>
      </c>
      <c r="N638" s="59">
        <v>10</v>
      </c>
      <c r="O638" s="59" t="s">
        <v>3581</v>
      </c>
      <c r="P638" s="58">
        <v>200</v>
      </c>
      <c r="Q638" s="59">
        <v>0</v>
      </c>
      <c r="R638" s="59">
        <v>0</v>
      </c>
      <c r="S638" s="60">
        <f>tblJTL[[#This Row],[timeStamp]]/86400000+DATE(1970,1,1)+TIME(9,0,0)</f>
        <v>46296.418598703705</v>
      </c>
      <c r="T638" s="57">
        <f>tblJTL[[#This Row],[timeStamp]]+tblJTL[[#This Row],[elapsed]]</f>
        <v>1790816567133</v>
      </c>
      <c r="U638" s="61">
        <f>(tblJTL[[#This Row],[timeStamp]]-'17_分析サンプル'!$E$18)/1000</f>
        <v>166.74799999999999</v>
      </c>
      <c r="V638" s="57">
        <f>INT(tblJTL[[#This Row],[経過秒]]/60)</f>
        <v>2</v>
      </c>
      <c r="W638" s="57">
        <f>IF(OR(tblJTL[[#This Row],[success]]=FALSE,tblJTL[[#This Row],[success]]="false"),1,0)</f>
        <v>0</v>
      </c>
      <c r="X638" s="57">
        <f>IF(AND(tblJTL[[#This Row],[経過秒]]&gt;='17_分析サンプル'!$E$11,tblJTL[[#This Row],[経過秒]]&lt;'17_分析サンプル'!$E$12),1,0)</f>
        <v>1</v>
      </c>
    </row>
    <row r="639" spans="2:24" ht="14.4" x14ac:dyDescent="0.3">
      <c r="B639" s="57">
        <v>1790816567151</v>
      </c>
      <c r="C639" s="58">
        <v>147</v>
      </c>
      <c r="D639" s="59" t="s">
        <v>1658</v>
      </c>
      <c r="E639" s="59" t="s">
        <v>1577</v>
      </c>
      <c r="F639" s="59" t="s">
        <v>2275</v>
      </c>
      <c r="G639" s="59" t="s">
        <v>3582</v>
      </c>
      <c r="H639" s="59" t="s">
        <v>2281</v>
      </c>
      <c r="I639" s="59" t="b">
        <v>1</v>
      </c>
      <c r="J639" s="59"/>
      <c r="K639" s="58">
        <v>1890</v>
      </c>
      <c r="L639" s="58">
        <v>1342</v>
      </c>
      <c r="M639" s="59">
        <v>10</v>
      </c>
      <c r="N639" s="59">
        <v>10</v>
      </c>
      <c r="O639" s="59" t="s">
        <v>3578</v>
      </c>
      <c r="P639" s="58">
        <v>143</v>
      </c>
      <c r="Q639" s="59">
        <v>0</v>
      </c>
      <c r="R639" s="59">
        <v>0</v>
      </c>
      <c r="S639" s="60">
        <f>tblJTL[[#This Row],[timeStamp]]/86400000+DATE(1970,1,1)+TIME(9,0,0)</f>
        <v>46296.41860128472</v>
      </c>
      <c r="T639" s="57">
        <f>tblJTL[[#This Row],[timeStamp]]+tblJTL[[#This Row],[elapsed]]</f>
        <v>1790816567298</v>
      </c>
      <c r="U639" s="61">
        <f>(tblJTL[[#This Row],[timeStamp]]-'17_分析サンプル'!$E$18)/1000</f>
        <v>166.971</v>
      </c>
      <c r="V639" s="57">
        <f>INT(tblJTL[[#This Row],[経過秒]]/60)</f>
        <v>2</v>
      </c>
      <c r="W639" s="57">
        <f>IF(OR(tblJTL[[#This Row],[success]]=FALSE,tblJTL[[#This Row],[success]]="false"),1,0)</f>
        <v>0</v>
      </c>
      <c r="X639" s="57">
        <f>IF(AND(tblJTL[[#This Row],[経過秒]]&gt;='17_分析サンプル'!$E$11,tblJTL[[#This Row],[経過秒]]&lt;'17_分析サンプル'!$E$12),1,0)</f>
        <v>1</v>
      </c>
    </row>
    <row r="640" spans="2:24" ht="14.4" x14ac:dyDescent="0.3">
      <c r="B640" s="57">
        <v>1790816567105</v>
      </c>
      <c r="C640" s="58">
        <v>229</v>
      </c>
      <c r="D640" s="59" t="s">
        <v>1677</v>
      </c>
      <c r="E640" s="59" t="s">
        <v>3579</v>
      </c>
      <c r="F640" s="59" t="s">
        <v>3580</v>
      </c>
      <c r="G640" s="59" t="s">
        <v>3584</v>
      </c>
      <c r="H640" s="59" t="s">
        <v>2281</v>
      </c>
      <c r="I640" s="59" t="b">
        <v>1</v>
      </c>
      <c r="J640" s="59"/>
      <c r="K640" s="58">
        <v>432</v>
      </c>
      <c r="L640" s="58">
        <v>1478</v>
      </c>
      <c r="M640" s="59">
        <v>10</v>
      </c>
      <c r="N640" s="59">
        <v>10</v>
      </c>
      <c r="O640" s="59" t="s">
        <v>3581</v>
      </c>
      <c r="P640" s="58">
        <v>221</v>
      </c>
      <c r="Q640" s="59">
        <v>0</v>
      </c>
      <c r="R640" s="59">
        <v>0</v>
      </c>
      <c r="S640" s="60">
        <f>tblJTL[[#This Row],[timeStamp]]/86400000+DATE(1970,1,1)+TIME(9,0,0)</f>
        <v>46296.418600752309</v>
      </c>
      <c r="T640" s="57">
        <f>tblJTL[[#This Row],[timeStamp]]+tblJTL[[#This Row],[elapsed]]</f>
        <v>1790816567334</v>
      </c>
      <c r="U640" s="61">
        <f>(tblJTL[[#This Row],[timeStamp]]-'17_分析サンプル'!$E$18)/1000</f>
        <v>166.92500000000001</v>
      </c>
      <c r="V640" s="57">
        <f>INT(tblJTL[[#This Row],[経過秒]]/60)</f>
        <v>2</v>
      </c>
      <c r="W640" s="57">
        <f>IF(OR(tblJTL[[#This Row],[success]]=FALSE,tblJTL[[#This Row],[success]]="false"),1,0)</f>
        <v>0</v>
      </c>
      <c r="X640" s="57">
        <f>IF(AND(tblJTL[[#This Row],[経過秒]]&gt;='17_分析サンプル'!$E$11,tblJTL[[#This Row],[経過秒]]&lt;'17_分析サンプル'!$E$12),1,0)</f>
        <v>1</v>
      </c>
    </row>
    <row r="641" spans="2:24" ht="14.4" x14ac:dyDescent="0.3">
      <c r="B641" s="57">
        <v>1790816567204</v>
      </c>
      <c r="C641" s="58">
        <v>176</v>
      </c>
      <c r="D641" s="59" t="s">
        <v>1677</v>
      </c>
      <c r="E641" s="59" t="s">
        <v>3579</v>
      </c>
      <c r="F641" s="59" t="s">
        <v>3580</v>
      </c>
      <c r="G641" s="59" t="s">
        <v>3583</v>
      </c>
      <c r="H641" s="59" t="s">
        <v>2281</v>
      </c>
      <c r="I641" s="59" t="b">
        <v>1</v>
      </c>
      <c r="J641" s="59"/>
      <c r="K641" s="58">
        <v>424</v>
      </c>
      <c r="L641" s="58">
        <v>1478</v>
      </c>
      <c r="M641" s="59">
        <v>10</v>
      </c>
      <c r="N641" s="59">
        <v>10</v>
      </c>
      <c r="O641" s="59" t="s">
        <v>3581</v>
      </c>
      <c r="P641" s="58">
        <v>174</v>
      </c>
      <c r="Q641" s="59">
        <v>0</v>
      </c>
      <c r="R641" s="59">
        <v>0</v>
      </c>
      <c r="S641" s="60">
        <f>tblJTL[[#This Row],[timeStamp]]/86400000+DATE(1970,1,1)+TIME(9,0,0)</f>
        <v>46296.418601898149</v>
      </c>
      <c r="T641" s="57">
        <f>tblJTL[[#This Row],[timeStamp]]+tblJTL[[#This Row],[elapsed]]</f>
        <v>1790816567380</v>
      </c>
      <c r="U641" s="61">
        <f>(tblJTL[[#This Row],[timeStamp]]-'17_分析サンプル'!$E$18)/1000</f>
        <v>167.024</v>
      </c>
      <c r="V641" s="57">
        <f>INT(tblJTL[[#This Row],[経過秒]]/60)</f>
        <v>2</v>
      </c>
      <c r="W641" s="57">
        <f>IF(OR(tblJTL[[#This Row],[success]]=FALSE,tblJTL[[#This Row],[success]]="false"),1,0)</f>
        <v>0</v>
      </c>
      <c r="X641" s="57">
        <f>IF(AND(tblJTL[[#This Row],[経過秒]]&gt;='17_分析サンプル'!$E$11,tblJTL[[#This Row],[経過秒]]&lt;'17_分析サンプル'!$E$12),1,0)</f>
        <v>1</v>
      </c>
    </row>
    <row r="642" spans="2:24" ht="14.4" x14ac:dyDescent="0.3">
      <c r="B642" s="57">
        <v>1790816567738</v>
      </c>
      <c r="C642" s="58">
        <v>175</v>
      </c>
      <c r="D642" s="59" t="s">
        <v>1658</v>
      </c>
      <c r="E642" s="59" t="s">
        <v>1577</v>
      </c>
      <c r="F642" s="59" t="s">
        <v>2275</v>
      </c>
      <c r="G642" s="59" t="s">
        <v>3587</v>
      </c>
      <c r="H642" s="59" t="s">
        <v>2281</v>
      </c>
      <c r="I642" s="59" t="b">
        <v>1</v>
      </c>
      <c r="J642" s="59"/>
      <c r="K642" s="58">
        <v>1871</v>
      </c>
      <c r="L642" s="58">
        <v>1342</v>
      </c>
      <c r="M642" s="59">
        <v>10</v>
      </c>
      <c r="N642" s="59">
        <v>10</v>
      </c>
      <c r="O642" s="59" t="s">
        <v>3578</v>
      </c>
      <c r="P642" s="58">
        <v>172</v>
      </c>
      <c r="Q642" s="59">
        <v>0</v>
      </c>
      <c r="R642" s="59">
        <v>51</v>
      </c>
      <c r="S642" s="60">
        <f>tblJTL[[#This Row],[timeStamp]]/86400000+DATE(1970,1,1)+TIME(9,0,0)</f>
        <v>46296.418608078704</v>
      </c>
      <c r="T642" s="57">
        <f>tblJTL[[#This Row],[timeStamp]]+tblJTL[[#This Row],[elapsed]]</f>
        <v>1790816567913</v>
      </c>
      <c r="U642" s="61">
        <f>(tblJTL[[#This Row],[timeStamp]]-'17_分析サンプル'!$E$18)/1000</f>
        <v>167.55799999999999</v>
      </c>
      <c r="V642" s="57">
        <f>INT(tblJTL[[#This Row],[経過秒]]/60)</f>
        <v>2</v>
      </c>
      <c r="W642" s="57">
        <f>IF(OR(tblJTL[[#This Row],[success]]=FALSE,tblJTL[[#This Row],[success]]="false"),1,0)</f>
        <v>0</v>
      </c>
      <c r="X642" s="57">
        <f>IF(AND(tblJTL[[#This Row],[経過秒]]&gt;='17_分析サンプル'!$E$11,tblJTL[[#This Row],[経過秒]]&lt;'17_分析サンプル'!$E$12),1,0)</f>
        <v>1</v>
      </c>
    </row>
    <row r="643" spans="2:24" ht="14.4" x14ac:dyDescent="0.3">
      <c r="B643" s="57">
        <v>1790816567664</v>
      </c>
      <c r="C643" s="58">
        <v>271</v>
      </c>
      <c r="D643" s="59" t="s">
        <v>1677</v>
      </c>
      <c r="E643" s="59" t="s">
        <v>3579</v>
      </c>
      <c r="F643" s="59" t="s">
        <v>3580</v>
      </c>
      <c r="G643" s="59" t="s">
        <v>3577</v>
      </c>
      <c r="H643" s="59" t="s">
        <v>2281</v>
      </c>
      <c r="I643" s="59" t="b">
        <v>1</v>
      </c>
      <c r="J643" s="59"/>
      <c r="K643" s="58">
        <v>420</v>
      </c>
      <c r="L643" s="58">
        <v>1478</v>
      </c>
      <c r="M643" s="59">
        <v>10</v>
      </c>
      <c r="N643" s="59">
        <v>10</v>
      </c>
      <c r="O643" s="59" t="s">
        <v>3581</v>
      </c>
      <c r="P643" s="58">
        <v>269</v>
      </c>
      <c r="Q643" s="59">
        <v>0</v>
      </c>
      <c r="R643" s="59">
        <v>0</v>
      </c>
      <c r="S643" s="60">
        <f>tblJTL[[#This Row],[timeStamp]]/86400000+DATE(1970,1,1)+TIME(9,0,0)</f>
        <v>46296.418607222222</v>
      </c>
      <c r="T643" s="57">
        <f>tblJTL[[#This Row],[timeStamp]]+tblJTL[[#This Row],[elapsed]]</f>
        <v>1790816567935</v>
      </c>
      <c r="U643" s="61">
        <f>(tblJTL[[#This Row],[timeStamp]]-'17_分析サンプル'!$E$18)/1000</f>
        <v>167.48400000000001</v>
      </c>
      <c r="V643" s="57">
        <f>INT(tblJTL[[#This Row],[経過秒]]/60)</f>
        <v>2</v>
      </c>
      <c r="W643" s="57">
        <f>IF(OR(tblJTL[[#This Row],[success]]=FALSE,tblJTL[[#This Row],[success]]="false"),1,0)</f>
        <v>0</v>
      </c>
      <c r="X643" s="57">
        <f>IF(AND(tblJTL[[#This Row],[経過秒]]&gt;='17_分析サンプル'!$E$11,tblJTL[[#This Row],[経過秒]]&lt;'17_分析サンプル'!$E$12),1,0)</f>
        <v>1</v>
      </c>
    </row>
    <row r="644" spans="2:24" ht="14.4" x14ac:dyDescent="0.3">
      <c r="B644" s="57">
        <v>1790816568410</v>
      </c>
      <c r="C644" s="58">
        <v>135</v>
      </c>
      <c r="D644" s="59" t="s">
        <v>1658</v>
      </c>
      <c r="E644" s="59" t="s">
        <v>1577</v>
      </c>
      <c r="F644" s="59" t="s">
        <v>2275</v>
      </c>
      <c r="G644" s="59" t="s">
        <v>3585</v>
      </c>
      <c r="H644" s="59" t="s">
        <v>2281</v>
      </c>
      <c r="I644" s="59" t="b">
        <v>1</v>
      </c>
      <c r="J644" s="59"/>
      <c r="K644" s="58">
        <v>1858</v>
      </c>
      <c r="L644" s="58">
        <v>1342</v>
      </c>
      <c r="M644" s="59">
        <v>10</v>
      </c>
      <c r="N644" s="59">
        <v>10</v>
      </c>
      <c r="O644" s="59" t="s">
        <v>3578</v>
      </c>
      <c r="P644" s="58">
        <v>132</v>
      </c>
      <c r="Q644" s="59">
        <v>0</v>
      </c>
      <c r="R644" s="59">
        <v>0</v>
      </c>
      <c r="S644" s="60">
        <f>tblJTL[[#This Row],[timeStamp]]/86400000+DATE(1970,1,1)+TIME(9,0,0)</f>
        <v>46296.418615856484</v>
      </c>
      <c r="T644" s="57">
        <f>tblJTL[[#This Row],[timeStamp]]+tblJTL[[#This Row],[elapsed]]</f>
        <v>1790816568545</v>
      </c>
      <c r="U644" s="61">
        <f>(tblJTL[[#This Row],[timeStamp]]-'17_分析サンプル'!$E$18)/1000</f>
        <v>168.23</v>
      </c>
      <c r="V644" s="57">
        <f>INT(tblJTL[[#This Row],[経過秒]]/60)</f>
        <v>2</v>
      </c>
      <c r="W644" s="57">
        <f>IF(OR(tblJTL[[#This Row],[success]]=FALSE,tblJTL[[#This Row],[success]]="false"),1,0)</f>
        <v>0</v>
      </c>
      <c r="X644" s="57">
        <f>IF(AND(tblJTL[[#This Row],[経過秒]]&gt;='17_分析サンプル'!$E$11,tblJTL[[#This Row],[経過秒]]&lt;'17_分析サンプル'!$E$12),1,0)</f>
        <v>1</v>
      </c>
    </row>
    <row r="645" spans="2:24" ht="14.4" x14ac:dyDescent="0.3">
      <c r="B645" s="57">
        <v>1790816568559</v>
      </c>
      <c r="C645" s="58">
        <v>124</v>
      </c>
      <c r="D645" s="59" t="s">
        <v>1658</v>
      </c>
      <c r="E645" s="59" t="s">
        <v>1577</v>
      </c>
      <c r="F645" s="59" t="s">
        <v>2275</v>
      </c>
      <c r="G645" s="59" t="s">
        <v>3589</v>
      </c>
      <c r="H645" s="59" t="s">
        <v>2281</v>
      </c>
      <c r="I645" s="59" t="b">
        <v>1</v>
      </c>
      <c r="J645" s="59"/>
      <c r="K645" s="58">
        <v>1835</v>
      </c>
      <c r="L645" s="58">
        <v>1342</v>
      </c>
      <c r="M645" s="59">
        <v>10</v>
      </c>
      <c r="N645" s="59">
        <v>10</v>
      </c>
      <c r="O645" s="59" t="s">
        <v>3578</v>
      </c>
      <c r="P645" s="58">
        <v>122</v>
      </c>
      <c r="Q645" s="59">
        <v>0</v>
      </c>
      <c r="R645" s="59">
        <v>0</v>
      </c>
      <c r="S645" s="60">
        <f>tblJTL[[#This Row],[timeStamp]]/86400000+DATE(1970,1,1)+TIME(9,0,0)</f>
        <v>46296.418617581017</v>
      </c>
      <c r="T645" s="57">
        <f>tblJTL[[#This Row],[timeStamp]]+tblJTL[[#This Row],[elapsed]]</f>
        <v>1790816568683</v>
      </c>
      <c r="U645" s="61">
        <f>(tblJTL[[#This Row],[timeStamp]]-'17_分析サンプル'!$E$18)/1000</f>
        <v>168.37899999999999</v>
      </c>
      <c r="V645" s="57">
        <f>INT(tblJTL[[#This Row],[経過秒]]/60)</f>
        <v>2</v>
      </c>
      <c r="W645" s="57">
        <f>IF(OR(tblJTL[[#This Row],[success]]=FALSE,tblJTL[[#This Row],[success]]="false"),1,0)</f>
        <v>0</v>
      </c>
      <c r="X645" s="57">
        <f>IF(AND(tblJTL[[#This Row],[経過秒]]&gt;='17_分析サンプル'!$E$11,tblJTL[[#This Row],[経過秒]]&lt;'17_分析サンプル'!$E$12),1,0)</f>
        <v>1</v>
      </c>
    </row>
    <row r="646" spans="2:24" ht="14.4" x14ac:dyDescent="0.3">
      <c r="B646" s="57">
        <v>1790816568728</v>
      </c>
      <c r="C646" s="58">
        <v>82</v>
      </c>
      <c r="D646" s="59" t="s">
        <v>1658</v>
      </c>
      <c r="E646" s="59" t="s">
        <v>1577</v>
      </c>
      <c r="F646" s="59" t="s">
        <v>2275</v>
      </c>
      <c r="G646" s="59" t="s">
        <v>2278</v>
      </c>
      <c r="H646" s="59" t="s">
        <v>2281</v>
      </c>
      <c r="I646" s="59" t="b">
        <v>1</v>
      </c>
      <c r="J646" s="59"/>
      <c r="K646" s="58">
        <v>1830</v>
      </c>
      <c r="L646" s="58">
        <v>1342</v>
      </c>
      <c r="M646" s="59">
        <v>10</v>
      </c>
      <c r="N646" s="59">
        <v>10</v>
      </c>
      <c r="O646" s="59" t="s">
        <v>3578</v>
      </c>
      <c r="P646" s="58">
        <v>76</v>
      </c>
      <c r="Q646" s="59">
        <v>0</v>
      </c>
      <c r="R646" s="59">
        <v>0</v>
      </c>
      <c r="S646" s="60">
        <f>tblJTL[[#This Row],[timeStamp]]/86400000+DATE(1970,1,1)+TIME(9,0,0)</f>
        <v>46296.418619537042</v>
      </c>
      <c r="T646" s="57">
        <f>tblJTL[[#This Row],[timeStamp]]+tblJTL[[#This Row],[elapsed]]</f>
        <v>1790816568810</v>
      </c>
      <c r="U646" s="61">
        <f>(tblJTL[[#This Row],[timeStamp]]-'17_分析サンプル'!$E$18)/1000</f>
        <v>168.548</v>
      </c>
      <c r="V646" s="57">
        <f>INT(tblJTL[[#This Row],[経過秒]]/60)</f>
        <v>2</v>
      </c>
      <c r="W646" s="57">
        <f>IF(OR(tblJTL[[#This Row],[success]]=FALSE,tblJTL[[#This Row],[success]]="false"),1,0)</f>
        <v>0</v>
      </c>
      <c r="X646" s="57">
        <f>IF(AND(tblJTL[[#This Row],[経過秒]]&gt;='17_分析サンプル'!$E$11,tblJTL[[#This Row],[経過秒]]&lt;'17_分析サンプル'!$E$12),1,0)</f>
        <v>1</v>
      </c>
    </row>
    <row r="647" spans="2:24" ht="14.4" x14ac:dyDescent="0.3">
      <c r="B647" s="57">
        <v>1790816568722</v>
      </c>
      <c r="C647" s="58">
        <v>120</v>
      </c>
      <c r="D647" s="59" t="s">
        <v>1658</v>
      </c>
      <c r="E647" s="59" t="s">
        <v>1577</v>
      </c>
      <c r="F647" s="59" t="s">
        <v>2275</v>
      </c>
      <c r="G647" s="59" t="s">
        <v>3583</v>
      </c>
      <c r="H647" s="59" t="s">
        <v>2281</v>
      </c>
      <c r="I647" s="59" t="b">
        <v>1</v>
      </c>
      <c r="J647" s="59"/>
      <c r="K647" s="58">
        <v>1823</v>
      </c>
      <c r="L647" s="58">
        <v>1342</v>
      </c>
      <c r="M647" s="59">
        <v>10</v>
      </c>
      <c r="N647" s="59">
        <v>10</v>
      </c>
      <c r="O647" s="59" t="s">
        <v>3578</v>
      </c>
      <c r="P647" s="58">
        <v>115</v>
      </c>
      <c r="Q647" s="59">
        <v>0</v>
      </c>
      <c r="R647" s="59">
        <v>0</v>
      </c>
      <c r="S647" s="60">
        <f>tblJTL[[#This Row],[timeStamp]]/86400000+DATE(1970,1,1)+TIME(9,0,0)</f>
        <v>46296.418619467593</v>
      </c>
      <c r="T647" s="57">
        <f>tblJTL[[#This Row],[timeStamp]]+tblJTL[[#This Row],[elapsed]]</f>
        <v>1790816568842</v>
      </c>
      <c r="U647" s="61">
        <f>(tblJTL[[#This Row],[timeStamp]]-'17_分析サンプル'!$E$18)/1000</f>
        <v>168.542</v>
      </c>
      <c r="V647" s="57">
        <f>INT(tblJTL[[#This Row],[経過秒]]/60)</f>
        <v>2</v>
      </c>
      <c r="W647" s="57">
        <f>IF(OR(tblJTL[[#This Row],[success]]=FALSE,tblJTL[[#This Row],[success]]="false"),1,0)</f>
        <v>0</v>
      </c>
      <c r="X647" s="57">
        <f>IF(AND(tblJTL[[#This Row],[経過秒]]&gt;='17_分析サンプル'!$E$11,tblJTL[[#This Row],[経過秒]]&lt;'17_分析サンプル'!$E$12),1,0)</f>
        <v>1</v>
      </c>
    </row>
    <row r="648" spans="2:24" ht="14.4" x14ac:dyDescent="0.3">
      <c r="B648" s="57">
        <v>1790816568644</v>
      </c>
      <c r="C648" s="58">
        <v>215</v>
      </c>
      <c r="D648" s="59" t="s">
        <v>1677</v>
      </c>
      <c r="E648" s="59" t="s">
        <v>3579</v>
      </c>
      <c r="F648" s="59" t="s">
        <v>3580</v>
      </c>
      <c r="G648" s="59" t="s">
        <v>3582</v>
      </c>
      <c r="H648" s="59" t="s">
        <v>2281</v>
      </c>
      <c r="I648" s="59" t="b">
        <v>1</v>
      </c>
      <c r="J648" s="59"/>
      <c r="K648" s="58">
        <v>417</v>
      </c>
      <c r="L648" s="58">
        <v>1478</v>
      </c>
      <c r="M648" s="59">
        <v>10</v>
      </c>
      <c r="N648" s="59">
        <v>10</v>
      </c>
      <c r="O648" s="59" t="s">
        <v>3581</v>
      </c>
      <c r="P648" s="58">
        <v>209</v>
      </c>
      <c r="Q648" s="59">
        <v>0</v>
      </c>
      <c r="R648" s="59">
        <v>0</v>
      </c>
      <c r="S648" s="60">
        <f>tblJTL[[#This Row],[timeStamp]]/86400000+DATE(1970,1,1)+TIME(9,0,0)</f>
        <v>46296.418618564814</v>
      </c>
      <c r="T648" s="57">
        <f>tblJTL[[#This Row],[timeStamp]]+tblJTL[[#This Row],[elapsed]]</f>
        <v>1790816568859</v>
      </c>
      <c r="U648" s="61">
        <f>(tblJTL[[#This Row],[timeStamp]]-'17_分析サンプル'!$E$18)/1000</f>
        <v>168.464</v>
      </c>
      <c r="V648" s="57">
        <f>INT(tblJTL[[#This Row],[経過秒]]/60)</f>
        <v>2</v>
      </c>
      <c r="W648" s="57">
        <f>IF(OR(tblJTL[[#This Row],[success]]=FALSE,tblJTL[[#This Row],[success]]="false"),1,0)</f>
        <v>0</v>
      </c>
      <c r="X648" s="57">
        <f>IF(AND(tblJTL[[#This Row],[経過秒]]&gt;='17_分析サンプル'!$E$11,tblJTL[[#This Row],[経過秒]]&lt;'17_分析サンプル'!$E$12),1,0)</f>
        <v>1</v>
      </c>
    </row>
    <row r="649" spans="2:24" ht="14.4" x14ac:dyDescent="0.3">
      <c r="B649" s="57">
        <v>1790816568879</v>
      </c>
      <c r="C649" s="58">
        <v>47</v>
      </c>
      <c r="D649" s="59" t="s">
        <v>1658</v>
      </c>
      <c r="E649" s="59" t="s">
        <v>1577</v>
      </c>
      <c r="F649" s="59" t="s">
        <v>2275</v>
      </c>
      <c r="G649" s="59" t="s">
        <v>3584</v>
      </c>
      <c r="H649" s="59" t="s">
        <v>2281</v>
      </c>
      <c r="I649" s="59" t="b">
        <v>1</v>
      </c>
      <c r="J649" s="59"/>
      <c r="K649" s="58">
        <v>1875</v>
      </c>
      <c r="L649" s="58">
        <v>1342</v>
      </c>
      <c r="M649" s="59">
        <v>10</v>
      </c>
      <c r="N649" s="59">
        <v>10</v>
      </c>
      <c r="O649" s="59" t="s">
        <v>3578</v>
      </c>
      <c r="P649" s="58">
        <v>43</v>
      </c>
      <c r="Q649" s="59">
        <v>0</v>
      </c>
      <c r="R649" s="59">
        <v>0</v>
      </c>
      <c r="S649" s="60">
        <f>tblJTL[[#This Row],[timeStamp]]/86400000+DATE(1970,1,1)+TIME(9,0,0)</f>
        <v>46296.418621284727</v>
      </c>
      <c r="T649" s="57">
        <f>tblJTL[[#This Row],[timeStamp]]+tblJTL[[#This Row],[elapsed]]</f>
        <v>1790816568926</v>
      </c>
      <c r="U649" s="61">
        <f>(tblJTL[[#This Row],[timeStamp]]-'17_分析サンプル'!$E$18)/1000</f>
        <v>168.69900000000001</v>
      </c>
      <c r="V649" s="57">
        <f>INT(tblJTL[[#This Row],[経過秒]]/60)</f>
        <v>2</v>
      </c>
      <c r="W649" s="57">
        <f>IF(OR(tblJTL[[#This Row],[success]]=FALSE,tblJTL[[#This Row],[success]]="false"),1,0)</f>
        <v>0</v>
      </c>
      <c r="X649" s="57">
        <f>IF(AND(tblJTL[[#This Row],[経過秒]]&gt;='17_分析サンプル'!$E$11,tblJTL[[#This Row],[経過秒]]&lt;'17_分析サンプル'!$E$12),1,0)</f>
        <v>1</v>
      </c>
    </row>
    <row r="650" spans="2:24" ht="14.4" x14ac:dyDescent="0.3">
      <c r="B650" s="57">
        <v>1790816568897</v>
      </c>
      <c r="C650" s="58">
        <v>149</v>
      </c>
      <c r="D650" s="59" t="s">
        <v>1677</v>
      </c>
      <c r="E650" s="59" t="s">
        <v>3579</v>
      </c>
      <c r="F650" s="59" t="s">
        <v>3580</v>
      </c>
      <c r="G650" s="59" t="s">
        <v>3586</v>
      </c>
      <c r="H650" s="59" t="s">
        <v>2281</v>
      </c>
      <c r="I650" s="59" t="b">
        <v>1</v>
      </c>
      <c r="J650" s="59"/>
      <c r="K650" s="58">
        <v>431</v>
      </c>
      <c r="L650" s="58">
        <v>1478</v>
      </c>
      <c r="M650" s="59">
        <v>10</v>
      </c>
      <c r="N650" s="59">
        <v>10</v>
      </c>
      <c r="O650" s="59" t="s">
        <v>3581</v>
      </c>
      <c r="P650" s="58">
        <v>142</v>
      </c>
      <c r="Q650" s="59">
        <v>0</v>
      </c>
      <c r="R650" s="59">
        <v>0</v>
      </c>
      <c r="S650" s="60">
        <f>tblJTL[[#This Row],[timeStamp]]/86400000+DATE(1970,1,1)+TIME(9,0,0)</f>
        <v>46296.418621493052</v>
      </c>
      <c r="T650" s="57">
        <f>tblJTL[[#This Row],[timeStamp]]+tblJTL[[#This Row],[elapsed]]</f>
        <v>1790816569046</v>
      </c>
      <c r="U650" s="61">
        <f>(tblJTL[[#This Row],[timeStamp]]-'17_分析サンプル'!$E$18)/1000</f>
        <v>168.71700000000001</v>
      </c>
      <c r="V650" s="57">
        <f>INT(tblJTL[[#This Row],[経過秒]]/60)</f>
        <v>2</v>
      </c>
      <c r="W650" s="57">
        <f>IF(OR(tblJTL[[#This Row],[success]]=FALSE,tblJTL[[#This Row],[success]]="false"),1,0)</f>
        <v>0</v>
      </c>
      <c r="X650" s="57">
        <f>IF(AND(tblJTL[[#This Row],[経過秒]]&gt;='17_分析サンプル'!$E$11,tblJTL[[#This Row],[経過秒]]&lt;'17_分析サンプル'!$E$12),1,0)</f>
        <v>1</v>
      </c>
    </row>
    <row r="651" spans="2:24" ht="14.4" x14ac:dyDescent="0.3">
      <c r="B651" s="57">
        <v>1790816569201</v>
      </c>
      <c r="C651" s="58">
        <v>99</v>
      </c>
      <c r="D651" s="59" t="s">
        <v>1658</v>
      </c>
      <c r="E651" s="59" t="s">
        <v>1577</v>
      </c>
      <c r="F651" s="59" t="s">
        <v>2275</v>
      </c>
      <c r="G651" s="59" t="s">
        <v>3577</v>
      </c>
      <c r="H651" s="59" t="s">
        <v>2281</v>
      </c>
      <c r="I651" s="59" t="b">
        <v>1</v>
      </c>
      <c r="J651" s="59"/>
      <c r="K651" s="58">
        <v>1849</v>
      </c>
      <c r="L651" s="58">
        <v>1342</v>
      </c>
      <c r="M651" s="59">
        <v>10</v>
      </c>
      <c r="N651" s="59">
        <v>10</v>
      </c>
      <c r="O651" s="59" t="s">
        <v>3578</v>
      </c>
      <c r="P651" s="58">
        <v>95</v>
      </c>
      <c r="Q651" s="59">
        <v>0</v>
      </c>
      <c r="R651" s="59">
        <v>0</v>
      </c>
      <c r="S651" s="60">
        <f>tblJTL[[#This Row],[timeStamp]]/86400000+DATE(1970,1,1)+TIME(9,0,0)</f>
        <v>46296.418625011574</v>
      </c>
      <c r="T651" s="57">
        <f>tblJTL[[#This Row],[timeStamp]]+tblJTL[[#This Row],[elapsed]]</f>
        <v>1790816569300</v>
      </c>
      <c r="U651" s="61">
        <f>(tblJTL[[#This Row],[timeStamp]]-'17_分析サンプル'!$E$18)/1000</f>
        <v>169.02099999999999</v>
      </c>
      <c r="V651" s="57">
        <f>INT(tblJTL[[#This Row],[経過秒]]/60)</f>
        <v>2</v>
      </c>
      <c r="W651" s="57">
        <f>IF(OR(tblJTL[[#This Row],[success]]=FALSE,tblJTL[[#This Row],[success]]="false"),1,0)</f>
        <v>0</v>
      </c>
      <c r="X651" s="57">
        <f>IF(AND(tblJTL[[#This Row],[経過秒]]&gt;='17_分析サンプル'!$E$11,tblJTL[[#This Row],[経過秒]]&lt;'17_分析サンプル'!$E$12),1,0)</f>
        <v>1</v>
      </c>
    </row>
    <row r="652" spans="2:24" ht="14.4" x14ac:dyDescent="0.3">
      <c r="B652" s="57">
        <v>1790816569800</v>
      </c>
      <c r="C652" s="58">
        <v>201</v>
      </c>
      <c r="D652" s="59" t="s">
        <v>1658</v>
      </c>
      <c r="E652" s="59" t="s">
        <v>1577</v>
      </c>
      <c r="F652" s="59" t="s">
        <v>2275</v>
      </c>
      <c r="G652" s="59" t="s">
        <v>3588</v>
      </c>
      <c r="H652" s="59" t="s">
        <v>2281</v>
      </c>
      <c r="I652" s="59" t="b">
        <v>1</v>
      </c>
      <c r="J652" s="59"/>
      <c r="K652" s="58">
        <v>1860</v>
      </c>
      <c r="L652" s="58">
        <v>1342</v>
      </c>
      <c r="M652" s="59">
        <v>10</v>
      </c>
      <c r="N652" s="59">
        <v>10</v>
      </c>
      <c r="O652" s="59" t="s">
        <v>3578</v>
      </c>
      <c r="P652" s="58">
        <v>197</v>
      </c>
      <c r="Q652" s="59">
        <v>0</v>
      </c>
      <c r="R652" s="59">
        <v>0</v>
      </c>
      <c r="S652" s="60">
        <f>tblJTL[[#This Row],[timeStamp]]/86400000+DATE(1970,1,1)+TIME(9,0,0)</f>
        <v>46296.418631944442</v>
      </c>
      <c r="T652" s="57">
        <f>tblJTL[[#This Row],[timeStamp]]+tblJTL[[#This Row],[elapsed]]</f>
        <v>1790816570001</v>
      </c>
      <c r="U652" s="61">
        <f>(tblJTL[[#This Row],[timeStamp]]-'17_分析サンプル'!$E$18)/1000</f>
        <v>169.62</v>
      </c>
      <c r="V652" s="57">
        <f>INT(tblJTL[[#This Row],[経過秒]]/60)</f>
        <v>2</v>
      </c>
      <c r="W652" s="57">
        <f>IF(OR(tblJTL[[#This Row],[success]]=FALSE,tblJTL[[#This Row],[success]]="false"),1,0)</f>
        <v>0</v>
      </c>
      <c r="X652" s="57">
        <f>IF(AND(tblJTL[[#This Row],[経過秒]]&gt;='17_分析サンプル'!$E$11,tblJTL[[#This Row],[経過秒]]&lt;'17_分析サンプル'!$E$12),1,0)</f>
        <v>1</v>
      </c>
    </row>
    <row r="653" spans="2:24" ht="14.4" x14ac:dyDescent="0.3">
      <c r="B653" s="57">
        <v>1790816569930</v>
      </c>
      <c r="C653" s="58">
        <v>119</v>
      </c>
      <c r="D653" s="59" t="s">
        <v>1658</v>
      </c>
      <c r="E653" s="59" t="s">
        <v>1577</v>
      </c>
      <c r="F653" s="59" t="s">
        <v>2275</v>
      </c>
      <c r="G653" s="59" t="s">
        <v>3582</v>
      </c>
      <c r="H653" s="59" t="s">
        <v>2281</v>
      </c>
      <c r="I653" s="59" t="b">
        <v>1</v>
      </c>
      <c r="J653" s="59"/>
      <c r="K653" s="58">
        <v>1890</v>
      </c>
      <c r="L653" s="58">
        <v>1342</v>
      </c>
      <c r="M653" s="59">
        <v>10</v>
      </c>
      <c r="N653" s="59">
        <v>10</v>
      </c>
      <c r="O653" s="59" t="s">
        <v>3578</v>
      </c>
      <c r="P653" s="58">
        <v>113</v>
      </c>
      <c r="Q653" s="59">
        <v>0</v>
      </c>
      <c r="R653" s="59">
        <v>0</v>
      </c>
      <c r="S653" s="60">
        <f>tblJTL[[#This Row],[timeStamp]]/86400000+DATE(1970,1,1)+TIME(9,0,0)</f>
        <v>46296.418633449073</v>
      </c>
      <c r="T653" s="57">
        <f>tblJTL[[#This Row],[timeStamp]]+tblJTL[[#This Row],[elapsed]]</f>
        <v>1790816570049</v>
      </c>
      <c r="U653" s="61">
        <f>(tblJTL[[#This Row],[timeStamp]]-'17_分析サンプル'!$E$18)/1000</f>
        <v>169.75</v>
      </c>
      <c r="V653" s="57">
        <f>INT(tblJTL[[#This Row],[経過秒]]/60)</f>
        <v>2</v>
      </c>
      <c r="W653" s="57">
        <f>IF(OR(tblJTL[[#This Row],[success]]=FALSE,tblJTL[[#This Row],[success]]="false"),1,0)</f>
        <v>0</v>
      </c>
      <c r="X653" s="57">
        <f>IF(AND(tblJTL[[#This Row],[経過秒]]&gt;='17_分析サンプル'!$E$11,tblJTL[[#This Row],[経過秒]]&lt;'17_分析サンプル'!$E$12),1,0)</f>
        <v>1</v>
      </c>
    </row>
    <row r="654" spans="2:24" ht="14.4" x14ac:dyDescent="0.3">
      <c r="B654" s="57">
        <v>1790816570001</v>
      </c>
      <c r="C654" s="58">
        <v>251</v>
      </c>
      <c r="D654" s="59" t="s">
        <v>1677</v>
      </c>
      <c r="E654" s="59" t="s">
        <v>3579</v>
      </c>
      <c r="F654" s="59" t="s">
        <v>3580</v>
      </c>
      <c r="G654" s="59" t="s">
        <v>3587</v>
      </c>
      <c r="H654" s="59" t="s">
        <v>2281</v>
      </c>
      <c r="I654" s="59" t="b">
        <v>1</v>
      </c>
      <c r="J654" s="59"/>
      <c r="K654" s="58">
        <v>411</v>
      </c>
      <c r="L654" s="58">
        <v>1478</v>
      </c>
      <c r="M654" s="59">
        <v>10</v>
      </c>
      <c r="N654" s="59">
        <v>10</v>
      </c>
      <c r="O654" s="59" t="s">
        <v>3581</v>
      </c>
      <c r="P654" s="58">
        <v>243</v>
      </c>
      <c r="Q654" s="59">
        <v>0</v>
      </c>
      <c r="R654" s="59">
        <v>0</v>
      </c>
      <c r="S654" s="60">
        <f>tblJTL[[#This Row],[timeStamp]]/86400000+DATE(1970,1,1)+TIME(9,0,0)</f>
        <v>46296.418634270834</v>
      </c>
      <c r="T654" s="57">
        <f>tblJTL[[#This Row],[timeStamp]]+tblJTL[[#This Row],[elapsed]]</f>
        <v>1790816570252</v>
      </c>
      <c r="U654" s="61">
        <f>(tblJTL[[#This Row],[timeStamp]]-'17_分析サンプル'!$E$18)/1000</f>
        <v>169.821</v>
      </c>
      <c r="V654" s="57">
        <f>INT(tblJTL[[#This Row],[経過秒]]/60)</f>
        <v>2</v>
      </c>
      <c r="W654" s="57">
        <f>IF(OR(tblJTL[[#This Row],[success]]=FALSE,tblJTL[[#This Row],[success]]="false"),1,0)</f>
        <v>0</v>
      </c>
      <c r="X654" s="57">
        <f>IF(AND(tblJTL[[#This Row],[経過秒]]&gt;='17_分析サンプル'!$E$11,tblJTL[[#This Row],[経過秒]]&lt;'17_分析サンプル'!$E$12),1,0)</f>
        <v>1</v>
      </c>
    </row>
    <row r="655" spans="2:24" ht="14.4" x14ac:dyDescent="0.3">
      <c r="B655" s="57">
        <v>1790816570257</v>
      </c>
      <c r="C655" s="58">
        <v>141</v>
      </c>
      <c r="D655" s="59" t="s">
        <v>1677</v>
      </c>
      <c r="E655" s="59" t="s">
        <v>3579</v>
      </c>
      <c r="F655" s="59" t="s">
        <v>3580</v>
      </c>
      <c r="G655" s="59" t="s">
        <v>3585</v>
      </c>
      <c r="H655" s="59" t="s">
        <v>2281</v>
      </c>
      <c r="I655" s="59" t="b">
        <v>1</v>
      </c>
      <c r="J655" s="59"/>
      <c r="K655" s="58">
        <v>438</v>
      </c>
      <c r="L655" s="58">
        <v>1478</v>
      </c>
      <c r="M655" s="59">
        <v>10</v>
      </c>
      <c r="N655" s="59">
        <v>10</v>
      </c>
      <c r="O655" s="59" t="s">
        <v>3581</v>
      </c>
      <c r="P655" s="58">
        <v>139</v>
      </c>
      <c r="Q655" s="59">
        <v>0</v>
      </c>
      <c r="R655" s="59">
        <v>0</v>
      </c>
      <c r="S655" s="60">
        <f>tblJTL[[#This Row],[timeStamp]]/86400000+DATE(1970,1,1)+TIME(9,0,0)</f>
        <v>46296.418637233801</v>
      </c>
      <c r="T655" s="57">
        <f>tblJTL[[#This Row],[timeStamp]]+tblJTL[[#This Row],[elapsed]]</f>
        <v>1790816570398</v>
      </c>
      <c r="U655" s="61">
        <f>(tblJTL[[#This Row],[timeStamp]]-'17_分析サンプル'!$E$18)/1000</f>
        <v>170.077</v>
      </c>
      <c r="V655" s="57">
        <f>INT(tblJTL[[#This Row],[経過秒]]/60)</f>
        <v>2</v>
      </c>
      <c r="W655" s="57">
        <f>IF(OR(tblJTL[[#This Row],[success]]=FALSE,tblJTL[[#This Row],[success]]="false"),1,0)</f>
        <v>0</v>
      </c>
      <c r="X655" s="57">
        <f>IF(AND(tblJTL[[#This Row],[経過秒]]&gt;='17_分析サンプル'!$E$11,tblJTL[[#This Row],[経過秒]]&lt;'17_分析サンプル'!$E$12),1,0)</f>
        <v>1</v>
      </c>
    </row>
    <row r="656" spans="2:24" ht="14.4" x14ac:dyDescent="0.3">
      <c r="B656" s="57">
        <v>1790816570791</v>
      </c>
      <c r="C656" s="58">
        <v>273</v>
      </c>
      <c r="D656" s="59" t="s">
        <v>1677</v>
      </c>
      <c r="E656" s="59" t="s">
        <v>3579</v>
      </c>
      <c r="F656" s="59" t="s">
        <v>3580</v>
      </c>
      <c r="G656" s="59" t="s">
        <v>3583</v>
      </c>
      <c r="H656" s="59" t="s">
        <v>2281</v>
      </c>
      <c r="I656" s="59" t="b">
        <v>1</v>
      </c>
      <c r="J656" s="59"/>
      <c r="K656" s="58">
        <v>440</v>
      </c>
      <c r="L656" s="58">
        <v>1478</v>
      </c>
      <c r="M656" s="59">
        <v>10</v>
      </c>
      <c r="N656" s="59">
        <v>10</v>
      </c>
      <c r="O656" s="59" t="s">
        <v>3581</v>
      </c>
      <c r="P656" s="58">
        <v>266</v>
      </c>
      <c r="Q656" s="59">
        <v>0</v>
      </c>
      <c r="R656" s="59">
        <v>0</v>
      </c>
      <c r="S656" s="60">
        <f>tblJTL[[#This Row],[timeStamp]]/86400000+DATE(1970,1,1)+TIME(9,0,0)</f>
        <v>46296.418643414348</v>
      </c>
      <c r="T656" s="57">
        <f>tblJTL[[#This Row],[timeStamp]]+tblJTL[[#This Row],[elapsed]]</f>
        <v>1790816571064</v>
      </c>
      <c r="U656" s="61">
        <f>(tblJTL[[#This Row],[timeStamp]]-'17_分析サンプル'!$E$18)/1000</f>
        <v>170.61099999999999</v>
      </c>
      <c r="V656" s="57">
        <f>INT(tblJTL[[#This Row],[経過秒]]/60)</f>
        <v>2</v>
      </c>
      <c r="W656" s="57">
        <f>IF(OR(tblJTL[[#This Row],[success]]=FALSE,tblJTL[[#This Row],[success]]="false"),1,0)</f>
        <v>0</v>
      </c>
      <c r="X656" s="57">
        <f>IF(AND(tblJTL[[#This Row],[経過秒]]&gt;='17_分析サンプル'!$E$11,tblJTL[[#This Row],[経過秒]]&lt;'17_分析サンプル'!$E$12),1,0)</f>
        <v>1</v>
      </c>
    </row>
    <row r="657" spans="2:24" ht="14.4" x14ac:dyDescent="0.3">
      <c r="B657" s="57">
        <v>1790816571002</v>
      </c>
      <c r="C657" s="58">
        <v>199</v>
      </c>
      <c r="D657" s="59" t="s">
        <v>1677</v>
      </c>
      <c r="E657" s="59" t="s">
        <v>3579</v>
      </c>
      <c r="F657" s="59" t="s">
        <v>3580</v>
      </c>
      <c r="G657" s="59" t="s">
        <v>3589</v>
      </c>
      <c r="H657" s="59" t="s">
        <v>2281</v>
      </c>
      <c r="I657" s="59" t="b">
        <v>1</v>
      </c>
      <c r="J657" s="59"/>
      <c r="K657" s="58">
        <v>438</v>
      </c>
      <c r="L657" s="58">
        <v>1478</v>
      </c>
      <c r="M657" s="59">
        <v>10</v>
      </c>
      <c r="N657" s="59">
        <v>10</v>
      </c>
      <c r="O657" s="59" t="s">
        <v>3581</v>
      </c>
      <c r="P657" s="58">
        <v>191</v>
      </c>
      <c r="Q657" s="59">
        <v>0</v>
      </c>
      <c r="R657" s="59">
        <v>0</v>
      </c>
      <c r="S657" s="60">
        <f>tblJTL[[#This Row],[timeStamp]]/86400000+DATE(1970,1,1)+TIME(9,0,0)</f>
        <v>46296.41864585648</v>
      </c>
      <c r="T657" s="57">
        <f>tblJTL[[#This Row],[timeStamp]]+tblJTL[[#This Row],[elapsed]]</f>
        <v>1790816571201</v>
      </c>
      <c r="U657" s="61">
        <f>(tblJTL[[#This Row],[timeStamp]]-'17_分析サンプル'!$E$18)/1000</f>
        <v>170.822</v>
      </c>
      <c r="V657" s="57">
        <f>INT(tblJTL[[#This Row],[経過秒]]/60)</f>
        <v>2</v>
      </c>
      <c r="W657" s="57">
        <f>IF(OR(tblJTL[[#This Row],[success]]=FALSE,tblJTL[[#This Row],[success]]="false"),1,0)</f>
        <v>0</v>
      </c>
      <c r="X657" s="57">
        <f>IF(AND(tblJTL[[#This Row],[経過秒]]&gt;='17_分析サンプル'!$E$11,tblJTL[[#This Row],[経過秒]]&lt;'17_分析サンプル'!$E$12),1,0)</f>
        <v>1</v>
      </c>
    </row>
    <row r="658" spans="2:24" ht="14.4" x14ac:dyDescent="0.3">
      <c r="B658" s="57">
        <v>1790816571205</v>
      </c>
      <c r="C658" s="58">
        <v>142</v>
      </c>
      <c r="D658" s="59" t="s">
        <v>1677</v>
      </c>
      <c r="E658" s="59" t="s">
        <v>3579</v>
      </c>
      <c r="F658" s="59" t="s">
        <v>3580</v>
      </c>
      <c r="G658" s="59" t="s">
        <v>3582</v>
      </c>
      <c r="H658" s="59" t="s">
        <v>2281</v>
      </c>
      <c r="I658" s="59" t="b">
        <v>1</v>
      </c>
      <c r="J658" s="59"/>
      <c r="K658" s="58">
        <v>418</v>
      </c>
      <c r="L658" s="58">
        <v>1478</v>
      </c>
      <c r="M658" s="59">
        <v>10</v>
      </c>
      <c r="N658" s="59">
        <v>10</v>
      </c>
      <c r="O658" s="59" t="s">
        <v>3581</v>
      </c>
      <c r="P658" s="58">
        <v>138</v>
      </c>
      <c r="Q658" s="59">
        <v>0</v>
      </c>
      <c r="R658" s="59">
        <v>0</v>
      </c>
      <c r="S658" s="60">
        <f>tblJTL[[#This Row],[timeStamp]]/86400000+DATE(1970,1,1)+TIME(9,0,0)</f>
        <v>46296.418648206018</v>
      </c>
      <c r="T658" s="57">
        <f>tblJTL[[#This Row],[timeStamp]]+tblJTL[[#This Row],[elapsed]]</f>
        <v>1790816571347</v>
      </c>
      <c r="U658" s="61">
        <f>(tblJTL[[#This Row],[timeStamp]]-'17_分析サンプル'!$E$18)/1000</f>
        <v>171.02500000000001</v>
      </c>
      <c r="V658" s="57">
        <f>INT(tblJTL[[#This Row],[経過秒]]/60)</f>
        <v>2</v>
      </c>
      <c r="W658" s="57">
        <f>IF(OR(tblJTL[[#This Row],[success]]=FALSE,tblJTL[[#This Row],[success]]="false"),1,0)</f>
        <v>0</v>
      </c>
      <c r="X658" s="57">
        <f>IF(AND(tblJTL[[#This Row],[経過秒]]&gt;='17_分析サンプル'!$E$11,tblJTL[[#This Row],[経過秒]]&lt;'17_分析サンプル'!$E$12),1,0)</f>
        <v>1</v>
      </c>
    </row>
    <row r="659" spans="2:24" ht="14.4" x14ac:dyDescent="0.3">
      <c r="B659" s="57">
        <v>1790816571467</v>
      </c>
      <c r="C659" s="58">
        <v>201</v>
      </c>
      <c r="D659" s="59" t="s">
        <v>1677</v>
      </c>
      <c r="E659" s="59" t="s">
        <v>3579</v>
      </c>
      <c r="F659" s="59" t="s">
        <v>3580</v>
      </c>
      <c r="G659" s="59" t="s">
        <v>2278</v>
      </c>
      <c r="H659" s="59" t="s">
        <v>2281</v>
      </c>
      <c r="I659" s="59" t="b">
        <v>1</v>
      </c>
      <c r="J659" s="59"/>
      <c r="K659" s="58">
        <v>430</v>
      </c>
      <c r="L659" s="58">
        <v>1478</v>
      </c>
      <c r="M659" s="59">
        <v>10</v>
      </c>
      <c r="N659" s="59">
        <v>10</v>
      </c>
      <c r="O659" s="59" t="s">
        <v>3581</v>
      </c>
      <c r="P659" s="58">
        <v>195</v>
      </c>
      <c r="Q659" s="59">
        <v>0</v>
      </c>
      <c r="R659" s="59">
        <v>0</v>
      </c>
      <c r="S659" s="60">
        <f>tblJTL[[#This Row],[timeStamp]]/86400000+DATE(1970,1,1)+TIME(9,0,0)</f>
        <v>46296.418651238426</v>
      </c>
      <c r="T659" s="57">
        <f>tblJTL[[#This Row],[timeStamp]]+tblJTL[[#This Row],[elapsed]]</f>
        <v>1790816571668</v>
      </c>
      <c r="U659" s="61">
        <f>(tblJTL[[#This Row],[timeStamp]]-'17_分析サンプル'!$E$18)/1000</f>
        <v>171.28700000000001</v>
      </c>
      <c r="V659" s="57">
        <f>INT(tblJTL[[#This Row],[経過秒]]/60)</f>
        <v>2</v>
      </c>
      <c r="W659" s="57">
        <f>IF(OR(tblJTL[[#This Row],[success]]=FALSE,tblJTL[[#This Row],[success]]="false"),1,0)</f>
        <v>0</v>
      </c>
      <c r="X659" s="57">
        <f>IF(AND(tblJTL[[#This Row],[経過秒]]&gt;='17_分析サンプル'!$E$11,tblJTL[[#This Row],[経過秒]]&lt;'17_分析サンプル'!$E$12),1,0)</f>
        <v>1</v>
      </c>
    </row>
    <row r="660" spans="2:24" ht="14.4" x14ac:dyDescent="0.3">
      <c r="B660" s="57">
        <v>1790816571625</v>
      </c>
      <c r="C660" s="58">
        <v>149</v>
      </c>
      <c r="D660" s="59" t="s">
        <v>1658</v>
      </c>
      <c r="E660" s="59" t="s">
        <v>1577</v>
      </c>
      <c r="F660" s="59" t="s">
        <v>2275</v>
      </c>
      <c r="G660" s="59" t="s">
        <v>3586</v>
      </c>
      <c r="H660" s="59" t="s">
        <v>2281</v>
      </c>
      <c r="I660" s="59" t="b">
        <v>1</v>
      </c>
      <c r="J660" s="59"/>
      <c r="K660" s="58">
        <v>1877</v>
      </c>
      <c r="L660" s="58">
        <v>1342</v>
      </c>
      <c r="M660" s="59">
        <v>10</v>
      </c>
      <c r="N660" s="59">
        <v>10</v>
      </c>
      <c r="O660" s="59" t="s">
        <v>3578</v>
      </c>
      <c r="P660" s="58">
        <v>146</v>
      </c>
      <c r="Q660" s="59">
        <v>0</v>
      </c>
      <c r="R660" s="59">
        <v>0</v>
      </c>
      <c r="S660" s="60">
        <f>tblJTL[[#This Row],[timeStamp]]/86400000+DATE(1970,1,1)+TIME(9,0,0)</f>
        <v>46296.418653067129</v>
      </c>
      <c r="T660" s="57">
        <f>tblJTL[[#This Row],[timeStamp]]+tblJTL[[#This Row],[elapsed]]</f>
        <v>1790816571774</v>
      </c>
      <c r="U660" s="61">
        <f>(tblJTL[[#This Row],[timeStamp]]-'17_分析サンプル'!$E$18)/1000</f>
        <v>171.44499999999999</v>
      </c>
      <c r="V660" s="57">
        <f>INT(tblJTL[[#This Row],[経過秒]]/60)</f>
        <v>2</v>
      </c>
      <c r="W660" s="57">
        <f>IF(OR(tblJTL[[#This Row],[success]]=FALSE,tblJTL[[#This Row],[success]]="false"),1,0)</f>
        <v>0</v>
      </c>
      <c r="X660" s="57">
        <f>IF(AND(tblJTL[[#This Row],[経過秒]]&gt;='17_分析サンプル'!$E$11,tblJTL[[#This Row],[経過秒]]&lt;'17_分析サンプル'!$E$12),1,0)</f>
        <v>1</v>
      </c>
    </row>
    <row r="661" spans="2:24" ht="14.4" x14ac:dyDescent="0.3">
      <c r="B661" s="57">
        <v>1790816571513</v>
      </c>
      <c r="C661" s="58">
        <v>466</v>
      </c>
      <c r="D661" s="59" t="s">
        <v>1677</v>
      </c>
      <c r="E661" s="59" t="s">
        <v>3579</v>
      </c>
      <c r="F661" s="59" t="s">
        <v>3580</v>
      </c>
      <c r="G661" s="59" t="s">
        <v>3584</v>
      </c>
      <c r="H661" s="59" t="s">
        <v>2281</v>
      </c>
      <c r="I661" s="59" t="b">
        <v>1</v>
      </c>
      <c r="J661" s="59"/>
      <c r="K661" s="58">
        <v>419</v>
      </c>
      <c r="L661" s="58">
        <v>1478</v>
      </c>
      <c r="M661" s="59">
        <v>10</v>
      </c>
      <c r="N661" s="59">
        <v>10</v>
      </c>
      <c r="O661" s="59" t="s">
        <v>3581</v>
      </c>
      <c r="P661" s="58">
        <v>458</v>
      </c>
      <c r="Q661" s="59">
        <v>0</v>
      </c>
      <c r="R661" s="59">
        <v>0</v>
      </c>
      <c r="S661" s="60">
        <f>tblJTL[[#This Row],[timeStamp]]/86400000+DATE(1970,1,1)+TIME(9,0,0)</f>
        <v>46296.418651770829</v>
      </c>
      <c r="T661" s="57">
        <f>tblJTL[[#This Row],[timeStamp]]+tblJTL[[#This Row],[elapsed]]</f>
        <v>1790816571979</v>
      </c>
      <c r="U661" s="61">
        <f>(tblJTL[[#This Row],[timeStamp]]-'17_分析サンプル'!$E$18)/1000</f>
        <v>171.333</v>
      </c>
      <c r="V661" s="57">
        <f>INT(tblJTL[[#This Row],[経過秒]]/60)</f>
        <v>2</v>
      </c>
      <c r="W661" s="57">
        <f>IF(OR(tblJTL[[#This Row],[success]]=FALSE,tblJTL[[#This Row],[success]]="false"),1,0)</f>
        <v>0</v>
      </c>
      <c r="X661" s="57">
        <f>IF(AND(tblJTL[[#This Row],[経過秒]]&gt;='17_分析サンプル'!$E$11,tblJTL[[#This Row],[経過秒]]&lt;'17_分析サンプル'!$E$12),1,0)</f>
        <v>1</v>
      </c>
    </row>
    <row r="662" spans="2:24" ht="14.4" x14ac:dyDescent="0.3">
      <c r="B662" s="57">
        <v>1790816571920</v>
      </c>
      <c r="C662" s="58">
        <v>79</v>
      </c>
      <c r="D662" s="59" t="s">
        <v>1658</v>
      </c>
      <c r="E662" s="59" t="s">
        <v>1577</v>
      </c>
      <c r="F662" s="59" t="s">
        <v>2275</v>
      </c>
      <c r="G662" s="59" t="s">
        <v>3585</v>
      </c>
      <c r="H662" s="59" t="s">
        <v>2281</v>
      </c>
      <c r="I662" s="59" t="b">
        <v>1</v>
      </c>
      <c r="J662" s="59"/>
      <c r="K662" s="58">
        <v>1857</v>
      </c>
      <c r="L662" s="58">
        <v>1342</v>
      </c>
      <c r="M662" s="59">
        <v>10</v>
      </c>
      <c r="N662" s="59">
        <v>10</v>
      </c>
      <c r="O662" s="59" t="s">
        <v>3578</v>
      </c>
      <c r="P662" s="58">
        <v>72</v>
      </c>
      <c r="Q662" s="59">
        <v>0</v>
      </c>
      <c r="R662" s="59">
        <v>0</v>
      </c>
      <c r="S662" s="60">
        <f>tblJTL[[#This Row],[timeStamp]]/86400000+DATE(1970,1,1)+TIME(9,0,0)</f>
        <v>46296.418656481481</v>
      </c>
      <c r="T662" s="57">
        <f>tblJTL[[#This Row],[timeStamp]]+tblJTL[[#This Row],[elapsed]]</f>
        <v>1790816571999</v>
      </c>
      <c r="U662" s="61">
        <f>(tblJTL[[#This Row],[timeStamp]]-'17_分析サンプル'!$E$18)/1000</f>
        <v>171.74</v>
      </c>
      <c r="V662" s="57">
        <f>INT(tblJTL[[#This Row],[経過秒]]/60)</f>
        <v>2</v>
      </c>
      <c r="W662" s="57">
        <f>IF(OR(tblJTL[[#This Row],[success]]=FALSE,tblJTL[[#This Row],[success]]="false"),1,0)</f>
        <v>0</v>
      </c>
      <c r="X662" s="57">
        <f>IF(AND(tblJTL[[#This Row],[経過秒]]&gt;='17_分析サンプル'!$E$11,tblJTL[[#This Row],[経過秒]]&lt;'17_分析サンプル'!$E$12),1,0)</f>
        <v>1</v>
      </c>
    </row>
    <row r="663" spans="2:24" ht="14.4" x14ac:dyDescent="0.3">
      <c r="B663" s="57">
        <v>1790816571846</v>
      </c>
      <c r="C663" s="58">
        <v>192</v>
      </c>
      <c r="D663" s="59" t="s">
        <v>1677</v>
      </c>
      <c r="E663" s="59" t="s">
        <v>3579</v>
      </c>
      <c r="F663" s="59" t="s">
        <v>3580</v>
      </c>
      <c r="G663" s="59" t="s">
        <v>3577</v>
      </c>
      <c r="H663" s="59" t="s">
        <v>2281</v>
      </c>
      <c r="I663" s="59" t="b">
        <v>1</v>
      </c>
      <c r="J663" s="59"/>
      <c r="K663" s="58">
        <v>439</v>
      </c>
      <c r="L663" s="58">
        <v>1478</v>
      </c>
      <c r="M663" s="59">
        <v>10</v>
      </c>
      <c r="N663" s="59">
        <v>10</v>
      </c>
      <c r="O663" s="59" t="s">
        <v>3581</v>
      </c>
      <c r="P663" s="58">
        <v>186</v>
      </c>
      <c r="Q663" s="59">
        <v>0</v>
      </c>
      <c r="R663" s="59">
        <v>0</v>
      </c>
      <c r="S663" s="60">
        <f>tblJTL[[#This Row],[timeStamp]]/86400000+DATE(1970,1,1)+TIME(9,0,0)</f>
        <v>46296.418655624999</v>
      </c>
      <c r="T663" s="57">
        <f>tblJTL[[#This Row],[timeStamp]]+tblJTL[[#This Row],[elapsed]]</f>
        <v>1790816572038</v>
      </c>
      <c r="U663" s="61">
        <f>(tblJTL[[#This Row],[timeStamp]]-'17_分析サンプル'!$E$18)/1000</f>
        <v>171.666</v>
      </c>
      <c r="V663" s="57">
        <f>INT(tblJTL[[#This Row],[経過秒]]/60)</f>
        <v>2</v>
      </c>
      <c r="W663" s="57">
        <f>IF(OR(tblJTL[[#This Row],[success]]=FALSE,tblJTL[[#This Row],[success]]="false"),1,0)</f>
        <v>0</v>
      </c>
      <c r="X663" s="57">
        <f>IF(AND(tblJTL[[#This Row],[経過秒]]&gt;='17_分析サンプル'!$E$11,tblJTL[[#This Row],[経過秒]]&lt;'17_分析サンプル'!$E$12),1,0)</f>
        <v>1</v>
      </c>
    </row>
    <row r="664" spans="2:24" ht="14.4" x14ac:dyDescent="0.3">
      <c r="B664" s="57">
        <v>1790816571925</v>
      </c>
      <c r="C664" s="58">
        <v>190</v>
      </c>
      <c r="D664" s="59" t="s">
        <v>1677</v>
      </c>
      <c r="E664" s="59" t="s">
        <v>3579</v>
      </c>
      <c r="F664" s="59" t="s">
        <v>3580</v>
      </c>
      <c r="G664" s="59" t="s">
        <v>3588</v>
      </c>
      <c r="H664" s="59" t="s">
        <v>2281</v>
      </c>
      <c r="I664" s="59" t="b">
        <v>1</v>
      </c>
      <c r="J664" s="59"/>
      <c r="K664" s="58">
        <v>436</v>
      </c>
      <c r="L664" s="58">
        <v>1478</v>
      </c>
      <c r="M664" s="59">
        <v>10</v>
      </c>
      <c r="N664" s="59">
        <v>10</v>
      </c>
      <c r="O664" s="59" t="s">
        <v>3581</v>
      </c>
      <c r="P664" s="58">
        <v>182</v>
      </c>
      <c r="Q664" s="59">
        <v>0</v>
      </c>
      <c r="R664" s="59">
        <v>52</v>
      </c>
      <c r="S664" s="60">
        <f>tblJTL[[#This Row],[timeStamp]]/86400000+DATE(1970,1,1)+TIME(9,0,0)</f>
        <v>46296.418656539347</v>
      </c>
      <c r="T664" s="57">
        <f>tblJTL[[#This Row],[timeStamp]]+tblJTL[[#This Row],[elapsed]]</f>
        <v>1790816572115</v>
      </c>
      <c r="U664" s="61">
        <f>(tblJTL[[#This Row],[timeStamp]]-'17_分析サンプル'!$E$18)/1000</f>
        <v>171.745</v>
      </c>
      <c r="V664" s="57">
        <f>INT(tblJTL[[#This Row],[経過秒]]/60)</f>
        <v>2</v>
      </c>
      <c r="W664" s="57">
        <f>IF(OR(tblJTL[[#This Row],[success]]=FALSE,tblJTL[[#This Row],[success]]="false"),1,0)</f>
        <v>0</v>
      </c>
      <c r="X664" s="57">
        <f>IF(AND(tblJTL[[#This Row],[経過秒]]&gt;='17_分析サンプル'!$E$11,tblJTL[[#This Row],[経過秒]]&lt;'17_分析サンプル'!$E$12),1,0)</f>
        <v>1</v>
      </c>
    </row>
    <row r="665" spans="2:24" ht="14.4" x14ac:dyDescent="0.3">
      <c r="B665" s="57">
        <v>1790816572089</v>
      </c>
      <c r="C665" s="58">
        <v>100</v>
      </c>
      <c r="D665" s="59" t="s">
        <v>1658</v>
      </c>
      <c r="E665" s="59" t="s">
        <v>1577</v>
      </c>
      <c r="F665" s="59" t="s">
        <v>2275</v>
      </c>
      <c r="G665" s="59" t="s">
        <v>3587</v>
      </c>
      <c r="H665" s="59" t="s">
        <v>2281</v>
      </c>
      <c r="I665" s="59" t="b">
        <v>1</v>
      </c>
      <c r="J665" s="59"/>
      <c r="K665" s="58">
        <v>1889</v>
      </c>
      <c r="L665" s="58">
        <v>1342</v>
      </c>
      <c r="M665" s="59">
        <v>10</v>
      </c>
      <c r="N665" s="59">
        <v>10</v>
      </c>
      <c r="O665" s="59" t="s">
        <v>3578</v>
      </c>
      <c r="P665" s="58">
        <v>98</v>
      </c>
      <c r="Q665" s="59">
        <v>0</v>
      </c>
      <c r="R665" s="59">
        <v>0</v>
      </c>
      <c r="S665" s="60">
        <f>tblJTL[[#This Row],[timeStamp]]/86400000+DATE(1970,1,1)+TIME(9,0,0)</f>
        <v>46296.418658437498</v>
      </c>
      <c r="T665" s="57">
        <f>tblJTL[[#This Row],[timeStamp]]+tblJTL[[#This Row],[elapsed]]</f>
        <v>1790816572189</v>
      </c>
      <c r="U665" s="61">
        <f>(tblJTL[[#This Row],[timeStamp]]-'17_分析サンプル'!$E$18)/1000</f>
        <v>171.90899999999999</v>
      </c>
      <c r="V665" s="57">
        <f>INT(tblJTL[[#This Row],[経過秒]]/60)</f>
        <v>2</v>
      </c>
      <c r="W665" s="57">
        <f>IF(OR(tblJTL[[#This Row],[success]]=FALSE,tblJTL[[#This Row],[success]]="false"),1,0)</f>
        <v>0</v>
      </c>
      <c r="X665" s="57">
        <f>IF(AND(tblJTL[[#This Row],[経過秒]]&gt;='17_分析サンプル'!$E$11,tblJTL[[#This Row],[経過秒]]&lt;'17_分析サンプル'!$E$12),1,0)</f>
        <v>1</v>
      </c>
    </row>
    <row r="666" spans="2:24" ht="14.4" x14ac:dyDescent="0.3">
      <c r="B666" s="57">
        <v>1790816572563</v>
      </c>
      <c r="C666" s="58">
        <v>121</v>
      </c>
      <c r="D666" s="59" t="s">
        <v>1658</v>
      </c>
      <c r="E666" s="59" t="s">
        <v>1577</v>
      </c>
      <c r="F666" s="59" t="s">
        <v>2275</v>
      </c>
      <c r="G666" s="59" t="s">
        <v>3583</v>
      </c>
      <c r="H666" s="59" t="s">
        <v>2281</v>
      </c>
      <c r="I666" s="59" t="b">
        <v>1</v>
      </c>
      <c r="J666" s="59"/>
      <c r="K666" s="58">
        <v>1823</v>
      </c>
      <c r="L666" s="58">
        <v>1342</v>
      </c>
      <c r="M666" s="59">
        <v>10</v>
      </c>
      <c r="N666" s="59">
        <v>10</v>
      </c>
      <c r="O666" s="59" t="s">
        <v>3578</v>
      </c>
      <c r="P666" s="58">
        <v>113</v>
      </c>
      <c r="Q666" s="59">
        <v>0</v>
      </c>
      <c r="R666" s="59">
        <v>0</v>
      </c>
      <c r="S666" s="60">
        <f>tblJTL[[#This Row],[timeStamp]]/86400000+DATE(1970,1,1)+TIME(9,0,0)</f>
        <v>46296.418663923614</v>
      </c>
      <c r="T666" s="57">
        <f>tblJTL[[#This Row],[timeStamp]]+tblJTL[[#This Row],[elapsed]]</f>
        <v>1790816572684</v>
      </c>
      <c r="U666" s="61">
        <f>(tblJTL[[#This Row],[timeStamp]]-'17_分析サンプル'!$E$18)/1000</f>
        <v>172.38300000000001</v>
      </c>
      <c r="V666" s="57">
        <f>INT(tblJTL[[#This Row],[経過秒]]/60)</f>
        <v>2</v>
      </c>
      <c r="W666" s="57">
        <f>IF(OR(tblJTL[[#This Row],[success]]=FALSE,tblJTL[[#This Row],[success]]="false"),1,0)</f>
        <v>0</v>
      </c>
      <c r="X666" s="57">
        <f>IF(AND(tblJTL[[#This Row],[経過秒]]&gt;='17_分析サンプル'!$E$11,tblJTL[[#This Row],[経過秒]]&lt;'17_分析サンプル'!$E$12),1,0)</f>
        <v>1</v>
      </c>
    </row>
    <row r="667" spans="2:24" ht="14.4" x14ac:dyDescent="0.3">
      <c r="B667" s="57">
        <v>1790816572722</v>
      </c>
      <c r="C667" s="58">
        <v>85</v>
      </c>
      <c r="D667" s="59" t="s">
        <v>1658</v>
      </c>
      <c r="E667" s="59" t="s">
        <v>1577</v>
      </c>
      <c r="F667" s="59" t="s">
        <v>2275</v>
      </c>
      <c r="G667" s="59" t="s">
        <v>3582</v>
      </c>
      <c r="H667" s="59" t="s">
        <v>2281</v>
      </c>
      <c r="I667" s="59" t="b">
        <v>1</v>
      </c>
      <c r="J667" s="59"/>
      <c r="K667" s="58">
        <v>1896</v>
      </c>
      <c r="L667" s="58">
        <v>1342</v>
      </c>
      <c r="M667" s="59">
        <v>10</v>
      </c>
      <c r="N667" s="59">
        <v>10</v>
      </c>
      <c r="O667" s="59" t="s">
        <v>3578</v>
      </c>
      <c r="P667" s="58">
        <v>82</v>
      </c>
      <c r="Q667" s="59">
        <v>0</v>
      </c>
      <c r="R667" s="59">
        <v>0</v>
      </c>
      <c r="S667" s="60">
        <f>tblJTL[[#This Row],[timeStamp]]/86400000+DATE(1970,1,1)+TIME(9,0,0)</f>
        <v>46296.418665763893</v>
      </c>
      <c r="T667" s="57">
        <f>tblJTL[[#This Row],[timeStamp]]+tblJTL[[#This Row],[elapsed]]</f>
        <v>1790816572807</v>
      </c>
      <c r="U667" s="61">
        <f>(tblJTL[[#This Row],[timeStamp]]-'17_分析サンプル'!$E$18)/1000</f>
        <v>172.542</v>
      </c>
      <c r="V667" s="57">
        <f>INT(tblJTL[[#This Row],[経過秒]]/60)</f>
        <v>2</v>
      </c>
      <c r="W667" s="57">
        <f>IF(OR(tblJTL[[#This Row],[success]]=FALSE,tblJTL[[#This Row],[success]]="false"),1,0)</f>
        <v>0</v>
      </c>
      <c r="X667" s="57">
        <f>IF(AND(tblJTL[[#This Row],[経過秒]]&gt;='17_分析サンプル'!$E$11,tblJTL[[#This Row],[経過秒]]&lt;'17_分析サンプル'!$E$12),1,0)</f>
        <v>1</v>
      </c>
    </row>
    <row r="668" spans="2:24" ht="14.4" x14ac:dyDescent="0.3">
      <c r="B668" s="57">
        <v>1790816573239</v>
      </c>
      <c r="C668" s="58">
        <v>221</v>
      </c>
      <c r="D668" s="59" t="s">
        <v>1677</v>
      </c>
      <c r="E668" s="59" t="s">
        <v>3579</v>
      </c>
      <c r="F668" s="59" t="s">
        <v>3580</v>
      </c>
      <c r="G668" s="59" t="s">
        <v>3586</v>
      </c>
      <c r="H668" s="59" t="s">
        <v>2281</v>
      </c>
      <c r="I668" s="59" t="b">
        <v>1</v>
      </c>
      <c r="J668" s="59"/>
      <c r="K668" s="58">
        <v>419</v>
      </c>
      <c r="L668" s="58">
        <v>1478</v>
      </c>
      <c r="M668" s="59">
        <v>10</v>
      </c>
      <c r="N668" s="59">
        <v>10</v>
      </c>
      <c r="O668" s="59" t="s">
        <v>3581</v>
      </c>
      <c r="P668" s="58">
        <v>218</v>
      </c>
      <c r="Q668" s="59">
        <v>0</v>
      </c>
      <c r="R668" s="59">
        <v>0</v>
      </c>
      <c r="S668" s="60">
        <f>tblJTL[[#This Row],[timeStamp]]/86400000+DATE(1970,1,1)+TIME(9,0,0)</f>
        <v>46296.418671747684</v>
      </c>
      <c r="T668" s="57">
        <f>tblJTL[[#This Row],[timeStamp]]+tblJTL[[#This Row],[elapsed]]</f>
        <v>1790816573460</v>
      </c>
      <c r="U668" s="61">
        <f>(tblJTL[[#This Row],[timeStamp]]-'17_分析サンプル'!$E$18)/1000</f>
        <v>173.059</v>
      </c>
      <c r="V668" s="57">
        <f>INT(tblJTL[[#This Row],[経過秒]]/60)</f>
        <v>2</v>
      </c>
      <c r="W668" s="57">
        <f>IF(OR(tblJTL[[#This Row],[success]]=FALSE,tblJTL[[#This Row],[success]]="false"),1,0)</f>
        <v>0</v>
      </c>
      <c r="X668" s="57">
        <f>IF(AND(tblJTL[[#This Row],[経過秒]]&gt;='17_分析サンプル'!$E$11,tblJTL[[#This Row],[経過秒]]&lt;'17_分析サンプル'!$E$12),1,0)</f>
        <v>1</v>
      </c>
    </row>
    <row r="669" spans="2:24" ht="14.4" x14ac:dyDescent="0.3">
      <c r="B669" s="57">
        <v>1790816573774</v>
      </c>
      <c r="C669" s="58">
        <v>160</v>
      </c>
      <c r="D669" s="59" t="s">
        <v>1677</v>
      </c>
      <c r="E669" s="59" t="s">
        <v>3579</v>
      </c>
      <c r="F669" s="59" t="s">
        <v>3580</v>
      </c>
      <c r="G669" s="59" t="s">
        <v>3585</v>
      </c>
      <c r="H669" s="59" t="s">
        <v>2281</v>
      </c>
      <c r="I669" s="59" t="b">
        <v>1</v>
      </c>
      <c r="J669" s="59"/>
      <c r="K669" s="58">
        <v>416</v>
      </c>
      <c r="L669" s="58">
        <v>1478</v>
      </c>
      <c r="M669" s="59">
        <v>10</v>
      </c>
      <c r="N669" s="59">
        <v>10</v>
      </c>
      <c r="O669" s="59" t="s">
        <v>3581</v>
      </c>
      <c r="P669" s="58">
        <v>158</v>
      </c>
      <c r="Q669" s="59">
        <v>0</v>
      </c>
      <c r="R669" s="59">
        <v>0</v>
      </c>
      <c r="S669" s="60">
        <f>tblJTL[[#This Row],[timeStamp]]/86400000+DATE(1970,1,1)+TIME(9,0,0)</f>
        <v>46296.418677939815</v>
      </c>
      <c r="T669" s="57">
        <f>tblJTL[[#This Row],[timeStamp]]+tblJTL[[#This Row],[elapsed]]</f>
        <v>1790816573934</v>
      </c>
      <c r="U669" s="61">
        <f>(tblJTL[[#This Row],[timeStamp]]-'17_分析サンプル'!$E$18)/1000</f>
        <v>173.59399999999999</v>
      </c>
      <c r="V669" s="57">
        <f>INT(tblJTL[[#This Row],[経過秒]]/60)</f>
        <v>2</v>
      </c>
      <c r="W669" s="57">
        <f>IF(OR(tblJTL[[#This Row],[success]]=FALSE,tblJTL[[#This Row],[success]]="false"),1,0)</f>
        <v>0</v>
      </c>
      <c r="X669" s="57">
        <f>IF(AND(tblJTL[[#This Row],[経過秒]]&gt;='17_分析サンプル'!$E$11,tblJTL[[#This Row],[経過秒]]&lt;'17_分析サンプル'!$E$12),1,0)</f>
        <v>1</v>
      </c>
    </row>
    <row r="670" spans="2:24" ht="14.4" x14ac:dyDescent="0.3">
      <c r="B670" s="57">
        <v>1790816573875</v>
      </c>
      <c r="C670" s="58">
        <v>66</v>
      </c>
      <c r="D670" s="59" t="s">
        <v>1658</v>
      </c>
      <c r="E670" s="59" t="s">
        <v>1577</v>
      </c>
      <c r="F670" s="59" t="s">
        <v>2275</v>
      </c>
      <c r="G670" s="59" t="s">
        <v>3589</v>
      </c>
      <c r="H670" s="59" t="s">
        <v>2281</v>
      </c>
      <c r="I670" s="59" t="b">
        <v>1</v>
      </c>
      <c r="J670" s="59"/>
      <c r="K670" s="58">
        <v>1868</v>
      </c>
      <c r="L670" s="58">
        <v>1342</v>
      </c>
      <c r="M670" s="59">
        <v>10</v>
      </c>
      <c r="N670" s="59">
        <v>10</v>
      </c>
      <c r="O670" s="59" t="s">
        <v>3578</v>
      </c>
      <c r="P670" s="58">
        <v>58</v>
      </c>
      <c r="Q670" s="59">
        <v>0</v>
      </c>
      <c r="R670" s="59">
        <v>0</v>
      </c>
      <c r="S670" s="60">
        <f>tblJTL[[#This Row],[timeStamp]]/86400000+DATE(1970,1,1)+TIME(9,0,0)</f>
        <v>46296.4186791088</v>
      </c>
      <c r="T670" s="57">
        <f>tblJTL[[#This Row],[timeStamp]]+tblJTL[[#This Row],[elapsed]]</f>
        <v>1790816573941</v>
      </c>
      <c r="U670" s="61">
        <f>(tblJTL[[#This Row],[timeStamp]]-'17_分析サンプル'!$E$18)/1000</f>
        <v>173.69499999999999</v>
      </c>
      <c r="V670" s="57">
        <f>INT(tblJTL[[#This Row],[経過秒]]/60)</f>
        <v>2</v>
      </c>
      <c r="W670" s="57">
        <f>IF(OR(tblJTL[[#This Row],[success]]=FALSE,tblJTL[[#This Row],[success]]="false"),1,0)</f>
        <v>0</v>
      </c>
      <c r="X670" s="57">
        <f>IF(AND(tblJTL[[#This Row],[経過秒]]&gt;='17_分析サンプル'!$E$11,tblJTL[[#This Row],[経過秒]]&lt;'17_分析サンプル'!$E$12),1,0)</f>
        <v>1</v>
      </c>
    </row>
    <row r="671" spans="2:24" ht="14.4" x14ac:dyDescent="0.3">
      <c r="B671" s="57">
        <v>1790816574219</v>
      </c>
      <c r="C671" s="58">
        <v>90</v>
      </c>
      <c r="D671" s="59" t="s">
        <v>1658</v>
      </c>
      <c r="E671" s="59" t="s">
        <v>1577</v>
      </c>
      <c r="F671" s="59" t="s">
        <v>2275</v>
      </c>
      <c r="G671" s="59" t="s">
        <v>2278</v>
      </c>
      <c r="H671" s="59" t="s">
        <v>2281</v>
      </c>
      <c r="I671" s="59" t="b">
        <v>1</v>
      </c>
      <c r="J671" s="59"/>
      <c r="K671" s="58">
        <v>1900</v>
      </c>
      <c r="L671" s="58">
        <v>1342</v>
      </c>
      <c r="M671" s="59">
        <v>10</v>
      </c>
      <c r="N671" s="59">
        <v>10</v>
      </c>
      <c r="O671" s="59" t="s">
        <v>3578</v>
      </c>
      <c r="P671" s="58">
        <v>83</v>
      </c>
      <c r="Q671" s="59">
        <v>0</v>
      </c>
      <c r="R671" s="59">
        <v>0</v>
      </c>
      <c r="S671" s="60">
        <f>tblJTL[[#This Row],[timeStamp]]/86400000+DATE(1970,1,1)+TIME(9,0,0)</f>
        <v>46296.418683090276</v>
      </c>
      <c r="T671" s="57">
        <f>tblJTL[[#This Row],[timeStamp]]+tblJTL[[#This Row],[elapsed]]</f>
        <v>1790816574309</v>
      </c>
      <c r="U671" s="61">
        <f>(tblJTL[[#This Row],[timeStamp]]-'17_分析サンプル'!$E$18)/1000</f>
        <v>174.03899999999999</v>
      </c>
      <c r="V671" s="57">
        <f>INT(tblJTL[[#This Row],[経過秒]]/60)</f>
        <v>2</v>
      </c>
      <c r="W671" s="57">
        <f>IF(OR(tblJTL[[#This Row],[success]]=FALSE,tblJTL[[#This Row],[success]]="false"),1,0)</f>
        <v>0</v>
      </c>
      <c r="X671" s="57">
        <f>IF(AND(tblJTL[[#This Row],[経過秒]]&gt;='17_分析サンプル'!$E$11,tblJTL[[#This Row],[経過秒]]&lt;'17_分析サンプル'!$E$12),1,0)</f>
        <v>1</v>
      </c>
    </row>
    <row r="672" spans="2:24" ht="14.4" x14ac:dyDescent="0.3">
      <c r="B672" s="57">
        <v>1790816574499</v>
      </c>
      <c r="C672" s="58">
        <v>124</v>
      </c>
      <c r="D672" s="59" t="s">
        <v>1658</v>
      </c>
      <c r="E672" s="59" t="s">
        <v>1577</v>
      </c>
      <c r="F672" s="59" t="s">
        <v>2275</v>
      </c>
      <c r="G672" s="59" t="s">
        <v>3584</v>
      </c>
      <c r="H672" s="59" t="s">
        <v>2281</v>
      </c>
      <c r="I672" s="59" t="b">
        <v>1</v>
      </c>
      <c r="J672" s="59"/>
      <c r="K672" s="58">
        <v>1859</v>
      </c>
      <c r="L672" s="58">
        <v>1342</v>
      </c>
      <c r="M672" s="59">
        <v>10</v>
      </c>
      <c r="N672" s="59">
        <v>10</v>
      </c>
      <c r="O672" s="59" t="s">
        <v>3578</v>
      </c>
      <c r="P672" s="58">
        <v>120</v>
      </c>
      <c r="Q672" s="59">
        <v>0</v>
      </c>
      <c r="R672" s="59">
        <v>0</v>
      </c>
      <c r="S672" s="60">
        <f>tblJTL[[#This Row],[timeStamp]]/86400000+DATE(1970,1,1)+TIME(9,0,0)</f>
        <v>46296.418686331017</v>
      </c>
      <c r="T672" s="57">
        <f>tblJTL[[#This Row],[timeStamp]]+tblJTL[[#This Row],[elapsed]]</f>
        <v>1790816574623</v>
      </c>
      <c r="U672" s="61">
        <f>(tblJTL[[#This Row],[timeStamp]]-'17_分析サンプル'!$E$18)/1000</f>
        <v>174.31899999999999</v>
      </c>
      <c r="V672" s="57">
        <f>INT(tblJTL[[#This Row],[経過秒]]/60)</f>
        <v>2</v>
      </c>
      <c r="W672" s="57">
        <f>IF(OR(tblJTL[[#This Row],[success]]=FALSE,tblJTL[[#This Row],[success]]="false"),1,0)</f>
        <v>0</v>
      </c>
      <c r="X672" s="57">
        <f>IF(AND(tblJTL[[#This Row],[経過秒]]&gt;='17_分析サンプル'!$E$11,tblJTL[[#This Row],[経過秒]]&lt;'17_分析サンプル'!$E$12),1,0)</f>
        <v>1</v>
      </c>
    </row>
    <row r="673" spans="2:24" ht="14.4" x14ac:dyDescent="0.3">
      <c r="B673" s="57">
        <v>1790816574534</v>
      </c>
      <c r="C673" s="58">
        <v>155</v>
      </c>
      <c r="D673" s="59" t="s">
        <v>1658</v>
      </c>
      <c r="E673" s="59" t="s">
        <v>1577</v>
      </c>
      <c r="F673" s="59" t="s">
        <v>2275</v>
      </c>
      <c r="G673" s="59" t="s">
        <v>3588</v>
      </c>
      <c r="H673" s="59" t="s">
        <v>2281</v>
      </c>
      <c r="I673" s="59" t="b">
        <v>1</v>
      </c>
      <c r="J673" s="59"/>
      <c r="K673" s="58">
        <v>1874</v>
      </c>
      <c r="L673" s="58">
        <v>1342</v>
      </c>
      <c r="M673" s="59">
        <v>10</v>
      </c>
      <c r="N673" s="59">
        <v>10</v>
      </c>
      <c r="O673" s="59" t="s">
        <v>3578</v>
      </c>
      <c r="P673" s="58">
        <v>147</v>
      </c>
      <c r="Q673" s="59">
        <v>0</v>
      </c>
      <c r="R673" s="59">
        <v>0</v>
      </c>
      <c r="S673" s="60">
        <f>tblJTL[[#This Row],[timeStamp]]/86400000+DATE(1970,1,1)+TIME(9,0,0)</f>
        <v>46296.418686736113</v>
      </c>
      <c r="T673" s="57">
        <f>tblJTL[[#This Row],[timeStamp]]+tblJTL[[#This Row],[elapsed]]</f>
        <v>1790816574689</v>
      </c>
      <c r="U673" s="61">
        <f>(tblJTL[[#This Row],[timeStamp]]-'17_分析サンプル'!$E$18)/1000</f>
        <v>174.35400000000001</v>
      </c>
      <c r="V673" s="57">
        <f>INT(tblJTL[[#This Row],[経過秒]]/60)</f>
        <v>2</v>
      </c>
      <c r="W673" s="57">
        <f>IF(OR(tblJTL[[#This Row],[success]]=FALSE,tblJTL[[#This Row],[success]]="false"),1,0)</f>
        <v>0</v>
      </c>
      <c r="X673" s="57">
        <f>IF(AND(tblJTL[[#This Row],[経過秒]]&gt;='17_分析サンプル'!$E$11,tblJTL[[#This Row],[経過秒]]&lt;'17_分析サンプル'!$E$12),1,0)</f>
        <v>1</v>
      </c>
    </row>
    <row r="674" spans="2:24" ht="14.4" x14ac:dyDescent="0.3">
      <c r="B674" s="57">
        <v>1790816574843</v>
      </c>
      <c r="C674" s="58">
        <v>99</v>
      </c>
      <c r="D674" s="59" t="s">
        <v>1658</v>
      </c>
      <c r="E674" s="59" t="s">
        <v>1577</v>
      </c>
      <c r="F674" s="59" t="s">
        <v>2275</v>
      </c>
      <c r="G674" s="59" t="s">
        <v>3577</v>
      </c>
      <c r="H674" s="59" t="s">
        <v>2281</v>
      </c>
      <c r="I674" s="59" t="b">
        <v>1</v>
      </c>
      <c r="J674" s="59"/>
      <c r="K674" s="58">
        <v>1826</v>
      </c>
      <c r="L674" s="58">
        <v>1342</v>
      </c>
      <c r="M674" s="59">
        <v>10</v>
      </c>
      <c r="N674" s="59">
        <v>10</v>
      </c>
      <c r="O674" s="59" t="s">
        <v>3578</v>
      </c>
      <c r="P674" s="58">
        <v>93</v>
      </c>
      <c r="Q674" s="59">
        <v>0</v>
      </c>
      <c r="R674" s="59">
        <v>0</v>
      </c>
      <c r="S674" s="60">
        <f>tblJTL[[#This Row],[timeStamp]]/86400000+DATE(1970,1,1)+TIME(9,0,0)</f>
        <v>46296.418690312501</v>
      </c>
      <c r="T674" s="57">
        <f>tblJTL[[#This Row],[timeStamp]]+tblJTL[[#This Row],[elapsed]]</f>
        <v>1790816574942</v>
      </c>
      <c r="U674" s="61">
        <f>(tblJTL[[#This Row],[timeStamp]]-'17_分析サンプル'!$E$18)/1000</f>
        <v>174.66300000000001</v>
      </c>
      <c r="V674" s="57">
        <f>INT(tblJTL[[#This Row],[経過秒]]/60)</f>
        <v>2</v>
      </c>
      <c r="W674" s="57">
        <f>IF(OR(tblJTL[[#This Row],[success]]=FALSE,tblJTL[[#This Row],[success]]="false"),1,0)</f>
        <v>0</v>
      </c>
      <c r="X674" s="57">
        <f>IF(AND(tblJTL[[#This Row],[経過秒]]&gt;='17_分析サンプル'!$E$11,tblJTL[[#This Row],[経過秒]]&lt;'17_分析サンプル'!$E$12),1,0)</f>
        <v>1</v>
      </c>
    </row>
    <row r="675" spans="2:24" ht="14.4" x14ac:dyDescent="0.3">
      <c r="B675" s="57">
        <v>1790816574629</v>
      </c>
      <c r="C675" s="58">
        <v>366</v>
      </c>
      <c r="D675" s="59" t="s">
        <v>1677</v>
      </c>
      <c r="E675" s="59" t="s">
        <v>3579</v>
      </c>
      <c r="F675" s="59" t="s">
        <v>3580</v>
      </c>
      <c r="G675" s="59" t="s">
        <v>3587</v>
      </c>
      <c r="H675" s="59" t="s">
        <v>2281</v>
      </c>
      <c r="I675" s="59" t="b">
        <v>1</v>
      </c>
      <c r="J675" s="59"/>
      <c r="K675" s="58">
        <v>412</v>
      </c>
      <c r="L675" s="58">
        <v>1478</v>
      </c>
      <c r="M675" s="59">
        <v>10</v>
      </c>
      <c r="N675" s="59">
        <v>10</v>
      </c>
      <c r="O675" s="59" t="s">
        <v>3581</v>
      </c>
      <c r="P675" s="58">
        <v>364</v>
      </c>
      <c r="Q675" s="59">
        <v>0</v>
      </c>
      <c r="R675" s="59">
        <v>0</v>
      </c>
      <c r="S675" s="60">
        <f>tblJTL[[#This Row],[timeStamp]]/86400000+DATE(1970,1,1)+TIME(9,0,0)</f>
        <v>46296.418687835649</v>
      </c>
      <c r="T675" s="57">
        <f>tblJTL[[#This Row],[timeStamp]]+tblJTL[[#This Row],[elapsed]]</f>
        <v>1790816574995</v>
      </c>
      <c r="U675" s="61">
        <f>(tblJTL[[#This Row],[timeStamp]]-'17_分析サンプル'!$E$18)/1000</f>
        <v>174.44900000000001</v>
      </c>
      <c r="V675" s="57">
        <f>INT(tblJTL[[#This Row],[経過秒]]/60)</f>
        <v>2</v>
      </c>
      <c r="W675" s="57">
        <f>IF(OR(tblJTL[[#This Row],[success]]=FALSE,tblJTL[[#This Row],[success]]="false"),1,0)</f>
        <v>0</v>
      </c>
      <c r="X675" s="57">
        <f>IF(AND(tblJTL[[#This Row],[経過秒]]&gt;='17_分析サンプル'!$E$11,tblJTL[[#This Row],[経過秒]]&lt;'17_分析サンプル'!$E$12),1,0)</f>
        <v>1</v>
      </c>
    </row>
    <row r="676" spans="2:24" ht="14.4" x14ac:dyDescent="0.3">
      <c r="B676" s="57">
        <v>1790816575014</v>
      </c>
      <c r="C676" s="58">
        <v>236</v>
      </c>
      <c r="D676" s="59" t="s">
        <v>1677</v>
      </c>
      <c r="E676" s="59" t="s">
        <v>3579</v>
      </c>
      <c r="F676" s="59" t="s">
        <v>3580</v>
      </c>
      <c r="G676" s="59" t="s">
        <v>3589</v>
      </c>
      <c r="H676" s="59" t="s">
        <v>2281</v>
      </c>
      <c r="I676" s="59" t="b">
        <v>1</v>
      </c>
      <c r="J676" s="59"/>
      <c r="K676" s="58">
        <v>430</v>
      </c>
      <c r="L676" s="58">
        <v>1478</v>
      </c>
      <c r="M676" s="59">
        <v>10</v>
      </c>
      <c r="N676" s="59">
        <v>10</v>
      </c>
      <c r="O676" s="59" t="s">
        <v>3581</v>
      </c>
      <c r="P676" s="58">
        <v>231</v>
      </c>
      <c r="Q676" s="59">
        <v>0</v>
      </c>
      <c r="R676" s="59">
        <v>0</v>
      </c>
      <c r="S676" s="60">
        <f>tblJTL[[#This Row],[timeStamp]]/86400000+DATE(1970,1,1)+TIME(9,0,0)</f>
        <v>46296.418692291671</v>
      </c>
      <c r="T676" s="57">
        <f>tblJTL[[#This Row],[timeStamp]]+tblJTL[[#This Row],[elapsed]]</f>
        <v>1790816575250</v>
      </c>
      <c r="U676" s="61">
        <f>(tblJTL[[#This Row],[timeStamp]]-'17_分析サンプル'!$E$18)/1000</f>
        <v>174.834</v>
      </c>
      <c r="V676" s="57">
        <f>INT(tblJTL[[#This Row],[経過秒]]/60)</f>
        <v>2</v>
      </c>
      <c r="W676" s="57">
        <f>IF(OR(tblJTL[[#This Row],[success]]=FALSE,tblJTL[[#This Row],[success]]="false"),1,0)</f>
        <v>0</v>
      </c>
      <c r="X676" s="57">
        <f>IF(AND(tblJTL[[#This Row],[経過秒]]&gt;='17_分析サンプル'!$E$11,tblJTL[[#This Row],[経過秒]]&lt;'17_分析サンプル'!$E$12),1,0)</f>
        <v>1</v>
      </c>
    </row>
    <row r="677" spans="2:24" ht="14.4" x14ac:dyDescent="0.3">
      <c r="B677" s="57">
        <v>1790816575083</v>
      </c>
      <c r="C677" s="58">
        <v>253</v>
      </c>
      <c r="D677" s="59" t="s">
        <v>1677</v>
      </c>
      <c r="E677" s="59" t="s">
        <v>3579</v>
      </c>
      <c r="F677" s="59" t="s">
        <v>3580</v>
      </c>
      <c r="G677" s="59" t="s">
        <v>3582</v>
      </c>
      <c r="H677" s="59" t="s">
        <v>2281</v>
      </c>
      <c r="I677" s="59" t="b">
        <v>1</v>
      </c>
      <c r="J677" s="59"/>
      <c r="K677" s="58">
        <v>433</v>
      </c>
      <c r="L677" s="58">
        <v>1478</v>
      </c>
      <c r="M677" s="59">
        <v>10</v>
      </c>
      <c r="N677" s="59">
        <v>10</v>
      </c>
      <c r="O677" s="59" t="s">
        <v>3581</v>
      </c>
      <c r="P677" s="58">
        <v>245</v>
      </c>
      <c r="Q677" s="59">
        <v>0</v>
      </c>
      <c r="R677" s="59">
        <v>0</v>
      </c>
      <c r="S677" s="60">
        <f>tblJTL[[#This Row],[timeStamp]]/86400000+DATE(1970,1,1)+TIME(9,0,0)</f>
        <v>46296.41869309028</v>
      </c>
      <c r="T677" s="57">
        <f>tblJTL[[#This Row],[timeStamp]]+tblJTL[[#This Row],[elapsed]]</f>
        <v>1790816575336</v>
      </c>
      <c r="U677" s="61">
        <f>(tblJTL[[#This Row],[timeStamp]]-'17_分析サンプル'!$E$18)/1000</f>
        <v>174.90299999999999</v>
      </c>
      <c r="V677" s="57">
        <f>INT(tblJTL[[#This Row],[経過秒]]/60)</f>
        <v>2</v>
      </c>
      <c r="W677" s="57">
        <f>IF(OR(tblJTL[[#This Row],[success]]=FALSE,tblJTL[[#This Row],[success]]="false"),1,0)</f>
        <v>0</v>
      </c>
      <c r="X677" s="57">
        <f>IF(AND(tblJTL[[#This Row],[経過秒]]&gt;='17_分析サンプル'!$E$11,tblJTL[[#This Row],[経過秒]]&lt;'17_分析サンプル'!$E$12),1,0)</f>
        <v>1</v>
      </c>
    </row>
    <row r="678" spans="2:24" ht="14.4" x14ac:dyDescent="0.3">
      <c r="B678" s="57">
        <v>1790816575231</v>
      </c>
      <c r="C678" s="58">
        <v>106</v>
      </c>
      <c r="D678" s="59" t="s">
        <v>1658</v>
      </c>
      <c r="E678" s="59" t="s">
        <v>1577</v>
      </c>
      <c r="F678" s="59" t="s">
        <v>2275</v>
      </c>
      <c r="G678" s="59" t="s">
        <v>3586</v>
      </c>
      <c r="H678" s="59" t="s">
        <v>2281</v>
      </c>
      <c r="I678" s="59" t="b">
        <v>1</v>
      </c>
      <c r="J678" s="59"/>
      <c r="K678" s="58">
        <v>1854</v>
      </c>
      <c r="L678" s="58">
        <v>1342</v>
      </c>
      <c r="M678" s="59">
        <v>10</v>
      </c>
      <c r="N678" s="59">
        <v>10</v>
      </c>
      <c r="O678" s="59" t="s">
        <v>3578</v>
      </c>
      <c r="P678" s="58">
        <v>99</v>
      </c>
      <c r="Q678" s="59">
        <v>0</v>
      </c>
      <c r="R678" s="59">
        <v>0</v>
      </c>
      <c r="S678" s="60">
        <f>tblJTL[[#This Row],[timeStamp]]/86400000+DATE(1970,1,1)+TIME(9,0,0)</f>
        <v>46296.418694803244</v>
      </c>
      <c r="T678" s="57">
        <f>tblJTL[[#This Row],[timeStamp]]+tblJTL[[#This Row],[elapsed]]</f>
        <v>1790816575337</v>
      </c>
      <c r="U678" s="61">
        <f>(tblJTL[[#This Row],[timeStamp]]-'17_分析サンプル'!$E$18)/1000</f>
        <v>175.05099999999999</v>
      </c>
      <c r="V678" s="57">
        <f>INT(tblJTL[[#This Row],[経過秒]]/60)</f>
        <v>2</v>
      </c>
      <c r="W678" s="57">
        <f>IF(OR(tblJTL[[#This Row],[success]]=FALSE,tblJTL[[#This Row],[success]]="false"),1,0)</f>
        <v>0</v>
      </c>
      <c r="X678" s="57">
        <f>IF(AND(tblJTL[[#This Row],[経過秒]]&gt;='17_分析サンプル'!$E$11,tblJTL[[#This Row],[経過秒]]&lt;'17_分析サンプル'!$E$12),1,0)</f>
        <v>1</v>
      </c>
    </row>
    <row r="679" spans="2:24" ht="14.4" x14ac:dyDescent="0.3">
      <c r="B679" s="57">
        <v>1790816575175</v>
      </c>
      <c r="C679" s="58">
        <v>191</v>
      </c>
      <c r="D679" s="59" t="s">
        <v>1677</v>
      </c>
      <c r="E679" s="59" t="s">
        <v>3579</v>
      </c>
      <c r="F679" s="59" t="s">
        <v>3580</v>
      </c>
      <c r="G679" s="59" t="s">
        <v>3583</v>
      </c>
      <c r="H679" s="59" t="s">
        <v>2281</v>
      </c>
      <c r="I679" s="59" t="b">
        <v>1</v>
      </c>
      <c r="J679" s="59"/>
      <c r="K679" s="58">
        <v>426</v>
      </c>
      <c r="L679" s="58">
        <v>1478</v>
      </c>
      <c r="M679" s="59">
        <v>10</v>
      </c>
      <c r="N679" s="59">
        <v>10</v>
      </c>
      <c r="O679" s="59" t="s">
        <v>3581</v>
      </c>
      <c r="P679" s="58">
        <v>188</v>
      </c>
      <c r="Q679" s="59">
        <v>0</v>
      </c>
      <c r="R679" s="59">
        <v>0</v>
      </c>
      <c r="S679" s="60">
        <f>tblJTL[[#This Row],[timeStamp]]/86400000+DATE(1970,1,1)+TIME(9,0,0)</f>
        <v>46296.418694155094</v>
      </c>
      <c r="T679" s="57">
        <f>tblJTL[[#This Row],[timeStamp]]+tblJTL[[#This Row],[elapsed]]</f>
        <v>1790816575366</v>
      </c>
      <c r="U679" s="61">
        <f>(tblJTL[[#This Row],[timeStamp]]-'17_分析サンプル'!$E$18)/1000</f>
        <v>174.995</v>
      </c>
      <c r="V679" s="57">
        <f>INT(tblJTL[[#This Row],[経過秒]]/60)</f>
        <v>2</v>
      </c>
      <c r="W679" s="57">
        <f>IF(OR(tblJTL[[#This Row],[success]]=FALSE,tblJTL[[#This Row],[success]]="false"),1,0)</f>
        <v>0</v>
      </c>
      <c r="X679" s="57">
        <f>IF(AND(tblJTL[[#This Row],[経過秒]]&gt;='17_分析サンプル'!$E$11,tblJTL[[#This Row],[経過秒]]&lt;'17_分析サンプル'!$E$12),1,0)</f>
        <v>1</v>
      </c>
    </row>
    <row r="680" spans="2:24" ht="14.4" x14ac:dyDescent="0.3">
      <c r="B680" s="57">
        <v>1790816575821</v>
      </c>
      <c r="C680" s="58">
        <v>192</v>
      </c>
      <c r="D680" s="59" t="s">
        <v>1677</v>
      </c>
      <c r="E680" s="59" t="s">
        <v>3579</v>
      </c>
      <c r="F680" s="59" t="s">
        <v>3580</v>
      </c>
      <c r="G680" s="59" t="s">
        <v>2278</v>
      </c>
      <c r="H680" s="59" t="s">
        <v>2281</v>
      </c>
      <c r="I680" s="59" t="b">
        <v>1</v>
      </c>
      <c r="J680" s="59"/>
      <c r="K680" s="58">
        <v>435</v>
      </c>
      <c r="L680" s="58">
        <v>1478</v>
      </c>
      <c r="M680" s="59">
        <v>10</v>
      </c>
      <c r="N680" s="59">
        <v>10</v>
      </c>
      <c r="O680" s="59" t="s">
        <v>3581</v>
      </c>
      <c r="P680" s="58">
        <v>185</v>
      </c>
      <c r="Q680" s="59">
        <v>0</v>
      </c>
      <c r="R680" s="59">
        <v>0</v>
      </c>
      <c r="S680" s="60">
        <f>tblJTL[[#This Row],[timeStamp]]/86400000+DATE(1970,1,1)+TIME(9,0,0)</f>
        <v>46296.418701631948</v>
      </c>
      <c r="T680" s="57">
        <f>tblJTL[[#This Row],[timeStamp]]+tblJTL[[#This Row],[elapsed]]</f>
        <v>1790816576013</v>
      </c>
      <c r="U680" s="61">
        <f>(tblJTL[[#This Row],[timeStamp]]-'17_分析サンプル'!$E$18)/1000</f>
        <v>175.64099999999999</v>
      </c>
      <c r="V680" s="57">
        <f>INT(tblJTL[[#This Row],[経過秒]]/60)</f>
        <v>2</v>
      </c>
      <c r="W680" s="57">
        <f>IF(OR(tblJTL[[#This Row],[success]]=FALSE,tblJTL[[#This Row],[success]]="false"),1,0)</f>
        <v>0</v>
      </c>
      <c r="X680" s="57">
        <f>IF(AND(tblJTL[[#This Row],[経過秒]]&gt;='17_分析サンプル'!$E$11,tblJTL[[#This Row],[経過秒]]&lt;'17_分析サンプル'!$E$12),1,0)</f>
        <v>1</v>
      </c>
    </row>
    <row r="681" spans="2:24" ht="14.4" x14ac:dyDescent="0.3">
      <c r="B681" s="57">
        <v>1790816576104</v>
      </c>
      <c r="C681" s="58">
        <v>59</v>
      </c>
      <c r="D681" s="59" t="s">
        <v>1658</v>
      </c>
      <c r="E681" s="59" t="s">
        <v>1577</v>
      </c>
      <c r="F681" s="59" t="s">
        <v>2275</v>
      </c>
      <c r="G681" s="59" t="s">
        <v>3587</v>
      </c>
      <c r="H681" s="59" t="s">
        <v>2281</v>
      </c>
      <c r="I681" s="59" t="b">
        <v>1</v>
      </c>
      <c r="J681" s="59"/>
      <c r="K681" s="58">
        <v>1849</v>
      </c>
      <c r="L681" s="58">
        <v>1342</v>
      </c>
      <c r="M681" s="59">
        <v>10</v>
      </c>
      <c r="N681" s="59">
        <v>10</v>
      </c>
      <c r="O681" s="59" t="s">
        <v>3578</v>
      </c>
      <c r="P681" s="58">
        <v>54</v>
      </c>
      <c r="Q681" s="59">
        <v>0</v>
      </c>
      <c r="R681" s="59">
        <v>0</v>
      </c>
      <c r="S681" s="60">
        <f>tblJTL[[#This Row],[timeStamp]]/86400000+DATE(1970,1,1)+TIME(9,0,0)</f>
        <v>46296.41870490741</v>
      </c>
      <c r="T681" s="57">
        <f>tblJTL[[#This Row],[timeStamp]]+tblJTL[[#This Row],[elapsed]]</f>
        <v>1790816576163</v>
      </c>
      <c r="U681" s="61">
        <f>(tblJTL[[#This Row],[timeStamp]]-'17_分析サンプル'!$E$18)/1000</f>
        <v>175.92400000000001</v>
      </c>
      <c r="V681" s="57">
        <f>INT(tblJTL[[#This Row],[経過秒]]/60)</f>
        <v>2</v>
      </c>
      <c r="W681" s="57">
        <f>IF(OR(tblJTL[[#This Row],[success]]=FALSE,tblJTL[[#This Row],[success]]="false"),1,0)</f>
        <v>0</v>
      </c>
      <c r="X681" s="57">
        <f>IF(AND(tblJTL[[#This Row],[経過秒]]&gt;='17_分析サンプル'!$E$11,tblJTL[[#This Row],[経過秒]]&lt;'17_分析サンプル'!$E$12),1,0)</f>
        <v>1</v>
      </c>
    </row>
    <row r="682" spans="2:24" ht="14.4" x14ac:dyDescent="0.3">
      <c r="B682" s="57">
        <v>1790816576460</v>
      </c>
      <c r="C682" s="58">
        <v>113</v>
      </c>
      <c r="D682" s="59" t="s">
        <v>1658</v>
      </c>
      <c r="E682" s="59" t="s">
        <v>1577</v>
      </c>
      <c r="F682" s="59" t="s">
        <v>2275</v>
      </c>
      <c r="G682" s="59" t="s">
        <v>3582</v>
      </c>
      <c r="H682" s="59" t="s">
        <v>2281</v>
      </c>
      <c r="I682" s="59" t="b">
        <v>1</v>
      </c>
      <c r="J682" s="59"/>
      <c r="K682" s="58">
        <v>1862</v>
      </c>
      <c r="L682" s="58">
        <v>1342</v>
      </c>
      <c r="M682" s="59">
        <v>10</v>
      </c>
      <c r="N682" s="59">
        <v>10</v>
      </c>
      <c r="O682" s="59" t="s">
        <v>3578</v>
      </c>
      <c r="P682" s="58">
        <v>111</v>
      </c>
      <c r="Q682" s="59">
        <v>0</v>
      </c>
      <c r="R682" s="59">
        <v>0</v>
      </c>
      <c r="S682" s="60">
        <f>tblJTL[[#This Row],[timeStamp]]/86400000+DATE(1970,1,1)+TIME(9,0,0)</f>
        <v>46296.418709027777</v>
      </c>
      <c r="T682" s="57">
        <f>tblJTL[[#This Row],[timeStamp]]+tblJTL[[#This Row],[elapsed]]</f>
        <v>1790816576573</v>
      </c>
      <c r="U682" s="61">
        <f>(tblJTL[[#This Row],[timeStamp]]-'17_分析サンプル'!$E$18)/1000</f>
        <v>176.28</v>
      </c>
      <c r="V682" s="57">
        <f>INT(tblJTL[[#This Row],[経過秒]]/60)</f>
        <v>2</v>
      </c>
      <c r="W682" s="57">
        <f>IF(OR(tblJTL[[#This Row],[success]]=FALSE,tblJTL[[#This Row],[success]]="false"),1,0)</f>
        <v>0</v>
      </c>
      <c r="X682" s="57">
        <f>IF(AND(tblJTL[[#This Row],[経過秒]]&gt;='17_分析サンプル'!$E$11,tblJTL[[#This Row],[経過秒]]&lt;'17_分析サンプル'!$E$12),1,0)</f>
        <v>1</v>
      </c>
    </row>
    <row r="683" spans="2:24" ht="14.4" x14ac:dyDescent="0.3">
      <c r="B683" s="57">
        <v>1790816576849</v>
      </c>
      <c r="C683" s="58">
        <v>72</v>
      </c>
      <c r="D683" s="59" t="s">
        <v>1658</v>
      </c>
      <c r="E683" s="59" t="s">
        <v>1577</v>
      </c>
      <c r="F683" s="59" t="s">
        <v>2275</v>
      </c>
      <c r="G683" s="59" t="s">
        <v>3585</v>
      </c>
      <c r="H683" s="59" t="s">
        <v>2281</v>
      </c>
      <c r="I683" s="59" t="b">
        <v>1</v>
      </c>
      <c r="J683" s="59"/>
      <c r="K683" s="58">
        <v>1894</v>
      </c>
      <c r="L683" s="58">
        <v>1342</v>
      </c>
      <c r="M683" s="59">
        <v>10</v>
      </c>
      <c r="N683" s="59">
        <v>10</v>
      </c>
      <c r="O683" s="59" t="s">
        <v>3578</v>
      </c>
      <c r="P683" s="58">
        <v>69</v>
      </c>
      <c r="Q683" s="59">
        <v>0</v>
      </c>
      <c r="R683" s="59">
        <v>0</v>
      </c>
      <c r="S683" s="60">
        <f>tblJTL[[#This Row],[timeStamp]]/86400000+DATE(1970,1,1)+TIME(9,0,0)</f>
        <v>46296.418713530089</v>
      </c>
      <c r="T683" s="57">
        <f>tblJTL[[#This Row],[timeStamp]]+tblJTL[[#This Row],[elapsed]]</f>
        <v>1790816576921</v>
      </c>
      <c r="U683" s="61">
        <f>(tblJTL[[#This Row],[timeStamp]]-'17_分析サンプル'!$E$18)/1000</f>
        <v>176.66900000000001</v>
      </c>
      <c r="V683" s="57">
        <f>INT(tblJTL[[#This Row],[経過秒]]/60)</f>
        <v>2</v>
      </c>
      <c r="W683" s="57">
        <f>IF(OR(tblJTL[[#This Row],[success]]=FALSE,tblJTL[[#This Row],[success]]="false"),1,0)</f>
        <v>0</v>
      </c>
      <c r="X683" s="57">
        <f>IF(AND(tblJTL[[#This Row],[経過秒]]&gt;='17_分析サンプル'!$E$11,tblJTL[[#This Row],[経過秒]]&lt;'17_分析サンプル'!$E$12),1,0)</f>
        <v>1</v>
      </c>
    </row>
    <row r="684" spans="2:24" ht="14.4" x14ac:dyDescent="0.3">
      <c r="B684" s="57">
        <v>1790816576865</v>
      </c>
      <c r="C684" s="58">
        <v>100</v>
      </c>
      <c r="D684" s="59" t="s">
        <v>1658</v>
      </c>
      <c r="E684" s="59" t="s">
        <v>1577</v>
      </c>
      <c r="F684" s="59" t="s">
        <v>2275</v>
      </c>
      <c r="G684" s="59" t="s">
        <v>3589</v>
      </c>
      <c r="H684" s="59" t="s">
        <v>2281</v>
      </c>
      <c r="I684" s="59" t="b">
        <v>1</v>
      </c>
      <c r="J684" s="59"/>
      <c r="K684" s="58">
        <v>1898</v>
      </c>
      <c r="L684" s="58">
        <v>1342</v>
      </c>
      <c r="M684" s="59">
        <v>10</v>
      </c>
      <c r="N684" s="59">
        <v>10</v>
      </c>
      <c r="O684" s="59" t="s">
        <v>3578</v>
      </c>
      <c r="P684" s="58">
        <v>98</v>
      </c>
      <c r="Q684" s="59">
        <v>0</v>
      </c>
      <c r="R684" s="59">
        <v>0</v>
      </c>
      <c r="S684" s="60">
        <f>tblJTL[[#This Row],[timeStamp]]/86400000+DATE(1970,1,1)+TIME(9,0,0)</f>
        <v>46296.418713715277</v>
      </c>
      <c r="T684" s="57">
        <f>tblJTL[[#This Row],[timeStamp]]+tblJTL[[#This Row],[elapsed]]</f>
        <v>1790816576965</v>
      </c>
      <c r="U684" s="61">
        <f>(tblJTL[[#This Row],[timeStamp]]-'17_分析サンプル'!$E$18)/1000</f>
        <v>176.685</v>
      </c>
      <c r="V684" s="57">
        <f>INT(tblJTL[[#This Row],[経過秒]]/60)</f>
        <v>2</v>
      </c>
      <c r="W684" s="57">
        <f>IF(OR(tblJTL[[#This Row],[success]]=FALSE,tblJTL[[#This Row],[success]]="false"),1,0)</f>
        <v>0</v>
      </c>
      <c r="X684" s="57">
        <f>IF(AND(tblJTL[[#This Row],[経過秒]]&gt;='17_分析サンプル'!$E$11,tblJTL[[#This Row],[経過秒]]&lt;'17_分析サンプル'!$E$12),1,0)</f>
        <v>1</v>
      </c>
    </row>
    <row r="685" spans="2:24" ht="14.4" x14ac:dyDescent="0.3">
      <c r="B685" s="57">
        <v>1790816576850</v>
      </c>
      <c r="C685" s="58">
        <v>130</v>
      </c>
      <c r="D685" s="59" t="s">
        <v>1677</v>
      </c>
      <c r="E685" s="59" t="s">
        <v>3579</v>
      </c>
      <c r="F685" s="59" t="s">
        <v>3580</v>
      </c>
      <c r="G685" s="59" t="s">
        <v>3584</v>
      </c>
      <c r="H685" s="59" t="s">
        <v>2281</v>
      </c>
      <c r="I685" s="59" t="b">
        <v>1</v>
      </c>
      <c r="J685" s="59"/>
      <c r="K685" s="58">
        <v>435</v>
      </c>
      <c r="L685" s="58">
        <v>1478</v>
      </c>
      <c r="M685" s="59">
        <v>10</v>
      </c>
      <c r="N685" s="59">
        <v>10</v>
      </c>
      <c r="O685" s="59" t="s">
        <v>3581</v>
      </c>
      <c r="P685" s="58">
        <v>123</v>
      </c>
      <c r="Q685" s="59">
        <v>0</v>
      </c>
      <c r="R685" s="59">
        <v>0</v>
      </c>
      <c r="S685" s="60">
        <f>tblJTL[[#This Row],[timeStamp]]/86400000+DATE(1970,1,1)+TIME(9,0,0)</f>
        <v>46296.418713541665</v>
      </c>
      <c r="T685" s="57">
        <f>tblJTL[[#This Row],[timeStamp]]+tblJTL[[#This Row],[elapsed]]</f>
        <v>1790816576980</v>
      </c>
      <c r="U685" s="61">
        <f>(tblJTL[[#This Row],[timeStamp]]-'17_分析サンプル'!$E$18)/1000</f>
        <v>176.67</v>
      </c>
      <c r="V685" s="57">
        <f>INT(tblJTL[[#This Row],[経過秒]]/60)</f>
        <v>2</v>
      </c>
      <c r="W685" s="57">
        <f>IF(OR(tblJTL[[#This Row],[success]]=FALSE,tblJTL[[#This Row],[success]]="false"),1,0)</f>
        <v>0</v>
      </c>
      <c r="X685" s="57">
        <f>IF(AND(tblJTL[[#This Row],[経過秒]]&gt;='17_分析サンプル'!$E$11,tblJTL[[#This Row],[経過秒]]&lt;'17_分析サンプル'!$E$12),1,0)</f>
        <v>1</v>
      </c>
    </row>
    <row r="686" spans="2:24" ht="14.4" x14ac:dyDescent="0.3">
      <c r="B686" s="57">
        <v>1790816576868</v>
      </c>
      <c r="C686" s="58">
        <v>249</v>
      </c>
      <c r="D686" s="59" t="s">
        <v>1677</v>
      </c>
      <c r="E686" s="59" t="s">
        <v>3579</v>
      </c>
      <c r="F686" s="59" t="s">
        <v>3580</v>
      </c>
      <c r="G686" s="59" t="s">
        <v>3588</v>
      </c>
      <c r="H686" s="59" t="s">
        <v>2281</v>
      </c>
      <c r="I686" s="59" t="b">
        <v>1</v>
      </c>
      <c r="J686" s="59"/>
      <c r="K686" s="58">
        <v>439</v>
      </c>
      <c r="L686" s="58">
        <v>1478</v>
      </c>
      <c r="M686" s="59">
        <v>10</v>
      </c>
      <c r="N686" s="59">
        <v>10</v>
      </c>
      <c r="O686" s="59" t="s">
        <v>3581</v>
      </c>
      <c r="P686" s="58">
        <v>243</v>
      </c>
      <c r="Q686" s="59">
        <v>0</v>
      </c>
      <c r="R686" s="59">
        <v>0</v>
      </c>
      <c r="S686" s="60">
        <f>tblJTL[[#This Row],[timeStamp]]/86400000+DATE(1970,1,1)+TIME(9,0,0)</f>
        <v>46296.418713749998</v>
      </c>
      <c r="T686" s="57">
        <f>tblJTL[[#This Row],[timeStamp]]+tblJTL[[#This Row],[elapsed]]</f>
        <v>1790816577117</v>
      </c>
      <c r="U686" s="61">
        <f>(tblJTL[[#This Row],[timeStamp]]-'17_分析サンプル'!$E$18)/1000</f>
        <v>176.68799999999999</v>
      </c>
      <c r="V686" s="57">
        <f>INT(tblJTL[[#This Row],[経過秒]]/60)</f>
        <v>2</v>
      </c>
      <c r="W686" s="57">
        <f>IF(OR(tblJTL[[#This Row],[success]]=FALSE,tblJTL[[#This Row],[success]]="false"),1,0)</f>
        <v>0</v>
      </c>
      <c r="X686" s="57">
        <f>IF(AND(tblJTL[[#This Row],[経過秒]]&gt;='17_分析サンプル'!$E$11,tblJTL[[#This Row],[経過秒]]&lt;'17_分析サンプル'!$E$12),1,0)</f>
        <v>1</v>
      </c>
    </row>
    <row r="687" spans="2:24" ht="14.4" x14ac:dyDescent="0.3">
      <c r="B687" s="57">
        <v>1790816577351</v>
      </c>
      <c r="C687" s="58">
        <v>169</v>
      </c>
      <c r="D687" s="59" t="s">
        <v>1677</v>
      </c>
      <c r="E687" s="59" t="s">
        <v>3579</v>
      </c>
      <c r="F687" s="59" t="s">
        <v>3580</v>
      </c>
      <c r="G687" s="59" t="s">
        <v>3577</v>
      </c>
      <c r="H687" s="59" t="s">
        <v>2281</v>
      </c>
      <c r="I687" s="59" t="b">
        <v>1</v>
      </c>
      <c r="J687" s="59"/>
      <c r="K687" s="58">
        <v>422</v>
      </c>
      <c r="L687" s="58">
        <v>1478</v>
      </c>
      <c r="M687" s="59">
        <v>10</v>
      </c>
      <c r="N687" s="59">
        <v>10</v>
      </c>
      <c r="O687" s="59" t="s">
        <v>3581</v>
      </c>
      <c r="P687" s="58">
        <v>164</v>
      </c>
      <c r="Q687" s="59">
        <v>0</v>
      </c>
      <c r="R687" s="59">
        <v>0</v>
      </c>
      <c r="S687" s="60">
        <f>tblJTL[[#This Row],[timeStamp]]/86400000+DATE(1970,1,1)+TIME(9,0,0)</f>
        <v>46296.418719340276</v>
      </c>
      <c r="T687" s="57">
        <f>tblJTL[[#This Row],[timeStamp]]+tblJTL[[#This Row],[elapsed]]</f>
        <v>1790816577520</v>
      </c>
      <c r="U687" s="61">
        <f>(tblJTL[[#This Row],[timeStamp]]-'17_分析サンプル'!$E$18)/1000</f>
        <v>177.17099999999999</v>
      </c>
      <c r="V687" s="57">
        <f>INT(tblJTL[[#This Row],[経過秒]]/60)</f>
        <v>2</v>
      </c>
      <c r="W687" s="57">
        <f>IF(OR(tblJTL[[#This Row],[success]]=FALSE,tblJTL[[#This Row],[success]]="false"),1,0)</f>
        <v>0</v>
      </c>
      <c r="X687" s="57">
        <f>IF(AND(tblJTL[[#This Row],[経過秒]]&gt;='17_分析サンプル'!$E$11,tblJTL[[#This Row],[経過秒]]&lt;'17_分析サンプル'!$E$12),1,0)</f>
        <v>1</v>
      </c>
    </row>
    <row r="688" spans="2:24" ht="14.4" x14ac:dyDescent="0.3">
      <c r="B688" s="57">
        <v>1790816577732</v>
      </c>
      <c r="C688" s="58">
        <v>137</v>
      </c>
      <c r="D688" s="59" t="s">
        <v>1658</v>
      </c>
      <c r="E688" s="59" t="s">
        <v>1577</v>
      </c>
      <c r="F688" s="59" t="s">
        <v>2275</v>
      </c>
      <c r="G688" s="59" t="s">
        <v>3583</v>
      </c>
      <c r="H688" s="59" t="s">
        <v>2281</v>
      </c>
      <c r="I688" s="59" t="b">
        <v>1</v>
      </c>
      <c r="J688" s="59"/>
      <c r="K688" s="58">
        <v>1884</v>
      </c>
      <c r="L688" s="58">
        <v>1342</v>
      </c>
      <c r="M688" s="59">
        <v>10</v>
      </c>
      <c r="N688" s="59">
        <v>10</v>
      </c>
      <c r="O688" s="59" t="s">
        <v>3578</v>
      </c>
      <c r="P688" s="58">
        <v>129</v>
      </c>
      <c r="Q688" s="59">
        <v>0</v>
      </c>
      <c r="R688" s="59">
        <v>0</v>
      </c>
      <c r="S688" s="60">
        <f>tblJTL[[#This Row],[timeStamp]]/86400000+DATE(1970,1,1)+TIME(9,0,0)</f>
        <v>46296.418723750001</v>
      </c>
      <c r="T688" s="57">
        <f>tblJTL[[#This Row],[timeStamp]]+tblJTL[[#This Row],[elapsed]]</f>
        <v>1790816577869</v>
      </c>
      <c r="U688" s="61">
        <f>(tblJTL[[#This Row],[timeStamp]]-'17_分析サンプル'!$E$18)/1000</f>
        <v>177.55199999999999</v>
      </c>
      <c r="V688" s="57">
        <f>INT(tblJTL[[#This Row],[経過秒]]/60)</f>
        <v>2</v>
      </c>
      <c r="W688" s="57">
        <f>IF(OR(tblJTL[[#This Row],[success]]=FALSE,tblJTL[[#This Row],[success]]="false"),1,0)</f>
        <v>0</v>
      </c>
      <c r="X688" s="57">
        <f>IF(AND(tblJTL[[#This Row],[経過秒]]&gt;='17_分析サンプル'!$E$11,tblJTL[[#This Row],[経過秒]]&lt;'17_分析サンプル'!$E$12),1,0)</f>
        <v>1</v>
      </c>
    </row>
    <row r="689" spans="2:24" ht="14.4" x14ac:dyDescent="0.3">
      <c r="B689" s="57">
        <v>1790816577829</v>
      </c>
      <c r="C689" s="58">
        <v>323</v>
      </c>
      <c r="D689" s="59" t="s">
        <v>1677</v>
      </c>
      <c r="E689" s="59" t="s">
        <v>3579</v>
      </c>
      <c r="F689" s="59" t="s">
        <v>3580</v>
      </c>
      <c r="G689" s="59" t="s">
        <v>3586</v>
      </c>
      <c r="H689" s="59" t="s">
        <v>2281</v>
      </c>
      <c r="I689" s="59" t="b">
        <v>1</v>
      </c>
      <c r="J689" s="59"/>
      <c r="K689" s="58">
        <v>431</v>
      </c>
      <c r="L689" s="58">
        <v>1478</v>
      </c>
      <c r="M689" s="59">
        <v>10</v>
      </c>
      <c r="N689" s="59">
        <v>10</v>
      </c>
      <c r="O689" s="59" t="s">
        <v>3581</v>
      </c>
      <c r="P689" s="58">
        <v>316</v>
      </c>
      <c r="Q689" s="59">
        <v>0</v>
      </c>
      <c r="R689" s="59">
        <v>0</v>
      </c>
      <c r="S689" s="60">
        <f>tblJTL[[#This Row],[timeStamp]]/86400000+DATE(1970,1,1)+TIME(9,0,0)</f>
        <v>46296.418724872681</v>
      </c>
      <c r="T689" s="57">
        <f>tblJTL[[#This Row],[timeStamp]]+tblJTL[[#This Row],[elapsed]]</f>
        <v>1790816578152</v>
      </c>
      <c r="U689" s="61">
        <f>(tblJTL[[#This Row],[timeStamp]]-'17_分析サンプル'!$E$18)/1000</f>
        <v>177.649</v>
      </c>
      <c r="V689" s="57">
        <f>INT(tblJTL[[#This Row],[経過秒]]/60)</f>
        <v>2</v>
      </c>
      <c r="W689" s="57">
        <f>IF(OR(tblJTL[[#This Row],[success]]=FALSE,tblJTL[[#This Row],[success]]="false"),1,0)</f>
        <v>0</v>
      </c>
      <c r="X689" s="57">
        <f>IF(AND(tblJTL[[#This Row],[経過秒]]&gt;='17_分析サンプル'!$E$11,tblJTL[[#This Row],[経過秒]]&lt;'17_分析サンプル'!$E$12),1,0)</f>
        <v>1</v>
      </c>
    </row>
    <row r="690" spans="2:24" ht="14.4" x14ac:dyDescent="0.3">
      <c r="B690" s="57">
        <v>1790816578092</v>
      </c>
      <c r="C690" s="58">
        <v>127</v>
      </c>
      <c r="D690" s="59" t="s">
        <v>1658</v>
      </c>
      <c r="E690" s="59" t="s">
        <v>1577</v>
      </c>
      <c r="F690" s="59" t="s">
        <v>2275</v>
      </c>
      <c r="G690" s="59" t="s">
        <v>3584</v>
      </c>
      <c r="H690" s="59" t="s">
        <v>2281</v>
      </c>
      <c r="I690" s="59" t="b">
        <v>1</v>
      </c>
      <c r="J690" s="59"/>
      <c r="K690" s="58">
        <v>1860</v>
      </c>
      <c r="L690" s="58">
        <v>1342</v>
      </c>
      <c r="M690" s="59">
        <v>10</v>
      </c>
      <c r="N690" s="59">
        <v>10</v>
      </c>
      <c r="O690" s="59" t="s">
        <v>3578</v>
      </c>
      <c r="P690" s="58">
        <v>119</v>
      </c>
      <c r="Q690" s="59">
        <v>0</v>
      </c>
      <c r="R690" s="59">
        <v>0</v>
      </c>
      <c r="S690" s="60">
        <f>tblJTL[[#This Row],[timeStamp]]/86400000+DATE(1970,1,1)+TIME(9,0,0)</f>
        <v>46296.418727916665</v>
      </c>
      <c r="T690" s="57">
        <f>tblJTL[[#This Row],[timeStamp]]+tblJTL[[#This Row],[elapsed]]</f>
        <v>1790816578219</v>
      </c>
      <c r="U690" s="61">
        <f>(tblJTL[[#This Row],[timeStamp]]-'17_分析サンプル'!$E$18)/1000</f>
        <v>177.91200000000001</v>
      </c>
      <c r="V690" s="57">
        <f>INT(tblJTL[[#This Row],[経過秒]]/60)</f>
        <v>2</v>
      </c>
      <c r="W690" s="57">
        <f>IF(OR(tblJTL[[#This Row],[success]]=FALSE,tblJTL[[#This Row],[success]]="false"),1,0)</f>
        <v>0</v>
      </c>
      <c r="X690" s="57">
        <f>IF(AND(tblJTL[[#This Row],[経過秒]]&gt;='17_分析サンプル'!$E$11,tblJTL[[#This Row],[経過秒]]&lt;'17_分析サンプル'!$E$12),1,0)</f>
        <v>1</v>
      </c>
    </row>
    <row r="691" spans="2:24" ht="14.4" x14ac:dyDescent="0.3">
      <c r="B691" s="57">
        <v>1790816578779</v>
      </c>
      <c r="C691" s="58">
        <v>94</v>
      </c>
      <c r="D691" s="59" t="s">
        <v>1658</v>
      </c>
      <c r="E691" s="59" t="s">
        <v>1577</v>
      </c>
      <c r="F691" s="59" t="s">
        <v>2275</v>
      </c>
      <c r="G691" s="59" t="s">
        <v>2278</v>
      </c>
      <c r="H691" s="59" t="s">
        <v>2281</v>
      </c>
      <c r="I691" s="59" t="b">
        <v>1</v>
      </c>
      <c r="J691" s="59"/>
      <c r="K691" s="58">
        <v>1825</v>
      </c>
      <c r="L691" s="58">
        <v>1342</v>
      </c>
      <c r="M691" s="59">
        <v>10</v>
      </c>
      <c r="N691" s="59">
        <v>10</v>
      </c>
      <c r="O691" s="59" t="s">
        <v>3578</v>
      </c>
      <c r="P691" s="58">
        <v>92</v>
      </c>
      <c r="Q691" s="59">
        <v>0</v>
      </c>
      <c r="R691" s="59">
        <v>0</v>
      </c>
      <c r="S691" s="60">
        <f>tblJTL[[#This Row],[timeStamp]]/86400000+DATE(1970,1,1)+TIME(9,0,0)</f>
        <v>46296.41873586805</v>
      </c>
      <c r="T691" s="57">
        <f>tblJTL[[#This Row],[timeStamp]]+tblJTL[[#This Row],[elapsed]]</f>
        <v>1790816578873</v>
      </c>
      <c r="U691" s="61">
        <f>(tblJTL[[#This Row],[timeStamp]]-'17_分析サンプル'!$E$18)/1000</f>
        <v>178.59899999999999</v>
      </c>
      <c r="V691" s="57">
        <f>INT(tblJTL[[#This Row],[経過秒]]/60)</f>
        <v>2</v>
      </c>
      <c r="W691" s="57">
        <f>IF(OR(tblJTL[[#This Row],[success]]=FALSE,tblJTL[[#This Row],[success]]="false"),1,0)</f>
        <v>0</v>
      </c>
      <c r="X691" s="57">
        <f>IF(AND(tblJTL[[#This Row],[経過秒]]&gt;='17_分析サンプル'!$E$11,tblJTL[[#This Row],[経過秒]]&lt;'17_分析サンプル'!$E$12),1,0)</f>
        <v>1</v>
      </c>
    </row>
    <row r="692" spans="2:24" ht="14.4" x14ac:dyDescent="0.3">
      <c r="B692" s="57">
        <v>1790816578869</v>
      </c>
      <c r="C692" s="58">
        <v>150</v>
      </c>
      <c r="D692" s="59" t="s">
        <v>1658</v>
      </c>
      <c r="E692" s="59" t="s">
        <v>1577</v>
      </c>
      <c r="F692" s="59" t="s">
        <v>2275</v>
      </c>
      <c r="G692" s="59" t="s">
        <v>3577</v>
      </c>
      <c r="H692" s="59" t="s">
        <v>2281</v>
      </c>
      <c r="I692" s="59" t="b">
        <v>1</v>
      </c>
      <c r="J692" s="59"/>
      <c r="K692" s="58">
        <v>1822</v>
      </c>
      <c r="L692" s="58">
        <v>1342</v>
      </c>
      <c r="M692" s="59">
        <v>10</v>
      </c>
      <c r="N692" s="59">
        <v>10</v>
      </c>
      <c r="O692" s="59" t="s">
        <v>3578</v>
      </c>
      <c r="P692" s="58">
        <v>147</v>
      </c>
      <c r="Q692" s="59">
        <v>0</v>
      </c>
      <c r="R692" s="59">
        <v>0</v>
      </c>
      <c r="S692" s="60">
        <f>tblJTL[[#This Row],[timeStamp]]/86400000+DATE(1970,1,1)+TIME(9,0,0)</f>
        <v>46296.41873690972</v>
      </c>
      <c r="T692" s="57">
        <f>tblJTL[[#This Row],[timeStamp]]+tblJTL[[#This Row],[elapsed]]</f>
        <v>1790816579019</v>
      </c>
      <c r="U692" s="61">
        <f>(tblJTL[[#This Row],[timeStamp]]-'17_分析サンプル'!$E$18)/1000</f>
        <v>178.68899999999999</v>
      </c>
      <c r="V692" s="57">
        <f>INT(tblJTL[[#This Row],[経過秒]]/60)</f>
        <v>2</v>
      </c>
      <c r="W692" s="57">
        <f>IF(OR(tblJTL[[#This Row],[success]]=FALSE,tblJTL[[#This Row],[success]]="false"),1,0)</f>
        <v>0</v>
      </c>
      <c r="X692" s="57">
        <f>IF(AND(tblJTL[[#This Row],[経過秒]]&gt;='17_分析サンプル'!$E$11,tblJTL[[#This Row],[経過秒]]&lt;'17_分析サンプル'!$E$12),1,0)</f>
        <v>1</v>
      </c>
    </row>
    <row r="693" spans="2:24" ht="14.4" x14ac:dyDescent="0.3">
      <c r="B693" s="57">
        <v>1790816578736</v>
      </c>
      <c r="C693" s="58">
        <v>364</v>
      </c>
      <c r="D693" s="59" t="s">
        <v>1677</v>
      </c>
      <c r="E693" s="59" t="s">
        <v>3579</v>
      </c>
      <c r="F693" s="59" t="s">
        <v>3580</v>
      </c>
      <c r="G693" s="59" t="s">
        <v>3585</v>
      </c>
      <c r="H693" s="59" t="s">
        <v>2281</v>
      </c>
      <c r="I693" s="59" t="b">
        <v>1</v>
      </c>
      <c r="J693" s="59"/>
      <c r="K693" s="58">
        <v>436</v>
      </c>
      <c r="L693" s="58">
        <v>1478</v>
      </c>
      <c r="M693" s="59">
        <v>10</v>
      </c>
      <c r="N693" s="59">
        <v>10</v>
      </c>
      <c r="O693" s="59" t="s">
        <v>3581</v>
      </c>
      <c r="P693" s="58">
        <v>361</v>
      </c>
      <c r="Q693" s="59">
        <v>0</v>
      </c>
      <c r="R693" s="59">
        <v>0</v>
      </c>
      <c r="S693" s="60">
        <f>tblJTL[[#This Row],[timeStamp]]/86400000+DATE(1970,1,1)+TIME(9,0,0)</f>
        <v>46296.418735370375</v>
      </c>
      <c r="T693" s="57">
        <f>tblJTL[[#This Row],[timeStamp]]+tblJTL[[#This Row],[elapsed]]</f>
        <v>1790816579100</v>
      </c>
      <c r="U693" s="61">
        <f>(tblJTL[[#This Row],[timeStamp]]-'17_分析サンプル'!$E$18)/1000</f>
        <v>178.55600000000001</v>
      </c>
      <c r="V693" s="57">
        <f>INT(tblJTL[[#This Row],[経過秒]]/60)</f>
        <v>2</v>
      </c>
      <c r="W693" s="57">
        <f>IF(OR(tblJTL[[#This Row],[success]]=FALSE,tblJTL[[#This Row],[success]]="false"),1,0)</f>
        <v>0</v>
      </c>
      <c r="X693" s="57">
        <f>IF(AND(tblJTL[[#This Row],[経過秒]]&gt;='17_分析サンプル'!$E$11,tblJTL[[#This Row],[経過秒]]&lt;'17_分析サンプル'!$E$12),1,0)</f>
        <v>1</v>
      </c>
    </row>
    <row r="694" spans="2:24" ht="14.4" x14ac:dyDescent="0.3">
      <c r="B694" s="57">
        <v>1790816578890</v>
      </c>
      <c r="C694" s="58">
        <v>221</v>
      </c>
      <c r="D694" s="59" t="s">
        <v>1677</v>
      </c>
      <c r="E694" s="59" t="s">
        <v>3579</v>
      </c>
      <c r="F694" s="59" t="s">
        <v>3580</v>
      </c>
      <c r="G694" s="59" t="s">
        <v>3587</v>
      </c>
      <c r="H694" s="59" t="s">
        <v>2281</v>
      </c>
      <c r="I694" s="59" t="b">
        <v>1</v>
      </c>
      <c r="J694" s="59"/>
      <c r="K694" s="58">
        <v>416</v>
      </c>
      <c r="L694" s="58">
        <v>1478</v>
      </c>
      <c r="M694" s="59">
        <v>10</v>
      </c>
      <c r="N694" s="59">
        <v>10</v>
      </c>
      <c r="O694" s="59" t="s">
        <v>3581</v>
      </c>
      <c r="P694" s="58">
        <v>219</v>
      </c>
      <c r="Q694" s="59">
        <v>0</v>
      </c>
      <c r="R694" s="59">
        <v>0</v>
      </c>
      <c r="S694" s="60">
        <f>tblJTL[[#This Row],[timeStamp]]/86400000+DATE(1970,1,1)+TIME(9,0,0)</f>
        <v>46296.418737152781</v>
      </c>
      <c r="T694" s="57">
        <f>tblJTL[[#This Row],[timeStamp]]+tblJTL[[#This Row],[elapsed]]</f>
        <v>1790816579111</v>
      </c>
      <c r="U694" s="61">
        <f>(tblJTL[[#This Row],[timeStamp]]-'17_分析サンプル'!$E$18)/1000</f>
        <v>178.71</v>
      </c>
      <c r="V694" s="57">
        <f>INT(tblJTL[[#This Row],[経過秒]]/60)</f>
        <v>2</v>
      </c>
      <c r="W694" s="57">
        <f>IF(OR(tblJTL[[#This Row],[success]]=FALSE,tblJTL[[#This Row],[success]]="false"),1,0)</f>
        <v>0</v>
      </c>
      <c r="X694" s="57">
        <f>IF(AND(tblJTL[[#This Row],[経過秒]]&gt;='17_分析サンプル'!$E$11,tblJTL[[#This Row],[経過秒]]&lt;'17_分析サンプル'!$E$12),1,0)</f>
        <v>1</v>
      </c>
    </row>
    <row r="695" spans="2:24" ht="14.4" x14ac:dyDescent="0.3">
      <c r="B695" s="57">
        <v>1790816579272</v>
      </c>
      <c r="C695" s="58">
        <v>147</v>
      </c>
      <c r="D695" s="59" t="s">
        <v>1658</v>
      </c>
      <c r="E695" s="59" t="s">
        <v>1577</v>
      </c>
      <c r="F695" s="59" t="s">
        <v>2275</v>
      </c>
      <c r="G695" s="59" t="s">
        <v>3586</v>
      </c>
      <c r="H695" s="59" t="s">
        <v>2281</v>
      </c>
      <c r="I695" s="59" t="b">
        <v>1</v>
      </c>
      <c r="J695" s="59"/>
      <c r="K695" s="58">
        <v>1860</v>
      </c>
      <c r="L695" s="58">
        <v>1342</v>
      </c>
      <c r="M695" s="59">
        <v>10</v>
      </c>
      <c r="N695" s="59">
        <v>10</v>
      </c>
      <c r="O695" s="59" t="s">
        <v>3578</v>
      </c>
      <c r="P695" s="58">
        <v>140</v>
      </c>
      <c r="Q695" s="59">
        <v>0</v>
      </c>
      <c r="R695" s="59">
        <v>0</v>
      </c>
      <c r="S695" s="60">
        <f>tblJTL[[#This Row],[timeStamp]]/86400000+DATE(1970,1,1)+TIME(9,0,0)</f>
        <v>46296.418741574074</v>
      </c>
      <c r="T695" s="57">
        <f>tblJTL[[#This Row],[timeStamp]]+tblJTL[[#This Row],[elapsed]]</f>
        <v>1790816579419</v>
      </c>
      <c r="U695" s="61">
        <f>(tblJTL[[#This Row],[timeStamp]]-'17_分析サンプル'!$E$18)/1000</f>
        <v>179.09200000000001</v>
      </c>
      <c r="V695" s="57">
        <f>INT(tblJTL[[#This Row],[経過秒]]/60)</f>
        <v>2</v>
      </c>
      <c r="W695" s="57">
        <f>IF(OR(tblJTL[[#This Row],[success]]=FALSE,tblJTL[[#This Row],[success]]="false"),1,0)</f>
        <v>0</v>
      </c>
      <c r="X695" s="57">
        <f>IF(AND(tblJTL[[#This Row],[経過秒]]&gt;='17_分析サンプル'!$E$11,tblJTL[[#This Row],[経過秒]]&lt;'17_分析サンプル'!$E$12),1,0)</f>
        <v>1</v>
      </c>
    </row>
    <row r="696" spans="2:24" ht="14.4" x14ac:dyDescent="0.3">
      <c r="B696" s="57">
        <v>1790816579250</v>
      </c>
      <c r="C696" s="58">
        <v>191</v>
      </c>
      <c r="D696" s="59" t="s">
        <v>1677</v>
      </c>
      <c r="E696" s="59" t="s">
        <v>3579</v>
      </c>
      <c r="F696" s="59" t="s">
        <v>3580</v>
      </c>
      <c r="G696" s="59" t="s">
        <v>3582</v>
      </c>
      <c r="H696" s="59" t="s">
        <v>2281</v>
      </c>
      <c r="I696" s="59" t="b">
        <v>1</v>
      </c>
      <c r="J696" s="59"/>
      <c r="K696" s="58">
        <v>435</v>
      </c>
      <c r="L696" s="58">
        <v>1478</v>
      </c>
      <c r="M696" s="59">
        <v>10</v>
      </c>
      <c r="N696" s="59">
        <v>10</v>
      </c>
      <c r="O696" s="59" t="s">
        <v>3581</v>
      </c>
      <c r="P696" s="58">
        <v>186</v>
      </c>
      <c r="Q696" s="59">
        <v>0</v>
      </c>
      <c r="R696" s="59">
        <v>0</v>
      </c>
      <c r="S696" s="60">
        <f>tblJTL[[#This Row],[timeStamp]]/86400000+DATE(1970,1,1)+TIME(9,0,0)</f>
        <v>46296.418741319445</v>
      </c>
      <c r="T696" s="57">
        <f>tblJTL[[#This Row],[timeStamp]]+tblJTL[[#This Row],[elapsed]]</f>
        <v>1790816579441</v>
      </c>
      <c r="U696" s="61">
        <f>(tblJTL[[#This Row],[timeStamp]]-'17_分析サンプル'!$E$18)/1000</f>
        <v>179.07</v>
      </c>
      <c r="V696" s="57">
        <f>INT(tblJTL[[#This Row],[経過秒]]/60)</f>
        <v>2</v>
      </c>
      <c r="W696" s="57">
        <f>IF(OR(tblJTL[[#This Row],[success]]=FALSE,tblJTL[[#This Row],[success]]="false"),1,0)</f>
        <v>0</v>
      </c>
      <c r="X696" s="57">
        <f>IF(AND(tblJTL[[#This Row],[経過秒]]&gt;='17_分析サンプル'!$E$11,tblJTL[[#This Row],[経過秒]]&lt;'17_分析サンプル'!$E$12),1,0)</f>
        <v>1</v>
      </c>
    </row>
    <row r="697" spans="2:24" ht="14.4" x14ac:dyDescent="0.3">
      <c r="B697" s="57">
        <v>1790816579449</v>
      </c>
      <c r="C697" s="58">
        <v>109</v>
      </c>
      <c r="D697" s="59" t="s">
        <v>1658</v>
      </c>
      <c r="E697" s="59" t="s">
        <v>1577</v>
      </c>
      <c r="F697" s="59" t="s">
        <v>2275</v>
      </c>
      <c r="G697" s="59" t="s">
        <v>3588</v>
      </c>
      <c r="H697" s="59" t="s">
        <v>2281</v>
      </c>
      <c r="I697" s="59" t="b">
        <v>1</v>
      </c>
      <c r="J697" s="59"/>
      <c r="K697" s="58">
        <v>1840</v>
      </c>
      <c r="L697" s="58">
        <v>1342</v>
      </c>
      <c r="M697" s="59">
        <v>10</v>
      </c>
      <c r="N697" s="59">
        <v>10</v>
      </c>
      <c r="O697" s="59" t="s">
        <v>3578</v>
      </c>
      <c r="P697" s="58">
        <v>101</v>
      </c>
      <c r="Q697" s="59">
        <v>0</v>
      </c>
      <c r="R697" s="59">
        <v>0</v>
      </c>
      <c r="S697" s="60">
        <f>tblJTL[[#This Row],[timeStamp]]/86400000+DATE(1970,1,1)+TIME(9,0,0)</f>
        <v>46296.418743622686</v>
      </c>
      <c r="T697" s="57">
        <f>tblJTL[[#This Row],[timeStamp]]+tblJTL[[#This Row],[elapsed]]</f>
        <v>1790816579558</v>
      </c>
      <c r="U697" s="61">
        <f>(tblJTL[[#This Row],[timeStamp]]-'17_分析サンプル'!$E$18)/1000</f>
        <v>179.26900000000001</v>
      </c>
      <c r="V697" s="57">
        <f>INT(tblJTL[[#This Row],[経過秒]]/60)</f>
        <v>2</v>
      </c>
      <c r="W697" s="57">
        <f>IF(OR(tblJTL[[#This Row],[success]]=FALSE,tblJTL[[#This Row],[success]]="false"),1,0)</f>
        <v>0</v>
      </c>
      <c r="X697" s="57">
        <f>IF(AND(tblJTL[[#This Row],[経過秒]]&gt;='17_分析サンプル'!$E$11,tblJTL[[#This Row],[経過秒]]&lt;'17_分析サンプル'!$E$12),1,0)</f>
        <v>1</v>
      </c>
    </row>
    <row r="698" spans="2:24" ht="14.4" x14ac:dyDescent="0.3">
      <c r="B698" s="57">
        <v>1790816579632</v>
      </c>
      <c r="C698" s="58">
        <v>262</v>
      </c>
      <c r="D698" s="59" t="s">
        <v>1677</v>
      </c>
      <c r="E698" s="59" t="s">
        <v>3579</v>
      </c>
      <c r="F698" s="59" t="s">
        <v>3580</v>
      </c>
      <c r="G698" s="59" t="s">
        <v>3583</v>
      </c>
      <c r="H698" s="59" t="s">
        <v>2281</v>
      </c>
      <c r="I698" s="59" t="b">
        <v>1</v>
      </c>
      <c r="J698" s="59"/>
      <c r="K698" s="58">
        <v>427</v>
      </c>
      <c r="L698" s="58">
        <v>1478</v>
      </c>
      <c r="M698" s="59">
        <v>10</v>
      </c>
      <c r="N698" s="59">
        <v>10</v>
      </c>
      <c r="O698" s="59" t="s">
        <v>3581</v>
      </c>
      <c r="P698" s="58">
        <v>254</v>
      </c>
      <c r="Q698" s="59">
        <v>0</v>
      </c>
      <c r="R698" s="59">
        <v>0</v>
      </c>
      <c r="S698" s="60">
        <f>tblJTL[[#This Row],[timeStamp]]/86400000+DATE(1970,1,1)+TIME(9,0,0)</f>
        <v>46296.418745740739</v>
      </c>
      <c r="T698" s="57">
        <f>tblJTL[[#This Row],[timeStamp]]+tblJTL[[#This Row],[elapsed]]</f>
        <v>1790816579894</v>
      </c>
      <c r="U698" s="61">
        <f>(tblJTL[[#This Row],[timeStamp]]-'17_分析サンプル'!$E$18)/1000</f>
        <v>179.452</v>
      </c>
      <c r="V698" s="57">
        <f>INT(tblJTL[[#This Row],[経過秒]]/60)</f>
        <v>2</v>
      </c>
      <c r="W698" s="57">
        <f>IF(OR(tblJTL[[#This Row],[success]]=FALSE,tblJTL[[#This Row],[success]]="false"),1,0)</f>
        <v>0</v>
      </c>
      <c r="X698" s="57">
        <f>IF(AND(tblJTL[[#This Row],[経過秒]]&gt;='17_分析サンプル'!$E$11,tblJTL[[#This Row],[経過秒]]&lt;'17_分析サンプル'!$E$12),1,0)</f>
        <v>1</v>
      </c>
    </row>
    <row r="699" spans="2:24" ht="14.4" x14ac:dyDescent="0.3">
      <c r="B699" s="57">
        <v>1790816579889</v>
      </c>
      <c r="C699" s="58">
        <v>159</v>
      </c>
      <c r="D699" s="59" t="s">
        <v>1677</v>
      </c>
      <c r="E699" s="59" t="s">
        <v>3579</v>
      </c>
      <c r="F699" s="59" t="s">
        <v>3580</v>
      </c>
      <c r="G699" s="59" t="s">
        <v>3589</v>
      </c>
      <c r="H699" s="59" t="s">
        <v>2281</v>
      </c>
      <c r="I699" s="59" t="b">
        <v>1</v>
      </c>
      <c r="J699" s="59"/>
      <c r="K699" s="58">
        <v>419</v>
      </c>
      <c r="L699" s="58">
        <v>1478</v>
      </c>
      <c r="M699" s="59">
        <v>10</v>
      </c>
      <c r="N699" s="59">
        <v>10</v>
      </c>
      <c r="O699" s="59" t="s">
        <v>3581</v>
      </c>
      <c r="P699" s="58">
        <v>152</v>
      </c>
      <c r="Q699" s="59">
        <v>0</v>
      </c>
      <c r="R699" s="59">
        <v>42</v>
      </c>
      <c r="S699" s="60">
        <f>tblJTL[[#This Row],[timeStamp]]/86400000+DATE(1970,1,1)+TIME(9,0,0)</f>
        <v>46296.418748715281</v>
      </c>
      <c r="T699" s="57">
        <f>tblJTL[[#This Row],[timeStamp]]+tblJTL[[#This Row],[elapsed]]</f>
        <v>1790816580048</v>
      </c>
      <c r="U699" s="61">
        <f>(tblJTL[[#This Row],[timeStamp]]-'17_分析サンプル'!$E$18)/1000</f>
        <v>179.709</v>
      </c>
      <c r="V699" s="57">
        <f>INT(tblJTL[[#This Row],[経過秒]]/60)</f>
        <v>2</v>
      </c>
      <c r="W699" s="57">
        <f>IF(OR(tblJTL[[#This Row],[success]]=FALSE,tblJTL[[#This Row],[success]]="false"),1,0)</f>
        <v>0</v>
      </c>
      <c r="X699" s="57">
        <f>IF(AND(tblJTL[[#This Row],[経過秒]]&gt;='17_分析サンプル'!$E$11,tblJTL[[#This Row],[経過秒]]&lt;'17_分析サンプル'!$E$12),1,0)</f>
        <v>1</v>
      </c>
    </row>
    <row r="700" spans="2:24" ht="14.4" x14ac:dyDescent="0.3">
      <c r="B700" s="57">
        <v>1790816580463</v>
      </c>
      <c r="C700" s="58">
        <v>286</v>
      </c>
      <c r="D700" s="59" t="s">
        <v>1677</v>
      </c>
      <c r="E700" s="59" t="s">
        <v>3579</v>
      </c>
      <c r="F700" s="59" t="s">
        <v>3580</v>
      </c>
      <c r="G700" s="59" t="s">
        <v>3586</v>
      </c>
      <c r="H700" s="59" t="s">
        <v>2281</v>
      </c>
      <c r="I700" s="59" t="b">
        <v>1</v>
      </c>
      <c r="J700" s="59"/>
      <c r="K700" s="58">
        <v>435</v>
      </c>
      <c r="L700" s="58">
        <v>1478</v>
      </c>
      <c r="M700" s="59">
        <v>10</v>
      </c>
      <c r="N700" s="59">
        <v>10</v>
      </c>
      <c r="O700" s="59" t="s">
        <v>3581</v>
      </c>
      <c r="P700" s="58">
        <v>280</v>
      </c>
      <c r="Q700" s="59">
        <v>0</v>
      </c>
      <c r="R700" s="59">
        <v>0</v>
      </c>
      <c r="S700" s="60">
        <f>tblJTL[[#This Row],[timeStamp]]/86400000+DATE(1970,1,1)+TIME(9,0,0)</f>
        <v>46296.418755358798</v>
      </c>
      <c r="T700" s="57">
        <f>tblJTL[[#This Row],[timeStamp]]+tblJTL[[#This Row],[elapsed]]</f>
        <v>1790816580749</v>
      </c>
      <c r="U700" s="61">
        <f>(tblJTL[[#This Row],[timeStamp]]-'17_分析サンプル'!$E$18)/1000</f>
        <v>180.28299999999999</v>
      </c>
      <c r="V700" s="57">
        <f>INT(tblJTL[[#This Row],[経過秒]]/60)</f>
        <v>3</v>
      </c>
      <c r="W700" s="57">
        <f>IF(OR(tblJTL[[#This Row],[success]]=FALSE,tblJTL[[#This Row],[success]]="false"),1,0)</f>
        <v>0</v>
      </c>
      <c r="X700" s="57">
        <f>IF(AND(tblJTL[[#This Row],[経過秒]]&gt;='17_分析サンプル'!$E$11,tblJTL[[#This Row],[経過秒]]&lt;'17_分析サンプル'!$E$12),1,0)</f>
        <v>1</v>
      </c>
    </row>
    <row r="701" spans="2:24" ht="14.4" x14ac:dyDescent="0.3">
      <c r="B701" s="57">
        <v>1790816580716</v>
      </c>
      <c r="C701" s="58">
        <v>96</v>
      </c>
      <c r="D701" s="59" t="s">
        <v>1658</v>
      </c>
      <c r="E701" s="59" t="s">
        <v>1577</v>
      </c>
      <c r="F701" s="59" t="s">
        <v>2275</v>
      </c>
      <c r="G701" s="59" t="s">
        <v>3582</v>
      </c>
      <c r="H701" s="59" t="s">
        <v>2281</v>
      </c>
      <c r="I701" s="59" t="b">
        <v>1</v>
      </c>
      <c r="J701" s="59"/>
      <c r="K701" s="58">
        <v>1825</v>
      </c>
      <c r="L701" s="58">
        <v>1342</v>
      </c>
      <c r="M701" s="59">
        <v>10</v>
      </c>
      <c r="N701" s="59">
        <v>10</v>
      </c>
      <c r="O701" s="59" t="s">
        <v>3578</v>
      </c>
      <c r="P701" s="58">
        <v>88</v>
      </c>
      <c r="Q701" s="59">
        <v>0</v>
      </c>
      <c r="R701" s="59">
        <v>0</v>
      </c>
      <c r="S701" s="60">
        <f>tblJTL[[#This Row],[timeStamp]]/86400000+DATE(1970,1,1)+TIME(9,0,0)</f>
        <v>46296.418758287036</v>
      </c>
      <c r="T701" s="57">
        <f>tblJTL[[#This Row],[timeStamp]]+tblJTL[[#This Row],[elapsed]]</f>
        <v>1790816580812</v>
      </c>
      <c r="U701" s="61">
        <f>(tblJTL[[#This Row],[timeStamp]]-'17_分析サンプル'!$E$18)/1000</f>
        <v>180.536</v>
      </c>
      <c r="V701" s="57">
        <f>INT(tblJTL[[#This Row],[経過秒]]/60)</f>
        <v>3</v>
      </c>
      <c r="W701" s="57">
        <f>IF(OR(tblJTL[[#This Row],[success]]=FALSE,tblJTL[[#This Row],[success]]="false"),1,0)</f>
        <v>0</v>
      </c>
      <c r="X701" s="57">
        <f>IF(AND(tblJTL[[#This Row],[経過秒]]&gt;='17_分析サンプル'!$E$11,tblJTL[[#This Row],[経過秒]]&lt;'17_分析サンプル'!$E$12),1,0)</f>
        <v>1</v>
      </c>
    </row>
    <row r="702" spans="2:24" ht="14.4" x14ac:dyDescent="0.3">
      <c r="B702" s="57">
        <v>1790816581038</v>
      </c>
      <c r="C702" s="58">
        <v>317</v>
      </c>
      <c r="D702" s="59" t="s">
        <v>1677</v>
      </c>
      <c r="E702" s="59" t="s">
        <v>3579</v>
      </c>
      <c r="F702" s="59" t="s">
        <v>3580</v>
      </c>
      <c r="G702" s="59" t="s">
        <v>2278</v>
      </c>
      <c r="H702" s="59" t="s">
        <v>2281</v>
      </c>
      <c r="I702" s="59" t="b">
        <v>1</v>
      </c>
      <c r="J702" s="59"/>
      <c r="K702" s="58">
        <v>415</v>
      </c>
      <c r="L702" s="58">
        <v>1478</v>
      </c>
      <c r="M702" s="59">
        <v>10</v>
      </c>
      <c r="N702" s="59">
        <v>10</v>
      </c>
      <c r="O702" s="59" t="s">
        <v>3581</v>
      </c>
      <c r="P702" s="58">
        <v>310</v>
      </c>
      <c r="Q702" s="59">
        <v>0</v>
      </c>
      <c r="R702" s="59">
        <v>0</v>
      </c>
      <c r="S702" s="60">
        <f>tblJTL[[#This Row],[timeStamp]]/86400000+DATE(1970,1,1)+TIME(9,0,0)</f>
        <v>46296.418762013884</v>
      </c>
      <c r="T702" s="57">
        <f>tblJTL[[#This Row],[timeStamp]]+tblJTL[[#This Row],[elapsed]]</f>
        <v>1790816581355</v>
      </c>
      <c r="U702" s="61">
        <f>(tblJTL[[#This Row],[timeStamp]]-'17_分析サンプル'!$E$18)/1000</f>
        <v>180.858</v>
      </c>
      <c r="V702" s="57">
        <f>INT(tblJTL[[#This Row],[経過秒]]/60)</f>
        <v>3</v>
      </c>
      <c r="W702" s="57">
        <f>IF(OR(tblJTL[[#This Row],[success]]=FALSE,tblJTL[[#This Row],[success]]="false"),1,0)</f>
        <v>0</v>
      </c>
      <c r="X702" s="57">
        <f>IF(AND(tblJTL[[#This Row],[経過秒]]&gt;='17_分析サンプル'!$E$11,tblJTL[[#This Row],[経過秒]]&lt;'17_分析サンプル'!$E$12),1,0)</f>
        <v>1</v>
      </c>
    </row>
    <row r="703" spans="2:24" ht="14.4" x14ac:dyDescent="0.3">
      <c r="B703" s="57">
        <v>1790816581137</v>
      </c>
      <c r="C703" s="58">
        <v>223</v>
      </c>
      <c r="D703" s="59" t="s">
        <v>1677</v>
      </c>
      <c r="E703" s="59" t="s">
        <v>3579</v>
      </c>
      <c r="F703" s="59" t="s">
        <v>3580</v>
      </c>
      <c r="G703" s="59" t="s">
        <v>3584</v>
      </c>
      <c r="H703" s="59" t="s">
        <v>2281</v>
      </c>
      <c r="I703" s="59" t="b">
        <v>1</v>
      </c>
      <c r="J703" s="59"/>
      <c r="K703" s="58">
        <v>426</v>
      </c>
      <c r="L703" s="58">
        <v>1478</v>
      </c>
      <c r="M703" s="59">
        <v>10</v>
      </c>
      <c r="N703" s="59">
        <v>10</v>
      </c>
      <c r="O703" s="59" t="s">
        <v>3581</v>
      </c>
      <c r="P703" s="58">
        <v>215</v>
      </c>
      <c r="Q703" s="59">
        <v>0</v>
      </c>
      <c r="R703" s="59">
        <v>0</v>
      </c>
      <c r="S703" s="60">
        <f>tblJTL[[#This Row],[timeStamp]]/86400000+DATE(1970,1,1)+TIME(9,0,0)</f>
        <v>46296.418763159723</v>
      </c>
      <c r="T703" s="57">
        <f>tblJTL[[#This Row],[timeStamp]]+tblJTL[[#This Row],[elapsed]]</f>
        <v>1790816581360</v>
      </c>
      <c r="U703" s="61">
        <f>(tblJTL[[#This Row],[timeStamp]]-'17_分析サンプル'!$E$18)/1000</f>
        <v>180.95699999999999</v>
      </c>
      <c r="V703" s="57">
        <f>INT(tblJTL[[#This Row],[経過秒]]/60)</f>
        <v>3</v>
      </c>
      <c r="W703" s="57">
        <f>IF(OR(tblJTL[[#This Row],[success]]=FALSE,tblJTL[[#This Row],[success]]="false"),1,0)</f>
        <v>0</v>
      </c>
      <c r="X703" s="57">
        <f>IF(AND(tblJTL[[#This Row],[経過秒]]&gt;='17_分析サンプル'!$E$11,tblJTL[[#This Row],[経過秒]]&lt;'17_分析サンプル'!$E$12),1,0)</f>
        <v>1</v>
      </c>
    </row>
    <row r="704" spans="2:24" ht="14.4" x14ac:dyDescent="0.3">
      <c r="B704" s="57">
        <v>1790816581505</v>
      </c>
      <c r="C704" s="58">
        <v>127</v>
      </c>
      <c r="D704" s="59" t="s">
        <v>1658</v>
      </c>
      <c r="E704" s="59" t="s">
        <v>1577</v>
      </c>
      <c r="F704" s="59" t="s">
        <v>2275</v>
      </c>
      <c r="G704" s="59" t="s">
        <v>3587</v>
      </c>
      <c r="H704" s="59" t="s">
        <v>2281</v>
      </c>
      <c r="I704" s="59" t="b">
        <v>1</v>
      </c>
      <c r="J704" s="59"/>
      <c r="K704" s="58">
        <v>1885</v>
      </c>
      <c r="L704" s="58">
        <v>1342</v>
      </c>
      <c r="M704" s="59">
        <v>10</v>
      </c>
      <c r="N704" s="59">
        <v>10</v>
      </c>
      <c r="O704" s="59" t="s">
        <v>3578</v>
      </c>
      <c r="P704" s="58">
        <v>121</v>
      </c>
      <c r="Q704" s="59">
        <v>0</v>
      </c>
      <c r="R704" s="59">
        <v>0</v>
      </c>
      <c r="S704" s="60">
        <f>tblJTL[[#This Row],[timeStamp]]/86400000+DATE(1970,1,1)+TIME(9,0,0)</f>
        <v>46296.418767418982</v>
      </c>
      <c r="T704" s="57">
        <f>tblJTL[[#This Row],[timeStamp]]+tblJTL[[#This Row],[elapsed]]</f>
        <v>1790816581632</v>
      </c>
      <c r="U704" s="61">
        <f>(tblJTL[[#This Row],[timeStamp]]-'17_分析サンプル'!$E$18)/1000</f>
        <v>181.32499999999999</v>
      </c>
      <c r="V704" s="57">
        <f>INT(tblJTL[[#This Row],[経過秒]]/60)</f>
        <v>3</v>
      </c>
      <c r="W704" s="57">
        <f>IF(OR(tblJTL[[#This Row],[success]]=FALSE,tblJTL[[#This Row],[success]]="false"),1,0)</f>
        <v>0</v>
      </c>
      <c r="X704" s="57">
        <f>IF(AND(tblJTL[[#This Row],[経過秒]]&gt;='17_分析サンプル'!$E$11,tblJTL[[#This Row],[経過秒]]&lt;'17_分析サンプル'!$E$12),1,0)</f>
        <v>1</v>
      </c>
    </row>
    <row r="705" spans="2:24" ht="14.4" x14ac:dyDescent="0.3">
      <c r="B705" s="57">
        <v>1790816581659</v>
      </c>
      <c r="C705" s="58">
        <v>127</v>
      </c>
      <c r="D705" s="59" t="s">
        <v>1658</v>
      </c>
      <c r="E705" s="59" t="s">
        <v>1577</v>
      </c>
      <c r="F705" s="59" t="s">
        <v>2275</v>
      </c>
      <c r="G705" s="59" t="s">
        <v>3585</v>
      </c>
      <c r="H705" s="59" t="s">
        <v>2281</v>
      </c>
      <c r="I705" s="59" t="b">
        <v>1</v>
      </c>
      <c r="J705" s="59"/>
      <c r="K705" s="58">
        <v>1828</v>
      </c>
      <c r="L705" s="58">
        <v>1342</v>
      </c>
      <c r="M705" s="59">
        <v>10</v>
      </c>
      <c r="N705" s="59">
        <v>10</v>
      </c>
      <c r="O705" s="59" t="s">
        <v>3578</v>
      </c>
      <c r="P705" s="58">
        <v>124</v>
      </c>
      <c r="Q705" s="59">
        <v>0</v>
      </c>
      <c r="R705" s="59">
        <v>0</v>
      </c>
      <c r="S705" s="60">
        <f>tblJTL[[#This Row],[timeStamp]]/86400000+DATE(1970,1,1)+TIME(9,0,0)</f>
        <v>46296.418769201387</v>
      </c>
      <c r="T705" s="57">
        <f>tblJTL[[#This Row],[timeStamp]]+tblJTL[[#This Row],[elapsed]]</f>
        <v>1790816581786</v>
      </c>
      <c r="U705" s="61">
        <f>(tblJTL[[#This Row],[timeStamp]]-'17_分析サンプル'!$E$18)/1000</f>
        <v>181.47900000000001</v>
      </c>
      <c r="V705" s="57">
        <f>INT(tblJTL[[#This Row],[経過秒]]/60)</f>
        <v>3</v>
      </c>
      <c r="W705" s="57">
        <f>IF(OR(tblJTL[[#This Row],[success]]=FALSE,tblJTL[[#This Row],[success]]="false"),1,0)</f>
        <v>0</v>
      </c>
      <c r="X705" s="57">
        <f>IF(AND(tblJTL[[#This Row],[経過秒]]&gt;='17_分析サンプル'!$E$11,tblJTL[[#This Row],[経過秒]]&lt;'17_分析サンプル'!$E$12),1,0)</f>
        <v>1</v>
      </c>
    </row>
    <row r="706" spans="2:24" ht="14.4" x14ac:dyDescent="0.3">
      <c r="B706" s="57">
        <v>1790816581606</v>
      </c>
      <c r="C706" s="58">
        <v>342</v>
      </c>
      <c r="D706" s="59" t="s">
        <v>1677</v>
      </c>
      <c r="E706" s="59" t="s">
        <v>3579</v>
      </c>
      <c r="F706" s="59" t="s">
        <v>3580</v>
      </c>
      <c r="G706" s="59" t="s">
        <v>3577</v>
      </c>
      <c r="H706" s="59" t="s">
        <v>2281</v>
      </c>
      <c r="I706" s="59" t="b">
        <v>1</v>
      </c>
      <c r="J706" s="59"/>
      <c r="K706" s="58">
        <v>418</v>
      </c>
      <c r="L706" s="58">
        <v>1478</v>
      </c>
      <c r="M706" s="59">
        <v>10</v>
      </c>
      <c r="N706" s="59">
        <v>10</v>
      </c>
      <c r="O706" s="59" t="s">
        <v>3581</v>
      </c>
      <c r="P706" s="58">
        <v>338</v>
      </c>
      <c r="Q706" s="59">
        <v>0</v>
      </c>
      <c r="R706" s="59">
        <v>0</v>
      </c>
      <c r="S706" s="60">
        <f>tblJTL[[#This Row],[timeStamp]]/86400000+DATE(1970,1,1)+TIME(9,0,0)</f>
        <v>46296.418768587959</v>
      </c>
      <c r="T706" s="57">
        <f>tblJTL[[#This Row],[timeStamp]]+tblJTL[[#This Row],[elapsed]]</f>
        <v>1790816581948</v>
      </c>
      <c r="U706" s="61">
        <f>(tblJTL[[#This Row],[timeStamp]]-'17_分析サンプル'!$E$18)/1000</f>
        <v>181.42599999999999</v>
      </c>
      <c r="V706" s="57">
        <f>INT(tblJTL[[#This Row],[経過秒]]/60)</f>
        <v>3</v>
      </c>
      <c r="W706" s="57">
        <f>IF(OR(tblJTL[[#This Row],[success]]=FALSE,tblJTL[[#This Row],[success]]="false"),1,0)</f>
        <v>0</v>
      </c>
      <c r="X706" s="57">
        <f>IF(AND(tblJTL[[#This Row],[経過秒]]&gt;='17_分析サンプル'!$E$11,tblJTL[[#This Row],[経過秒]]&lt;'17_分析サンプル'!$E$12),1,0)</f>
        <v>1</v>
      </c>
    </row>
    <row r="707" spans="2:24" ht="14.4" x14ac:dyDescent="0.3">
      <c r="B707" s="57">
        <v>1790816581943</v>
      </c>
      <c r="C707" s="58">
        <v>107</v>
      </c>
      <c r="D707" s="59" t="s">
        <v>1658</v>
      </c>
      <c r="E707" s="59" t="s">
        <v>1577</v>
      </c>
      <c r="F707" s="59" t="s">
        <v>2275</v>
      </c>
      <c r="G707" s="59" t="s">
        <v>3586</v>
      </c>
      <c r="H707" s="59" t="s">
        <v>2281</v>
      </c>
      <c r="I707" s="59" t="b">
        <v>1</v>
      </c>
      <c r="J707" s="59"/>
      <c r="K707" s="58">
        <v>1866</v>
      </c>
      <c r="L707" s="58">
        <v>1342</v>
      </c>
      <c r="M707" s="59">
        <v>10</v>
      </c>
      <c r="N707" s="59">
        <v>10</v>
      </c>
      <c r="O707" s="59" t="s">
        <v>3578</v>
      </c>
      <c r="P707" s="58">
        <v>100</v>
      </c>
      <c r="Q707" s="59">
        <v>0</v>
      </c>
      <c r="R707" s="59">
        <v>0</v>
      </c>
      <c r="S707" s="60">
        <f>tblJTL[[#This Row],[timeStamp]]/86400000+DATE(1970,1,1)+TIME(9,0,0)</f>
        <v>46296.418772488425</v>
      </c>
      <c r="T707" s="57">
        <f>tblJTL[[#This Row],[timeStamp]]+tblJTL[[#This Row],[elapsed]]</f>
        <v>1790816582050</v>
      </c>
      <c r="U707" s="61">
        <f>(tblJTL[[#This Row],[timeStamp]]-'17_分析サンプル'!$E$18)/1000</f>
        <v>181.76300000000001</v>
      </c>
      <c r="V707" s="57">
        <f>INT(tblJTL[[#This Row],[経過秒]]/60)</f>
        <v>3</v>
      </c>
      <c r="W707" s="57">
        <f>IF(OR(tblJTL[[#This Row],[success]]=FALSE,tblJTL[[#This Row],[success]]="false"),1,0)</f>
        <v>0</v>
      </c>
      <c r="X707" s="57">
        <f>IF(AND(tblJTL[[#This Row],[経過秒]]&gt;='17_分析サンプル'!$E$11,tblJTL[[#This Row],[経過秒]]&lt;'17_分析サンプル'!$E$12),1,0)</f>
        <v>1</v>
      </c>
    </row>
    <row r="708" spans="2:24" ht="14.4" x14ac:dyDescent="0.3">
      <c r="B708" s="57">
        <v>1790816582237</v>
      </c>
      <c r="C708" s="58">
        <v>187</v>
      </c>
      <c r="D708" s="59" t="s">
        <v>1677</v>
      </c>
      <c r="E708" s="59" t="s">
        <v>3579</v>
      </c>
      <c r="F708" s="59" t="s">
        <v>3580</v>
      </c>
      <c r="G708" s="59" t="s">
        <v>3588</v>
      </c>
      <c r="H708" s="59" t="s">
        <v>2281</v>
      </c>
      <c r="I708" s="59" t="b">
        <v>1</v>
      </c>
      <c r="J708" s="59"/>
      <c r="K708" s="58">
        <v>420</v>
      </c>
      <c r="L708" s="58">
        <v>1478</v>
      </c>
      <c r="M708" s="59">
        <v>10</v>
      </c>
      <c r="N708" s="59">
        <v>10</v>
      </c>
      <c r="O708" s="59" t="s">
        <v>3581</v>
      </c>
      <c r="P708" s="58">
        <v>181</v>
      </c>
      <c r="Q708" s="59">
        <v>0</v>
      </c>
      <c r="R708" s="59">
        <v>0</v>
      </c>
      <c r="S708" s="60">
        <f>tblJTL[[#This Row],[timeStamp]]/86400000+DATE(1970,1,1)+TIME(9,0,0)</f>
        <v>46296.418775891201</v>
      </c>
      <c r="T708" s="57">
        <f>tblJTL[[#This Row],[timeStamp]]+tblJTL[[#This Row],[elapsed]]</f>
        <v>1790816582424</v>
      </c>
      <c r="U708" s="61">
        <f>(tblJTL[[#This Row],[timeStamp]]-'17_分析サンプル'!$E$18)/1000</f>
        <v>182.05699999999999</v>
      </c>
      <c r="V708" s="57">
        <f>INT(tblJTL[[#This Row],[経過秒]]/60)</f>
        <v>3</v>
      </c>
      <c r="W708" s="57">
        <f>IF(OR(tblJTL[[#This Row],[success]]=FALSE,tblJTL[[#This Row],[success]]="false"),1,0)</f>
        <v>0</v>
      </c>
      <c r="X708" s="57">
        <f>IF(AND(tblJTL[[#This Row],[経過秒]]&gt;='17_分析サンプル'!$E$11,tblJTL[[#This Row],[経過秒]]&lt;'17_分析サンプル'!$E$12),1,0)</f>
        <v>1</v>
      </c>
    </row>
    <row r="709" spans="2:24" ht="14.4" x14ac:dyDescent="0.3">
      <c r="B709" s="57">
        <v>1790816582332</v>
      </c>
      <c r="C709" s="58">
        <v>154</v>
      </c>
      <c r="D709" s="59" t="s">
        <v>1658</v>
      </c>
      <c r="E709" s="59" t="s">
        <v>1577</v>
      </c>
      <c r="F709" s="59" t="s">
        <v>2275</v>
      </c>
      <c r="G709" s="59" t="s">
        <v>3589</v>
      </c>
      <c r="H709" s="59" t="s">
        <v>2281</v>
      </c>
      <c r="I709" s="59" t="b">
        <v>1</v>
      </c>
      <c r="J709" s="59"/>
      <c r="K709" s="58">
        <v>1873</v>
      </c>
      <c r="L709" s="58">
        <v>1342</v>
      </c>
      <c r="M709" s="59">
        <v>10</v>
      </c>
      <c r="N709" s="59">
        <v>10</v>
      </c>
      <c r="O709" s="59" t="s">
        <v>3578</v>
      </c>
      <c r="P709" s="58">
        <v>152</v>
      </c>
      <c r="Q709" s="59">
        <v>0</v>
      </c>
      <c r="R709" s="59">
        <v>0</v>
      </c>
      <c r="S709" s="60">
        <f>tblJTL[[#This Row],[timeStamp]]/86400000+DATE(1970,1,1)+TIME(9,0,0)</f>
        <v>46296.418776990744</v>
      </c>
      <c r="T709" s="57">
        <f>tblJTL[[#This Row],[timeStamp]]+tblJTL[[#This Row],[elapsed]]</f>
        <v>1790816582486</v>
      </c>
      <c r="U709" s="61">
        <f>(tblJTL[[#This Row],[timeStamp]]-'17_分析サンプル'!$E$18)/1000</f>
        <v>182.15199999999999</v>
      </c>
      <c r="V709" s="57">
        <f>INT(tblJTL[[#This Row],[経過秒]]/60)</f>
        <v>3</v>
      </c>
      <c r="W709" s="57">
        <f>IF(OR(tblJTL[[#This Row],[success]]=FALSE,tblJTL[[#This Row],[success]]="false"),1,0)</f>
        <v>0</v>
      </c>
      <c r="X709" s="57">
        <f>IF(AND(tblJTL[[#This Row],[経過秒]]&gt;='17_分析サンプル'!$E$11,tblJTL[[#This Row],[経過秒]]&lt;'17_分析サンプル'!$E$12),1,0)</f>
        <v>1</v>
      </c>
    </row>
    <row r="710" spans="2:24" ht="14.4" x14ac:dyDescent="0.3">
      <c r="B710" s="57">
        <v>1790816582570</v>
      </c>
      <c r="C710" s="58">
        <v>89</v>
      </c>
      <c r="D710" s="59" t="s">
        <v>1658</v>
      </c>
      <c r="E710" s="59" t="s">
        <v>1577</v>
      </c>
      <c r="F710" s="59" t="s">
        <v>2275</v>
      </c>
      <c r="G710" s="59" t="s">
        <v>3583</v>
      </c>
      <c r="H710" s="59" t="s">
        <v>2281</v>
      </c>
      <c r="I710" s="59" t="b">
        <v>1</v>
      </c>
      <c r="J710" s="59"/>
      <c r="K710" s="58">
        <v>1888</v>
      </c>
      <c r="L710" s="58">
        <v>1342</v>
      </c>
      <c r="M710" s="59">
        <v>10</v>
      </c>
      <c r="N710" s="59">
        <v>10</v>
      </c>
      <c r="O710" s="59" t="s">
        <v>3578</v>
      </c>
      <c r="P710" s="58">
        <v>87</v>
      </c>
      <c r="Q710" s="59">
        <v>0</v>
      </c>
      <c r="R710" s="59">
        <v>0</v>
      </c>
      <c r="S710" s="60">
        <f>tblJTL[[#This Row],[timeStamp]]/86400000+DATE(1970,1,1)+TIME(9,0,0)</f>
        <v>46296.418779745371</v>
      </c>
      <c r="T710" s="57">
        <f>tblJTL[[#This Row],[timeStamp]]+tblJTL[[#This Row],[elapsed]]</f>
        <v>1790816582659</v>
      </c>
      <c r="U710" s="61">
        <f>(tblJTL[[#This Row],[timeStamp]]-'17_分析サンプル'!$E$18)/1000</f>
        <v>182.39</v>
      </c>
      <c r="V710" s="57">
        <f>INT(tblJTL[[#This Row],[経過秒]]/60)</f>
        <v>3</v>
      </c>
      <c r="W710" s="57">
        <f>IF(OR(tblJTL[[#This Row],[success]]=FALSE,tblJTL[[#This Row],[success]]="false"),1,0)</f>
        <v>0</v>
      </c>
      <c r="X710" s="57">
        <f>IF(AND(tblJTL[[#This Row],[経過秒]]&gt;='17_分析サンプル'!$E$11,tblJTL[[#This Row],[経過秒]]&lt;'17_分析サンプル'!$E$12),1,0)</f>
        <v>1</v>
      </c>
    </row>
    <row r="711" spans="2:24" ht="14.4" x14ac:dyDescent="0.3">
      <c r="B711" s="57">
        <v>1790816582726</v>
      </c>
      <c r="C711" s="58">
        <v>183</v>
      </c>
      <c r="D711" s="59" t="s">
        <v>1658</v>
      </c>
      <c r="E711" s="59" t="s">
        <v>1577</v>
      </c>
      <c r="F711" s="59" t="s">
        <v>2275</v>
      </c>
      <c r="G711" s="59" t="s">
        <v>2278</v>
      </c>
      <c r="H711" s="59" t="s">
        <v>2281</v>
      </c>
      <c r="I711" s="59" t="b">
        <v>1</v>
      </c>
      <c r="J711" s="59"/>
      <c r="K711" s="58">
        <v>1855</v>
      </c>
      <c r="L711" s="58">
        <v>1342</v>
      </c>
      <c r="M711" s="59">
        <v>10</v>
      </c>
      <c r="N711" s="59">
        <v>10</v>
      </c>
      <c r="O711" s="59" t="s">
        <v>3578</v>
      </c>
      <c r="P711" s="58">
        <v>179</v>
      </c>
      <c r="Q711" s="59">
        <v>0</v>
      </c>
      <c r="R711" s="59">
        <v>0</v>
      </c>
      <c r="S711" s="60">
        <f>tblJTL[[#This Row],[timeStamp]]/86400000+DATE(1970,1,1)+TIME(9,0,0)</f>
        <v>46296.418781550921</v>
      </c>
      <c r="T711" s="57">
        <f>tblJTL[[#This Row],[timeStamp]]+tblJTL[[#This Row],[elapsed]]</f>
        <v>1790816582909</v>
      </c>
      <c r="U711" s="61">
        <f>(tblJTL[[#This Row],[timeStamp]]-'17_分析サンプル'!$E$18)/1000</f>
        <v>182.54599999999999</v>
      </c>
      <c r="V711" s="57">
        <f>INT(tblJTL[[#This Row],[経過秒]]/60)</f>
        <v>3</v>
      </c>
      <c r="W711" s="57">
        <f>IF(OR(tblJTL[[#This Row],[success]]=FALSE,tblJTL[[#This Row],[success]]="false"),1,0)</f>
        <v>0</v>
      </c>
      <c r="X711" s="57">
        <f>IF(AND(tblJTL[[#This Row],[経過秒]]&gt;='17_分析サンプル'!$E$11,tblJTL[[#This Row],[経過秒]]&lt;'17_分析サンプル'!$E$12),1,0)</f>
        <v>1</v>
      </c>
    </row>
    <row r="712" spans="2:24" ht="14.4" x14ac:dyDescent="0.3">
      <c r="B712" s="57">
        <v>1790816583481</v>
      </c>
      <c r="C712" s="58">
        <v>127</v>
      </c>
      <c r="D712" s="59" t="s">
        <v>1658</v>
      </c>
      <c r="E712" s="59" t="s">
        <v>1577</v>
      </c>
      <c r="F712" s="59" t="s">
        <v>2275</v>
      </c>
      <c r="G712" s="59" t="s">
        <v>3584</v>
      </c>
      <c r="H712" s="59" t="s">
        <v>2281</v>
      </c>
      <c r="I712" s="59" t="b">
        <v>1</v>
      </c>
      <c r="J712" s="59"/>
      <c r="K712" s="58">
        <v>1897</v>
      </c>
      <c r="L712" s="58">
        <v>1342</v>
      </c>
      <c r="M712" s="59">
        <v>10</v>
      </c>
      <c r="N712" s="59">
        <v>10</v>
      </c>
      <c r="O712" s="59" t="s">
        <v>3578</v>
      </c>
      <c r="P712" s="58">
        <v>122</v>
      </c>
      <c r="Q712" s="59">
        <v>0</v>
      </c>
      <c r="R712" s="59">
        <v>0</v>
      </c>
      <c r="S712" s="60">
        <f>tblJTL[[#This Row],[timeStamp]]/86400000+DATE(1970,1,1)+TIME(9,0,0)</f>
        <v>46296.418790289354</v>
      </c>
      <c r="T712" s="57">
        <f>tblJTL[[#This Row],[timeStamp]]+tblJTL[[#This Row],[elapsed]]</f>
        <v>1790816583608</v>
      </c>
      <c r="U712" s="61">
        <f>(tblJTL[[#This Row],[timeStamp]]-'17_分析サンプル'!$E$18)/1000</f>
        <v>183.30099999999999</v>
      </c>
      <c r="V712" s="57">
        <f>INT(tblJTL[[#This Row],[経過秒]]/60)</f>
        <v>3</v>
      </c>
      <c r="W712" s="57">
        <f>IF(OR(tblJTL[[#This Row],[success]]=FALSE,tblJTL[[#This Row],[success]]="false"),1,0)</f>
        <v>0</v>
      </c>
      <c r="X712" s="57">
        <f>IF(AND(tblJTL[[#This Row],[経過秒]]&gt;='17_分析サンプル'!$E$11,tblJTL[[#This Row],[経過秒]]&lt;'17_分析サンプル'!$E$12),1,0)</f>
        <v>1</v>
      </c>
    </row>
    <row r="713" spans="2:24" ht="14.4" x14ac:dyDescent="0.3">
      <c r="B713" s="57">
        <v>1790816583588</v>
      </c>
      <c r="C713" s="58">
        <v>152</v>
      </c>
      <c r="D713" s="59" t="s">
        <v>1677</v>
      </c>
      <c r="E713" s="59" t="s">
        <v>3579</v>
      </c>
      <c r="F713" s="59" t="s">
        <v>3580</v>
      </c>
      <c r="G713" s="59" t="s">
        <v>3585</v>
      </c>
      <c r="H713" s="59" t="s">
        <v>2281</v>
      </c>
      <c r="I713" s="59" t="b">
        <v>1</v>
      </c>
      <c r="J713" s="59"/>
      <c r="K713" s="58">
        <v>410</v>
      </c>
      <c r="L713" s="58">
        <v>1478</v>
      </c>
      <c r="M713" s="59">
        <v>10</v>
      </c>
      <c r="N713" s="59">
        <v>10</v>
      </c>
      <c r="O713" s="59" t="s">
        <v>3581</v>
      </c>
      <c r="P713" s="58">
        <v>148</v>
      </c>
      <c r="Q713" s="59">
        <v>0</v>
      </c>
      <c r="R713" s="59">
        <v>0</v>
      </c>
      <c r="S713" s="60">
        <f>tblJTL[[#This Row],[timeStamp]]/86400000+DATE(1970,1,1)+TIME(9,0,0)</f>
        <v>46296.418791527773</v>
      </c>
      <c r="T713" s="57">
        <f>tblJTL[[#This Row],[timeStamp]]+tblJTL[[#This Row],[elapsed]]</f>
        <v>1790816583740</v>
      </c>
      <c r="U713" s="61">
        <f>(tblJTL[[#This Row],[timeStamp]]-'17_分析サンプル'!$E$18)/1000</f>
        <v>183.40799999999999</v>
      </c>
      <c r="V713" s="57">
        <f>INT(tblJTL[[#This Row],[経過秒]]/60)</f>
        <v>3</v>
      </c>
      <c r="W713" s="57">
        <f>IF(OR(tblJTL[[#This Row],[success]]=FALSE,tblJTL[[#This Row],[success]]="false"),1,0)</f>
        <v>0</v>
      </c>
      <c r="X713" s="57">
        <f>IF(AND(tblJTL[[#This Row],[経過秒]]&gt;='17_分析サンプル'!$E$11,tblJTL[[#This Row],[経過秒]]&lt;'17_分析サンプル'!$E$12),1,0)</f>
        <v>1</v>
      </c>
    </row>
    <row r="714" spans="2:24" ht="14.4" x14ac:dyDescent="0.3">
      <c r="B714" s="57">
        <v>1790816583601</v>
      </c>
      <c r="C714" s="58">
        <v>154</v>
      </c>
      <c r="D714" s="59" t="s">
        <v>1658</v>
      </c>
      <c r="E714" s="59" t="s">
        <v>1577</v>
      </c>
      <c r="F714" s="59" t="s">
        <v>2275</v>
      </c>
      <c r="G714" s="59" t="s">
        <v>3588</v>
      </c>
      <c r="H714" s="59" t="s">
        <v>2281</v>
      </c>
      <c r="I714" s="59" t="b">
        <v>1</v>
      </c>
      <c r="J714" s="59"/>
      <c r="K714" s="58">
        <v>1828</v>
      </c>
      <c r="L714" s="58">
        <v>1342</v>
      </c>
      <c r="M714" s="59">
        <v>10</v>
      </c>
      <c r="N714" s="59">
        <v>10</v>
      </c>
      <c r="O714" s="59" t="s">
        <v>3578</v>
      </c>
      <c r="P714" s="58">
        <v>146</v>
      </c>
      <c r="Q714" s="59">
        <v>0</v>
      </c>
      <c r="R714" s="59">
        <v>0</v>
      </c>
      <c r="S714" s="60">
        <f>tblJTL[[#This Row],[timeStamp]]/86400000+DATE(1970,1,1)+TIME(9,0,0)</f>
        <v>46296.418791678239</v>
      </c>
      <c r="T714" s="57">
        <f>tblJTL[[#This Row],[timeStamp]]+tblJTL[[#This Row],[elapsed]]</f>
        <v>1790816583755</v>
      </c>
      <c r="U714" s="61">
        <f>(tblJTL[[#This Row],[timeStamp]]-'17_分析サンプル'!$E$18)/1000</f>
        <v>183.42099999999999</v>
      </c>
      <c r="V714" s="57">
        <f>INT(tblJTL[[#This Row],[経過秒]]/60)</f>
        <v>3</v>
      </c>
      <c r="W714" s="57">
        <f>IF(OR(tblJTL[[#This Row],[success]]=FALSE,tblJTL[[#This Row],[success]]="false"),1,0)</f>
        <v>0</v>
      </c>
      <c r="X714" s="57">
        <f>IF(AND(tblJTL[[#This Row],[経過秒]]&gt;='17_分析サンプル'!$E$11,tblJTL[[#This Row],[経過秒]]&lt;'17_分析サンプル'!$E$12),1,0)</f>
        <v>1</v>
      </c>
    </row>
    <row r="715" spans="2:24" ht="14.4" x14ac:dyDescent="0.3">
      <c r="B715" s="57">
        <v>1790816583541</v>
      </c>
      <c r="C715" s="58">
        <v>260</v>
      </c>
      <c r="D715" s="59" t="s">
        <v>1677</v>
      </c>
      <c r="E715" s="59" t="s">
        <v>3579</v>
      </c>
      <c r="F715" s="59" t="s">
        <v>3580</v>
      </c>
      <c r="G715" s="59" t="s">
        <v>3582</v>
      </c>
      <c r="H715" s="59" t="s">
        <v>2281</v>
      </c>
      <c r="I715" s="59" t="b">
        <v>1</v>
      </c>
      <c r="J715" s="59"/>
      <c r="K715" s="58">
        <v>424</v>
      </c>
      <c r="L715" s="58">
        <v>1478</v>
      </c>
      <c r="M715" s="59">
        <v>10</v>
      </c>
      <c r="N715" s="59">
        <v>10</v>
      </c>
      <c r="O715" s="59" t="s">
        <v>3581</v>
      </c>
      <c r="P715" s="58">
        <v>258</v>
      </c>
      <c r="Q715" s="59">
        <v>0</v>
      </c>
      <c r="R715" s="59">
        <v>0</v>
      </c>
      <c r="S715" s="60">
        <f>tblJTL[[#This Row],[timeStamp]]/86400000+DATE(1970,1,1)+TIME(9,0,0)</f>
        <v>46296.418790983793</v>
      </c>
      <c r="T715" s="57">
        <f>tblJTL[[#This Row],[timeStamp]]+tblJTL[[#This Row],[elapsed]]</f>
        <v>1790816583801</v>
      </c>
      <c r="U715" s="61">
        <f>(tblJTL[[#This Row],[timeStamp]]-'17_分析サンプル'!$E$18)/1000</f>
        <v>183.36099999999999</v>
      </c>
      <c r="V715" s="57">
        <f>INT(tblJTL[[#This Row],[経過秒]]/60)</f>
        <v>3</v>
      </c>
      <c r="W715" s="57">
        <f>IF(OR(tblJTL[[#This Row],[success]]=FALSE,tblJTL[[#This Row],[success]]="false"),1,0)</f>
        <v>0</v>
      </c>
      <c r="X715" s="57">
        <f>IF(AND(tblJTL[[#This Row],[経過秒]]&gt;='17_分析サンプル'!$E$11,tblJTL[[#This Row],[経過秒]]&lt;'17_分析サンプル'!$E$12),1,0)</f>
        <v>1</v>
      </c>
    </row>
    <row r="716" spans="2:24" ht="14.4" x14ac:dyDescent="0.3">
      <c r="B716" s="57">
        <v>1790816584150</v>
      </c>
      <c r="C716" s="58">
        <v>169</v>
      </c>
      <c r="D716" s="59" t="s">
        <v>1677</v>
      </c>
      <c r="E716" s="59" t="s">
        <v>3579</v>
      </c>
      <c r="F716" s="59" t="s">
        <v>3580</v>
      </c>
      <c r="G716" s="59" t="s">
        <v>3587</v>
      </c>
      <c r="H716" s="59" t="s">
        <v>2281</v>
      </c>
      <c r="I716" s="59" t="b">
        <v>1</v>
      </c>
      <c r="J716" s="59"/>
      <c r="K716" s="58">
        <v>430</v>
      </c>
      <c r="L716" s="58">
        <v>1478</v>
      </c>
      <c r="M716" s="59">
        <v>10</v>
      </c>
      <c r="N716" s="59">
        <v>10</v>
      </c>
      <c r="O716" s="59" t="s">
        <v>3581</v>
      </c>
      <c r="P716" s="58">
        <v>161</v>
      </c>
      <c r="Q716" s="59">
        <v>0</v>
      </c>
      <c r="R716" s="59">
        <v>0</v>
      </c>
      <c r="S716" s="60">
        <f>tblJTL[[#This Row],[timeStamp]]/86400000+DATE(1970,1,1)+TIME(9,0,0)</f>
        <v>46296.418798032406</v>
      </c>
      <c r="T716" s="57">
        <f>tblJTL[[#This Row],[timeStamp]]+tblJTL[[#This Row],[elapsed]]</f>
        <v>1790816584319</v>
      </c>
      <c r="U716" s="61">
        <f>(tblJTL[[#This Row],[timeStamp]]-'17_分析サンプル'!$E$18)/1000</f>
        <v>183.97</v>
      </c>
      <c r="V716" s="57">
        <f>INT(tblJTL[[#This Row],[経過秒]]/60)</f>
        <v>3</v>
      </c>
      <c r="W716" s="57">
        <f>IF(OR(tblJTL[[#This Row],[success]]=FALSE,tblJTL[[#This Row],[success]]="false"),1,0)</f>
        <v>0</v>
      </c>
      <c r="X716" s="57">
        <f>IF(AND(tblJTL[[#This Row],[経過秒]]&gt;='17_分析サンプル'!$E$11,tblJTL[[#This Row],[経過秒]]&lt;'17_分析サンプル'!$E$12),1,0)</f>
        <v>1</v>
      </c>
    </row>
    <row r="717" spans="2:24" ht="14.4" x14ac:dyDescent="0.3">
      <c r="B717" s="57">
        <v>1790816584364</v>
      </c>
      <c r="C717" s="58">
        <v>269</v>
      </c>
      <c r="D717" s="59" t="s">
        <v>1677</v>
      </c>
      <c r="E717" s="59" t="s">
        <v>3579</v>
      </c>
      <c r="F717" s="59" t="s">
        <v>3580</v>
      </c>
      <c r="G717" s="59" t="s">
        <v>3586</v>
      </c>
      <c r="H717" s="59" t="s">
        <v>2281</v>
      </c>
      <c r="I717" s="59" t="b">
        <v>1</v>
      </c>
      <c r="J717" s="59"/>
      <c r="K717" s="58">
        <v>425</v>
      </c>
      <c r="L717" s="58">
        <v>1478</v>
      </c>
      <c r="M717" s="59">
        <v>10</v>
      </c>
      <c r="N717" s="59">
        <v>10</v>
      </c>
      <c r="O717" s="59" t="s">
        <v>3581</v>
      </c>
      <c r="P717" s="58">
        <v>265</v>
      </c>
      <c r="Q717" s="59">
        <v>0</v>
      </c>
      <c r="R717" s="59">
        <v>0</v>
      </c>
      <c r="S717" s="60">
        <f>tblJTL[[#This Row],[timeStamp]]/86400000+DATE(1970,1,1)+TIME(9,0,0)</f>
        <v>46296.418800509258</v>
      </c>
      <c r="T717" s="57">
        <f>tblJTL[[#This Row],[timeStamp]]+tblJTL[[#This Row],[elapsed]]</f>
        <v>1790816584633</v>
      </c>
      <c r="U717" s="61">
        <f>(tblJTL[[#This Row],[timeStamp]]-'17_分析サンプル'!$E$18)/1000</f>
        <v>184.184</v>
      </c>
      <c r="V717" s="57">
        <f>INT(tblJTL[[#This Row],[経過秒]]/60)</f>
        <v>3</v>
      </c>
      <c r="W717" s="57">
        <f>IF(OR(tblJTL[[#This Row],[success]]=FALSE,tblJTL[[#This Row],[success]]="false"),1,0)</f>
        <v>0</v>
      </c>
      <c r="X717" s="57">
        <f>IF(AND(tblJTL[[#This Row],[経過秒]]&gt;='17_分析サンプル'!$E$11,tblJTL[[#This Row],[経過秒]]&lt;'17_分析サンプル'!$E$12),1,0)</f>
        <v>1</v>
      </c>
    </row>
    <row r="718" spans="2:24" ht="14.4" x14ac:dyDescent="0.3">
      <c r="B718" s="57">
        <v>1790816584452</v>
      </c>
      <c r="C718" s="58">
        <v>250</v>
      </c>
      <c r="D718" s="59" t="s">
        <v>1677</v>
      </c>
      <c r="E718" s="59" t="s">
        <v>3579</v>
      </c>
      <c r="F718" s="59" t="s">
        <v>3580</v>
      </c>
      <c r="G718" s="59" t="s">
        <v>3589</v>
      </c>
      <c r="H718" s="59" t="s">
        <v>2281</v>
      </c>
      <c r="I718" s="59" t="b">
        <v>1</v>
      </c>
      <c r="J718" s="59"/>
      <c r="K718" s="58">
        <v>428</v>
      </c>
      <c r="L718" s="58">
        <v>1478</v>
      </c>
      <c r="M718" s="59">
        <v>10</v>
      </c>
      <c r="N718" s="59">
        <v>10</v>
      </c>
      <c r="O718" s="59" t="s">
        <v>3581</v>
      </c>
      <c r="P718" s="58">
        <v>242</v>
      </c>
      <c r="Q718" s="59">
        <v>0</v>
      </c>
      <c r="R718" s="59">
        <v>0</v>
      </c>
      <c r="S718" s="60">
        <f>tblJTL[[#This Row],[timeStamp]]/86400000+DATE(1970,1,1)+TIME(9,0,0)</f>
        <v>46296.418801527776</v>
      </c>
      <c r="T718" s="57">
        <f>tblJTL[[#This Row],[timeStamp]]+tblJTL[[#This Row],[elapsed]]</f>
        <v>1790816584702</v>
      </c>
      <c r="U718" s="61">
        <f>(tblJTL[[#This Row],[timeStamp]]-'17_分析サンプル'!$E$18)/1000</f>
        <v>184.27199999999999</v>
      </c>
      <c r="V718" s="57">
        <f>INT(tblJTL[[#This Row],[経過秒]]/60)</f>
        <v>3</v>
      </c>
      <c r="W718" s="57">
        <f>IF(OR(tblJTL[[#This Row],[success]]=FALSE,tblJTL[[#This Row],[success]]="false"),1,0)</f>
        <v>0</v>
      </c>
      <c r="X718" s="57">
        <f>IF(AND(tblJTL[[#This Row],[経過秒]]&gt;='17_分析サンプル'!$E$11,tblJTL[[#This Row],[経過秒]]&lt;'17_分析サンプル'!$E$12),1,0)</f>
        <v>1</v>
      </c>
    </row>
    <row r="719" spans="2:24" ht="14.4" x14ac:dyDescent="0.3">
      <c r="B719" s="57">
        <v>1790816584654</v>
      </c>
      <c r="C719" s="58">
        <v>140</v>
      </c>
      <c r="D719" s="59" t="s">
        <v>1658</v>
      </c>
      <c r="E719" s="59" t="s">
        <v>1577</v>
      </c>
      <c r="F719" s="59" t="s">
        <v>2275</v>
      </c>
      <c r="G719" s="59" t="s">
        <v>3577</v>
      </c>
      <c r="H719" s="59" t="s">
        <v>2281</v>
      </c>
      <c r="I719" s="59" t="b">
        <v>1</v>
      </c>
      <c r="J719" s="59"/>
      <c r="K719" s="58">
        <v>1823</v>
      </c>
      <c r="L719" s="58">
        <v>1342</v>
      </c>
      <c r="M719" s="59">
        <v>10</v>
      </c>
      <c r="N719" s="59">
        <v>10</v>
      </c>
      <c r="O719" s="59" t="s">
        <v>3578</v>
      </c>
      <c r="P719" s="58">
        <v>136</v>
      </c>
      <c r="Q719" s="59">
        <v>0</v>
      </c>
      <c r="R719" s="59">
        <v>53</v>
      </c>
      <c r="S719" s="60">
        <f>tblJTL[[#This Row],[timeStamp]]/86400000+DATE(1970,1,1)+TIME(9,0,0)</f>
        <v>46296.418803865745</v>
      </c>
      <c r="T719" s="57">
        <f>tblJTL[[#This Row],[timeStamp]]+tblJTL[[#This Row],[elapsed]]</f>
        <v>1790816584794</v>
      </c>
      <c r="U719" s="61">
        <f>(tblJTL[[#This Row],[timeStamp]]-'17_分析サンプル'!$E$18)/1000</f>
        <v>184.47399999999999</v>
      </c>
      <c r="V719" s="57">
        <f>INT(tblJTL[[#This Row],[経過秒]]/60)</f>
        <v>3</v>
      </c>
      <c r="W719" s="57">
        <f>IF(OR(tblJTL[[#This Row],[success]]=FALSE,tblJTL[[#This Row],[success]]="false"),1,0)</f>
        <v>0</v>
      </c>
      <c r="X719" s="57">
        <f>IF(AND(tblJTL[[#This Row],[経過秒]]&gt;='17_分析サンプル'!$E$11,tblJTL[[#This Row],[経過秒]]&lt;'17_分析サンプル'!$E$12),1,0)</f>
        <v>1</v>
      </c>
    </row>
    <row r="720" spans="2:24" ht="14.4" x14ac:dyDescent="0.3">
      <c r="B720" s="57">
        <v>1790816584715</v>
      </c>
      <c r="C720" s="58">
        <v>258</v>
      </c>
      <c r="D720" s="59" t="s">
        <v>1677</v>
      </c>
      <c r="E720" s="59" t="s">
        <v>3579</v>
      </c>
      <c r="F720" s="59" t="s">
        <v>3580</v>
      </c>
      <c r="G720" s="59" t="s">
        <v>3583</v>
      </c>
      <c r="H720" s="59" t="s">
        <v>2281</v>
      </c>
      <c r="I720" s="59" t="b">
        <v>1</v>
      </c>
      <c r="J720" s="59"/>
      <c r="K720" s="58">
        <v>416</v>
      </c>
      <c r="L720" s="58">
        <v>1478</v>
      </c>
      <c r="M720" s="59">
        <v>10</v>
      </c>
      <c r="N720" s="59">
        <v>10</v>
      </c>
      <c r="O720" s="59" t="s">
        <v>3581</v>
      </c>
      <c r="P720" s="58">
        <v>250</v>
      </c>
      <c r="Q720" s="59">
        <v>0</v>
      </c>
      <c r="R720" s="59">
        <v>0</v>
      </c>
      <c r="S720" s="60">
        <f>tblJTL[[#This Row],[timeStamp]]/86400000+DATE(1970,1,1)+TIME(9,0,0)</f>
        <v>46296.41880457176</v>
      </c>
      <c r="T720" s="57">
        <f>tblJTL[[#This Row],[timeStamp]]+tblJTL[[#This Row],[elapsed]]</f>
        <v>1790816584973</v>
      </c>
      <c r="U720" s="61">
        <f>(tblJTL[[#This Row],[timeStamp]]-'17_分析サンプル'!$E$18)/1000</f>
        <v>184.535</v>
      </c>
      <c r="V720" s="57">
        <f>INT(tblJTL[[#This Row],[経過秒]]/60)</f>
        <v>3</v>
      </c>
      <c r="W720" s="57">
        <f>IF(OR(tblJTL[[#This Row],[success]]=FALSE,tblJTL[[#This Row],[success]]="false"),1,0)</f>
        <v>0</v>
      </c>
      <c r="X720" s="57">
        <f>IF(AND(tblJTL[[#This Row],[経過秒]]&gt;='17_分析サンプル'!$E$11,tblJTL[[#This Row],[経過秒]]&lt;'17_分析サンプル'!$E$12),1,0)</f>
        <v>1</v>
      </c>
    </row>
    <row r="721" spans="2:24" ht="14.4" x14ac:dyDescent="0.3">
      <c r="B721" s="57">
        <v>1790816584986</v>
      </c>
      <c r="C721" s="58">
        <v>215</v>
      </c>
      <c r="D721" s="59" t="s">
        <v>1677</v>
      </c>
      <c r="E721" s="59" t="s">
        <v>3579</v>
      </c>
      <c r="F721" s="59" t="s">
        <v>3580</v>
      </c>
      <c r="G721" s="59" t="s">
        <v>3584</v>
      </c>
      <c r="H721" s="59" t="s">
        <v>2281</v>
      </c>
      <c r="I721" s="59" t="b">
        <v>1</v>
      </c>
      <c r="J721" s="59"/>
      <c r="K721" s="58">
        <v>432</v>
      </c>
      <c r="L721" s="58">
        <v>1478</v>
      </c>
      <c r="M721" s="59">
        <v>10</v>
      </c>
      <c r="N721" s="59">
        <v>10</v>
      </c>
      <c r="O721" s="59" t="s">
        <v>3581</v>
      </c>
      <c r="P721" s="58">
        <v>210</v>
      </c>
      <c r="Q721" s="59">
        <v>0</v>
      </c>
      <c r="R721" s="59">
        <v>0</v>
      </c>
      <c r="S721" s="60">
        <f>tblJTL[[#This Row],[timeStamp]]/86400000+DATE(1970,1,1)+TIME(9,0,0)</f>
        <v>46296.418807708338</v>
      </c>
      <c r="T721" s="57">
        <f>tblJTL[[#This Row],[timeStamp]]+tblJTL[[#This Row],[elapsed]]</f>
        <v>1790816585201</v>
      </c>
      <c r="U721" s="61">
        <f>(tblJTL[[#This Row],[timeStamp]]-'17_分析サンプル'!$E$18)/1000</f>
        <v>184.80600000000001</v>
      </c>
      <c r="V721" s="57">
        <f>INT(tblJTL[[#This Row],[経過秒]]/60)</f>
        <v>3</v>
      </c>
      <c r="W721" s="57">
        <f>IF(OR(tblJTL[[#This Row],[success]]=FALSE,tblJTL[[#This Row],[success]]="false"),1,0)</f>
        <v>0</v>
      </c>
      <c r="X721" s="57">
        <f>IF(AND(tblJTL[[#This Row],[経過秒]]&gt;='17_分析サンプル'!$E$11,tblJTL[[#This Row],[経過秒]]&lt;'17_分析サンプル'!$E$12),1,0)</f>
        <v>1</v>
      </c>
    </row>
    <row r="722" spans="2:24" ht="14.4" x14ac:dyDescent="0.3">
      <c r="B722" s="57">
        <v>1790816585173</v>
      </c>
      <c r="C722" s="58">
        <v>119</v>
      </c>
      <c r="D722" s="59" t="s">
        <v>1658</v>
      </c>
      <c r="E722" s="59" t="s">
        <v>1577</v>
      </c>
      <c r="F722" s="59" t="s">
        <v>2275</v>
      </c>
      <c r="G722" s="59" t="s">
        <v>3582</v>
      </c>
      <c r="H722" s="59" t="s">
        <v>2281</v>
      </c>
      <c r="I722" s="59" t="b">
        <v>1</v>
      </c>
      <c r="J722" s="59"/>
      <c r="K722" s="58">
        <v>1835</v>
      </c>
      <c r="L722" s="58">
        <v>1342</v>
      </c>
      <c r="M722" s="59">
        <v>10</v>
      </c>
      <c r="N722" s="59">
        <v>10</v>
      </c>
      <c r="O722" s="59" t="s">
        <v>3578</v>
      </c>
      <c r="P722" s="58">
        <v>115</v>
      </c>
      <c r="Q722" s="59">
        <v>0</v>
      </c>
      <c r="R722" s="59">
        <v>0</v>
      </c>
      <c r="S722" s="60">
        <f>tblJTL[[#This Row],[timeStamp]]/86400000+DATE(1970,1,1)+TIME(9,0,0)</f>
        <v>46296.418809872688</v>
      </c>
      <c r="T722" s="57">
        <f>tblJTL[[#This Row],[timeStamp]]+tblJTL[[#This Row],[elapsed]]</f>
        <v>1790816585292</v>
      </c>
      <c r="U722" s="61">
        <f>(tblJTL[[#This Row],[timeStamp]]-'17_分析サンプル'!$E$18)/1000</f>
        <v>184.99299999999999</v>
      </c>
      <c r="V722" s="57">
        <f>INT(tblJTL[[#This Row],[経過秒]]/60)</f>
        <v>3</v>
      </c>
      <c r="W722" s="57">
        <f>IF(OR(tblJTL[[#This Row],[success]]=FALSE,tblJTL[[#This Row],[success]]="false"),1,0)</f>
        <v>0</v>
      </c>
      <c r="X722" s="57">
        <f>IF(AND(tblJTL[[#This Row],[経過秒]]&gt;='17_分析サンプル'!$E$11,tblJTL[[#This Row],[経過秒]]&lt;'17_分析サンプル'!$E$12),1,0)</f>
        <v>1</v>
      </c>
    </row>
    <row r="723" spans="2:24" ht="14.4" x14ac:dyDescent="0.3">
      <c r="B723" s="57">
        <v>1790816585654</v>
      </c>
      <c r="C723" s="58">
        <v>105</v>
      </c>
      <c r="D723" s="59" t="s">
        <v>1658</v>
      </c>
      <c r="E723" s="59" t="s">
        <v>1577</v>
      </c>
      <c r="F723" s="59" t="s">
        <v>2275</v>
      </c>
      <c r="G723" s="59" t="s">
        <v>3587</v>
      </c>
      <c r="H723" s="59" t="s">
        <v>2281</v>
      </c>
      <c r="I723" s="59" t="b">
        <v>1</v>
      </c>
      <c r="J723" s="59"/>
      <c r="K723" s="58">
        <v>1867</v>
      </c>
      <c r="L723" s="58">
        <v>1342</v>
      </c>
      <c r="M723" s="59">
        <v>10</v>
      </c>
      <c r="N723" s="59">
        <v>10</v>
      </c>
      <c r="O723" s="59" t="s">
        <v>3578</v>
      </c>
      <c r="P723" s="58">
        <v>99</v>
      </c>
      <c r="Q723" s="59">
        <v>0</v>
      </c>
      <c r="R723" s="59">
        <v>0</v>
      </c>
      <c r="S723" s="60">
        <f>tblJTL[[#This Row],[timeStamp]]/86400000+DATE(1970,1,1)+TIME(9,0,0)</f>
        <v>46296.418815439814</v>
      </c>
      <c r="T723" s="57">
        <f>tblJTL[[#This Row],[timeStamp]]+tblJTL[[#This Row],[elapsed]]</f>
        <v>1790816585759</v>
      </c>
      <c r="U723" s="61">
        <f>(tblJTL[[#This Row],[timeStamp]]-'17_分析サンプル'!$E$18)/1000</f>
        <v>185.47399999999999</v>
      </c>
      <c r="V723" s="57">
        <f>INT(tblJTL[[#This Row],[経過秒]]/60)</f>
        <v>3</v>
      </c>
      <c r="W723" s="57">
        <f>IF(OR(tblJTL[[#This Row],[success]]=FALSE,tblJTL[[#This Row],[success]]="false"),1,0)</f>
        <v>0</v>
      </c>
      <c r="X723" s="57">
        <f>IF(AND(tblJTL[[#This Row],[経過秒]]&gt;='17_分析サンプル'!$E$11,tblJTL[[#This Row],[経過秒]]&lt;'17_分析サンプル'!$E$12),1,0)</f>
        <v>1</v>
      </c>
    </row>
    <row r="724" spans="2:24" ht="14.4" x14ac:dyDescent="0.3">
      <c r="B724" s="57">
        <v>1790816585867</v>
      </c>
      <c r="C724" s="58">
        <v>312</v>
      </c>
      <c r="D724" s="59" t="s">
        <v>1677</v>
      </c>
      <c r="E724" s="59" t="s">
        <v>3579</v>
      </c>
      <c r="F724" s="59" t="s">
        <v>3580</v>
      </c>
      <c r="G724" s="59" t="s">
        <v>2278</v>
      </c>
      <c r="H724" s="59" t="s">
        <v>2281</v>
      </c>
      <c r="I724" s="59" t="b">
        <v>1</v>
      </c>
      <c r="J724" s="59"/>
      <c r="K724" s="58">
        <v>423</v>
      </c>
      <c r="L724" s="58">
        <v>1478</v>
      </c>
      <c r="M724" s="59">
        <v>10</v>
      </c>
      <c r="N724" s="59">
        <v>10</v>
      </c>
      <c r="O724" s="59" t="s">
        <v>3581</v>
      </c>
      <c r="P724" s="58">
        <v>310</v>
      </c>
      <c r="Q724" s="59">
        <v>0</v>
      </c>
      <c r="R724" s="59">
        <v>0</v>
      </c>
      <c r="S724" s="60">
        <f>tblJTL[[#This Row],[timeStamp]]/86400000+DATE(1970,1,1)+TIME(9,0,0)</f>
        <v>46296.418817905098</v>
      </c>
      <c r="T724" s="57">
        <f>tblJTL[[#This Row],[timeStamp]]+tblJTL[[#This Row],[elapsed]]</f>
        <v>1790816586179</v>
      </c>
      <c r="U724" s="61">
        <f>(tblJTL[[#This Row],[timeStamp]]-'17_分析サンプル'!$E$18)/1000</f>
        <v>185.68700000000001</v>
      </c>
      <c r="V724" s="57">
        <f>INT(tblJTL[[#This Row],[経過秒]]/60)</f>
        <v>3</v>
      </c>
      <c r="W724" s="57">
        <f>IF(OR(tblJTL[[#This Row],[success]]=FALSE,tblJTL[[#This Row],[success]]="false"),1,0)</f>
        <v>0</v>
      </c>
      <c r="X724" s="57">
        <f>IF(AND(tblJTL[[#This Row],[経過秒]]&gt;='17_分析サンプル'!$E$11,tblJTL[[#This Row],[経過秒]]&lt;'17_分析サンプル'!$E$12),1,0)</f>
        <v>1</v>
      </c>
    </row>
    <row r="725" spans="2:24" ht="14.4" x14ac:dyDescent="0.3">
      <c r="B725" s="57">
        <v>1790816586112</v>
      </c>
      <c r="C725" s="58">
        <v>196</v>
      </c>
      <c r="D725" s="59" t="s">
        <v>1658</v>
      </c>
      <c r="E725" s="59" t="s">
        <v>1577</v>
      </c>
      <c r="F725" s="59" t="s">
        <v>2275</v>
      </c>
      <c r="G725" s="59" t="s">
        <v>3585</v>
      </c>
      <c r="H725" s="59" t="s">
        <v>2281</v>
      </c>
      <c r="I725" s="59" t="b">
        <v>1</v>
      </c>
      <c r="J725" s="59"/>
      <c r="K725" s="58">
        <v>1856</v>
      </c>
      <c r="L725" s="58">
        <v>1342</v>
      </c>
      <c r="M725" s="59">
        <v>10</v>
      </c>
      <c r="N725" s="59">
        <v>10</v>
      </c>
      <c r="O725" s="59" t="s">
        <v>3578</v>
      </c>
      <c r="P725" s="58">
        <v>194</v>
      </c>
      <c r="Q725" s="59">
        <v>0</v>
      </c>
      <c r="R725" s="59">
        <v>0</v>
      </c>
      <c r="S725" s="60">
        <f>tblJTL[[#This Row],[timeStamp]]/86400000+DATE(1970,1,1)+TIME(9,0,0)</f>
        <v>46296.418820740742</v>
      </c>
      <c r="T725" s="57">
        <f>tblJTL[[#This Row],[timeStamp]]+tblJTL[[#This Row],[elapsed]]</f>
        <v>1790816586308</v>
      </c>
      <c r="U725" s="61">
        <f>(tblJTL[[#This Row],[timeStamp]]-'17_分析サンプル'!$E$18)/1000</f>
        <v>185.93199999999999</v>
      </c>
      <c r="V725" s="57">
        <f>INT(tblJTL[[#This Row],[経過秒]]/60)</f>
        <v>3</v>
      </c>
      <c r="W725" s="57">
        <f>IF(OR(tblJTL[[#This Row],[success]]=FALSE,tblJTL[[#This Row],[success]]="false"),1,0)</f>
        <v>0</v>
      </c>
      <c r="X725" s="57">
        <f>IF(AND(tblJTL[[#This Row],[経過秒]]&gt;='17_分析サンプル'!$E$11,tblJTL[[#This Row],[経過秒]]&lt;'17_分析サンプル'!$E$12),1,0)</f>
        <v>1</v>
      </c>
    </row>
    <row r="726" spans="2:24" ht="14.4" x14ac:dyDescent="0.3">
      <c r="B726" s="57">
        <v>1790816586585</v>
      </c>
      <c r="C726" s="58">
        <v>121</v>
      </c>
      <c r="D726" s="59" t="s">
        <v>1658</v>
      </c>
      <c r="E726" s="59" t="s">
        <v>1577</v>
      </c>
      <c r="F726" s="59" t="s">
        <v>2275</v>
      </c>
      <c r="G726" s="59" t="s">
        <v>3584</v>
      </c>
      <c r="H726" s="59" t="s">
        <v>2281</v>
      </c>
      <c r="I726" s="59" t="b">
        <v>1</v>
      </c>
      <c r="J726" s="59"/>
      <c r="K726" s="58">
        <v>1840</v>
      </c>
      <c r="L726" s="58">
        <v>1342</v>
      </c>
      <c r="M726" s="59">
        <v>10</v>
      </c>
      <c r="N726" s="59">
        <v>10</v>
      </c>
      <c r="O726" s="59" t="s">
        <v>3578</v>
      </c>
      <c r="P726" s="58">
        <v>117</v>
      </c>
      <c r="Q726" s="59">
        <v>0</v>
      </c>
      <c r="R726" s="59">
        <v>0</v>
      </c>
      <c r="S726" s="60">
        <f>tblJTL[[#This Row],[timeStamp]]/86400000+DATE(1970,1,1)+TIME(9,0,0)</f>
        <v>46296.418826215275</v>
      </c>
      <c r="T726" s="57">
        <f>tblJTL[[#This Row],[timeStamp]]+tblJTL[[#This Row],[elapsed]]</f>
        <v>1790816586706</v>
      </c>
      <c r="U726" s="61">
        <f>(tblJTL[[#This Row],[timeStamp]]-'17_分析サンプル'!$E$18)/1000</f>
        <v>186.405</v>
      </c>
      <c r="V726" s="57">
        <f>INT(tblJTL[[#This Row],[経過秒]]/60)</f>
        <v>3</v>
      </c>
      <c r="W726" s="57">
        <f>IF(OR(tblJTL[[#This Row],[success]]=FALSE,tblJTL[[#This Row],[success]]="false"),1,0)</f>
        <v>0</v>
      </c>
      <c r="X726" s="57">
        <f>IF(AND(tblJTL[[#This Row],[経過秒]]&gt;='17_分析サンプル'!$E$11,tblJTL[[#This Row],[経過秒]]&lt;'17_分析サンプル'!$E$12),1,0)</f>
        <v>1</v>
      </c>
    </row>
    <row r="727" spans="2:24" ht="14.4" x14ac:dyDescent="0.3">
      <c r="B727" s="57">
        <v>1790816586615</v>
      </c>
      <c r="C727" s="58">
        <v>159</v>
      </c>
      <c r="D727" s="59" t="s">
        <v>1658</v>
      </c>
      <c r="E727" s="59" t="s">
        <v>1577</v>
      </c>
      <c r="F727" s="59" t="s">
        <v>2275</v>
      </c>
      <c r="G727" s="59" t="s">
        <v>3589</v>
      </c>
      <c r="H727" s="59" t="s">
        <v>2281</v>
      </c>
      <c r="I727" s="59" t="b">
        <v>1</v>
      </c>
      <c r="J727" s="59"/>
      <c r="K727" s="58">
        <v>1891</v>
      </c>
      <c r="L727" s="58">
        <v>1342</v>
      </c>
      <c r="M727" s="59">
        <v>10</v>
      </c>
      <c r="N727" s="59">
        <v>10</v>
      </c>
      <c r="O727" s="59" t="s">
        <v>3578</v>
      </c>
      <c r="P727" s="58">
        <v>152</v>
      </c>
      <c r="Q727" s="59">
        <v>0</v>
      </c>
      <c r="R727" s="59">
        <v>0</v>
      </c>
      <c r="S727" s="60">
        <f>tblJTL[[#This Row],[timeStamp]]/86400000+DATE(1970,1,1)+TIME(9,0,0)</f>
        <v>46296.418826562498</v>
      </c>
      <c r="T727" s="57">
        <f>tblJTL[[#This Row],[timeStamp]]+tblJTL[[#This Row],[elapsed]]</f>
        <v>1790816586774</v>
      </c>
      <c r="U727" s="61">
        <f>(tblJTL[[#This Row],[timeStamp]]-'17_分析サンプル'!$E$18)/1000</f>
        <v>186.435</v>
      </c>
      <c r="V727" s="57">
        <f>INT(tblJTL[[#This Row],[経過秒]]/60)</f>
        <v>3</v>
      </c>
      <c r="W727" s="57">
        <f>IF(OR(tblJTL[[#This Row],[success]]=FALSE,tblJTL[[#This Row],[success]]="false"),1,0)</f>
        <v>0</v>
      </c>
      <c r="X727" s="57">
        <f>IF(AND(tblJTL[[#This Row],[経過秒]]&gt;='17_分析サンプル'!$E$11,tblJTL[[#This Row],[経過秒]]&lt;'17_分析サンプル'!$E$12),1,0)</f>
        <v>1</v>
      </c>
    </row>
    <row r="728" spans="2:24" ht="14.4" x14ac:dyDescent="0.3">
      <c r="B728" s="57">
        <v>1790816586617</v>
      </c>
      <c r="C728" s="58">
        <v>168</v>
      </c>
      <c r="D728" s="59" t="s">
        <v>1677</v>
      </c>
      <c r="E728" s="59" t="s">
        <v>3579</v>
      </c>
      <c r="F728" s="59" t="s">
        <v>3580</v>
      </c>
      <c r="G728" s="59" t="s">
        <v>3588</v>
      </c>
      <c r="H728" s="59" t="s">
        <v>2281</v>
      </c>
      <c r="I728" s="59" t="b">
        <v>1</v>
      </c>
      <c r="J728" s="59"/>
      <c r="K728" s="58">
        <v>425</v>
      </c>
      <c r="L728" s="58">
        <v>1478</v>
      </c>
      <c r="M728" s="59">
        <v>10</v>
      </c>
      <c r="N728" s="59">
        <v>10</v>
      </c>
      <c r="O728" s="59" t="s">
        <v>3581</v>
      </c>
      <c r="P728" s="58">
        <v>164</v>
      </c>
      <c r="Q728" s="59">
        <v>0</v>
      </c>
      <c r="R728" s="59">
        <v>0</v>
      </c>
      <c r="S728" s="60">
        <f>tblJTL[[#This Row],[timeStamp]]/86400000+DATE(1970,1,1)+TIME(9,0,0)</f>
        <v>46296.41882658565</v>
      </c>
      <c r="T728" s="57">
        <f>tblJTL[[#This Row],[timeStamp]]+tblJTL[[#This Row],[elapsed]]</f>
        <v>1790816586785</v>
      </c>
      <c r="U728" s="61">
        <f>(tblJTL[[#This Row],[timeStamp]]-'17_分析サンプル'!$E$18)/1000</f>
        <v>186.43700000000001</v>
      </c>
      <c r="V728" s="57">
        <f>INT(tblJTL[[#This Row],[経過秒]]/60)</f>
        <v>3</v>
      </c>
      <c r="W728" s="57">
        <f>IF(OR(tblJTL[[#This Row],[success]]=FALSE,tblJTL[[#This Row],[success]]="false"),1,0)</f>
        <v>0</v>
      </c>
      <c r="X728" s="57">
        <f>IF(AND(tblJTL[[#This Row],[経過秒]]&gt;='17_分析サンプル'!$E$11,tblJTL[[#This Row],[経過秒]]&lt;'17_分析サンプル'!$E$12),1,0)</f>
        <v>1</v>
      </c>
    </row>
    <row r="729" spans="2:24" ht="14.4" x14ac:dyDescent="0.3">
      <c r="B729" s="57">
        <v>1790816586887</v>
      </c>
      <c r="C729" s="58">
        <v>96</v>
      </c>
      <c r="D729" s="59" t="s">
        <v>1658</v>
      </c>
      <c r="E729" s="59" t="s">
        <v>1577</v>
      </c>
      <c r="F729" s="59" t="s">
        <v>2275</v>
      </c>
      <c r="G729" s="59" t="s">
        <v>3586</v>
      </c>
      <c r="H729" s="59" t="s">
        <v>2281</v>
      </c>
      <c r="I729" s="59" t="b">
        <v>1</v>
      </c>
      <c r="J729" s="59"/>
      <c r="K729" s="58">
        <v>1848</v>
      </c>
      <c r="L729" s="58">
        <v>1342</v>
      </c>
      <c r="M729" s="59">
        <v>10</v>
      </c>
      <c r="N729" s="59">
        <v>10</v>
      </c>
      <c r="O729" s="59" t="s">
        <v>3578</v>
      </c>
      <c r="P729" s="58">
        <v>94</v>
      </c>
      <c r="Q729" s="59">
        <v>0</v>
      </c>
      <c r="R729" s="59">
        <v>0</v>
      </c>
      <c r="S729" s="60">
        <f>tblJTL[[#This Row],[timeStamp]]/86400000+DATE(1970,1,1)+TIME(9,0,0)</f>
        <v>46296.418829710645</v>
      </c>
      <c r="T729" s="57">
        <f>tblJTL[[#This Row],[timeStamp]]+tblJTL[[#This Row],[elapsed]]</f>
        <v>1790816586983</v>
      </c>
      <c r="U729" s="61">
        <f>(tblJTL[[#This Row],[timeStamp]]-'17_分析サンプル'!$E$18)/1000</f>
        <v>186.70699999999999</v>
      </c>
      <c r="V729" s="57">
        <f>INT(tblJTL[[#This Row],[経過秒]]/60)</f>
        <v>3</v>
      </c>
      <c r="W729" s="57">
        <f>IF(OR(tblJTL[[#This Row],[success]]=FALSE,tblJTL[[#This Row],[success]]="false"),1,0)</f>
        <v>0</v>
      </c>
      <c r="X729" s="57">
        <f>IF(AND(tblJTL[[#This Row],[経過秒]]&gt;='17_分析サンプル'!$E$11,tblJTL[[#This Row],[経過秒]]&lt;'17_分析サンプル'!$E$12),1,0)</f>
        <v>1</v>
      </c>
    </row>
    <row r="730" spans="2:24" ht="14.4" x14ac:dyDescent="0.3">
      <c r="B730" s="57">
        <v>1790816586684</v>
      </c>
      <c r="C730" s="58">
        <v>303</v>
      </c>
      <c r="D730" s="59" t="s">
        <v>1677</v>
      </c>
      <c r="E730" s="59" t="s">
        <v>3579</v>
      </c>
      <c r="F730" s="59" t="s">
        <v>3580</v>
      </c>
      <c r="G730" s="59" t="s">
        <v>3582</v>
      </c>
      <c r="H730" s="59" t="s">
        <v>2281</v>
      </c>
      <c r="I730" s="59" t="b">
        <v>1</v>
      </c>
      <c r="J730" s="59"/>
      <c r="K730" s="58">
        <v>429</v>
      </c>
      <c r="L730" s="58">
        <v>1478</v>
      </c>
      <c r="M730" s="59">
        <v>10</v>
      </c>
      <c r="N730" s="59">
        <v>10</v>
      </c>
      <c r="O730" s="59" t="s">
        <v>3581</v>
      </c>
      <c r="P730" s="58">
        <v>301</v>
      </c>
      <c r="Q730" s="59">
        <v>0</v>
      </c>
      <c r="R730" s="59">
        <v>0</v>
      </c>
      <c r="S730" s="60">
        <f>tblJTL[[#This Row],[timeStamp]]/86400000+DATE(1970,1,1)+TIME(9,0,0)</f>
        <v>46296.418827361107</v>
      </c>
      <c r="T730" s="57">
        <f>tblJTL[[#This Row],[timeStamp]]+tblJTL[[#This Row],[elapsed]]</f>
        <v>1790816586987</v>
      </c>
      <c r="U730" s="61">
        <f>(tblJTL[[#This Row],[timeStamp]]-'17_分析サンプル'!$E$18)/1000</f>
        <v>186.50399999999999</v>
      </c>
      <c r="V730" s="57">
        <f>INT(tblJTL[[#This Row],[経過秒]]/60)</f>
        <v>3</v>
      </c>
      <c r="W730" s="57">
        <f>IF(OR(tblJTL[[#This Row],[success]]=FALSE,tblJTL[[#This Row],[success]]="false"),1,0)</f>
        <v>0</v>
      </c>
      <c r="X730" s="57">
        <f>IF(AND(tblJTL[[#This Row],[経過秒]]&gt;='17_分析サンプル'!$E$11,tblJTL[[#This Row],[経過秒]]&lt;'17_分析サンプル'!$E$12),1,0)</f>
        <v>1</v>
      </c>
    </row>
    <row r="731" spans="2:24" ht="14.4" x14ac:dyDescent="0.3">
      <c r="B731" s="57">
        <v>1790816587101</v>
      </c>
      <c r="C731" s="58">
        <v>145</v>
      </c>
      <c r="D731" s="59" t="s">
        <v>1658</v>
      </c>
      <c r="E731" s="59" t="s">
        <v>1577</v>
      </c>
      <c r="F731" s="59" t="s">
        <v>2275</v>
      </c>
      <c r="G731" s="59" t="s">
        <v>3583</v>
      </c>
      <c r="H731" s="59" t="s">
        <v>2281</v>
      </c>
      <c r="I731" s="59" t="b">
        <v>1</v>
      </c>
      <c r="J731" s="59"/>
      <c r="K731" s="58">
        <v>1864</v>
      </c>
      <c r="L731" s="58">
        <v>1342</v>
      </c>
      <c r="M731" s="59">
        <v>10</v>
      </c>
      <c r="N731" s="59">
        <v>10</v>
      </c>
      <c r="O731" s="59" t="s">
        <v>3578</v>
      </c>
      <c r="P731" s="58">
        <v>142</v>
      </c>
      <c r="Q731" s="59">
        <v>0</v>
      </c>
      <c r="R731" s="59">
        <v>0</v>
      </c>
      <c r="S731" s="60">
        <f>tblJTL[[#This Row],[timeStamp]]/86400000+DATE(1970,1,1)+TIME(9,0,0)</f>
        <v>46296.418832187497</v>
      </c>
      <c r="T731" s="57">
        <f>tblJTL[[#This Row],[timeStamp]]+tblJTL[[#This Row],[elapsed]]</f>
        <v>1790816587246</v>
      </c>
      <c r="U731" s="61">
        <f>(tblJTL[[#This Row],[timeStamp]]-'17_分析サンプル'!$E$18)/1000</f>
        <v>186.92099999999999</v>
      </c>
      <c r="V731" s="57">
        <f>INT(tblJTL[[#This Row],[経過秒]]/60)</f>
        <v>3</v>
      </c>
      <c r="W731" s="57">
        <f>IF(OR(tblJTL[[#This Row],[success]]=FALSE,tblJTL[[#This Row],[success]]="false"),1,0)</f>
        <v>0</v>
      </c>
      <c r="X731" s="57">
        <f>IF(AND(tblJTL[[#This Row],[経過秒]]&gt;='17_分析サンプル'!$E$11,tblJTL[[#This Row],[経過秒]]&lt;'17_分析サンプル'!$E$12),1,0)</f>
        <v>1</v>
      </c>
    </row>
    <row r="732" spans="2:24" ht="14.4" x14ac:dyDescent="0.3">
      <c r="B732" s="57">
        <v>1790816587068</v>
      </c>
      <c r="C732" s="58">
        <v>266</v>
      </c>
      <c r="D732" s="59" t="s">
        <v>1677</v>
      </c>
      <c r="E732" s="59" t="s">
        <v>3579</v>
      </c>
      <c r="F732" s="59" t="s">
        <v>3580</v>
      </c>
      <c r="G732" s="59" t="s">
        <v>3577</v>
      </c>
      <c r="H732" s="59" t="s">
        <v>2281</v>
      </c>
      <c r="I732" s="59" t="b">
        <v>1</v>
      </c>
      <c r="J732" s="59"/>
      <c r="K732" s="58">
        <v>424</v>
      </c>
      <c r="L732" s="58">
        <v>1478</v>
      </c>
      <c r="M732" s="59">
        <v>10</v>
      </c>
      <c r="N732" s="59">
        <v>10</v>
      </c>
      <c r="O732" s="59" t="s">
        <v>3581</v>
      </c>
      <c r="P732" s="58">
        <v>263</v>
      </c>
      <c r="Q732" s="59">
        <v>0</v>
      </c>
      <c r="R732" s="59">
        <v>0</v>
      </c>
      <c r="S732" s="60">
        <f>tblJTL[[#This Row],[timeStamp]]/86400000+DATE(1970,1,1)+TIME(9,0,0)</f>
        <v>46296.418831805553</v>
      </c>
      <c r="T732" s="57">
        <f>tblJTL[[#This Row],[timeStamp]]+tblJTL[[#This Row],[elapsed]]</f>
        <v>1790816587334</v>
      </c>
      <c r="U732" s="61">
        <f>(tblJTL[[#This Row],[timeStamp]]-'17_分析サンプル'!$E$18)/1000</f>
        <v>186.88800000000001</v>
      </c>
      <c r="V732" s="57">
        <f>INT(tblJTL[[#This Row],[経過秒]]/60)</f>
        <v>3</v>
      </c>
      <c r="W732" s="57">
        <f>IF(OR(tblJTL[[#This Row],[success]]=FALSE,tblJTL[[#This Row],[success]]="false"),1,0)</f>
        <v>0</v>
      </c>
      <c r="X732" s="57">
        <f>IF(AND(tblJTL[[#This Row],[経過秒]]&gt;='17_分析サンプル'!$E$11,tblJTL[[#This Row],[経過秒]]&lt;'17_分析サンプル'!$E$12),1,0)</f>
        <v>1</v>
      </c>
    </row>
    <row r="733" spans="2:24" ht="14.4" x14ac:dyDescent="0.3">
      <c r="B733" s="57">
        <v>1790816587914</v>
      </c>
      <c r="C733" s="58">
        <v>184</v>
      </c>
      <c r="D733" s="59" t="s">
        <v>1677</v>
      </c>
      <c r="E733" s="59" t="s">
        <v>3579</v>
      </c>
      <c r="F733" s="59" t="s">
        <v>3580</v>
      </c>
      <c r="G733" s="59" t="s">
        <v>3589</v>
      </c>
      <c r="H733" s="59" t="s">
        <v>2281</v>
      </c>
      <c r="I733" s="59" t="b">
        <v>1</v>
      </c>
      <c r="J733" s="59"/>
      <c r="K733" s="58">
        <v>428</v>
      </c>
      <c r="L733" s="58">
        <v>1478</v>
      </c>
      <c r="M733" s="59">
        <v>10</v>
      </c>
      <c r="N733" s="59">
        <v>10</v>
      </c>
      <c r="O733" s="59" t="s">
        <v>3581</v>
      </c>
      <c r="P733" s="58">
        <v>176</v>
      </c>
      <c r="Q733" s="59">
        <v>0</v>
      </c>
      <c r="R733" s="59">
        <v>0</v>
      </c>
      <c r="S733" s="60">
        <f>tblJTL[[#This Row],[timeStamp]]/86400000+DATE(1970,1,1)+TIME(9,0,0)</f>
        <v>46296.418841597224</v>
      </c>
      <c r="T733" s="57">
        <f>tblJTL[[#This Row],[timeStamp]]+tblJTL[[#This Row],[elapsed]]</f>
        <v>1790816588098</v>
      </c>
      <c r="U733" s="61">
        <f>(tblJTL[[#This Row],[timeStamp]]-'17_分析サンプル'!$E$18)/1000</f>
        <v>187.73400000000001</v>
      </c>
      <c r="V733" s="57">
        <f>INT(tblJTL[[#This Row],[経過秒]]/60)</f>
        <v>3</v>
      </c>
      <c r="W733" s="57">
        <f>IF(OR(tblJTL[[#This Row],[success]]=FALSE,tblJTL[[#This Row],[success]]="false"),1,0)</f>
        <v>0</v>
      </c>
      <c r="X733" s="57">
        <f>IF(AND(tblJTL[[#This Row],[経過秒]]&gt;='17_分析サンプル'!$E$11,tblJTL[[#This Row],[経過秒]]&lt;'17_分析サンプル'!$E$12),1,0)</f>
        <v>1</v>
      </c>
    </row>
    <row r="734" spans="2:24" ht="14.4" x14ac:dyDescent="0.3">
      <c r="B734" s="57">
        <v>1790816588147</v>
      </c>
      <c r="C734" s="58">
        <v>293</v>
      </c>
      <c r="D734" s="59" t="s">
        <v>1677</v>
      </c>
      <c r="E734" s="59" t="s">
        <v>3579</v>
      </c>
      <c r="F734" s="59" t="s">
        <v>3580</v>
      </c>
      <c r="G734" s="59" t="s">
        <v>3586</v>
      </c>
      <c r="H734" s="59" t="s">
        <v>2281</v>
      </c>
      <c r="I734" s="59" t="b">
        <v>1</v>
      </c>
      <c r="J734" s="59"/>
      <c r="K734" s="58">
        <v>412</v>
      </c>
      <c r="L734" s="58">
        <v>1478</v>
      </c>
      <c r="M734" s="59">
        <v>10</v>
      </c>
      <c r="N734" s="59">
        <v>10</v>
      </c>
      <c r="O734" s="59" t="s">
        <v>3581</v>
      </c>
      <c r="P734" s="58">
        <v>288</v>
      </c>
      <c r="Q734" s="59">
        <v>0</v>
      </c>
      <c r="R734" s="59">
        <v>0</v>
      </c>
      <c r="S734" s="60">
        <f>tblJTL[[#This Row],[timeStamp]]/86400000+DATE(1970,1,1)+TIME(9,0,0)</f>
        <v>46296.418844293978</v>
      </c>
      <c r="T734" s="57">
        <f>tblJTL[[#This Row],[timeStamp]]+tblJTL[[#This Row],[elapsed]]</f>
        <v>1790816588440</v>
      </c>
      <c r="U734" s="61">
        <f>(tblJTL[[#This Row],[timeStamp]]-'17_分析サンプル'!$E$18)/1000</f>
        <v>187.96700000000001</v>
      </c>
      <c r="V734" s="57">
        <f>INT(tblJTL[[#This Row],[経過秒]]/60)</f>
        <v>3</v>
      </c>
      <c r="W734" s="57">
        <f>IF(OR(tblJTL[[#This Row],[success]]=FALSE,tblJTL[[#This Row],[success]]="false"),1,0)</f>
        <v>0</v>
      </c>
      <c r="X734" s="57">
        <f>IF(AND(tblJTL[[#This Row],[経過秒]]&gt;='17_分析サンプル'!$E$11,tblJTL[[#This Row],[経過秒]]&lt;'17_分析サンプル'!$E$12),1,0)</f>
        <v>1</v>
      </c>
    </row>
    <row r="735" spans="2:24" ht="14.4" x14ac:dyDescent="0.3">
      <c r="B735" s="57">
        <v>1790816588394</v>
      </c>
      <c r="C735" s="58">
        <v>142</v>
      </c>
      <c r="D735" s="59" t="s">
        <v>1677</v>
      </c>
      <c r="E735" s="59" t="s">
        <v>3579</v>
      </c>
      <c r="F735" s="59" t="s">
        <v>3580</v>
      </c>
      <c r="G735" s="59" t="s">
        <v>3587</v>
      </c>
      <c r="H735" s="59" t="s">
        <v>2281</v>
      </c>
      <c r="I735" s="59" t="b">
        <v>1</v>
      </c>
      <c r="J735" s="59"/>
      <c r="K735" s="58">
        <v>429</v>
      </c>
      <c r="L735" s="58">
        <v>1478</v>
      </c>
      <c r="M735" s="59">
        <v>10</v>
      </c>
      <c r="N735" s="59">
        <v>10</v>
      </c>
      <c r="O735" s="59" t="s">
        <v>3581</v>
      </c>
      <c r="P735" s="58">
        <v>136</v>
      </c>
      <c r="Q735" s="59">
        <v>0</v>
      </c>
      <c r="R735" s="59">
        <v>0</v>
      </c>
      <c r="S735" s="60">
        <f>tblJTL[[#This Row],[timeStamp]]/86400000+DATE(1970,1,1)+TIME(9,0,0)</f>
        <v>46296.418847152774</v>
      </c>
      <c r="T735" s="57">
        <f>tblJTL[[#This Row],[timeStamp]]+tblJTL[[#This Row],[elapsed]]</f>
        <v>1790816588536</v>
      </c>
      <c r="U735" s="61">
        <f>(tblJTL[[#This Row],[timeStamp]]-'17_分析サンプル'!$E$18)/1000</f>
        <v>188.214</v>
      </c>
      <c r="V735" s="57">
        <f>INT(tblJTL[[#This Row],[経過秒]]/60)</f>
        <v>3</v>
      </c>
      <c r="W735" s="57">
        <f>IF(OR(tblJTL[[#This Row],[success]]=FALSE,tblJTL[[#This Row],[success]]="false"),1,0)</f>
        <v>0</v>
      </c>
      <c r="X735" s="57">
        <f>IF(AND(tblJTL[[#This Row],[経過秒]]&gt;='17_分析サンプル'!$E$11,tblJTL[[#This Row],[経過秒]]&lt;'17_分析サンプル'!$E$12),1,0)</f>
        <v>1</v>
      </c>
    </row>
    <row r="736" spans="2:24" ht="14.4" x14ac:dyDescent="0.3">
      <c r="B736" s="57">
        <v>1790816588564</v>
      </c>
      <c r="C736" s="58">
        <v>79</v>
      </c>
      <c r="D736" s="59" t="s">
        <v>1658</v>
      </c>
      <c r="E736" s="59" t="s">
        <v>1577</v>
      </c>
      <c r="F736" s="59" t="s">
        <v>2275</v>
      </c>
      <c r="G736" s="59" t="s">
        <v>3588</v>
      </c>
      <c r="H736" s="59" t="s">
        <v>2281</v>
      </c>
      <c r="I736" s="59" t="b">
        <v>1</v>
      </c>
      <c r="J736" s="59"/>
      <c r="K736" s="58">
        <v>1859</v>
      </c>
      <c r="L736" s="58">
        <v>1342</v>
      </c>
      <c r="M736" s="59">
        <v>10</v>
      </c>
      <c r="N736" s="59">
        <v>10</v>
      </c>
      <c r="O736" s="59" t="s">
        <v>3578</v>
      </c>
      <c r="P736" s="58">
        <v>72</v>
      </c>
      <c r="Q736" s="59">
        <v>0</v>
      </c>
      <c r="R736" s="59">
        <v>0</v>
      </c>
      <c r="S736" s="60">
        <f>tblJTL[[#This Row],[timeStamp]]/86400000+DATE(1970,1,1)+TIME(9,0,0)</f>
        <v>46296.418849120368</v>
      </c>
      <c r="T736" s="57">
        <f>tblJTL[[#This Row],[timeStamp]]+tblJTL[[#This Row],[elapsed]]</f>
        <v>1790816588643</v>
      </c>
      <c r="U736" s="61">
        <f>(tblJTL[[#This Row],[timeStamp]]-'17_分析サンプル'!$E$18)/1000</f>
        <v>188.38399999999999</v>
      </c>
      <c r="V736" s="57">
        <f>INT(tblJTL[[#This Row],[経過秒]]/60)</f>
        <v>3</v>
      </c>
      <c r="W736" s="57">
        <f>IF(OR(tblJTL[[#This Row],[success]]=FALSE,tblJTL[[#This Row],[success]]="false"),1,0)</f>
        <v>0</v>
      </c>
      <c r="X736" s="57">
        <f>IF(AND(tblJTL[[#This Row],[経過秒]]&gt;='17_分析サンプル'!$E$11,tblJTL[[#This Row],[経過秒]]&lt;'17_分析サンプル'!$E$12),1,0)</f>
        <v>1</v>
      </c>
    </row>
    <row r="737" spans="2:24" ht="14.4" x14ac:dyDescent="0.3">
      <c r="B737" s="57">
        <v>1790816588566</v>
      </c>
      <c r="C737" s="58">
        <v>156</v>
      </c>
      <c r="D737" s="59" t="s">
        <v>1658</v>
      </c>
      <c r="E737" s="59" t="s">
        <v>1577</v>
      </c>
      <c r="F737" s="59" t="s">
        <v>2275</v>
      </c>
      <c r="G737" s="59" t="s">
        <v>2278</v>
      </c>
      <c r="H737" s="59" t="s">
        <v>2281</v>
      </c>
      <c r="I737" s="59" t="b">
        <v>1</v>
      </c>
      <c r="J737" s="59"/>
      <c r="K737" s="58">
        <v>1883</v>
      </c>
      <c r="L737" s="58">
        <v>1342</v>
      </c>
      <c r="M737" s="59">
        <v>10</v>
      </c>
      <c r="N737" s="59">
        <v>10</v>
      </c>
      <c r="O737" s="59" t="s">
        <v>3578</v>
      </c>
      <c r="P737" s="58">
        <v>150</v>
      </c>
      <c r="Q737" s="59">
        <v>0</v>
      </c>
      <c r="R737" s="59">
        <v>0</v>
      </c>
      <c r="S737" s="60">
        <f>tblJTL[[#This Row],[timeStamp]]/86400000+DATE(1970,1,1)+TIME(9,0,0)</f>
        <v>46296.41884914352</v>
      </c>
      <c r="T737" s="57">
        <f>tblJTL[[#This Row],[timeStamp]]+tblJTL[[#This Row],[elapsed]]</f>
        <v>1790816588722</v>
      </c>
      <c r="U737" s="61">
        <f>(tblJTL[[#This Row],[timeStamp]]-'17_分析サンプル'!$E$18)/1000</f>
        <v>188.386</v>
      </c>
      <c r="V737" s="57">
        <f>INT(tblJTL[[#This Row],[経過秒]]/60)</f>
        <v>3</v>
      </c>
      <c r="W737" s="57">
        <f>IF(OR(tblJTL[[#This Row],[success]]=FALSE,tblJTL[[#This Row],[success]]="false"),1,0)</f>
        <v>0</v>
      </c>
      <c r="X737" s="57">
        <f>IF(AND(tblJTL[[#This Row],[経過秒]]&gt;='17_分析サンプル'!$E$11,tblJTL[[#This Row],[経過秒]]&lt;'17_分析サンプル'!$E$12),1,0)</f>
        <v>1</v>
      </c>
    </row>
    <row r="738" spans="2:24" ht="14.4" x14ac:dyDescent="0.3">
      <c r="B738" s="57">
        <v>1790816588782</v>
      </c>
      <c r="C738" s="58">
        <v>168</v>
      </c>
      <c r="D738" s="59" t="s">
        <v>1677</v>
      </c>
      <c r="E738" s="59" t="s">
        <v>3579</v>
      </c>
      <c r="F738" s="59" t="s">
        <v>3580</v>
      </c>
      <c r="G738" s="59" t="s">
        <v>3583</v>
      </c>
      <c r="H738" s="59" t="s">
        <v>2281</v>
      </c>
      <c r="I738" s="59" t="b">
        <v>1</v>
      </c>
      <c r="J738" s="59"/>
      <c r="K738" s="58">
        <v>415</v>
      </c>
      <c r="L738" s="58">
        <v>1478</v>
      </c>
      <c r="M738" s="59">
        <v>10</v>
      </c>
      <c r="N738" s="59">
        <v>10</v>
      </c>
      <c r="O738" s="59" t="s">
        <v>3581</v>
      </c>
      <c r="P738" s="58">
        <v>165</v>
      </c>
      <c r="Q738" s="59">
        <v>0</v>
      </c>
      <c r="R738" s="59">
        <v>0</v>
      </c>
      <c r="S738" s="60">
        <f>tblJTL[[#This Row],[timeStamp]]/86400000+DATE(1970,1,1)+TIME(9,0,0)</f>
        <v>46296.418851643517</v>
      </c>
      <c r="T738" s="57">
        <f>tblJTL[[#This Row],[timeStamp]]+tblJTL[[#This Row],[elapsed]]</f>
        <v>1790816588950</v>
      </c>
      <c r="U738" s="61">
        <f>(tblJTL[[#This Row],[timeStamp]]-'17_分析サンプル'!$E$18)/1000</f>
        <v>188.602</v>
      </c>
      <c r="V738" s="57">
        <f>INT(tblJTL[[#This Row],[経過秒]]/60)</f>
        <v>3</v>
      </c>
      <c r="W738" s="57">
        <f>IF(OR(tblJTL[[#This Row],[success]]=FALSE,tblJTL[[#This Row],[success]]="false"),1,0)</f>
        <v>0</v>
      </c>
      <c r="X738" s="57">
        <f>IF(AND(tblJTL[[#This Row],[経過秒]]&gt;='17_分析サンプル'!$E$11,tblJTL[[#This Row],[経過秒]]&lt;'17_分析サンプル'!$E$12),1,0)</f>
        <v>1</v>
      </c>
    </row>
    <row r="739" spans="2:24" ht="14.4" x14ac:dyDescent="0.3">
      <c r="B739" s="57">
        <v>1790816589100</v>
      </c>
      <c r="C739" s="58">
        <v>170</v>
      </c>
      <c r="D739" s="59" t="s">
        <v>1677</v>
      </c>
      <c r="E739" s="59" t="s">
        <v>3579</v>
      </c>
      <c r="F739" s="59" t="s">
        <v>3580</v>
      </c>
      <c r="G739" s="59" t="s">
        <v>3585</v>
      </c>
      <c r="H739" s="59" t="s">
        <v>2281</v>
      </c>
      <c r="I739" s="59" t="b">
        <v>1</v>
      </c>
      <c r="J739" s="59"/>
      <c r="K739" s="58">
        <v>427</v>
      </c>
      <c r="L739" s="58">
        <v>1478</v>
      </c>
      <c r="M739" s="59">
        <v>10</v>
      </c>
      <c r="N739" s="59">
        <v>10</v>
      </c>
      <c r="O739" s="59" t="s">
        <v>3581</v>
      </c>
      <c r="P739" s="58">
        <v>162</v>
      </c>
      <c r="Q739" s="59">
        <v>0</v>
      </c>
      <c r="R739" s="59">
        <v>0</v>
      </c>
      <c r="S739" s="60">
        <f>tblJTL[[#This Row],[timeStamp]]/86400000+DATE(1970,1,1)+TIME(9,0,0)</f>
        <v>46296.418855324075</v>
      </c>
      <c r="T739" s="57">
        <f>tblJTL[[#This Row],[timeStamp]]+tblJTL[[#This Row],[elapsed]]</f>
        <v>1790816589270</v>
      </c>
      <c r="U739" s="61">
        <f>(tblJTL[[#This Row],[timeStamp]]-'17_分析サンプル'!$E$18)/1000</f>
        <v>188.92</v>
      </c>
      <c r="V739" s="57">
        <f>INT(tblJTL[[#This Row],[経過秒]]/60)</f>
        <v>3</v>
      </c>
      <c r="W739" s="57">
        <f>IF(OR(tblJTL[[#This Row],[success]]=FALSE,tblJTL[[#This Row],[success]]="false"),1,0)</f>
        <v>0</v>
      </c>
      <c r="X739" s="57">
        <f>IF(AND(tblJTL[[#This Row],[経過秒]]&gt;='17_分析サンプル'!$E$11,tblJTL[[#This Row],[経過秒]]&lt;'17_分析サンプル'!$E$12),1,0)</f>
        <v>1</v>
      </c>
    </row>
    <row r="740" spans="2:24" ht="14.4" x14ac:dyDescent="0.3">
      <c r="B740" s="57">
        <v>1790816589392</v>
      </c>
      <c r="C740" s="58">
        <v>78</v>
      </c>
      <c r="D740" s="59" t="s">
        <v>1658</v>
      </c>
      <c r="E740" s="59" t="s">
        <v>1577</v>
      </c>
      <c r="F740" s="59" t="s">
        <v>2275</v>
      </c>
      <c r="G740" s="59" t="s">
        <v>3582</v>
      </c>
      <c r="H740" s="59" t="s">
        <v>2281</v>
      </c>
      <c r="I740" s="59" t="b">
        <v>1</v>
      </c>
      <c r="J740" s="59"/>
      <c r="K740" s="58">
        <v>1848</v>
      </c>
      <c r="L740" s="58">
        <v>1342</v>
      </c>
      <c r="M740" s="59">
        <v>10</v>
      </c>
      <c r="N740" s="59">
        <v>10</v>
      </c>
      <c r="O740" s="59" t="s">
        <v>3578</v>
      </c>
      <c r="P740" s="58">
        <v>71</v>
      </c>
      <c r="Q740" s="59">
        <v>0</v>
      </c>
      <c r="R740" s="59">
        <v>0</v>
      </c>
      <c r="S740" s="60">
        <f>tblJTL[[#This Row],[timeStamp]]/86400000+DATE(1970,1,1)+TIME(9,0,0)</f>
        <v>46296.418858703706</v>
      </c>
      <c r="T740" s="57">
        <f>tblJTL[[#This Row],[timeStamp]]+tblJTL[[#This Row],[elapsed]]</f>
        <v>1790816589470</v>
      </c>
      <c r="U740" s="61">
        <f>(tblJTL[[#This Row],[timeStamp]]-'17_分析サンプル'!$E$18)/1000</f>
        <v>189.21199999999999</v>
      </c>
      <c r="V740" s="57">
        <f>INT(tblJTL[[#This Row],[経過秒]]/60)</f>
        <v>3</v>
      </c>
      <c r="W740" s="57">
        <f>IF(OR(tblJTL[[#This Row],[success]]=FALSE,tblJTL[[#This Row],[success]]="false"),1,0)</f>
        <v>0</v>
      </c>
      <c r="X740" s="57">
        <f>IF(AND(tblJTL[[#This Row],[経過秒]]&gt;='17_分析サンプル'!$E$11,tblJTL[[#This Row],[経過秒]]&lt;'17_分析サンプル'!$E$12),1,0)</f>
        <v>1</v>
      </c>
    </row>
    <row r="741" spans="2:24" ht="14.4" x14ac:dyDescent="0.3">
      <c r="B741" s="57">
        <v>1790816589216</v>
      </c>
      <c r="C741" s="58">
        <v>264</v>
      </c>
      <c r="D741" s="59" t="s">
        <v>1677</v>
      </c>
      <c r="E741" s="59" t="s">
        <v>3579</v>
      </c>
      <c r="F741" s="59" t="s">
        <v>3580</v>
      </c>
      <c r="G741" s="59" t="s">
        <v>3584</v>
      </c>
      <c r="H741" s="59" t="s">
        <v>2281</v>
      </c>
      <c r="I741" s="59" t="b">
        <v>1</v>
      </c>
      <c r="J741" s="59"/>
      <c r="K741" s="58">
        <v>411</v>
      </c>
      <c r="L741" s="58">
        <v>1478</v>
      </c>
      <c r="M741" s="59">
        <v>10</v>
      </c>
      <c r="N741" s="59">
        <v>10</v>
      </c>
      <c r="O741" s="59" t="s">
        <v>3581</v>
      </c>
      <c r="P741" s="58">
        <v>258</v>
      </c>
      <c r="Q741" s="59">
        <v>0</v>
      </c>
      <c r="R741" s="59">
        <v>0</v>
      </c>
      <c r="S741" s="60">
        <f>tblJTL[[#This Row],[timeStamp]]/86400000+DATE(1970,1,1)+TIME(9,0,0)</f>
        <v>46296.418856666671</v>
      </c>
      <c r="T741" s="57">
        <f>tblJTL[[#This Row],[timeStamp]]+tblJTL[[#This Row],[elapsed]]</f>
        <v>1790816589480</v>
      </c>
      <c r="U741" s="61">
        <f>(tblJTL[[#This Row],[timeStamp]]-'17_分析サンプル'!$E$18)/1000</f>
        <v>189.036</v>
      </c>
      <c r="V741" s="57">
        <f>INT(tblJTL[[#This Row],[経過秒]]/60)</f>
        <v>3</v>
      </c>
      <c r="W741" s="57">
        <f>IF(OR(tblJTL[[#This Row],[success]]=FALSE,tblJTL[[#This Row],[success]]="false"),1,0)</f>
        <v>0</v>
      </c>
      <c r="X741" s="57">
        <f>IF(AND(tblJTL[[#This Row],[経過秒]]&gt;='17_分析サンプル'!$E$11,tblJTL[[#This Row],[経過秒]]&lt;'17_分析サンプル'!$E$12),1,0)</f>
        <v>1</v>
      </c>
    </row>
    <row r="742" spans="2:24" ht="14.4" x14ac:dyDescent="0.3">
      <c r="B742" s="57">
        <v>1790816589546</v>
      </c>
      <c r="C742" s="58">
        <v>78</v>
      </c>
      <c r="D742" s="59" t="s">
        <v>1658</v>
      </c>
      <c r="E742" s="59" t="s">
        <v>1577</v>
      </c>
      <c r="F742" s="59" t="s">
        <v>2275</v>
      </c>
      <c r="G742" s="59" t="s">
        <v>3577</v>
      </c>
      <c r="H742" s="59" t="s">
        <v>2281</v>
      </c>
      <c r="I742" s="59" t="b">
        <v>1</v>
      </c>
      <c r="J742" s="59"/>
      <c r="K742" s="58">
        <v>1840</v>
      </c>
      <c r="L742" s="58">
        <v>1342</v>
      </c>
      <c r="M742" s="59">
        <v>10</v>
      </c>
      <c r="N742" s="59">
        <v>10</v>
      </c>
      <c r="O742" s="59" t="s">
        <v>3578</v>
      </c>
      <c r="P742" s="58">
        <v>73</v>
      </c>
      <c r="Q742" s="59">
        <v>0</v>
      </c>
      <c r="R742" s="59">
        <v>0</v>
      </c>
      <c r="S742" s="60">
        <f>tblJTL[[#This Row],[timeStamp]]/86400000+DATE(1970,1,1)+TIME(9,0,0)</f>
        <v>46296.418860486112</v>
      </c>
      <c r="T742" s="57">
        <f>tblJTL[[#This Row],[timeStamp]]+tblJTL[[#This Row],[elapsed]]</f>
        <v>1790816589624</v>
      </c>
      <c r="U742" s="61">
        <f>(tblJTL[[#This Row],[timeStamp]]-'17_分析サンプル'!$E$18)/1000</f>
        <v>189.36600000000001</v>
      </c>
      <c r="V742" s="57">
        <f>INT(tblJTL[[#This Row],[経過秒]]/60)</f>
        <v>3</v>
      </c>
      <c r="W742" s="57">
        <f>IF(OR(tblJTL[[#This Row],[success]]=FALSE,tblJTL[[#This Row],[success]]="false"),1,0)</f>
        <v>0</v>
      </c>
      <c r="X742" s="57">
        <f>IF(AND(tblJTL[[#This Row],[経過秒]]&gt;='17_分析サンプル'!$E$11,tblJTL[[#This Row],[経過秒]]&lt;'17_分析サンプル'!$E$12),1,0)</f>
        <v>1</v>
      </c>
    </row>
    <row r="743" spans="2:24" ht="14.4" x14ac:dyDescent="0.3">
      <c r="B743" s="57">
        <v>1790816589966</v>
      </c>
      <c r="C743" s="58">
        <v>110</v>
      </c>
      <c r="D743" s="59" t="s">
        <v>1658</v>
      </c>
      <c r="E743" s="59" t="s">
        <v>1577</v>
      </c>
      <c r="F743" s="59" t="s">
        <v>2275</v>
      </c>
      <c r="G743" s="59" t="s">
        <v>3589</v>
      </c>
      <c r="H743" s="59" t="s">
        <v>2281</v>
      </c>
      <c r="I743" s="59" t="b">
        <v>1</v>
      </c>
      <c r="J743" s="59"/>
      <c r="K743" s="58">
        <v>1879</v>
      </c>
      <c r="L743" s="58">
        <v>1342</v>
      </c>
      <c r="M743" s="59">
        <v>10</v>
      </c>
      <c r="N743" s="59">
        <v>10</v>
      </c>
      <c r="O743" s="59" t="s">
        <v>3578</v>
      </c>
      <c r="P743" s="58">
        <v>102</v>
      </c>
      <c r="Q743" s="59">
        <v>0</v>
      </c>
      <c r="R743" s="59">
        <v>0</v>
      </c>
      <c r="S743" s="60">
        <f>tblJTL[[#This Row],[timeStamp]]/86400000+DATE(1970,1,1)+TIME(9,0,0)</f>
        <v>46296.418865347223</v>
      </c>
      <c r="T743" s="57">
        <f>tblJTL[[#This Row],[timeStamp]]+tblJTL[[#This Row],[elapsed]]</f>
        <v>1790816590076</v>
      </c>
      <c r="U743" s="61">
        <f>(tblJTL[[#This Row],[timeStamp]]-'17_分析サンプル'!$E$18)/1000</f>
        <v>189.786</v>
      </c>
      <c r="V743" s="57">
        <f>INT(tblJTL[[#This Row],[経過秒]]/60)</f>
        <v>3</v>
      </c>
      <c r="W743" s="57">
        <f>IF(OR(tblJTL[[#This Row],[success]]=FALSE,tblJTL[[#This Row],[success]]="false"),1,0)</f>
        <v>0</v>
      </c>
      <c r="X743" s="57">
        <f>IF(AND(tblJTL[[#This Row],[経過秒]]&gt;='17_分析サンプル'!$E$11,tblJTL[[#This Row],[経過秒]]&lt;'17_分析サンプル'!$E$12),1,0)</f>
        <v>1</v>
      </c>
    </row>
    <row r="744" spans="2:24" ht="14.4" x14ac:dyDescent="0.3">
      <c r="B744" s="57">
        <v>1790816590131</v>
      </c>
      <c r="C744" s="58">
        <v>105</v>
      </c>
      <c r="D744" s="59" t="s">
        <v>1658</v>
      </c>
      <c r="E744" s="59" t="s">
        <v>1577</v>
      </c>
      <c r="F744" s="59" t="s">
        <v>2275</v>
      </c>
      <c r="G744" s="59" t="s">
        <v>3587</v>
      </c>
      <c r="H744" s="59" t="s">
        <v>2281</v>
      </c>
      <c r="I744" s="59" t="b">
        <v>1</v>
      </c>
      <c r="J744" s="59"/>
      <c r="K744" s="58">
        <v>1820</v>
      </c>
      <c r="L744" s="58">
        <v>1342</v>
      </c>
      <c r="M744" s="59">
        <v>10</v>
      </c>
      <c r="N744" s="59">
        <v>10</v>
      </c>
      <c r="O744" s="59" t="s">
        <v>3578</v>
      </c>
      <c r="P744" s="58">
        <v>103</v>
      </c>
      <c r="Q744" s="59">
        <v>0</v>
      </c>
      <c r="R744" s="59">
        <v>0</v>
      </c>
      <c r="S744" s="60">
        <f>tblJTL[[#This Row],[timeStamp]]/86400000+DATE(1970,1,1)+TIME(9,0,0)</f>
        <v>46296.418867256943</v>
      </c>
      <c r="T744" s="57">
        <f>tblJTL[[#This Row],[timeStamp]]+tblJTL[[#This Row],[elapsed]]</f>
        <v>1790816590236</v>
      </c>
      <c r="U744" s="61">
        <f>(tblJTL[[#This Row],[timeStamp]]-'17_分析サンプル'!$E$18)/1000</f>
        <v>189.95099999999999</v>
      </c>
      <c r="V744" s="57">
        <f>INT(tblJTL[[#This Row],[経過秒]]/60)</f>
        <v>3</v>
      </c>
      <c r="W744" s="57">
        <f>IF(OR(tblJTL[[#This Row],[success]]=FALSE,tblJTL[[#This Row],[success]]="false"),1,0)</f>
        <v>0</v>
      </c>
      <c r="X744" s="57">
        <f>IF(AND(tblJTL[[#This Row],[経過秒]]&gt;='17_分析サンプル'!$E$11,tblJTL[[#This Row],[経過秒]]&lt;'17_分析サンプル'!$E$12),1,0)</f>
        <v>1</v>
      </c>
    </row>
    <row r="745" spans="2:24" ht="14.4" x14ac:dyDescent="0.3">
      <c r="B745" s="57">
        <v>1790816590301</v>
      </c>
      <c r="C745" s="58">
        <v>145</v>
      </c>
      <c r="D745" s="59" t="s">
        <v>1658</v>
      </c>
      <c r="E745" s="59" t="s">
        <v>1577</v>
      </c>
      <c r="F745" s="59" t="s">
        <v>2275</v>
      </c>
      <c r="G745" s="59" t="s">
        <v>3585</v>
      </c>
      <c r="H745" s="59" t="s">
        <v>2281</v>
      </c>
      <c r="I745" s="59" t="b">
        <v>1</v>
      </c>
      <c r="J745" s="59"/>
      <c r="K745" s="58">
        <v>1874</v>
      </c>
      <c r="L745" s="58">
        <v>1342</v>
      </c>
      <c r="M745" s="59">
        <v>10</v>
      </c>
      <c r="N745" s="59">
        <v>10</v>
      </c>
      <c r="O745" s="59" t="s">
        <v>3578</v>
      </c>
      <c r="P745" s="58">
        <v>143</v>
      </c>
      <c r="Q745" s="59">
        <v>0</v>
      </c>
      <c r="R745" s="59">
        <v>0</v>
      </c>
      <c r="S745" s="60">
        <f>tblJTL[[#This Row],[timeStamp]]/86400000+DATE(1970,1,1)+TIME(9,0,0)</f>
        <v>46296.418869224537</v>
      </c>
      <c r="T745" s="57">
        <f>tblJTL[[#This Row],[timeStamp]]+tblJTL[[#This Row],[elapsed]]</f>
        <v>1790816590446</v>
      </c>
      <c r="U745" s="61">
        <f>(tblJTL[[#This Row],[timeStamp]]-'17_分析サンプル'!$E$18)/1000</f>
        <v>190.12100000000001</v>
      </c>
      <c r="V745" s="57">
        <f>INT(tblJTL[[#This Row],[経過秒]]/60)</f>
        <v>3</v>
      </c>
      <c r="W745" s="57">
        <f>IF(OR(tblJTL[[#This Row],[success]]=FALSE,tblJTL[[#This Row],[success]]="false"),1,0)</f>
        <v>0</v>
      </c>
      <c r="X745" s="57">
        <f>IF(AND(tblJTL[[#This Row],[経過秒]]&gt;='17_分析サンプル'!$E$11,tblJTL[[#This Row],[経過秒]]&lt;'17_分析サンプル'!$E$12),1,0)</f>
        <v>1</v>
      </c>
    </row>
    <row r="746" spans="2:24" ht="14.4" x14ac:dyDescent="0.3">
      <c r="B746" s="57">
        <v>1790816590614</v>
      </c>
      <c r="C746" s="58">
        <v>243</v>
      </c>
      <c r="D746" s="59" t="s">
        <v>1677</v>
      </c>
      <c r="E746" s="59" t="s">
        <v>3579</v>
      </c>
      <c r="F746" s="59" t="s">
        <v>3580</v>
      </c>
      <c r="G746" s="59" t="s">
        <v>3588</v>
      </c>
      <c r="H746" s="59" t="s">
        <v>2281</v>
      </c>
      <c r="I746" s="59" t="b">
        <v>1</v>
      </c>
      <c r="J746" s="59"/>
      <c r="K746" s="58">
        <v>432</v>
      </c>
      <c r="L746" s="58">
        <v>1478</v>
      </c>
      <c r="M746" s="59">
        <v>10</v>
      </c>
      <c r="N746" s="59">
        <v>10</v>
      </c>
      <c r="O746" s="59" t="s">
        <v>3581</v>
      </c>
      <c r="P746" s="58">
        <v>236</v>
      </c>
      <c r="Q746" s="59">
        <v>0</v>
      </c>
      <c r="R746" s="59">
        <v>0</v>
      </c>
      <c r="S746" s="60">
        <f>tblJTL[[#This Row],[timeStamp]]/86400000+DATE(1970,1,1)+TIME(9,0,0)</f>
        <v>46296.418872847222</v>
      </c>
      <c r="T746" s="57">
        <f>tblJTL[[#This Row],[timeStamp]]+tblJTL[[#This Row],[elapsed]]</f>
        <v>1790816590857</v>
      </c>
      <c r="U746" s="61">
        <f>(tblJTL[[#This Row],[timeStamp]]-'17_分析サンプル'!$E$18)/1000</f>
        <v>190.434</v>
      </c>
      <c r="V746" s="57">
        <f>INT(tblJTL[[#This Row],[経過秒]]/60)</f>
        <v>3</v>
      </c>
      <c r="W746" s="57">
        <f>IF(OR(tblJTL[[#This Row],[success]]=FALSE,tblJTL[[#This Row],[success]]="false"),1,0)</f>
        <v>0</v>
      </c>
      <c r="X746" s="57">
        <f>IF(AND(tblJTL[[#This Row],[経過秒]]&gt;='17_分析サンプル'!$E$11,tblJTL[[#This Row],[経過秒]]&lt;'17_分析サンプル'!$E$12),1,0)</f>
        <v>1</v>
      </c>
    </row>
    <row r="747" spans="2:24" ht="14.4" x14ac:dyDescent="0.3">
      <c r="B747" s="57">
        <v>1790816590927</v>
      </c>
      <c r="C747" s="58">
        <v>107</v>
      </c>
      <c r="D747" s="59" t="s">
        <v>1658</v>
      </c>
      <c r="E747" s="59" t="s">
        <v>1577</v>
      </c>
      <c r="F747" s="59" t="s">
        <v>2275</v>
      </c>
      <c r="G747" s="59" t="s">
        <v>3583</v>
      </c>
      <c r="H747" s="59" t="s">
        <v>2281</v>
      </c>
      <c r="I747" s="59" t="b">
        <v>1</v>
      </c>
      <c r="J747" s="59"/>
      <c r="K747" s="58">
        <v>1868</v>
      </c>
      <c r="L747" s="58">
        <v>1342</v>
      </c>
      <c r="M747" s="59">
        <v>10</v>
      </c>
      <c r="N747" s="59">
        <v>10</v>
      </c>
      <c r="O747" s="59" t="s">
        <v>3578</v>
      </c>
      <c r="P747" s="58">
        <v>104</v>
      </c>
      <c r="Q747" s="59">
        <v>0</v>
      </c>
      <c r="R747" s="59">
        <v>0</v>
      </c>
      <c r="S747" s="60">
        <f>tblJTL[[#This Row],[timeStamp]]/86400000+DATE(1970,1,1)+TIME(9,0,0)</f>
        <v>46296.418876469907</v>
      </c>
      <c r="T747" s="57">
        <f>tblJTL[[#This Row],[timeStamp]]+tblJTL[[#This Row],[elapsed]]</f>
        <v>1790816591034</v>
      </c>
      <c r="U747" s="61">
        <f>(tblJTL[[#This Row],[timeStamp]]-'17_分析サンプル'!$E$18)/1000</f>
        <v>190.74700000000001</v>
      </c>
      <c r="V747" s="57">
        <f>INT(tblJTL[[#This Row],[経過秒]]/60)</f>
        <v>3</v>
      </c>
      <c r="W747" s="57">
        <f>IF(OR(tblJTL[[#This Row],[success]]=FALSE,tblJTL[[#This Row],[success]]="false"),1,0)</f>
        <v>0</v>
      </c>
      <c r="X747" s="57">
        <f>IF(AND(tblJTL[[#This Row],[経過秒]]&gt;='17_分析サンプル'!$E$11,tblJTL[[#This Row],[経過秒]]&lt;'17_分析サンプル'!$E$12),1,0)</f>
        <v>1</v>
      </c>
    </row>
    <row r="748" spans="2:24" ht="14.4" x14ac:dyDescent="0.3">
      <c r="B748" s="57">
        <v>1790816590930</v>
      </c>
      <c r="C748" s="58">
        <v>169</v>
      </c>
      <c r="D748" s="59" t="s">
        <v>1658</v>
      </c>
      <c r="E748" s="59" t="s">
        <v>1577</v>
      </c>
      <c r="F748" s="59" t="s">
        <v>2275</v>
      </c>
      <c r="G748" s="59" t="s">
        <v>3586</v>
      </c>
      <c r="H748" s="59" t="s">
        <v>2281</v>
      </c>
      <c r="I748" s="59" t="b">
        <v>1</v>
      </c>
      <c r="J748" s="59"/>
      <c r="K748" s="58">
        <v>1835</v>
      </c>
      <c r="L748" s="58">
        <v>1342</v>
      </c>
      <c r="M748" s="59">
        <v>10</v>
      </c>
      <c r="N748" s="59">
        <v>10</v>
      </c>
      <c r="O748" s="59" t="s">
        <v>3578</v>
      </c>
      <c r="P748" s="58">
        <v>161</v>
      </c>
      <c r="Q748" s="59">
        <v>0</v>
      </c>
      <c r="R748" s="59">
        <v>0</v>
      </c>
      <c r="S748" s="60">
        <f>tblJTL[[#This Row],[timeStamp]]/86400000+DATE(1970,1,1)+TIME(9,0,0)</f>
        <v>46296.418876504627</v>
      </c>
      <c r="T748" s="57">
        <f>tblJTL[[#This Row],[timeStamp]]+tblJTL[[#This Row],[elapsed]]</f>
        <v>1790816591099</v>
      </c>
      <c r="U748" s="61">
        <f>(tblJTL[[#This Row],[timeStamp]]-'17_分析サンプル'!$E$18)/1000</f>
        <v>190.75</v>
      </c>
      <c r="V748" s="57">
        <f>INT(tblJTL[[#This Row],[経過秒]]/60)</f>
        <v>3</v>
      </c>
      <c r="W748" s="57">
        <f>IF(OR(tblJTL[[#This Row],[success]]=FALSE,tblJTL[[#This Row],[success]]="false"),1,0)</f>
        <v>0</v>
      </c>
      <c r="X748" s="57">
        <f>IF(AND(tblJTL[[#This Row],[経過秒]]&gt;='17_分析サンプル'!$E$11,tblJTL[[#This Row],[経過秒]]&lt;'17_分析サンプル'!$E$12),1,0)</f>
        <v>1</v>
      </c>
    </row>
    <row r="749" spans="2:24" ht="14.4" x14ac:dyDescent="0.3">
      <c r="B749" s="57">
        <v>1790816591371</v>
      </c>
      <c r="C749" s="58">
        <v>258</v>
      </c>
      <c r="D749" s="59" t="s">
        <v>1677</v>
      </c>
      <c r="E749" s="59" t="s">
        <v>3579</v>
      </c>
      <c r="F749" s="59" t="s">
        <v>3580</v>
      </c>
      <c r="G749" s="59" t="s">
        <v>2278</v>
      </c>
      <c r="H749" s="59" t="s">
        <v>2281</v>
      </c>
      <c r="I749" s="59" t="b">
        <v>1</v>
      </c>
      <c r="J749" s="59"/>
      <c r="K749" s="58">
        <v>422</v>
      </c>
      <c r="L749" s="58">
        <v>1478</v>
      </c>
      <c r="M749" s="59">
        <v>10</v>
      </c>
      <c r="N749" s="59">
        <v>10</v>
      </c>
      <c r="O749" s="59" t="s">
        <v>3581</v>
      </c>
      <c r="P749" s="58">
        <v>254</v>
      </c>
      <c r="Q749" s="59">
        <v>0</v>
      </c>
      <c r="R749" s="59">
        <v>0</v>
      </c>
      <c r="S749" s="60">
        <f>tblJTL[[#This Row],[timeStamp]]/86400000+DATE(1970,1,1)+TIME(9,0,0)</f>
        <v>46296.418881608799</v>
      </c>
      <c r="T749" s="57">
        <f>tblJTL[[#This Row],[timeStamp]]+tblJTL[[#This Row],[elapsed]]</f>
        <v>1790816591629</v>
      </c>
      <c r="U749" s="61">
        <f>(tblJTL[[#This Row],[timeStamp]]-'17_分析サンプル'!$E$18)/1000</f>
        <v>191.191</v>
      </c>
      <c r="V749" s="57">
        <f>INT(tblJTL[[#This Row],[経過秒]]/60)</f>
        <v>3</v>
      </c>
      <c r="W749" s="57">
        <f>IF(OR(tblJTL[[#This Row],[success]]=FALSE,tblJTL[[#This Row],[success]]="false"),1,0)</f>
        <v>0</v>
      </c>
      <c r="X749" s="57">
        <f>IF(AND(tblJTL[[#This Row],[経過秒]]&gt;='17_分析サンプル'!$E$11,tblJTL[[#This Row],[経過秒]]&lt;'17_分析サンプル'!$E$12),1,0)</f>
        <v>1</v>
      </c>
    </row>
    <row r="750" spans="2:24" ht="14.4" x14ac:dyDescent="0.3">
      <c r="B750" s="57">
        <v>1790816591412</v>
      </c>
      <c r="C750" s="58">
        <v>218</v>
      </c>
      <c r="D750" s="59" t="s">
        <v>1677</v>
      </c>
      <c r="E750" s="59" t="s">
        <v>3579</v>
      </c>
      <c r="F750" s="59" t="s">
        <v>3580</v>
      </c>
      <c r="G750" s="59" t="s">
        <v>3587</v>
      </c>
      <c r="H750" s="59" t="s">
        <v>2281</v>
      </c>
      <c r="I750" s="59" t="b">
        <v>1</v>
      </c>
      <c r="J750" s="59"/>
      <c r="K750" s="58">
        <v>431</v>
      </c>
      <c r="L750" s="58">
        <v>1478</v>
      </c>
      <c r="M750" s="59">
        <v>10</v>
      </c>
      <c r="N750" s="59">
        <v>10</v>
      </c>
      <c r="O750" s="59" t="s">
        <v>3581</v>
      </c>
      <c r="P750" s="58">
        <v>212</v>
      </c>
      <c r="Q750" s="59">
        <v>0</v>
      </c>
      <c r="R750" s="59">
        <v>0</v>
      </c>
      <c r="S750" s="60">
        <f>tblJTL[[#This Row],[timeStamp]]/86400000+DATE(1970,1,1)+TIME(9,0,0)</f>
        <v>46296.418882083337</v>
      </c>
      <c r="T750" s="57">
        <f>tblJTL[[#This Row],[timeStamp]]+tblJTL[[#This Row],[elapsed]]</f>
        <v>1790816591630</v>
      </c>
      <c r="U750" s="61">
        <f>(tblJTL[[#This Row],[timeStamp]]-'17_分析サンプル'!$E$18)/1000</f>
        <v>191.232</v>
      </c>
      <c r="V750" s="57">
        <f>INT(tblJTL[[#This Row],[経過秒]]/60)</f>
        <v>3</v>
      </c>
      <c r="W750" s="57">
        <f>IF(OR(tblJTL[[#This Row],[success]]=FALSE,tblJTL[[#This Row],[success]]="false"),1,0)</f>
        <v>0</v>
      </c>
      <c r="X750" s="57">
        <f>IF(AND(tblJTL[[#This Row],[経過秒]]&gt;='17_分析サンプル'!$E$11,tblJTL[[#This Row],[経過秒]]&lt;'17_分析サンプル'!$E$12),1,0)</f>
        <v>1</v>
      </c>
    </row>
    <row r="751" spans="2:24" ht="14.4" x14ac:dyDescent="0.3">
      <c r="B751" s="57">
        <v>1790816591781</v>
      </c>
      <c r="C751" s="58">
        <v>91</v>
      </c>
      <c r="D751" s="59" t="s">
        <v>1658</v>
      </c>
      <c r="E751" s="59" t="s">
        <v>1577</v>
      </c>
      <c r="F751" s="59" t="s">
        <v>2275</v>
      </c>
      <c r="G751" s="59" t="s">
        <v>3584</v>
      </c>
      <c r="H751" s="59" t="s">
        <v>2281</v>
      </c>
      <c r="I751" s="59" t="b">
        <v>1</v>
      </c>
      <c r="J751" s="59"/>
      <c r="K751" s="58">
        <v>1838</v>
      </c>
      <c r="L751" s="58">
        <v>1342</v>
      </c>
      <c r="M751" s="59">
        <v>10</v>
      </c>
      <c r="N751" s="59">
        <v>10</v>
      </c>
      <c r="O751" s="59" t="s">
        <v>3578</v>
      </c>
      <c r="P751" s="58">
        <v>88</v>
      </c>
      <c r="Q751" s="59">
        <v>0</v>
      </c>
      <c r="R751" s="59">
        <v>0</v>
      </c>
      <c r="S751" s="60">
        <f>tblJTL[[#This Row],[timeStamp]]/86400000+DATE(1970,1,1)+TIME(9,0,0)</f>
        <v>46296.418886354164</v>
      </c>
      <c r="T751" s="57">
        <f>tblJTL[[#This Row],[timeStamp]]+tblJTL[[#This Row],[elapsed]]</f>
        <v>1790816591872</v>
      </c>
      <c r="U751" s="61">
        <f>(tblJTL[[#This Row],[timeStamp]]-'17_分析サンプル'!$E$18)/1000</f>
        <v>191.601</v>
      </c>
      <c r="V751" s="57">
        <f>INT(tblJTL[[#This Row],[経過秒]]/60)</f>
        <v>3</v>
      </c>
      <c r="W751" s="57">
        <f>IF(OR(tblJTL[[#This Row],[success]]=FALSE,tblJTL[[#This Row],[success]]="false"),1,0)</f>
        <v>0</v>
      </c>
      <c r="X751" s="57">
        <f>IF(AND(tblJTL[[#This Row],[経過秒]]&gt;='17_分析サンプル'!$E$11,tblJTL[[#This Row],[経過秒]]&lt;'17_分析サンプル'!$E$12),1,0)</f>
        <v>1</v>
      </c>
    </row>
    <row r="752" spans="2:24" ht="14.4" x14ac:dyDescent="0.3">
      <c r="B752" s="57">
        <v>1790816591737</v>
      </c>
      <c r="C752" s="58">
        <v>224</v>
      </c>
      <c r="D752" s="59" t="s">
        <v>1677</v>
      </c>
      <c r="E752" s="59" t="s">
        <v>3579</v>
      </c>
      <c r="F752" s="59" t="s">
        <v>3580</v>
      </c>
      <c r="G752" s="59" t="s">
        <v>3577</v>
      </c>
      <c r="H752" s="59" t="s">
        <v>2281</v>
      </c>
      <c r="I752" s="59" t="b">
        <v>1</v>
      </c>
      <c r="J752" s="59"/>
      <c r="K752" s="58">
        <v>417</v>
      </c>
      <c r="L752" s="58">
        <v>1478</v>
      </c>
      <c r="M752" s="59">
        <v>10</v>
      </c>
      <c r="N752" s="59">
        <v>10</v>
      </c>
      <c r="O752" s="59" t="s">
        <v>3581</v>
      </c>
      <c r="P752" s="58">
        <v>222</v>
      </c>
      <c r="Q752" s="59">
        <v>0</v>
      </c>
      <c r="R752" s="59">
        <v>0</v>
      </c>
      <c r="S752" s="60">
        <f>tblJTL[[#This Row],[timeStamp]]/86400000+DATE(1970,1,1)+TIME(9,0,0)</f>
        <v>46296.418885844905</v>
      </c>
      <c r="T752" s="57">
        <f>tblJTL[[#This Row],[timeStamp]]+tblJTL[[#This Row],[elapsed]]</f>
        <v>1790816591961</v>
      </c>
      <c r="U752" s="61">
        <f>(tblJTL[[#This Row],[timeStamp]]-'17_分析サンプル'!$E$18)/1000</f>
        <v>191.55699999999999</v>
      </c>
      <c r="V752" s="57">
        <f>INT(tblJTL[[#This Row],[経過秒]]/60)</f>
        <v>3</v>
      </c>
      <c r="W752" s="57">
        <f>IF(OR(tblJTL[[#This Row],[success]]=FALSE,tblJTL[[#This Row],[success]]="false"),1,0)</f>
        <v>0</v>
      </c>
      <c r="X752" s="57">
        <f>IF(AND(tblJTL[[#This Row],[経過秒]]&gt;='17_分析サンプル'!$E$11,tblJTL[[#This Row],[経過秒]]&lt;'17_分析サンプル'!$E$12),1,0)</f>
        <v>1</v>
      </c>
    </row>
    <row r="753" spans="2:24" ht="14.4" x14ac:dyDescent="0.3">
      <c r="B753" s="57">
        <v>1790816591862</v>
      </c>
      <c r="C753" s="58">
        <v>207</v>
      </c>
      <c r="D753" s="59" t="s">
        <v>1677</v>
      </c>
      <c r="E753" s="59" t="s">
        <v>3579</v>
      </c>
      <c r="F753" s="59" t="s">
        <v>3580</v>
      </c>
      <c r="G753" s="59" t="s">
        <v>3589</v>
      </c>
      <c r="H753" s="59" t="s">
        <v>2281</v>
      </c>
      <c r="I753" s="59" t="b">
        <v>1</v>
      </c>
      <c r="J753" s="59"/>
      <c r="K753" s="58">
        <v>432</v>
      </c>
      <c r="L753" s="58">
        <v>1478</v>
      </c>
      <c r="M753" s="59">
        <v>10</v>
      </c>
      <c r="N753" s="59">
        <v>10</v>
      </c>
      <c r="O753" s="59" t="s">
        <v>3581</v>
      </c>
      <c r="P753" s="58">
        <v>205</v>
      </c>
      <c r="Q753" s="59">
        <v>0</v>
      </c>
      <c r="R753" s="59">
        <v>0</v>
      </c>
      <c r="S753" s="60">
        <f>tblJTL[[#This Row],[timeStamp]]/86400000+DATE(1970,1,1)+TIME(9,0,0)</f>
        <v>46296.418887291671</v>
      </c>
      <c r="T753" s="57">
        <f>tblJTL[[#This Row],[timeStamp]]+tblJTL[[#This Row],[elapsed]]</f>
        <v>1790816592069</v>
      </c>
      <c r="U753" s="61">
        <f>(tblJTL[[#This Row],[timeStamp]]-'17_分析サンプル'!$E$18)/1000</f>
        <v>191.68199999999999</v>
      </c>
      <c r="V753" s="57">
        <f>INT(tblJTL[[#This Row],[経過秒]]/60)</f>
        <v>3</v>
      </c>
      <c r="W753" s="57">
        <f>IF(OR(tblJTL[[#This Row],[success]]=FALSE,tblJTL[[#This Row],[success]]="false"),1,0)</f>
        <v>0</v>
      </c>
      <c r="X753" s="57">
        <f>IF(AND(tblJTL[[#This Row],[経過秒]]&gt;='17_分析サンプル'!$E$11,tblJTL[[#This Row],[経過秒]]&lt;'17_分析サンプル'!$E$12),1,0)</f>
        <v>1</v>
      </c>
    </row>
    <row r="754" spans="2:24" ht="14.4" x14ac:dyDescent="0.3">
      <c r="B754" s="57">
        <v>1790816592087</v>
      </c>
      <c r="C754" s="58">
        <v>310</v>
      </c>
      <c r="D754" s="59" t="s">
        <v>1677</v>
      </c>
      <c r="E754" s="59" t="s">
        <v>3579</v>
      </c>
      <c r="F754" s="59" t="s">
        <v>3580</v>
      </c>
      <c r="G754" s="59" t="s">
        <v>3582</v>
      </c>
      <c r="H754" s="59" t="s">
        <v>2281</v>
      </c>
      <c r="I754" s="59" t="b">
        <v>1</v>
      </c>
      <c r="J754" s="59"/>
      <c r="K754" s="58">
        <v>426</v>
      </c>
      <c r="L754" s="58">
        <v>1478</v>
      </c>
      <c r="M754" s="59">
        <v>10</v>
      </c>
      <c r="N754" s="59">
        <v>10</v>
      </c>
      <c r="O754" s="59" t="s">
        <v>3581</v>
      </c>
      <c r="P754" s="58">
        <v>305</v>
      </c>
      <c r="Q754" s="59">
        <v>0</v>
      </c>
      <c r="R754" s="59">
        <v>69</v>
      </c>
      <c r="S754" s="60">
        <f>tblJTL[[#This Row],[timeStamp]]/86400000+DATE(1970,1,1)+TIME(9,0,0)</f>
        <v>46296.418889895838</v>
      </c>
      <c r="T754" s="57">
        <f>tblJTL[[#This Row],[timeStamp]]+tblJTL[[#This Row],[elapsed]]</f>
        <v>1790816592397</v>
      </c>
      <c r="U754" s="61">
        <f>(tblJTL[[#This Row],[timeStamp]]-'17_分析サンプル'!$E$18)/1000</f>
        <v>191.90700000000001</v>
      </c>
      <c r="V754" s="57">
        <f>INT(tblJTL[[#This Row],[経過秒]]/60)</f>
        <v>3</v>
      </c>
      <c r="W754" s="57">
        <f>IF(OR(tblJTL[[#This Row],[success]]=FALSE,tblJTL[[#This Row],[success]]="false"),1,0)</f>
        <v>0</v>
      </c>
      <c r="X754" s="57">
        <f>IF(AND(tblJTL[[#This Row],[経過秒]]&gt;='17_分析サンプル'!$E$11,tblJTL[[#This Row],[経過秒]]&lt;'17_分析サンプル'!$E$12),1,0)</f>
        <v>1</v>
      </c>
    </row>
    <row r="755" spans="2:24" ht="14.4" x14ac:dyDescent="0.3">
      <c r="B755" s="57">
        <v>1790816592715</v>
      </c>
      <c r="C755" s="58">
        <v>82</v>
      </c>
      <c r="D755" s="59" t="s">
        <v>1658</v>
      </c>
      <c r="E755" s="59" t="s">
        <v>1577</v>
      </c>
      <c r="F755" s="59" t="s">
        <v>2275</v>
      </c>
      <c r="G755" s="59" t="s">
        <v>3587</v>
      </c>
      <c r="H755" s="59" t="s">
        <v>2281</v>
      </c>
      <c r="I755" s="59" t="b">
        <v>1</v>
      </c>
      <c r="J755" s="59"/>
      <c r="K755" s="58">
        <v>1829</v>
      </c>
      <c r="L755" s="58">
        <v>1342</v>
      </c>
      <c r="M755" s="59">
        <v>10</v>
      </c>
      <c r="N755" s="59">
        <v>10</v>
      </c>
      <c r="O755" s="59" t="s">
        <v>3578</v>
      </c>
      <c r="P755" s="58">
        <v>74</v>
      </c>
      <c r="Q755" s="59">
        <v>0</v>
      </c>
      <c r="R755" s="59">
        <v>0</v>
      </c>
      <c r="S755" s="60">
        <f>tblJTL[[#This Row],[timeStamp]]/86400000+DATE(1970,1,1)+TIME(9,0,0)</f>
        <v>46296.418897164353</v>
      </c>
      <c r="T755" s="57">
        <f>tblJTL[[#This Row],[timeStamp]]+tblJTL[[#This Row],[elapsed]]</f>
        <v>1790816592797</v>
      </c>
      <c r="U755" s="61">
        <f>(tblJTL[[#This Row],[timeStamp]]-'17_分析サンプル'!$E$18)/1000</f>
        <v>192.535</v>
      </c>
      <c r="V755" s="57">
        <f>INT(tblJTL[[#This Row],[経過秒]]/60)</f>
        <v>3</v>
      </c>
      <c r="W755" s="57">
        <f>IF(OR(tblJTL[[#This Row],[success]]=FALSE,tblJTL[[#This Row],[success]]="false"),1,0)</f>
        <v>0</v>
      </c>
      <c r="X755" s="57">
        <f>IF(AND(tblJTL[[#This Row],[経過秒]]&gt;='17_分析サンプル'!$E$11,tblJTL[[#This Row],[経過秒]]&lt;'17_分析サンプル'!$E$12),1,0)</f>
        <v>1</v>
      </c>
    </row>
    <row r="756" spans="2:24" ht="14.4" x14ac:dyDescent="0.3">
      <c r="B756" s="57">
        <v>1790816592669</v>
      </c>
      <c r="C756" s="58">
        <v>292</v>
      </c>
      <c r="D756" s="59" t="s">
        <v>1677</v>
      </c>
      <c r="E756" s="59" t="s">
        <v>3579</v>
      </c>
      <c r="F756" s="59" t="s">
        <v>3580</v>
      </c>
      <c r="G756" s="59" t="s">
        <v>3586</v>
      </c>
      <c r="H756" s="59" t="s">
        <v>2281</v>
      </c>
      <c r="I756" s="59" t="b">
        <v>1</v>
      </c>
      <c r="J756" s="59"/>
      <c r="K756" s="58">
        <v>423</v>
      </c>
      <c r="L756" s="58">
        <v>1478</v>
      </c>
      <c r="M756" s="59">
        <v>10</v>
      </c>
      <c r="N756" s="59">
        <v>10</v>
      </c>
      <c r="O756" s="59" t="s">
        <v>3581</v>
      </c>
      <c r="P756" s="58">
        <v>287</v>
      </c>
      <c r="Q756" s="59">
        <v>0</v>
      </c>
      <c r="R756" s="59">
        <v>0</v>
      </c>
      <c r="S756" s="60">
        <f>tblJTL[[#This Row],[timeStamp]]/86400000+DATE(1970,1,1)+TIME(9,0,0)</f>
        <v>46296.418896631949</v>
      </c>
      <c r="T756" s="57">
        <f>tblJTL[[#This Row],[timeStamp]]+tblJTL[[#This Row],[elapsed]]</f>
        <v>1790816592961</v>
      </c>
      <c r="U756" s="61">
        <f>(tblJTL[[#This Row],[timeStamp]]-'17_分析サンプル'!$E$18)/1000</f>
        <v>192.489</v>
      </c>
      <c r="V756" s="57">
        <f>INT(tblJTL[[#This Row],[経過秒]]/60)</f>
        <v>3</v>
      </c>
      <c r="W756" s="57">
        <f>IF(OR(tblJTL[[#This Row],[success]]=FALSE,tblJTL[[#This Row],[success]]="false"),1,0)</f>
        <v>0</v>
      </c>
      <c r="X756" s="57">
        <f>IF(AND(tblJTL[[#This Row],[経過秒]]&gt;='17_分析サンプル'!$E$11,tblJTL[[#This Row],[経過秒]]&lt;'17_分析サンプル'!$E$12),1,0)</f>
        <v>1</v>
      </c>
    </row>
    <row r="757" spans="2:24" ht="14.4" x14ac:dyDescent="0.3">
      <c r="B757" s="57">
        <v>1790816592858</v>
      </c>
      <c r="C757" s="58">
        <v>115</v>
      </c>
      <c r="D757" s="59" t="s">
        <v>1658</v>
      </c>
      <c r="E757" s="59" t="s">
        <v>1577</v>
      </c>
      <c r="F757" s="59" t="s">
        <v>2275</v>
      </c>
      <c r="G757" s="59" t="s">
        <v>2278</v>
      </c>
      <c r="H757" s="59" t="s">
        <v>2281</v>
      </c>
      <c r="I757" s="59" t="b">
        <v>1</v>
      </c>
      <c r="J757" s="59"/>
      <c r="K757" s="58">
        <v>1871</v>
      </c>
      <c r="L757" s="58">
        <v>1342</v>
      </c>
      <c r="M757" s="59">
        <v>10</v>
      </c>
      <c r="N757" s="59">
        <v>10</v>
      </c>
      <c r="O757" s="59" t="s">
        <v>3578</v>
      </c>
      <c r="P757" s="58">
        <v>112</v>
      </c>
      <c r="Q757" s="59">
        <v>0</v>
      </c>
      <c r="R757" s="59">
        <v>0</v>
      </c>
      <c r="S757" s="60">
        <f>tblJTL[[#This Row],[timeStamp]]/86400000+DATE(1970,1,1)+TIME(9,0,0)</f>
        <v>46296.418898819444</v>
      </c>
      <c r="T757" s="57">
        <f>tblJTL[[#This Row],[timeStamp]]+tblJTL[[#This Row],[elapsed]]</f>
        <v>1790816592973</v>
      </c>
      <c r="U757" s="61">
        <f>(tblJTL[[#This Row],[timeStamp]]-'17_分析サンプル'!$E$18)/1000</f>
        <v>192.678</v>
      </c>
      <c r="V757" s="57">
        <f>INT(tblJTL[[#This Row],[経過秒]]/60)</f>
        <v>3</v>
      </c>
      <c r="W757" s="57">
        <f>IF(OR(tblJTL[[#This Row],[success]]=FALSE,tblJTL[[#This Row],[success]]="false"),1,0)</f>
        <v>0</v>
      </c>
      <c r="X757" s="57">
        <f>IF(AND(tblJTL[[#This Row],[経過秒]]&gt;='17_分析サンプル'!$E$11,tblJTL[[#This Row],[経過秒]]&lt;'17_分析サンプル'!$E$12),1,0)</f>
        <v>1</v>
      </c>
    </row>
    <row r="758" spans="2:24" ht="14.4" x14ac:dyDescent="0.3">
      <c r="B758" s="57">
        <v>1790816592837</v>
      </c>
      <c r="C758" s="58">
        <v>277</v>
      </c>
      <c r="D758" s="59" t="s">
        <v>1677</v>
      </c>
      <c r="E758" s="59" t="s">
        <v>3579</v>
      </c>
      <c r="F758" s="59" t="s">
        <v>3580</v>
      </c>
      <c r="G758" s="59" t="s">
        <v>3585</v>
      </c>
      <c r="H758" s="59" t="s">
        <v>2281</v>
      </c>
      <c r="I758" s="59" t="b">
        <v>1</v>
      </c>
      <c r="J758" s="59"/>
      <c r="K758" s="58">
        <v>428</v>
      </c>
      <c r="L758" s="58">
        <v>1478</v>
      </c>
      <c r="M758" s="59">
        <v>10</v>
      </c>
      <c r="N758" s="59">
        <v>10</v>
      </c>
      <c r="O758" s="59" t="s">
        <v>3581</v>
      </c>
      <c r="P758" s="58">
        <v>270</v>
      </c>
      <c r="Q758" s="59">
        <v>0</v>
      </c>
      <c r="R758" s="59">
        <v>0</v>
      </c>
      <c r="S758" s="60">
        <f>tblJTL[[#This Row],[timeStamp]]/86400000+DATE(1970,1,1)+TIME(9,0,0)</f>
        <v>46296.41889857639</v>
      </c>
      <c r="T758" s="57">
        <f>tblJTL[[#This Row],[timeStamp]]+tblJTL[[#This Row],[elapsed]]</f>
        <v>1790816593114</v>
      </c>
      <c r="U758" s="61">
        <f>(tblJTL[[#This Row],[timeStamp]]-'17_分析サンプル'!$E$18)/1000</f>
        <v>192.65700000000001</v>
      </c>
      <c r="V758" s="57">
        <f>INT(tblJTL[[#This Row],[経過秒]]/60)</f>
        <v>3</v>
      </c>
      <c r="W758" s="57">
        <f>IF(OR(tblJTL[[#This Row],[success]]=FALSE,tblJTL[[#This Row],[success]]="false"),1,0)</f>
        <v>0</v>
      </c>
      <c r="X758" s="57">
        <f>IF(AND(tblJTL[[#This Row],[経過秒]]&gt;='17_分析サンプル'!$E$11,tblJTL[[#This Row],[経過秒]]&lt;'17_分析サンプル'!$E$12),1,0)</f>
        <v>1</v>
      </c>
    </row>
    <row r="759" spans="2:24" ht="14.4" x14ac:dyDescent="0.3">
      <c r="B759" s="57">
        <v>1790816593477</v>
      </c>
      <c r="C759" s="58">
        <v>78</v>
      </c>
      <c r="D759" s="59" t="s">
        <v>1658</v>
      </c>
      <c r="E759" s="59" t="s">
        <v>1577</v>
      </c>
      <c r="F759" s="59" t="s">
        <v>2275</v>
      </c>
      <c r="G759" s="59" t="s">
        <v>3588</v>
      </c>
      <c r="H759" s="59" t="s">
        <v>2281</v>
      </c>
      <c r="I759" s="59" t="b">
        <v>1</v>
      </c>
      <c r="J759" s="59"/>
      <c r="K759" s="58">
        <v>1869</v>
      </c>
      <c r="L759" s="58">
        <v>1342</v>
      </c>
      <c r="M759" s="59">
        <v>10</v>
      </c>
      <c r="N759" s="59">
        <v>10</v>
      </c>
      <c r="O759" s="59" t="s">
        <v>3578</v>
      </c>
      <c r="P759" s="58">
        <v>74</v>
      </c>
      <c r="Q759" s="59">
        <v>0</v>
      </c>
      <c r="R759" s="59">
        <v>0</v>
      </c>
      <c r="S759" s="60">
        <f>tblJTL[[#This Row],[timeStamp]]/86400000+DATE(1970,1,1)+TIME(9,0,0)</f>
        <v>46296.418905983795</v>
      </c>
      <c r="T759" s="57">
        <f>tblJTL[[#This Row],[timeStamp]]+tblJTL[[#This Row],[elapsed]]</f>
        <v>1790816593555</v>
      </c>
      <c r="U759" s="61">
        <f>(tblJTL[[#This Row],[timeStamp]]-'17_分析サンプル'!$E$18)/1000</f>
        <v>193.297</v>
      </c>
      <c r="V759" s="57">
        <f>INT(tblJTL[[#This Row],[経過秒]]/60)</f>
        <v>3</v>
      </c>
      <c r="W759" s="57">
        <f>IF(OR(tblJTL[[#This Row],[success]]=FALSE,tblJTL[[#This Row],[success]]="false"),1,0)</f>
        <v>0</v>
      </c>
      <c r="X759" s="57">
        <f>IF(AND(tblJTL[[#This Row],[経過秒]]&gt;='17_分析サンプル'!$E$11,tblJTL[[#This Row],[経過秒]]&lt;'17_分析サンプル'!$E$12),1,0)</f>
        <v>1</v>
      </c>
    </row>
    <row r="760" spans="2:24" ht="14.4" x14ac:dyDescent="0.3">
      <c r="B760" s="57">
        <v>1790816593452</v>
      </c>
      <c r="C760" s="58">
        <v>120</v>
      </c>
      <c r="D760" s="59" t="s">
        <v>1658</v>
      </c>
      <c r="E760" s="59" t="s">
        <v>1577</v>
      </c>
      <c r="F760" s="59" t="s">
        <v>2275</v>
      </c>
      <c r="G760" s="59" t="s">
        <v>3582</v>
      </c>
      <c r="H760" s="59" t="s">
        <v>2281</v>
      </c>
      <c r="I760" s="59" t="b">
        <v>1</v>
      </c>
      <c r="J760" s="59"/>
      <c r="K760" s="58">
        <v>1874</v>
      </c>
      <c r="L760" s="58">
        <v>1342</v>
      </c>
      <c r="M760" s="59">
        <v>10</v>
      </c>
      <c r="N760" s="59">
        <v>10</v>
      </c>
      <c r="O760" s="59" t="s">
        <v>3578</v>
      </c>
      <c r="P760" s="58">
        <v>112</v>
      </c>
      <c r="Q760" s="59">
        <v>0</v>
      </c>
      <c r="R760" s="59">
        <v>0</v>
      </c>
      <c r="S760" s="60">
        <f>tblJTL[[#This Row],[timeStamp]]/86400000+DATE(1970,1,1)+TIME(9,0,0)</f>
        <v>46296.418905694445</v>
      </c>
      <c r="T760" s="57">
        <f>tblJTL[[#This Row],[timeStamp]]+tblJTL[[#This Row],[elapsed]]</f>
        <v>1790816593572</v>
      </c>
      <c r="U760" s="61">
        <f>(tblJTL[[#This Row],[timeStamp]]-'17_分析サンプル'!$E$18)/1000</f>
        <v>193.27199999999999</v>
      </c>
      <c r="V760" s="57">
        <f>INT(tblJTL[[#This Row],[経過秒]]/60)</f>
        <v>3</v>
      </c>
      <c r="W760" s="57">
        <f>IF(OR(tblJTL[[#This Row],[success]]=FALSE,tblJTL[[#This Row],[success]]="false"),1,0)</f>
        <v>0</v>
      </c>
      <c r="X760" s="57">
        <f>IF(AND(tblJTL[[#This Row],[経過秒]]&gt;='17_分析サンプル'!$E$11,tblJTL[[#This Row],[経過秒]]&lt;'17_分析サンプル'!$E$12),1,0)</f>
        <v>1</v>
      </c>
    </row>
    <row r="761" spans="2:24" ht="14.4" x14ac:dyDescent="0.3">
      <c r="B761" s="57">
        <v>1790816593860</v>
      </c>
      <c r="C761" s="58">
        <v>202</v>
      </c>
      <c r="D761" s="59" t="s">
        <v>1677</v>
      </c>
      <c r="E761" s="59" t="s">
        <v>3579</v>
      </c>
      <c r="F761" s="59" t="s">
        <v>3580</v>
      </c>
      <c r="G761" s="59" t="s">
        <v>3583</v>
      </c>
      <c r="H761" s="59" t="s">
        <v>2281</v>
      </c>
      <c r="I761" s="59" t="b">
        <v>1</v>
      </c>
      <c r="J761" s="59"/>
      <c r="K761" s="58">
        <v>419</v>
      </c>
      <c r="L761" s="58">
        <v>1478</v>
      </c>
      <c r="M761" s="59">
        <v>10</v>
      </c>
      <c r="N761" s="59">
        <v>10</v>
      </c>
      <c r="O761" s="59" t="s">
        <v>3581</v>
      </c>
      <c r="P761" s="58">
        <v>197</v>
      </c>
      <c r="Q761" s="59">
        <v>0</v>
      </c>
      <c r="R761" s="59">
        <v>0</v>
      </c>
      <c r="S761" s="60">
        <f>tblJTL[[#This Row],[timeStamp]]/86400000+DATE(1970,1,1)+TIME(9,0,0)</f>
        <v>46296.418910416665</v>
      </c>
      <c r="T761" s="57">
        <f>tblJTL[[#This Row],[timeStamp]]+tblJTL[[#This Row],[elapsed]]</f>
        <v>1790816594062</v>
      </c>
      <c r="U761" s="61">
        <f>(tblJTL[[#This Row],[timeStamp]]-'17_分析サンプル'!$E$18)/1000</f>
        <v>193.68</v>
      </c>
      <c r="V761" s="57">
        <f>INT(tblJTL[[#This Row],[経過秒]]/60)</f>
        <v>3</v>
      </c>
      <c r="W761" s="57">
        <f>IF(OR(tblJTL[[#This Row],[success]]=FALSE,tblJTL[[#This Row],[success]]="false"),1,0)</f>
        <v>0</v>
      </c>
      <c r="X761" s="57">
        <f>IF(AND(tblJTL[[#This Row],[経過秒]]&gt;='17_分析サンプル'!$E$11,tblJTL[[#This Row],[経過秒]]&lt;'17_分析サンプル'!$E$12),1,0)</f>
        <v>1</v>
      </c>
    </row>
    <row r="762" spans="2:24" ht="14.4" x14ac:dyDescent="0.3">
      <c r="B762" s="57">
        <v>1790816594070</v>
      </c>
      <c r="C762" s="58">
        <v>172</v>
      </c>
      <c r="D762" s="59" t="s">
        <v>1677</v>
      </c>
      <c r="E762" s="59" t="s">
        <v>3579</v>
      </c>
      <c r="F762" s="59" t="s">
        <v>3580</v>
      </c>
      <c r="G762" s="59" t="s">
        <v>2278</v>
      </c>
      <c r="H762" s="59" t="s">
        <v>2281</v>
      </c>
      <c r="I762" s="59" t="b">
        <v>1</v>
      </c>
      <c r="J762" s="59"/>
      <c r="K762" s="58">
        <v>439</v>
      </c>
      <c r="L762" s="58">
        <v>1478</v>
      </c>
      <c r="M762" s="59">
        <v>10</v>
      </c>
      <c r="N762" s="59">
        <v>10</v>
      </c>
      <c r="O762" s="59" t="s">
        <v>3581</v>
      </c>
      <c r="P762" s="58">
        <v>167</v>
      </c>
      <c r="Q762" s="59">
        <v>0</v>
      </c>
      <c r="R762" s="59">
        <v>0</v>
      </c>
      <c r="S762" s="60">
        <f>tblJTL[[#This Row],[timeStamp]]/86400000+DATE(1970,1,1)+TIME(9,0,0)</f>
        <v>46296.418912847221</v>
      </c>
      <c r="T762" s="57">
        <f>tblJTL[[#This Row],[timeStamp]]+tblJTL[[#This Row],[elapsed]]</f>
        <v>1790816594242</v>
      </c>
      <c r="U762" s="61">
        <f>(tblJTL[[#This Row],[timeStamp]]-'17_分析サンプル'!$E$18)/1000</f>
        <v>193.89</v>
      </c>
      <c r="V762" s="57">
        <f>INT(tblJTL[[#This Row],[経過秒]]/60)</f>
        <v>3</v>
      </c>
      <c r="W762" s="57">
        <f>IF(OR(tblJTL[[#This Row],[success]]=FALSE,tblJTL[[#This Row],[success]]="false"),1,0)</f>
        <v>0</v>
      </c>
      <c r="X762" s="57">
        <f>IF(AND(tblJTL[[#This Row],[経過秒]]&gt;='17_分析サンプル'!$E$11,tblJTL[[#This Row],[経過秒]]&lt;'17_分析サンプル'!$E$12),1,0)</f>
        <v>1</v>
      </c>
    </row>
    <row r="763" spans="2:24" ht="14.4" x14ac:dyDescent="0.3">
      <c r="B763" s="57">
        <v>1790816594494</v>
      </c>
      <c r="C763" s="58">
        <v>86</v>
      </c>
      <c r="D763" s="59" t="s">
        <v>1658</v>
      </c>
      <c r="E763" s="59" t="s">
        <v>1577</v>
      </c>
      <c r="F763" s="59" t="s">
        <v>2275</v>
      </c>
      <c r="G763" s="59" t="s">
        <v>3577</v>
      </c>
      <c r="H763" s="59" t="s">
        <v>2281</v>
      </c>
      <c r="I763" s="59" t="b">
        <v>1</v>
      </c>
      <c r="J763" s="59"/>
      <c r="K763" s="58">
        <v>1863</v>
      </c>
      <c r="L763" s="58">
        <v>1342</v>
      </c>
      <c r="M763" s="59">
        <v>10</v>
      </c>
      <c r="N763" s="59">
        <v>10</v>
      </c>
      <c r="O763" s="59" t="s">
        <v>3578</v>
      </c>
      <c r="P763" s="58">
        <v>80</v>
      </c>
      <c r="Q763" s="59">
        <v>0</v>
      </c>
      <c r="R763" s="59">
        <v>0</v>
      </c>
      <c r="S763" s="60">
        <f>tblJTL[[#This Row],[timeStamp]]/86400000+DATE(1970,1,1)+TIME(9,0,0)</f>
        <v>46296.418917754629</v>
      </c>
      <c r="T763" s="57">
        <f>tblJTL[[#This Row],[timeStamp]]+tblJTL[[#This Row],[elapsed]]</f>
        <v>1790816594580</v>
      </c>
      <c r="U763" s="61">
        <f>(tblJTL[[#This Row],[timeStamp]]-'17_分析サンプル'!$E$18)/1000</f>
        <v>194.31399999999999</v>
      </c>
      <c r="V763" s="57">
        <f>INT(tblJTL[[#This Row],[経過秒]]/60)</f>
        <v>3</v>
      </c>
      <c r="W763" s="57">
        <f>IF(OR(tblJTL[[#This Row],[success]]=FALSE,tblJTL[[#This Row],[success]]="false"),1,0)</f>
        <v>0</v>
      </c>
      <c r="X763" s="57">
        <f>IF(AND(tblJTL[[#This Row],[経過秒]]&gt;='17_分析サンプル'!$E$11,tblJTL[[#This Row],[経過秒]]&lt;'17_分析サンプル'!$E$12),1,0)</f>
        <v>1</v>
      </c>
    </row>
    <row r="764" spans="2:24" ht="14.4" x14ac:dyDescent="0.3">
      <c r="B764" s="57">
        <v>1790816594500</v>
      </c>
      <c r="C764" s="58">
        <v>182</v>
      </c>
      <c r="D764" s="59" t="s">
        <v>1658</v>
      </c>
      <c r="E764" s="59" t="s">
        <v>1577</v>
      </c>
      <c r="F764" s="59" t="s">
        <v>2275</v>
      </c>
      <c r="G764" s="59" t="s">
        <v>3586</v>
      </c>
      <c r="H764" s="59" t="s">
        <v>2281</v>
      </c>
      <c r="I764" s="59" t="b">
        <v>1</v>
      </c>
      <c r="J764" s="59"/>
      <c r="K764" s="58">
        <v>1898</v>
      </c>
      <c r="L764" s="58">
        <v>1342</v>
      </c>
      <c r="M764" s="59">
        <v>10</v>
      </c>
      <c r="N764" s="59">
        <v>10</v>
      </c>
      <c r="O764" s="59" t="s">
        <v>3578</v>
      </c>
      <c r="P764" s="58">
        <v>179</v>
      </c>
      <c r="Q764" s="59">
        <v>0</v>
      </c>
      <c r="R764" s="59">
        <v>0</v>
      </c>
      <c r="S764" s="60">
        <f>tblJTL[[#This Row],[timeStamp]]/86400000+DATE(1970,1,1)+TIME(9,0,0)</f>
        <v>46296.418917824078</v>
      </c>
      <c r="T764" s="57">
        <f>tblJTL[[#This Row],[timeStamp]]+tblJTL[[#This Row],[elapsed]]</f>
        <v>1790816594682</v>
      </c>
      <c r="U764" s="61">
        <f>(tblJTL[[#This Row],[timeStamp]]-'17_分析サンプル'!$E$18)/1000</f>
        <v>194.32</v>
      </c>
      <c r="V764" s="57">
        <f>INT(tblJTL[[#This Row],[経過秒]]/60)</f>
        <v>3</v>
      </c>
      <c r="W764" s="57">
        <f>IF(OR(tblJTL[[#This Row],[success]]=FALSE,tblJTL[[#This Row],[success]]="false"),1,0)</f>
        <v>0</v>
      </c>
      <c r="X764" s="57">
        <f>IF(AND(tblJTL[[#This Row],[経過秒]]&gt;='17_分析サンプル'!$E$11,tblJTL[[#This Row],[経過秒]]&lt;'17_分析サンプル'!$E$12),1,0)</f>
        <v>1</v>
      </c>
    </row>
    <row r="765" spans="2:24" ht="14.4" x14ac:dyDescent="0.3">
      <c r="B765" s="57">
        <v>1790816594850</v>
      </c>
      <c r="C765" s="58">
        <v>184</v>
      </c>
      <c r="D765" s="59" t="s">
        <v>1658</v>
      </c>
      <c r="E765" s="59" t="s">
        <v>1577</v>
      </c>
      <c r="F765" s="59" t="s">
        <v>2275</v>
      </c>
      <c r="G765" s="59" t="s">
        <v>3589</v>
      </c>
      <c r="H765" s="59" t="s">
        <v>2281</v>
      </c>
      <c r="I765" s="59" t="b">
        <v>1</v>
      </c>
      <c r="J765" s="59"/>
      <c r="K765" s="58">
        <v>1871</v>
      </c>
      <c r="L765" s="58">
        <v>1342</v>
      </c>
      <c r="M765" s="59">
        <v>10</v>
      </c>
      <c r="N765" s="59">
        <v>10</v>
      </c>
      <c r="O765" s="59" t="s">
        <v>3578</v>
      </c>
      <c r="P765" s="58">
        <v>180</v>
      </c>
      <c r="Q765" s="59">
        <v>0</v>
      </c>
      <c r="R765" s="59">
        <v>0</v>
      </c>
      <c r="S765" s="60">
        <f>tblJTL[[#This Row],[timeStamp]]/86400000+DATE(1970,1,1)+TIME(9,0,0)</f>
        <v>46296.418921874996</v>
      </c>
      <c r="T765" s="57">
        <f>tblJTL[[#This Row],[timeStamp]]+tblJTL[[#This Row],[elapsed]]</f>
        <v>1790816595034</v>
      </c>
      <c r="U765" s="61">
        <f>(tblJTL[[#This Row],[timeStamp]]-'17_分析サンプル'!$E$18)/1000</f>
        <v>194.67</v>
      </c>
      <c r="V765" s="57">
        <f>INT(tblJTL[[#This Row],[経過秒]]/60)</f>
        <v>3</v>
      </c>
      <c r="W765" s="57">
        <f>IF(OR(tblJTL[[#This Row],[success]]=FALSE,tblJTL[[#This Row],[success]]="false"),1,0)</f>
        <v>0</v>
      </c>
      <c r="X765" s="57">
        <f>IF(AND(tblJTL[[#This Row],[経過秒]]&gt;='17_分析サンプル'!$E$11,tblJTL[[#This Row],[経過秒]]&lt;'17_分析サンプル'!$E$12),1,0)</f>
        <v>1</v>
      </c>
    </row>
    <row r="766" spans="2:24" ht="14.4" x14ac:dyDescent="0.3">
      <c r="B766" s="57">
        <v>1790816594926</v>
      </c>
      <c r="C766" s="58">
        <v>150</v>
      </c>
      <c r="D766" s="59" t="s">
        <v>1677</v>
      </c>
      <c r="E766" s="59" t="s">
        <v>3579</v>
      </c>
      <c r="F766" s="59" t="s">
        <v>3580</v>
      </c>
      <c r="G766" s="59" t="s">
        <v>3588</v>
      </c>
      <c r="H766" s="59" t="s">
        <v>2281</v>
      </c>
      <c r="I766" s="59" t="b">
        <v>1</v>
      </c>
      <c r="J766" s="59"/>
      <c r="K766" s="58">
        <v>426</v>
      </c>
      <c r="L766" s="58">
        <v>1478</v>
      </c>
      <c r="M766" s="59">
        <v>10</v>
      </c>
      <c r="N766" s="59">
        <v>10</v>
      </c>
      <c r="O766" s="59" t="s">
        <v>3581</v>
      </c>
      <c r="P766" s="58">
        <v>148</v>
      </c>
      <c r="Q766" s="59">
        <v>0</v>
      </c>
      <c r="R766" s="59">
        <v>0</v>
      </c>
      <c r="S766" s="60">
        <f>tblJTL[[#This Row],[timeStamp]]/86400000+DATE(1970,1,1)+TIME(9,0,0)</f>
        <v>46296.41892275463</v>
      </c>
      <c r="T766" s="57">
        <f>tblJTL[[#This Row],[timeStamp]]+tblJTL[[#This Row],[elapsed]]</f>
        <v>1790816595076</v>
      </c>
      <c r="U766" s="61">
        <f>(tblJTL[[#This Row],[timeStamp]]-'17_分析サンプル'!$E$18)/1000</f>
        <v>194.74600000000001</v>
      </c>
      <c r="V766" s="57">
        <f>INT(tblJTL[[#This Row],[経過秒]]/60)</f>
        <v>3</v>
      </c>
      <c r="W766" s="57">
        <f>IF(OR(tblJTL[[#This Row],[success]]=FALSE,tblJTL[[#This Row],[success]]="false"),1,0)</f>
        <v>0</v>
      </c>
      <c r="X766" s="57">
        <f>IF(AND(tblJTL[[#This Row],[経過秒]]&gt;='17_分析サンプル'!$E$11,tblJTL[[#This Row],[経過秒]]&lt;'17_分析サンプル'!$E$12),1,0)</f>
        <v>1</v>
      </c>
    </row>
    <row r="767" spans="2:24" ht="14.4" x14ac:dyDescent="0.3">
      <c r="B767" s="57">
        <v>1790816594810</v>
      </c>
      <c r="C767" s="58">
        <v>376</v>
      </c>
      <c r="D767" s="59" t="s">
        <v>1677</v>
      </c>
      <c r="E767" s="59" t="s">
        <v>3579</v>
      </c>
      <c r="F767" s="59" t="s">
        <v>3580</v>
      </c>
      <c r="G767" s="59" t="s">
        <v>3584</v>
      </c>
      <c r="H767" s="59" t="s">
        <v>2281</v>
      </c>
      <c r="I767" s="59" t="b">
        <v>1</v>
      </c>
      <c r="J767" s="59"/>
      <c r="K767" s="58">
        <v>425</v>
      </c>
      <c r="L767" s="58">
        <v>1478</v>
      </c>
      <c r="M767" s="59">
        <v>10</v>
      </c>
      <c r="N767" s="59">
        <v>10</v>
      </c>
      <c r="O767" s="59" t="s">
        <v>3581</v>
      </c>
      <c r="P767" s="58">
        <v>372</v>
      </c>
      <c r="Q767" s="59">
        <v>0</v>
      </c>
      <c r="R767" s="59">
        <v>0</v>
      </c>
      <c r="S767" s="60">
        <f>tblJTL[[#This Row],[timeStamp]]/86400000+DATE(1970,1,1)+TIME(9,0,0)</f>
        <v>46296.418921412042</v>
      </c>
      <c r="T767" s="57">
        <f>tblJTL[[#This Row],[timeStamp]]+tblJTL[[#This Row],[elapsed]]</f>
        <v>1790816595186</v>
      </c>
      <c r="U767" s="61">
        <f>(tblJTL[[#This Row],[timeStamp]]-'17_分析サンプル'!$E$18)/1000</f>
        <v>194.63</v>
      </c>
      <c r="V767" s="57">
        <f>INT(tblJTL[[#This Row],[経過秒]]/60)</f>
        <v>3</v>
      </c>
      <c r="W767" s="57">
        <f>IF(OR(tblJTL[[#This Row],[success]]=FALSE,tblJTL[[#This Row],[success]]="false"),1,0)</f>
        <v>0</v>
      </c>
      <c r="X767" s="57">
        <f>IF(AND(tblJTL[[#This Row],[経過秒]]&gt;='17_分析サンプル'!$E$11,tblJTL[[#This Row],[経過秒]]&lt;'17_分析サンプル'!$E$12),1,0)</f>
        <v>1</v>
      </c>
    </row>
    <row r="768" spans="2:24" ht="14.4" x14ac:dyDescent="0.3">
      <c r="B768" s="57">
        <v>1790816595432</v>
      </c>
      <c r="C768" s="58">
        <v>170</v>
      </c>
      <c r="D768" s="59" t="s">
        <v>1677</v>
      </c>
      <c r="E768" s="59" t="s">
        <v>3579</v>
      </c>
      <c r="F768" s="59" t="s">
        <v>3580</v>
      </c>
      <c r="G768" s="59" t="s">
        <v>3587</v>
      </c>
      <c r="H768" s="59" t="s">
        <v>2281</v>
      </c>
      <c r="I768" s="59" t="b">
        <v>1</v>
      </c>
      <c r="J768" s="59"/>
      <c r="K768" s="58">
        <v>428</v>
      </c>
      <c r="L768" s="58">
        <v>1478</v>
      </c>
      <c r="M768" s="59">
        <v>10</v>
      </c>
      <c r="N768" s="59">
        <v>10</v>
      </c>
      <c r="O768" s="59" t="s">
        <v>3581</v>
      </c>
      <c r="P768" s="58">
        <v>162</v>
      </c>
      <c r="Q768" s="59">
        <v>0</v>
      </c>
      <c r="R768" s="59">
        <v>0</v>
      </c>
      <c r="S768" s="60">
        <f>tblJTL[[#This Row],[timeStamp]]/86400000+DATE(1970,1,1)+TIME(9,0,0)</f>
        <v>46296.418928611107</v>
      </c>
      <c r="T768" s="57">
        <f>tblJTL[[#This Row],[timeStamp]]+tblJTL[[#This Row],[elapsed]]</f>
        <v>1790816595602</v>
      </c>
      <c r="U768" s="61">
        <f>(tblJTL[[#This Row],[timeStamp]]-'17_分析サンプル'!$E$18)/1000</f>
        <v>195.25200000000001</v>
      </c>
      <c r="V768" s="57">
        <f>INT(tblJTL[[#This Row],[経過秒]]/60)</f>
        <v>3</v>
      </c>
      <c r="W768" s="57">
        <f>IF(OR(tblJTL[[#This Row],[success]]=FALSE,tblJTL[[#This Row],[success]]="false"),1,0)</f>
        <v>0</v>
      </c>
      <c r="X768" s="57">
        <f>IF(AND(tblJTL[[#This Row],[経過秒]]&gt;='17_分析サンプル'!$E$11,tblJTL[[#This Row],[経過秒]]&lt;'17_分析サンプル'!$E$12),1,0)</f>
        <v>1</v>
      </c>
    </row>
    <row r="769" spans="2:24" ht="14.4" x14ac:dyDescent="0.3">
      <c r="B769" s="57">
        <v>1790816595619</v>
      </c>
      <c r="C769" s="58">
        <v>88</v>
      </c>
      <c r="D769" s="59" t="s">
        <v>1658</v>
      </c>
      <c r="E769" s="59" t="s">
        <v>1577</v>
      </c>
      <c r="F769" s="59" t="s">
        <v>2275</v>
      </c>
      <c r="G769" s="59" t="s">
        <v>3585</v>
      </c>
      <c r="H769" s="59" t="s">
        <v>2281</v>
      </c>
      <c r="I769" s="59" t="b">
        <v>1</v>
      </c>
      <c r="J769" s="59"/>
      <c r="K769" s="58">
        <v>1874</v>
      </c>
      <c r="L769" s="58">
        <v>1342</v>
      </c>
      <c r="M769" s="59">
        <v>10</v>
      </c>
      <c r="N769" s="59">
        <v>10</v>
      </c>
      <c r="O769" s="59" t="s">
        <v>3578</v>
      </c>
      <c r="P769" s="58">
        <v>84</v>
      </c>
      <c r="Q769" s="59">
        <v>0</v>
      </c>
      <c r="R769" s="59">
        <v>0</v>
      </c>
      <c r="S769" s="60">
        <f>tblJTL[[#This Row],[timeStamp]]/86400000+DATE(1970,1,1)+TIME(9,0,0)</f>
        <v>46296.418930775464</v>
      </c>
      <c r="T769" s="57">
        <f>tblJTL[[#This Row],[timeStamp]]+tblJTL[[#This Row],[elapsed]]</f>
        <v>1790816595707</v>
      </c>
      <c r="U769" s="61">
        <f>(tblJTL[[#This Row],[timeStamp]]-'17_分析サンプル'!$E$18)/1000</f>
        <v>195.43899999999999</v>
      </c>
      <c r="V769" s="57">
        <f>INT(tblJTL[[#This Row],[経過秒]]/60)</f>
        <v>3</v>
      </c>
      <c r="W769" s="57">
        <f>IF(OR(tblJTL[[#This Row],[success]]=FALSE,tblJTL[[#This Row],[success]]="false"),1,0)</f>
        <v>0</v>
      </c>
      <c r="X769" s="57">
        <f>IF(AND(tblJTL[[#This Row],[経過秒]]&gt;='17_分析サンプル'!$E$11,tblJTL[[#This Row],[経過秒]]&lt;'17_分析サンプル'!$E$12),1,0)</f>
        <v>1</v>
      </c>
    </row>
    <row r="770" spans="2:24" ht="14.4" x14ac:dyDescent="0.3">
      <c r="B770" s="57">
        <v>1790816595685</v>
      </c>
      <c r="C770" s="58">
        <v>149</v>
      </c>
      <c r="D770" s="59" t="s">
        <v>1658</v>
      </c>
      <c r="E770" s="59" t="s">
        <v>1577</v>
      </c>
      <c r="F770" s="59" t="s">
        <v>2275</v>
      </c>
      <c r="G770" s="59" t="s">
        <v>2278</v>
      </c>
      <c r="H770" s="59" t="s">
        <v>2281</v>
      </c>
      <c r="I770" s="59" t="b">
        <v>1</v>
      </c>
      <c r="J770" s="59"/>
      <c r="K770" s="58">
        <v>1823</v>
      </c>
      <c r="L770" s="58">
        <v>1342</v>
      </c>
      <c r="M770" s="59">
        <v>10</v>
      </c>
      <c r="N770" s="59">
        <v>10</v>
      </c>
      <c r="O770" s="59" t="s">
        <v>3578</v>
      </c>
      <c r="P770" s="58">
        <v>142</v>
      </c>
      <c r="Q770" s="59">
        <v>0</v>
      </c>
      <c r="R770" s="59">
        <v>0</v>
      </c>
      <c r="S770" s="60">
        <f>tblJTL[[#This Row],[timeStamp]]/86400000+DATE(1970,1,1)+TIME(9,0,0)</f>
        <v>46296.418931539352</v>
      </c>
      <c r="T770" s="57">
        <f>tblJTL[[#This Row],[timeStamp]]+tblJTL[[#This Row],[elapsed]]</f>
        <v>1790816595834</v>
      </c>
      <c r="U770" s="61">
        <f>(tblJTL[[#This Row],[timeStamp]]-'17_分析サンプル'!$E$18)/1000</f>
        <v>195.505</v>
      </c>
      <c r="V770" s="57">
        <f>INT(tblJTL[[#This Row],[経過秒]]/60)</f>
        <v>3</v>
      </c>
      <c r="W770" s="57">
        <f>IF(OR(tblJTL[[#This Row],[success]]=FALSE,tblJTL[[#This Row],[success]]="false"),1,0)</f>
        <v>0</v>
      </c>
      <c r="X770" s="57">
        <f>IF(AND(tblJTL[[#This Row],[経過秒]]&gt;='17_分析サンプル'!$E$11,tblJTL[[#This Row],[経過秒]]&lt;'17_分析サンプル'!$E$12),1,0)</f>
        <v>1</v>
      </c>
    </row>
    <row r="771" spans="2:24" ht="14.4" x14ac:dyDescent="0.3">
      <c r="B771" s="57">
        <v>1790816595913</v>
      </c>
      <c r="C771" s="58">
        <v>159</v>
      </c>
      <c r="D771" s="59" t="s">
        <v>1677</v>
      </c>
      <c r="E771" s="59" t="s">
        <v>3579</v>
      </c>
      <c r="F771" s="59" t="s">
        <v>3580</v>
      </c>
      <c r="G771" s="59" t="s">
        <v>3582</v>
      </c>
      <c r="H771" s="59" t="s">
        <v>2281</v>
      </c>
      <c r="I771" s="59" t="b">
        <v>1</v>
      </c>
      <c r="J771" s="59"/>
      <c r="K771" s="58">
        <v>412</v>
      </c>
      <c r="L771" s="58">
        <v>1478</v>
      </c>
      <c r="M771" s="59">
        <v>10</v>
      </c>
      <c r="N771" s="59">
        <v>10</v>
      </c>
      <c r="O771" s="59" t="s">
        <v>3581</v>
      </c>
      <c r="P771" s="58">
        <v>156</v>
      </c>
      <c r="Q771" s="59">
        <v>0</v>
      </c>
      <c r="R771" s="59">
        <v>0</v>
      </c>
      <c r="S771" s="60">
        <f>tblJTL[[#This Row],[timeStamp]]/86400000+DATE(1970,1,1)+TIME(9,0,0)</f>
        <v>46296.41893417824</v>
      </c>
      <c r="T771" s="57">
        <f>tblJTL[[#This Row],[timeStamp]]+tblJTL[[#This Row],[elapsed]]</f>
        <v>1790816596072</v>
      </c>
      <c r="U771" s="61">
        <f>(tblJTL[[#This Row],[timeStamp]]-'17_分析サンプル'!$E$18)/1000</f>
        <v>195.733</v>
      </c>
      <c r="V771" s="57">
        <f>INT(tblJTL[[#This Row],[経過秒]]/60)</f>
        <v>3</v>
      </c>
      <c r="W771" s="57">
        <f>IF(OR(tblJTL[[#This Row],[success]]=FALSE,tblJTL[[#This Row],[success]]="false"),1,0)</f>
        <v>0</v>
      </c>
      <c r="X771" s="57">
        <f>IF(AND(tblJTL[[#This Row],[経過秒]]&gt;='17_分析サンプル'!$E$11,tblJTL[[#This Row],[経過秒]]&lt;'17_分析サンプル'!$E$12),1,0)</f>
        <v>1</v>
      </c>
    </row>
    <row r="772" spans="2:24" ht="14.4" x14ac:dyDescent="0.3">
      <c r="B772" s="57">
        <v>1790816596154</v>
      </c>
      <c r="C772" s="58">
        <v>418</v>
      </c>
      <c r="D772" s="59" t="s">
        <v>1677</v>
      </c>
      <c r="E772" s="59" t="s">
        <v>3579</v>
      </c>
      <c r="F772" s="59" t="s">
        <v>3580</v>
      </c>
      <c r="G772" s="59" t="s">
        <v>3577</v>
      </c>
      <c r="H772" s="59" t="s">
        <v>2281</v>
      </c>
      <c r="I772" s="59" t="b">
        <v>1</v>
      </c>
      <c r="J772" s="59"/>
      <c r="K772" s="58">
        <v>410</v>
      </c>
      <c r="L772" s="58">
        <v>1478</v>
      </c>
      <c r="M772" s="59">
        <v>10</v>
      </c>
      <c r="N772" s="59">
        <v>10</v>
      </c>
      <c r="O772" s="59" t="s">
        <v>3581</v>
      </c>
      <c r="P772" s="58">
        <v>414</v>
      </c>
      <c r="Q772" s="59">
        <v>0</v>
      </c>
      <c r="R772" s="59">
        <v>0</v>
      </c>
      <c r="S772" s="60">
        <f>tblJTL[[#This Row],[timeStamp]]/86400000+DATE(1970,1,1)+TIME(9,0,0)</f>
        <v>46296.418936967588</v>
      </c>
      <c r="T772" s="57">
        <f>tblJTL[[#This Row],[timeStamp]]+tblJTL[[#This Row],[elapsed]]</f>
        <v>1790816596572</v>
      </c>
      <c r="U772" s="61">
        <f>(tblJTL[[#This Row],[timeStamp]]-'17_分析サンプル'!$E$18)/1000</f>
        <v>195.97399999999999</v>
      </c>
      <c r="V772" s="57">
        <f>INT(tblJTL[[#This Row],[経過秒]]/60)</f>
        <v>3</v>
      </c>
      <c r="W772" s="57">
        <f>IF(OR(tblJTL[[#This Row],[success]]=FALSE,tblJTL[[#This Row],[success]]="false"),1,0)</f>
        <v>0</v>
      </c>
      <c r="X772" s="57">
        <f>IF(AND(tblJTL[[#This Row],[経過秒]]&gt;='17_分析サンプル'!$E$11,tblJTL[[#This Row],[経過秒]]&lt;'17_分析サンプル'!$E$12),1,0)</f>
        <v>1</v>
      </c>
    </row>
    <row r="773" spans="2:24" ht="14.4" x14ac:dyDescent="0.3">
      <c r="B773" s="57">
        <v>1790816596751</v>
      </c>
      <c r="C773" s="58">
        <v>242</v>
      </c>
      <c r="D773" s="59" t="s">
        <v>1677</v>
      </c>
      <c r="E773" s="59" t="s">
        <v>3579</v>
      </c>
      <c r="F773" s="59" t="s">
        <v>3580</v>
      </c>
      <c r="G773" s="59" t="s">
        <v>3589</v>
      </c>
      <c r="H773" s="59" t="s">
        <v>2281</v>
      </c>
      <c r="I773" s="59" t="b">
        <v>1</v>
      </c>
      <c r="J773" s="59"/>
      <c r="K773" s="58">
        <v>434</v>
      </c>
      <c r="L773" s="58">
        <v>1478</v>
      </c>
      <c r="M773" s="59">
        <v>10</v>
      </c>
      <c r="N773" s="59">
        <v>10</v>
      </c>
      <c r="O773" s="59" t="s">
        <v>3581</v>
      </c>
      <c r="P773" s="58">
        <v>234</v>
      </c>
      <c r="Q773" s="59">
        <v>0</v>
      </c>
      <c r="R773" s="59">
        <v>0</v>
      </c>
      <c r="S773" s="60">
        <f>tblJTL[[#This Row],[timeStamp]]/86400000+DATE(1970,1,1)+TIME(9,0,0)</f>
        <v>46296.418943877317</v>
      </c>
      <c r="T773" s="57">
        <f>tblJTL[[#This Row],[timeStamp]]+tblJTL[[#This Row],[elapsed]]</f>
        <v>1790816596993</v>
      </c>
      <c r="U773" s="61">
        <f>(tblJTL[[#This Row],[timeStamp]]-'17_分析サンプル'!$E$18)/1000</f>
        <v>196.571</v>
      </c>
      <c r="V773" s="57">
        <f>INT(tblJTL[[#This Row],[経過秒]]/60)</f>
        <v>3</v>
      </c>
      <c r="W773" s="57">
        <f>IF(OR(tblJTL[[#This Row],[success]]=FALSE,tblJTL[[#This Row],[success]]="false"),1,0)</f>
        <v>0</v>
      </c>
      <c r="X773" s="57">
        <f>IF(AND(tblJTL[[#This Row],[経過秒]]&gt;='17_分析サンプル'!$E$11,tblJTL[[#This Row],[経過秒]]&lt;'17_分析サンプル'!$E$12),1,0)</f>
        <v>1</v>
      </c>
    </row>
    <row r="774" spans="2:24" ht="14.4" x14ac:dyDescent="0.3">
      <c r="B774" s="57">
        <v>1790816596911</v>
      </c>
      <c r="C774" s="58">
        <v>114</v>
      </c>
      <c r="D774" s="59" t="s">
        <v>1658</v>
      </c>
      <c r="E774" s="59" t="s">
        <v>1577</v>
      </c>
      <c r="F774" s="59" t="s">
        <v>2275</v>
      </c>
      <c r="G774" s="59" t="s">
        <v>3583</v>
      </c>
      <c r="H774" s="59" t="s">
        <v>2281</v>
      </c>
      <c r="I774" s="59" t="b">
        <v>1</v>
      </c>
      <c r="J774" s="59"/>
      <c r="K774" s="58">
        <v>1878</v>
      </c>
      <c r="L774" s="58">
        <v>1342</v>
      </c>
      <c r="M774" s="59">
        <v>10</v>
      </c>
      <c r="N774" s="59">
        <v>10</v>
      </c>
      <c r="O774" s="59" t="s">
        <v>3578</v>
      </c>
      <c r="P774" s="58">
        <v>106</v>
      </c>
      <c r="Q774" s="59">
        <v>0</v>
      </c>
      <c r="R774" s="59">
        <v>0</v>
      </c>
      <c r="S774" s="60">
        <f>tblJTL[[#This Row],[timeStamp]]/86400000+DATE(1970,1,1)+TIME(9,0,0)</f>
        <v>46296.418945729165</v>
      </c>
      <c r="T774" s="57">
        <f>tblJTL[[#This Row],[timeStamp]]+tblJTL[[#This Row],[elapsed]]</f>
        <v>1790816597025</v>
      </c>
      <c r="U774" s="61">
        <f>(tblJTL[[#This Row],[timeStamp]]-'17_分析サンプル'!$E$18)/1000</f>
        <v>196.73099999999999</v>
      </c>
      <c r="V774" s="57">
        <f>INT(tblJTL[[#This Row],[経過秒]]/60)</f>
        <v>3</v>
      </c>
      <c r="W774" s="57">
        <f>IF(OR(tblJTL[[#This Row],[success]]=FALSE,tblJTL[[#This Row],[success]]="false"),1,0)</f>
        <v>0</v>
      </c>
      <c r="X774" s="57">
        <f>IF(AND(tblJTL[[#This Row],[経過秒]]&gt;='17_分析サンプル'!$E$11,tblJTL[[#This Row],[経過秒]]&lt;'17_分析サンプル'!$E$12),1,0)</f>
        <v>1</v>
      </c>
    </row>
    <row r="775" spans="2:24" ht="14.4" x14ac:dyDescent="0.3">
      <c r="B775" s="57">
        <v>1790816596904</v>
      </c>
      <c r="C775" s="58">
        <v>339</v>
      </c>
      <c r="D775" s="59" t="s">
        <v>1677</v>
      </c>
      <c r="E775" s="59" t="s">
        <v>3579</v>
      </c>
      <c r="F775" s="59" t="s">
        <v>3580</v>
      </c>
      <c r="G775" s="59" t="s">
        <v>3586</v>
      </c>
      <c r="H775" s="59" t="s">
        <v>2281</v>
      </c>
      <c r="I775" s="59" t="b">
        <v>1</v>
      </c>
      <c r="J775" s="59"/>
      <c r="K775" s="58">
        <v>418</v>
      </c>
      <c r="L775" s="58">
        <v>1478</v>
      </c>
      <c r="M775" s="59">
        <v>10</v>
      </c>
      <c r="N775" s="59">
        <v>10</v>
      </c>
      <c r="O775" s="59" t="s">
        <v>3581</v>
      </c>
      <c r="P775" s="58">
        <v>336</v>
      </c>
      <c r="Q775" s="59">
        <v>0</v>
      </c>
      <c r="R775" s="59">
        <v>0</v>
      </c>
      <c r="S775" s="60">
        <f>tblJTL[[#This Row],[timeStamp]]/86400000+DATE(1970,1,1)+TIME(9,0,0)</f>
        <v>46296.418945648147</v>
      </c>
      <c r="T775" s="57">
        <f>tblJTL[[#This Row],[timeStamp]]+tblJTL[[#This Row],[elapsed]]</f>
        <v>1790816597243</v>
      </c>
      <c r="U775" s="61">
        <f>(tblJTL[[#This Row],[timeStamp]]-'17_分析サンプル'!$E$18)/1000</f>
        <v>196.72399999999999</v>
      </c>
      <c r="V775" s="57">
        <f>INT(tblJTL[[#This Row],[経過秒]]/60)</f>
        <v>3</v>
      </c>
      <c r="W775" s="57">
        <f>IF(OR(tblJTL[[#This Row],[success]]=FALSE,tblJTL[[#This Row],[success]]="false"),1,0)</f>
        <v>0</v>
      </c>
      <c r="X775" s="57">
        <f>IF(AND(tblJTL[[#This Row],[経過秒]]&gt;='17_分析サンプル'!$E$11,tblJTL[[#This Row],[経過秒]]&lt;'17_分析サンプル'!$E$12),1,0)</f>
        <v>1</v>
      </c>
    </row>
    <row r="776" spans="2:24" ht="14.4" x14ac:dyDescent="0.3">
      <c r="B776" s="57">
        <v>1790816597240</v>
      </c>
      <c r="C776" s="58">
        <v>205</v>
      </c>
      <c r="D776" s="59" t="s">
        <v>1658</v>
      </c>
      <c r="E776" s="59" t="s">
        <v>1577</v>
      </c>
      <c r="F776" s="59" t="s">
        <v>2275</v>
      </c>
      <c r="G776" s="59" t="s">
        <v>3588</v>
      </c>
      <c r="H776" s="59" t="s">
        <v>2281</v>
      </c>
      <c r="I776" s="59" t="b">
        <v>1</v>
      </c>
      <c r="J776" s="59"/>
      <c r="K776" s="58">
        <v>1869</v>
      </c>
      <c r="L776" s="58">
        <v>1342</v>
      </c>
      <c r="M776" s="59">
        <v>10</v>
      </c>
      <c r="N776" s="59">
        <v>10</v>
      </c>
      <c r="O776" s="59" t="s">
        <v>3578</v>
      </c>
      <c r="P776" s="58">
        <v>198</v>
      </c>
      <c r="Q776" s="59">
        <v>0</v>
      </c>
      <c r="R776" s="59">
        <v>0</v>
      </c>
      <c r="S776" s="60">
        <f>tblJTL[[#This Row],[timeStamp]]/86400000+DATE(1970,1,1)+TIME(9,0,0)</f>
        <v>46296.418949537037</v>
      </c>
      <c r="T776" s="57">
        <f>tblJTL[[#This Row],[timeStamp]]+tblJTL[[#This Row],[elapsed]]</f>
        <v>1790816597445</v>
      </c>
      <c r="U776" s="61">
        <f>(tblJTL[[#This Row],[timeStamp]]-'17_分析サンプル'!$E$18)/1000</f>
        <v>197.06</v>
      </c>
      <c r="V776" s="57">
        <f>INT(tblJTL[[#This Row],[経過秒]]/60)</f>
        <v>3</v>
      </c>
      <c r="W776" s="57">
        <f>IF(OR(tblJTL[[#This Row],[success]]=FALSE,tblJTL[[#This Row],[success]]="false"),1,0)</f>
        <v>0</v>
      </c>
      <c r="X776" s="57">
        <f>IF(AND(tblJTL[[#This Row],[経過秒]]&gt;='17_分析サンプル'!$E$11,tblJTL[[#This Row],[経過秒]]&lt;'17_分析サンプル'!$E$12),1,0)</f>
        <v>1</v>
      </c>
    </row>
    <row r="777" spans="2:24" ht="14.4" x14ac:dyDescent="0.3">
      <c r="B777" s="57">
        <v>1790816597777</v>
      </c>
      <c r="C777" s="58">
        <v>78</v>
      </c>
      <c r="D777" s="59" t="s">
        <v>1658</v>
      </c>
      <c r="E777" s="59" t="s">
        <v>1577</v>
      </c>
      <c r="F777" s="59" t="s">
        <v>2275</v>
      </c>
      <c r="G777" s="59" t="s">
        <v>3584</v>
      </c>
      <c r="H777" s="59" t="s">
        <v>2281</v>
      </c>
      <c r="I777" s="59" t="b">
        <v>1</v>
      </c>
      <c r="J777" s="59"/>
      <c r="K777" s="58">
        <v>1843</v>
      </c>
      <c r="L777" s="58">
        <v>1342</v>
      </c>
      <c r="M777" s="59">
        <v>10</v>
      </c>
      <c r="N777" s="59">
        <v>10</v>
      </c>
      <c r="O777" s="59" t="s">
        <v>3578</v>
      </c>
      <c r="P777" s="58">
        <v>73</v>
      </c>
      <c r="Q777" s="59">
        <v>0</v>
      </c>
      <c r="R777" s="59">
        <v>0</v>
      </c>
      <c r="S777" s="60">
        <f>tblJTL[[#This Row],[timeStamp]]/86400000+DATE(1970,1,1)+TIME(9,0,0)</f>
        <v>46296.418955752313</v>
      </c>
      <c r="T777" s="57">
        <f>tblJTL[[#This Row],[timeStamp]]+tblJTL[[#This Row],[elapsed]]</f>
        <v>1790816597855</v>
      </c>
      <c r="U777" s="61">
        <f>(tblJTL[[#This Row],[timeStamp]]-'17_分析サンプル'!$E$18)/1000</f>
        <v>197.59700000000001</v>
      </c>
      <c r="V777" s="57">
        <f>INT(tblJTL[[#This Row],[経過秒]]/60)</f>
        <v>3</v>
      </c>
      <c r="W777" s="57">
        <f>IF(OR(tblJTL[[#This Row],[success]]=FALSE,tblJTL[[#This Row],[success]]="false"),1,0)</f>
        <v>0</v>
      </c>
      <c r="X777" s="57">
        <f>IF(AND(tblJTL[[#This Row],[経過秒]]&gt;='17_分析サンプル'!$E$11,tblJTL[[#This Row],[経過秒]]&lt;'17_分析サンプル'!$E$12),1,0)</f>
        <v>1</v>
      </c>
    </row>
    <row r="778" spans="2:24" ht="14.4" x14ac:dyDescent="0.3">
      <c r="B778" s="57">
        <v>1790816598371</v>
      </c>
      <c r="C778" s="58">
        <v>134</v>
      </c>
      <c r="D778" s="59" t="s">
        <v>1658</v>
      </c>
      <c r="E778" s="59" t="s">
        <v>1577</v>
      </c>
      <c r="F778" s="59" t="s">
        <v>2275</v>
      </c>
      <c r="G778" s="59" t="s">
        <v>3587</v>
      </c>
      <c r="H778" s="59" t="s">
        <v>2281</v>
      </c>
      <c r="I778" s="59" t="b">
        <v>1</v>
      </c>
      <c r="J778" s="59"/>
      <c r="K778" s="58">
        <v>1896</v>
      </c>
      <c r="L778" s="58">
        <v>1342</v>
      </c>
      <c r="M778" s="59">
        <v>10</v>
      </c>
      <c r="N778" s="59">
        <v>10</v>
      </c>
      <c r="O778" s="59" t="s">
        <v>3578</v>
      </c>
      <c r="P778" s="58">
        <v>131</v>
      </c>
      <c r="Q778" s="59">
        <v>0</v>
      </c>
      <c r="R778" s="59">
        <v>0</v>
      </c>
      <c r="S778" s="60">
        <f>tblJTL[[#This Row],[timeStamp]]/86400000+DATE(1970,1,1)+TIME(9,0,0)</f>
        <v>46296.418962627315</v>
      </c>
      <c r="T778" s="57">
        <f>tblJTL[[#This Row],[timeStamp]]+tblJTL[[#This Row],[elapsed]]</f>
        <v>1790816598505</v>
      </c>
      <c r="U778" s="61">
        <f>(tblJTL[[#This Row],[timeStamp]]-'17_分析サンプル'!$E$18)/1000</f>
        <v>198.191</v>
      </c>
      <c r="V778" s="57">
        <f>INT(tblJTL[[#This Row],[経過秒]]/60)</f>
        <v>3</v>
      </c>
      <c r="W778" s="57">
        <f>IF(OR(tblJTL[[#This Row],[success]]=FALSE,tblJTL[[#This Row],[success]]="false"),1,0)</f>
        <v>0</v>
      </c>
      <c r="X778" s="57">
        <f>IF(AND(tblJTL[[#This Row],[経過秒]]&gt;='17_分析サンプル'!$E$11,tblJTL[[#This Row],[経過秒]]&lt;'17_分析サンプル'!$E$12),1,0)</f>
        <v>1</v>
      </c>
    </row>
    <row r="779" spans="2:24" ht="14.4" x14ac:dyDescent="0.3">
      <c r="B779" s="57">
        <v>1790816598402</v>
      </c>
      <c r="C779" s="58">
        <v>156</v>
      </c>
      <c r="D779" s="59" t="s">
        <v>1658</v>
      </c>
      <c r="E779" s="59" t="s">
        <v>1577</v>
      </c>
      <c r="F779" s="59" t="s">
        <v>2275</v>
      </c>
      <c r="G779" s="59" t="s">
        <v>3582</v>
      </c>
      <c r="H779" s="59" t="s">
        <v>2281</v>
      </c>
      <c r="I779" s="59" t="b">
        <v>1</v>
      </c>
      <c r="J779" s="59"/>
      <c r="K779" s="58">
        <v>1888</v>
      </c>
      <c r="L779" s="58">
        <v>1342</v>
      </c>
      <c r="M779" s="59">
        <v>10</v>
      </c>
      <c r="N779" s="59">
        <v>10</v>
      </c>
      <c r="O779" s="59" t="s">
        <v>3578</v>
      </c>
      <c r="P779" s="58">
        <v>154</v>
      </c>
      <c r="Q779" s="59">
        <v>0</v>
      </c>
      <c r="R779" s="59">
        <v>0</v>
      </c>
      <c r="S779" s="60">
        <f>tblJTL[[#This Row],[timeStamp]]/86400000+DATE(1970,1,1)+TIME(9,0,0)</f>
        <v>46296.418962986107</v>
      </c>
      <c r="T779" s="57">
        <f>tblJTL[[#This Row],[timeStamp]]+tblJTL[[#This Row],[elapsed]]</f>
        <v>1790816598558</v>
      </c>
      <c r="U779" s="61">
        <f>(tblJTL[[#This Row],[timeStamp]]-'17_分析サンプル'!$E$18)/1000</f>
        <v>198.22200000000001</v>
      </c>
      <c r="V779" s="57">
        <f>INT(tblJTL[[#This Row],[経過秒]]/60)</f>
        <v>3</v>
      </c>
      <c r="W779" s="57">
        <f>IF(OR(tblJTL[[#This Row],[success]]=FALSE,tblJTL[[#This Row],[success]]="false"),1,0)</f>
        <v>0</v>
      </c>
      <c r="X779" s="57">
        <f>IF(AND(tblJTL[[#This Row],[経過秒]]&gt;='17_分析サンプル'!$E$11,tblJTL[[#This Row],[経過秒]]&lt;'17_分析サンプル'!$E$12),1,0)</f>
        <v>1</v>
      </c>
    </row>
    <row r="780" spans="2:24" ht="14.4" x14ac:dyDescent="0.3">
      <c r="B780" s="57">
        <v>1790816598457</v>
      </c>
      <c r="C780" s="58">
        <v>217</v>
      </c>
      <c r="D780" s="59" t="s">
        <v>1677</v>
      </c>
      <c r="E780" s="59" t="s">
        <v>3579</v>
      </c>
      <c r="F780" s="59" t="s">
        <v>3580</v>
      </c>
      <c r="G780" s="59" t="s">
        <v>3588</v>
      </c>
      <c r="H780" s="59" t="s">
        <v>2281</v>
      </c>
      <c r="I780" s="59" t="b">
        <v>1</v>
      </c>
      <c r="J780" s="59"/>
      <c r="K780" s="58">
        <v>438</v>
      </c>
      <c r="L780" s="58">
        <v>1478</v>
      </c>
      <c r="M780" s="59">
        <v>10</v>
      </c>
      <c r="N780" s="59">
        <v>10</v>
      </c>
      <c r="O780" s="59" t="s">
        <v>3581</v>
      </c>
      <c r="P780" s="58">
        <v>210</v>
      </c>
      <c r="Q780" s="59">
        <v>0</v>
      </c>
      <c r="R780" s="59">
        <v>0</v>
      </c>
      <c r="S780" s="60">
        <f>tblJTL[[#This Row],[timeStamp]]/86400000+DATE(1970,1,1)+TIME(9,0,0)</f>
        <v>46296.41896362268</v>
      </c>
      <c r="T780" s="57">
        <f>tblJTL[[#This Row],[timeStamp]]+tblJTL[[#This Row],[elapsed]]</f>
        <v>1790816598674</v>
      </c>
      <c r="U780" s="61">
        <f>(tblJTL[[#This Row],[timeStamp]]-'17_分析サンプル'!$E$18)/1000</f>
        <v>198.27699999999999</v>
      </c>
      <c r="V780" s="57">
        <f>INT(tblJTL[[#This Row],[経過秒]]/60)</f>
        <v>3</v>
      </c>
      <c r="W780" s="57">
        <f>IF(OR(tblJTL[[#This Row],[success]]=FALSE,tblJTL[[#This Row],[success]]="false"),1,0)</f>
        <v>0</v>
      </c>
      <c r="X780" s="57">
        <f>IF(AND(tblJTL[[#This Row],[経過秒]]&gt;='17_分析サンプル'!$E$11,tblJTL[[#This Row],[経過秒]]&lt;'17_分析サンプル'!$E$12),1,0)</f>
        <v>1</v>
      </c>
    </row>
    <row r="781" spans="2:24" ht="14.4" x14ac:dyDescent="0.3">
      <c r="B781" s="57">
        <v>1790816598484</v>
      </c>
      <c r="C781" s="58">
        <v>286</v>
      </c>
      <c r="D781" s="59" t="s">
        <v>1677</v>
      </c>
      <c r="E781" s="59" t="s">
        <v>3579</v>
      </c>
      <c r="F781" s="59" t="s">
        <v>3580</v>
      </c>
      <c r="G781" s="59" t="s">
        <v>2278</v>
      </c>
      <c r="H781" s="59" t="s">
        <v>2281</v>
      </c>
      <c r="I781" s="59" t="b">
        <v>1</v>
      </c>
      <c r="J781" s="59"/>
      <c r="K781" s="58">
        <v>428</v>
      </c>
      <c r="L781" s="58">
        <v>1478</v>
      </c>
      <c r="M781" s="59">
        <v>10</v>
      </c>
      <c r="N781" s="59">
        <v>10</v>
      </c>
      <c r="O781" s="59" t="s">
        <v>3581</v>
      </c>
      <c r="P781" s="58">
        <v>284</v>
      </c>
      <c r="Q781" s="59">
        <v>0</v>
      </c>
      <c r="R781" s="59">
        <v>65</v>
      </c>
      <c r="S781" s="60">
        <f>tblJTL[[#This Row],[timeStamp]]/86400000+DATE(1970,1,1)+TIME(9,0,0)</f>
        <v>46296.418963935183</v>
      </c>
      <c r="T781" s="57">
        <f>tblJTL[[#This Row],[timeStamp]]+tblJTL[[#This Row],[elapsed]]</f>
        <v>1790816598770</v>
      </c>
      <c r="U781" s="61">
        <f>(tblJTL[[#This Row],[timeStamp]]-'17_分析サンプル'!$E$18)/1000</f>
        <v>198.304</v>
      </c>
      <c r="V781" s="57">
        <f>INT(tblJTL[[#This Row],[経過秒]]/60)</f>
        <v>3</v>
      </c>
      <c r="W781" s="57">
        <f>IF(OR(tblJTL[[#This Row],[success]]=FALSE,tblJTL[[#This Row],[success]]="false"),1,0)</f>
        <v>0</v>
      </c>
      <c r="X781" s="57">
        <f>IF(AND(tblJTL[[#This Row],[経過秒]]&gt;='17_分析サンプル'!$E$11,tblJTL[[#This Row],[経過秒]]&lt;'17_分析サンプル'!$E$12),1,0)</f>
        <v>1</v>
      </c>
    </row>
    <row r="782" spans="2:24" ht="14.4" x14ac:dyDescent="0.3">
      <c r="B782" s="57">
        <v>1790816598641</v>
      </c>
      <c r="C782" s="58">
        <v>175</v>
      </c>
      <c r="D782" s="59" t="s">
        <v>1658</v>
      </c>
      <c r="E782" s="59" t="s">
        <v>1577</v>
      </c>
      <c r="F782" s="59" t="s">
        <v>2275</v>
      </c>
      <c r="G782" s="59" t="s">
        <v>3589</v>
      </c>
      <c r="H782" s="59" t="s">
        <v>2281</v>
      </c>
      <c r="I782" s="59" t="b">
        <v>1</v>
      </c>
      <c r="J782" s="59"/>
      <c r="K782" s="58">
        <v>1876</v>
      </c>
      <c r="L782" s="58">
        <v>1342</v>
      </c>
      <c r="M782" s="59">
        <v>10</v>
      </c>
      <c r="N782" s="59">
        <v>10</v>
      </c>
      <c r="O782" s="59" t="s">
        <v>3578</v>
      </c>
      <c r="P782" s="58">
        <v>173</v>
      </c>
      <c r="Q782" s="59">
        <v>0</v>
      </c>
      <c r="R782" s="59">
        <v>0</v>
      </c>
      <c r="S782" s="60">
        <f>tblJTL[[#This Row],[timeStamp]]/86400000+DATE(1970,1,1)+TIME(9,0,0)</f>
        <v>46296.418965752317</v>
      </c>
      <c r="T782" s="57">
        <f>tblJTL[[#This Row],[timeStamp]]+tblJTL[[#This Row],[elapsed]]</f>
        <v>1790816598816</v>
      </c>
      <c r="U782" s="61">
        <f>(tblJTL[[#This Row],[timeStamp]]-'17_分析サンプル'!$E$18)/1000</f>
        <v>198.46100000000001</v>
      </c>
      <c r="V782" s="57">
        <f>INT(tblJTL[[#This Row],[経過秒]]/60)</f>
        <v>3</v>
      </c>
      <c r="W782" s="57">
        <f>IF(OR(tblJTL[[#This Row],[success]]=FALSE,tblJTL[[#This Row],[success]]="false"),1,0)</f>
        <v>0</v>
      </c>
      <c r="X782" s="57">
        <f>IF(AND(tblJTL[[#This Row],[経過秒]]&gt;='17_分析サンプル'!$E$11,tblJTL[[#This Row],[経過秒]]&lt;'17_分析サンプル'!$E$12),1,0)</f>
        <v>1</v>
      </c>
    </row>
    <row r="783" spans="2:24" ht="14.4" x14ac:dyDescent="0.3">
      <c r="B783" s="57">
        <v>1790816598697</v>
      </c>
      <c r="C783" s="58">
        <v>220</v>
      </c>
      <c r="D783" s="59" t="s">
        <v>1677</v>
      </c>
      <c r="E783" s="59" t="s">
        <v>3579</v>
      </c>
      <c r="F783" s="59" t="s">
        <v>3580</v>
      </c>
      <c r="G783" s="59" t="s">
        <v>3585</v>
      </c>
      <c r="H783" s="59" t="s">
        <v>2281</v>
      </c>
      <c r="I783" s="59" t="b">
        <v>1</v>
      </c>
      <c r="J783" s="59"/>
      <c r="K783" s="58">
        <v>429</v>
      </c>
      <c r="L783" s="58">
        <v>1478</v>
      </c>
      <c r="M783" s="59">
        <v>10</v>
      </c>
      <c r="N783" s="59">
        <v>10</v>
      </c>
      <c r="O783" s="59" t="s">
        <v>3581</v>
      </c>
      <c r="P783" s="58">
        <v>214</v>
      </c>
      <c r="Q783" s="59">
        <v>0</v>
      </c>
      <c r="R783" s="59">
        <v>0</v>
      </c>
      <c r="S783" s="60">
        <f>tblJTL[[#This Row],[timeStamp]]/86400000+DATE(1970,1,1)+TIME(9,0,0)</f>
        <v>46296.418966400466</v>
      </c>
      <c r="T783" s="57">
        <f>tblJTL[[#This Row],[timeStamp]]+tblJTL[[#This Row],[elapsed]]</f>
        <v>1790816598917</v>
      </c>
      <c r="U783" s="61">
        <f>(tblJTL[[#This Row],[timeStamp]]-'17_分析サンプル'!$E$18)/1000</f>
        <v>198.517</v>
      </c>
      <c r="V783" s="57">
        <f>INT(tblJTL[[#This Row],[経過秒]]/60)</f>
        <v>3</v>
      </c>
      <c r="W783" s="57">
        <f>IF(OR(tblJTL[[#This Row],[success]]=FALSE,tblJTL[[#This Row],[success]]="false"),1,0)</f>
        <v>0</v>
      </c>
      <c r="X783" s="57">
        <f>IF(AND(tblJTL[[#This Row],[経過秒]]&gt;='17_分析サンプル'!$E$11,tblJTL[[#This Row],[経過秒]]&lt;'17_分析サンプル'!$E$12),1,0)</f>
        <v>1</v>
      </c>
    </row>
    <row r="784" spans="2:24" ht="14.4" x14ac:dyDescent="0.3">
      <c r="B784" s="57">
        <v>1790816598949</v>
      </c>
      <c r="C784" s="58">
        <v>174</v>
      </c>
      <c r="D784" s="59" t="s">
        <v>1658</v>
      </c>
      <c r="E784" s="59" t="s">
        <v>1577</v>
      </c>
      <c r="F784" s="59" t="s">
        <v>2275</v>
      </c>
      <c r="G784" s="59" t="s">
        <v>3586</v>
      </c>
      <c r="H784" s="59" t="s">
        <v>2281</v>
      </c>
      <c r="I784" s="59" t="b">
        <v>1</v>
      </c>
      <c r="J784" s="59"/>
      <c r="K784" s="58">
        <v>1894</v>
      </c>
      <c r="L784" s="58">
        <v>1342</v>
      </c>
      <c r="M784" s="59">
        <v>10</v>
      </c>
      <c r="N784" s="59">
        <v>10</v>
      </c>
      <c r="O784" s="59" t="s">
        <v>3578</v>
      </c>
      <c r="P784" s="58">
        <v>171</v>
      </c>
      <c r="Q784" s="59">
        <v>0</v>
      </c>
      <c r="R784" s="59">
        <v>0</v>
      </c>
      <c r="S784" s="60">
        <f>tblJTL[[#This Row],[timeStamp]]/86400000+DATE(1970,1,1)+TIME(9,0,0)</f>
        <v>46296.418969317128</v>
      </c>
      <c r="T784" s="57">
        <f>tblJTL[[#This Row],[timeStamp]]+tblJTL[[#This Row],[elapsed]]</f>
        <v>1790816599123</v>
      </c>
      <c r="U784" s="61">
        <f>(tblJTL[[#This Row],[timeStamp]]-'17_分析サンプル'!$E$18)/1000</f>
        <v>198.76900000000001</v>
      </c>
      <c r="V784" s="57">
        <f>INT(tblJTL[[#This Row],[経過秒]]/60)</f>
        <v>3</v>
      </c>
      <c r="W784" s="57">
        <f>IF(OR(tblJTL[[#This Row],[success]]=FALSE,tblJTL[[#This Row],[success]]="false"),1,0)</f>
        <v>0</v>
      </c>
      <c r="X784" s="57">
        <f>IF(AND(tblJTL[[#This Row],[経過秒]]&gt;='17_分析サンプル'!$E$11,tblJTL[[#This Row],[経過秒]]&lt;'17_分析サンプル'!$E$12),1,0)</f>
        <v>1</v>
      </c>
    </row>
    <row r="785" spans="2:24" ht="14.4" x14ac:dyDescent="0.3">
      <c r="B785" s="57">
        <v>1790816599339</v>
      </c>
      <c r="C785" s="58">
        <v>105</v>
      </c>
      <c r="D785" s="59" t="s">
        <v>1658</v>
      </c>
      <c r="E785" s="59" t="s">
        <v>1577</v>
      </c>
      <c r="F785" s="59" t="s">
        <v>2275</v>
      </c>
      <c r="G785" s="59" t="s">
        <v>3577</v>
      </c>
      <c r="H785" s="59" t="s">
        <v>2281</v>
      </c>
      <c r="I785" s="59" t="b">
        <v>1</v>
      </c>
      <c r="J785" s="59"/>
      <c r="K785" s="58">
        <v>1834</v>
      </c>
      <c r="L785" s="58">
        <v>1342</v>
      </c>
      <c r="M785" s="59">
        <v>10</v>
      </c>
      <c r="N785" s="59">
        <v>10</v>
      </c>
      <c r="O785" s="59" t="s">
        <v>3578</v>
      </c>
      <c r="P785" s="58">
        <v>99</v>
      </c>
      <c r="Q785" s="59">
        <v>0</v>
      </c>
      <c r="R785" s="59">
        <v>0</v>
      </c>
      <c r="S785" s="60">
        <f>tblJTL[[#This Row],[timeStamp]]/86400000+DATE(1970,1,1)+TIME(9,0,0)</f>
        <v>46296.418973831023</v>
      </c>
      <c r="T785" s="57">
        <f>tblJTL[[#This Row],[timeStamp]]+tblJTL[[#This Row],[elapsed]]</f>
        <v>1790816599444</v>
      </c>
      <c r="U785" s="61">
        <f>(tblJTL[[#This Row],[timeStamp]]-'17_分析サンプル'!$E$18)/1000</f>
        <v>199.15899999999999</v>
      </c>
      <c r="V785" s="57">
        <f>INT(tblJTL[[#This Row],[経過秒]]/60)</f>
        <v>3</v>
      </c>
      <c r="W785" s="57">
        <f>IF(OR(tblJTL[[#This Row],[success]]=FALSE,tblJTL[[#This Row],[success]]="false"),1,0)</f>
        <v>0</v>
      </c>
      <c r="X785" s="57">
        <f>IF(AND(tblJTL[[#This Row],[経過秒]]&gt;='17_分析サンプル'!$E$11,tblJTL[[#This Row],[経過秒]]&lt;'17_分析サンプル'!$E$12),1,0)</f>
        <v>1</v>
      </c>
    </row>
    <row r="786" spans="2:24" ht="14.4" x14ac:dyDescent="0.3">
      <c r="B786" s="57">
        <v>1790816599766</v>
      </c>
      <c r="C786" s="58">
        <v>220</v>
      </c>
      <c r="D786" s="59" t="s">
        <v>1677</v>
      </c>
      <c r="E786" s="59" t="s">
        <v>3579</v>
      </c>
      <c r="F786" s="59" t="s">
        <v>3580</v>
      </c>
      <c r="G786" s="59" t="s">
        <v>3583</v>
      </c>
      <c r="H786" s="59" t="s">
        <v>2281</v>
      </c>
      <c r="I786" s="59" t="b">
        <v>1</v>
      </c>
      <c r="J786" s="59"/>
      <c r="K786" s="58">
        <v>430</v>
      </c>
      <c r="L786" s="58">
        <v>1478</v>
      </c>
      <c r="M786" s="59">
        <v>10</v>
      </c>
      <c r="N786" s="59">
        <v>10</v>
      </c>
      <c r="O786" s="59" t="s">
        <v>3581</v>
      </c>
      <c r="P786" s="58">
        <v>214</v>
      </c>
      <c r="Q786" s="59">
        <v>0</v>
      </c>
      <c r="R786" s="59">
        <v>0</v>
      </c>
      <c r="S786" s="60">
        <f>tblJTL[[#This Row],[timeStamp]]/86400000+DATE(1970,1,1)+TIME(9,0,0)</f>
        <v>46296.418978773145</v>
      </c>
      <c r="T786" s="57">
        <f>tblJTL[[#This Row],[timeStamp]]+tblJTL[[#This Row],[elapsed]]</f>
        <v>1790816599986</v>
      </c>
      <c r="U786" s="61">
        <f>(tblJTL[[#This Row],[timeStamp]]-'17_分析サンプル'!$E$18)/1000</f>
        <v>199.58600000000001</v>
      </c>
      <c r="V786" s="57">
        <f>INT(tblJTL[[#This Row],[経過秒]]/60)</f>
        <v>3</v>
      </c>
      <c r="W786" s="57">
        <f>IF(OR(tblJTL[[#This Row],[success]]=FALSE,tblJTL[[#This Row],[success]]="false"),1,0)</f>
        <v>0</v>
      </c>
      <c r="X786" s="57">
        <f>IF(AND(tblJTL[[#This Row],[経過秒]]&gt;='17_分析サンプル'!$E$11,tblJTL[[#This Row],[経過秒]]&lt;'17_分析サンプル'!$E$12),1,0)</f>
        <v>1</v>
      </c>
    </row>
    <row r="787" spans="2:24" ht="14.4" x14ac:dyDescent="0.3">
      <c r="B787" s="57">
        <v>1790816600141</v>
      </c>
      <c r="C787" s="58">
        <v>238</v>
      </c>
      <c r="D787" s="59" t="s">
        <v>1677</v>
      </c>
      <c r="E787" s="59" t="s">
        <v>3579</v>
      </c>
      <c r="F787" s="59" t="s">
        <v>3580</v>
      </c>
      <c r="G787" s="59" t="s">
        <v>3582</v>
      </c>
      <c r="H787" s="59" t="s">
        <v>2281</v>
      </c>
      <c r="I787" s="59" t="b">
        <v>1</v>
      </c>
      <c r="J787" s="59"/>
      <c r="K787" s="58">
        <v>439</v>
      </c>
      <c r="L787" s="58">
        <v>1478</v>
      </c>
      <c r="M787" s="59">
        <v>10</v>
      </c>
      <c r="N787" s="59">
        <v>10</v>
      </c>
      <c r="O787" s="59" t="s">
        <v>3581</v>
      </c>
      <c r="P787" s="58">
        <v>235</v>
      </c>
      <c r="Q787" s="59">
        <v>0</v>
      </c>
      <c r="R787" s="59">
        <v>0</v>
      </c>
      <c r="S787" s="60">
        <f>tblJTL[[#This Row],[timeStamp]]/86400000+DATE(1970,1,1)+TIME(9,0,0)</f>
        <v>46296.418983113428</v>
      </c>
      <c r="T787" s="57">
        <f>tblJTL[[#This Row],[timeStamp]]+tblJTL[[#This Row],[elapsed]]</f>
        <v>1790816600379</v>
      </c>
      <c r="U787" s="61">
        <f>(tblJTL[[#This Row],[timeStamp]]-'17_分析サンプル'!$E$18)/1000</f>
        <v>199.96100000000001</v>
      </c>
      <c r="V787" s="57">
        <f>INT(tblJTL[[#This Row],[経過秒]]/60)</f>
        <v>3</v>
      </c>
      <c r="W787" s="57">
        <f>IF(OR(tblJTL[[#This Row],[success]]=FALSE,tblJTL[[#This Row],[success]]="false"),1,0)</f>
        <v>0</v>
      </c>
      <c r="X787" s="57">
        <f>IF(AND(tblJTL[[#This Row],[経過秒]]&gt;='17_分析サンプル'!$E$11,tblJTL[[#This Row],[経過秒]]&lt;'17_分析サンプル'!$E$12),1,0)</f>
        <v>1</v>
      </c>
    </row>
    <row r="788" spans="2:24" ht="14.4" x14ac:dyDescent="0.3">
      <c r="B788" s="57">
        <v>1790816600358</v>
      </c>
      <c r="C788" s="58">
        <v>159</v>
      </c>
      <c r="D788" s="59" t="s">
        <v>1658</v>
      </c>
      <c r="E788" s="59" t="s">
        <v>1577</v>
      </c>
      <c r="F788" s="59" t="s">
        <v>2275</v>
      </c>
      <c r="G788" s="59" t="s">
        <v>2278</v>
      </c>
      <c r="H788" s="59" t="s">
        <v>2281</v>
      </c>
      <c r="I788" s="59" t="b">
        <v>1</v>
      </c>
      <c r="J788" s="59"/>
      <c r="K788" s="58">
        <v>1835</v>
      </c>
      <c r="L788" s="58">
        <v>1342</v>
      </c>
      <c r="M788" s="59">
        <v>10</v>
      </c>
      <c r="N788" s="59">
        <v>10</v>
      </c>
      <c r="O788" s="59" t="s">
        <v>3578</v>
      </c>
      <c r="P788" s="58">
        <v>151</v>
      </c>
      <c r="Q788" s="59">
        <v>0</v>
      </c>
      <c r="R788" s="59">
        <v>0</v>
      </c>
      <c r="S788" s="60">
        <f>tblJTL[[#This Row],[timeStamp]]/86400000+DATE(1970,1,1)+TIME(9,0,0)</f>
        <v>46296.418985625001</v>
      </c>
      <c r="T788" s="57">
        <f>tblJTL[[#This Row],[timeStamp]]+tblJTL[[#This Row],[elapsed]]</f>
        <v>1790816600517</v>
      </c>
      <c r="U788" s="61">
        <f>(tblJTL[[#This Row],[timeStamp]]-'17_分析サンプル'!$E$18)/1000</f>
        <v>200.178</v>
      </c>
      <c r="V788" s="57">
        <f>INT(tblJTL[[#This Row],[経過秒]]/60)</f>
        <v>3</v>
      </c>
      <c r="W788" s="57">
        <f>IF(OR(tblJTL[[#This Row],[success]]=FALSE,tblJTL[[#This Row],[success]]="false"),1,0)</f>
        <v>0</v>
      </c>
      <c r="X788" s="57">
        <f>IF(AND(tblJTL[[#This Row],[経過秒]]&gt;='17_分析サンプル'!$E$11,tblJTL[[#This Row],[経過秒]]&lt;'17_分析サンプル'!$E$12),1,0)</f>
        <v>1</v>
      </c>
    </row>
    <row r="789" spans="2:24" ht="14.4" x14ac:dyDescent="0.3">
      <c r="B789" s="57">
        <v>1790816600506</v>
      </c>
      <c r="C789" s="58">
        <v>190</v>
      </c>
      <c r="D789" s="59" t="s">
        <v>1677</v>
      </c>
      <c r="E789" s="59" t="s">
        <v>3579</v>
      </c>
      <c r="F789" s="59" t="s">
        <v>3580</v>
      </c>
      <c r="G789" s="59" t="s">
        <v>3577</v>
      </c>
      <c r="H789" s="59" t="s">
        <v>2281</v>
      </c>
      <c r="I789" s="59" t="b">
        <v>1</v>
      </c>
      <c r="J789" s="59"/>
      <c r="K789" s="58">
        <v>412</v>
      </c>
      <c r="L789" s="58">
        <v>1478</v>
      </c>
      <c r="M789" s="59">
        <v>10</v>
      </c>
      <c r="N789" s="59">
        <v>10</v>
      </c>
      <c r="O789" s="59" t="s">
        <v>3581</v>
      </c>
      <c r="P789" s="58">
        <v>184</v>
      </c>
      <c r="Q789" s="59">
        <v>0</v>
      </c>
      <c r="R789" s="59">
        <v>0</v>
      </c>
      <c r="S789" s="60">
        <f>tblJTL[[#This Row],[timeStamp]]/86400000+DATE(1970,1,1)+TIME(9,0,0)</f>
        <v>46296.418987337966</v>
      </c>
      <c r="T789" s="57">
        <f>tblJTL[[#This Row],[timeStamp]]+tblJTL[[#This Row],[elapsed]]</f>
        <v>1790816600696</v>
      </c>
      <c r="U789" s="61">
        <f>(tblJTL[[#This Row],[timeStamp]]-'17_分析サンプル'!$E$18)/1000</f>
        <v>200.32599999999999</v>
      </c>
      <c r="V789" s="57">
        <f>INT(tblJTL[[#This Row],[経過秒]]/60)</f>
        <v>3</v>
      </c>
      <c r="W789" s="57">
        <f>IF(OR(tblJTL[[#This Row],[success]]=FALSE,tblJTL[[#This Row],[success]]="false"),1,0)</f>
        <v>0</v>
      </c>
      <c r="X789" s="57">
        <f>IF(AND(tblJTL[[#This Row],[経過秒]]&gt;='17_分析サンプル'!$E$11,tblJTL[[#This Row],[経過秒]]&lt;'17_分析サンプル'!$E$12),1,0)</f>
        <v>1</v>
      </c>
    </row>
    <row r="790" spans="2:24" ht="14.4" x14ac:dyDescent="0.3">
      <c r="B790" s="57">
        <v>1790816600580</v>
      </c>
      <c r="C790" s="58">
        <v>253</v>
      </c>
      <c r="D790" s="59" t="s">
        <v>1677</v>
      </c>
      <c r="E790" s="59" t="s">
        <v>3579</v>
      </c>
      <c r="F790" s="59" t="s">
        <v>3580</v>
      </c>
      <c r="G790" s="59" t="s">
        <v>3584</v>
      </c>
      <c r="H790" s="59" t="s">
        <v>2281</v>
      </c>
      <c r="I790" s="59" t="b">
        <v>1</v>
      </c>
      <c r="J790" s="59"/>
      <c r="K790" s="58">
        <v>429</v>
      </c>
      <c r="L790" s="58">
        <v>1478</v>
      </c>
      <c r="M790" s="59">
        <v>10</v>
      </c>
      <c r="N790" s="59">
        <v>10</v>
      </c>
      <c r="O790" s="59" t="s">
        <v>3581</v>
      </c>
      <c r="P790" s="58">
        <v>249</v>
      </c>
      <c r="Q790" s="59">
        <v>0</v>
      </c>
      <c r="R790" s="59">
        <v>0</v>
      </c>
      <c r="S790" s="60">
        <f>tblJTL[[#This Row],[timeStamp]]/86400000+DATE(1970,1,1)+TIME(9,0,0)</f>
        <v>46296.418988194448</v>
      </c>
      <c r="T790" s="57">
        <f>tblJTL[[#This Row],[timeStamp]]+tblJTL[[#This Row],[elapsed]]</f>
        <v>1790816600833</v>
      </c>
      <c r="U790" s="61">
        <f>(tblJTL[[#This Row],[timeStamp]]-'17_分析サンプル'!$E$18)/1000</f>
        <v>200.4</v>
      </c>
      <c r="V790" s="57">
        <f>INT(tblJTL[[#This Row],[経過秒]]/60)</f>
        <v>3</v>
      </c>
      <c r="W790" s="57">
        <f>IF(OR(tblJTL[[#This Row],[success]]=FALSE,tblJTL[[#This Row],[success]]="false"),1,0)</f>
        <v>0</v>
      </c>
      <c r="X790" s="57">
        <f>IF(AND(tblJTL[[#This Row],[経過秒]]&gt;='17_分析サンプル'!$E$11,tblJTL[[#This Row],[経過秒]]&lt;'17_分析サンプル'!$E$12),1,0)</f>
        <v>1</v>
      </c>
    </row>
    <row r="791" spans="2:24" ht="14.4" x14ac:dyDescent="0.3">
      <c r="B791" s="57">
        <v>1790816600840</v>
      </c>
      <c r="C791" s="58">
        <v>91</v>
      </c>
      <c r="D791" s="59" t="s">
        <v>1658</v>
      </c>
      <c r="E791" s="59" t="s">
        <v>1577</v>
      </c>
      <c r="F791" s="59" t="s">
        <v>2275</v>
      </c>
      <c r="G791" s="59" t="s">
        <v>3585</v>
      </c>
      <c r="H791" s="59" t="s">
        <v>2281</v>
      </c>
      <c r="I791" s="59" t="b">
        <v>1</v>
      </c>
      <c r="J791" s="59"/>
      <c r="K791" s="58">
        <v>1847</v>
      </c>
      <c r="L791" s="58">
        <v>1342</v>
      </c>
      <c r="M791" s="59">
        <v>10</v>
      </c>
      <c r="N791" s="59">
        <v>10</v>
      </c>
      <c r="O791" s="59" t="s">
        <v>3578</v>
      </c>
      <c r="P791" s="58">
        <v>86</v>
      </c>
      <c r="Q791" s="59">
        <v>0</v>
      </c>
      <c r="R791" s="59">
        <v>0</v>
      </c>
      <c r="S791" s="60">
        <f>tblJTL[[#This Row],[timeStamp]]/86400000+DATE(1970,1,1)+TIME(9,0,0)</f>
        <v>46296.418991203704</v>
      </c>
      <c r="T791" s="57">
        <f>tblJTL[[#This Row],[timeStamp]]+tblJTL[[#This Row],[elapsed]]</f>
        <v>1790816600931</v>
      </c>
      <c r="U791" s="61">
        <f>(tblJTL[[#This Row],[timeStamp]]-'17_分析サンプル'!$E$18)/1000</f>
        <v>200.66</v>
      </c>
      <c r="V791" s="57">
        <f>INT(tblJTL[[#This Row],[経過秒]]/60)</f>
        <v>3</v>
      </c>
      <c r="W791" s="57">
        <f>IF(OR(tblJTL[[#This Row],[success]]=FALSE,tblJTL[[#This Row],[success]]="false"),1,0)</f>
        <v>0</v>
      </c>
      <c r="X791" s="57">
        <f>IF(AND(tblJTL[[#This Row],[経過秒]]&gt;='17_分析サンプル'!$E$11,tblJTL[[#This Row],[経過秒]]&lt;'17_分析サンプル'!$E$12),1,0)</f>
        <v>1</v>
      </c>
    </row>
    <row r="792" spans="2:24" ht="14.4" x14ac:dyDescent="0.3">
      <c r="B792" s="57">
        <v>1790816600963</v>
      </c>
      <c r="C792" s="58">
        <v>169</v>
      </c>
      <c r="D792" s="59" t="s">
        <v>1677</v>
      </c>
      <c r="E792" s="59" t="s">
        <v>3579</v>
      </c>
      <c r="F792" s="59" t="s">
        <v>3580</v>
      </c>
      <c r="G792" s="59" t="s">
        <v>3589</v>
      </c>
      <c r="H792" s="59" t="s">
        <v>2281</v>
      </c>
      <c r="I792" s="59" t="b">
        <v>1</v>
      </c>
      <c r="J792" s="59"/>
      <c r="K792" s="58">
        <v>413</v>
      </c>
      <c r="L792" s="58">
        <v>1478</v>
      </c>
      <c r="M792" s="59">
        <v>10</v>
      </c>
      <c r="N792" s="59">
        <v>10</v>
      </c>
      <c r="O792" s="59" t="s">
        <v>3581</v>
      </c>
      <c r="P792" s="58">
        <v>164</v>
      </c>
      <c r="Q792" s="59">
        <v>0</v>
      </c>
      <c r="R792" s="59">
        <v>0</v>
      </c>
      <c r="S792" s="60">
        <f>tblJTL[[#This Row],[timeStamp]]/86400000+DATE(1970,1,1)+TIME(9,0,0)</f>
        <v>46296.41899262731</v>
      </c>
      <c r="T792" s="57">
        <f>tblJTL[[#This Row],[timeStamp]]+tblJTL[[#This Row],[elapsed]]</f>
        <v>1790816601132</v>
      </c>
      <c r="U792" s="61">
        <f>(tblJTL[[#This Row],[timeStamp]]-'17_分析サンプル'!$E$18)/1000</f>
        <v>200.78299999999999</v>
      </c>
      <c r="V792" s="57">
        <f>INT(tblJTL[[#This Row],[経過秒]]/60)</f>
        <v>3</v>
      </c>
      <c r="W792" s="57">
        <f>IF(OR(tblJTL[[#This Row],[success]]=FALSE,tblJTL[[#This Row],[success]]="false"),1,0)</f>
        <v>0</v>
      </c>
      <c r="X792" s="57">
        <f>IF(AND(tblJTL[[#This Row],[経過秒]]&gt;='17_分析サンプル'!$E$11,tblJTL[[#This Row],[経過秒]]&lt;'17_分析サンプル'!$E$12),1,0)</f>
        <v>1</v>
      </c>
    </row>
    <row r="793" spans="2:24" ht="14.4" x14ac:dyDescent="0.3">
      <c r="B793" s="57">
        <v>1790816601047</v>
      </c>
      <c r="C793" s="58">
        <v>116</v>
      </c>
      <c r="D793" s="59" t="s">
        <v>1658</v>
      </c>
      <c r="E793" s="59" t="s">
        <v>1577</v>
      </c>
      <c r="F793" s="59" t="s">
        <v>2275</v>
      </c>
      <c r="G793" s="59" t="s">
        <v>3588</v>
      </c>
      <c r="H793" s="59" t="s">
        <v>2281</v>
      </c>
      <c r="I793" s="59" t="b">
        <v>1</v>
      </c>
      <c r="J793" s="59"/>
      <c r="K793" s="58">
        <v>1864</v>
      </c>
      <c r="L793" s="58">
        <v>1342</v>
      </c>
      <c r="M793" s="59">
        <v>10</v>
      </c>
      <c r="N793" s="59">
        <v>10</v>
      </c>
      <c r="O793" s="59" t="s">
        <v>3578</v>
      </c>
      <c r="P793" s="58">
        <v>109</v>
      </c>
      <c r="Q793" s="59">
        <v>0</v>
      </c>
      <c r="R793" s="59">
        <v>0</v>
      </c>
      <c r="S793" s="60">
        <f>tblJTL[[#This Row],[timeStamp]]/86400000+DATE(1970,1,1)+TIME(9,0,0)</f>
        <v>46296.418993599538</v>
      </c>
      <c r="T793" s="57">
        <f>tblJTL[[#This Row],[timeStamp]]+tblJTL[[#This Row],[elapsed]]</f>
        <v>1790816601163</v>
      </c>
      <c r="U793" s="61">
        <f>(tblJTL[[#This Row],[timeStamp]]-'17_分析サンプル'!$E$18)/1000</f>
        <v>200.86699999999999</v>
      </c>
      <c r="V793" s="57">
        <f>INT(tblJTL[[#This Row],[経過秒]]/60)</f>
        <v>3</v>
      </c>
      <c r="W793" s="57">
        <f>IF(OR(tblJTL[[#This Row],[success]]=FALSE,tblJTL[[#This Row],[success]]="false"),1,0)</f>
        <v>0</v>
      </c>
      <c r="X793" s="57">
        <f>IF(AND(tblJTL[[#This Row],[経過秒]]&gt;='17_分析サンプル'!$E$11,tblJTL[[#This Row],[経過秒]]&lt;'17_分析サンプル'!$E$12),1,0)</f>
        <v>1</v>
      </c>
    </row>
    <row r="794" spans="2:24" ht="14.4" x14ac:dyDescent="0.3">
      <c r="B794" s="57">
        <v>1790816601076</v>
      </c>
      <c r="C794" s="58">
        <v>325</v>
      </c>
      <c r="D794" s="59" t="s">
        <v>1677</v>
      </c>
      <c r="E794" s="59" t="s">
        <v>3579</v>
      </c>
      <c r="F794" s="59" t="s">
        <v>3580</v>
      </c>
      <c r="G794" s="59" t="s">
        <v>3587</v>
      </c>
      <c r="H794" s="59" t="s">
        <v>2281</v>
      </c>
      <c r="I794" s="59" t="b">
        <v>1</v>
      </c>
      <c r="J794" s="59"/>
      <c r="K794" s="58">
        <v>421</v>
      </c>
      <c r="L794" s="58">
        <v>1478</v>
      </c>
      <c r="M794" s="59">
        <v>10</v>
      </c>
      <c r="N794" s="59">
        <v>10</v>
      </c>
      <c r="O794" s="59" t="s">
        <v>3581</v>
      </c>
      <c r="P794" s="58">
        <v>322</v>
      </c>
      <c r="Q794" s="59">
        <v>0</v>
      </c>
      <c r="R794" s="59">
        <v>0</v>
      </c>
      <c r="S794" s="60">
        <f>tblJTL[[#This Row],[timeStamp]]/86400000+DATE(1970,1,1)+TIME(9,0,0)</f>
        <v>46296.418993935185</v>
      </c>
      <c r="T794" s="57">
        <f>tblJTL[[#This Row],[timeStamp]]+tblJTL[[#This Row],[elapsed]]</f>
        <v>1790816601401</v>
      </c>
      <c r="U794" s="61">
        <f>(tblJTL[[#This Row],[timeStamp]]-'17_分析サンプル'!$E$18)/1000</f>
        <v>200.89599999999999</v>
      </c>
      <c r="V794" s="57">
        <f>INT(tblJTL[[#This Row],[経過秒]]/60)</f>
        <v>3</v>
      </c>
      <c r="W794" s="57">
        <f>IF(OR(tblJTL[[#This Row],[success]]=FALSE,tblJTL[[#This Row],[success]]="false"),1,0)</f>
        <v>0</v>
      </c>
      <c r="X794" s="57">
        <f>IF(AND(tblJTL[[#This Row],[経過秒]]&gt;='17_分析サンプル'!$E$11,tblJTL[[#This Row],[経過秒]]&lt;'17_分析サンプル'!$E$12),1,0)</f>
        <v>1</v>
      </c>
    </row>
    <row r="795" spans="2:24" ht="14.4" x14ac:dyDescent="0.3">
      <c r="B795" s="57">
        <v>1790816602024</v>
      </c>
      <c r="C795" s="58">
        <v>177</v>
      </c>
      <c r="D795" s="59" t="s">
        <v>1658</v>
      </c>
      <c r="E795" s="59" t="s">
        <v>1577</v>
      </c>
      <c r="F795" s="59" t="s">
        <v>2275</v>
      </c>
      <c r="G795" s="59" t="s">
        <v>3577</v>
      </c>
      <c r="H795" s="59" t="s">
        <v>2281</v>
      </c>
      <c r="I795" s="59" t="b">
        <v>1</v>
      </c>
      <c r="J795" s="59"/>
      <c r="K795" s="58">
        <v>1889</v>
      </c>
      <c r="L795" s="58">
        <v>1342</v>
      </c>
      <c r="M795" s="59">
        <v>10</v>
      </c>
      <c r="N795" s="59">
        <v>10</v>
      </c>
      <c r="O795" s="59" t="s">
        <v>3578</v>
      </c>
      <c r="P795" s="58">
        <v>173</v>
      </c>
      <c r="Q795" s="59">
        <v>0</v>
      </c>
      <c r="R795" s="59">
        <v>0</v>
      </c>
      <c r="S795" s="60">
        <f>tblJTL[[#This Row],[timeStamp]]/86400000+DATE(1970,1,1)+TIME(9,0,0)</f>
        <v>46296.41900490741</v>
      </c>
      <c r="T795" s="57">
        <f>tblJTL[[#This Row],[timeStamp]]+tblJTL[[#This Row],[elapsed]]</f>
        <v>1790816602201</v>
      </c>
      <c r="U795" s="61">
        <f>(tblJTL[[#This Row],[timeStamp]]-'17_分析サンプル'!$E$18)/1000</f>
        <v>201.84399999999999</v>
      </c>
      <c r="V795" s="57">
        <f>INT(tblJTL[[#This Row],[経過秒]]/60)</f>
        <v>3</v>
      </c>
      <c r="W795" s="57">
        <f>IF(OR(tblJTL[[#This Row],[success]]=FALSE,tblJTL[[#This Row],[success]]="false"),1,0)</f>
        <v>0</v>
      </c>
      <c r="X795" s="57">
        <f>IF(AND(tblJTL[[#This Row],[経過秒]]&gt;='17_分析サンプル'!$E$11,tblJTL[[#This Row],[経過秒]]&lt;'17_分析サンプル'!$E$12),1,0)</f>
        <v>1</v>
      </c>
    </row>
    <row r="796" spans="2:24" ht="14.4" x14ac:dyDescent="0.3">
      <c r="B796" s="57">
        <v>1790816602252</v>
      </c>
      <c r="C796" s="58">
        <v>158</v>
      </c>
      <c r="D796" s="59" t="s">
        <v>1658</v>
      </c>
      <c r="E796" s="59" t="s">
        <v>1577</v>
      </c>
      <c r="F796" s="59" t="s">
        <v>2275</v>
      </c>
      <c r="G796" s="59" t="s">
        <v>3584</v>
      </c>
      <c r="H796" s="59" t="s">
        <v>2281</v>
      </c>
      <c r="I796" s="59" t="b">
        <v>1</v>
      </c>
      <c r="J796" s="59"/>
      <c r="K796" s="58">
        <v>1842</v>
      </c>
      <c r="L796" s="58">
        <v>1342</v>
      </c>
      <c r="M796" s="59">
        <v>10</v>
      </c>
      <c r="N796" s="59">
        <v>10</v>
      </c>
      <c r="O796" s="59" t="s">
        <v>3578</v>
      </c>
      <c r="P796" s="58">
        <v>150</v>
      </c>
      <c r="Q796" s="59">
        <v>0</v>
      </c>
      <c r="R796" s="59">
        <v>0</v>
      </c>
      <c r="S796" s="60">
        <f>tblJTL[[#This Row],[timeStamp]]/86400000+DATE(1970,1,1)+TIME(9,0,0)</f>
        <v>46296.419007546298</v>
      </c>
      <c r="T796" s="57">
        <f>tblJTL[[#This Row],[timeStamp]]+tblJTL[[#This Row],[elapsed]]</f>
        <v>1790816602410</v>
      </c>
      <c r="U796" s="61">
        <f>(tblJTL[[#This Row],[timeStamp]]-'17_分析サンプル'!$E$18)/1000</f>
        <v>202.072</v>
      </c>
      <c r="V796" s="57">
        <f>INT(tblJTL[[#This Row],[経過秒]]/60)</f>
        <v>3</v>
      </c>
      <c r="W796" s="57">
        <f>IF(OR(tblJTL[[#This Row],[success]]=FALSE,tblJTL[[#This Row],[success]]="false"),1,0)</f>
        <v>0</v>
      </c>
      <c r="X796" s="57">
        <f>IF(AND(tblJTL[[#This Row],[経過秒]]&gt;='17_分析サンプル'!$E$11,tblJTL[[#This Row],[経過秒]]&lt;'17_分析サンプル'!$E$12),1,0)</f>
        <v>1</v>
      </c>
    </row>
    <row r="797" spans="2:24" ht="14.4" x14ac:dyDescent="0.3">
      <c r="B797" s="57">
        <v>1790816602064</v>
      </c>
      <c r="C797" s="58">
        <v>418</v>
      </c>
      <c r="D797" s="59" t="s">
        <v>1677</v>
      </c>
      <c r="E797" s="59" t="s">
        <v>3579</v>
      </c>
      <c r="F797" s="59" t="s">
        <v>3580</v>
      </c>
      <c r="G797" s="59" t="s">
        <v>3586</v>
      </c>
      <c r="H797" s="59" t="s">
        <v>2281</v>
      </c>
      <c r="I797" s="59" t="b">
        <v>1</v>
      </c>
      <c r="J797" s="59"/>
      <c r="K797" s="58">
        <v>429</v>
      </c>
      <c r="L797" s="58">
        <v>1478</v>
      </c>
      <c r="M797" s="59">
        <v>10</v>
      </c>
      <c r="N797" s="59">
        <v>10</v>
      </c>
      <c r="O797" s="59" t="s">
        <v>3581</v>
      </c>
      <c r="P797" s="58">
        <v>414</v>
      </c>
      <c r="Q797" s="59">
        <v>0</v>
      </c>
      <c r="R797" s="59">
        <v>0</v>
      </c>
      <c r="S797" s="60">
        <f>tblJTL[[#This Row],[timeStamp]]/86400000+DATE(1970,1,1)+TIME(9,0,0)</f>
        <v>46296.419005370371</v>
      </c>
      <c r="T797" s="57">
        <f>tblJTL[[#This Row],[timeStamp]]+tblJTL[[#This Row],[elapsed]]</f>
        <v>1790816602482</v>
      </c>
      <c r="U797" s="61">
        <f>(tblJTL[[#This Row],[timeStamp]]-'17_分析サンプル'!$E$18)/1000</f>
        <v>201.88399999999999</v>
      </c>
      <c r="V797" s="57">
        <f>INT(tblJTL[[#This Row],[経過秒]]/60)</f>
        <v>3</v>
      </c>
      <c r="W797" s="57">
        <f>IF(OR(tblJTL[[#This Row],[success]]=FALSE,tblJTL[[#This Row],[success]]="false"),1,0)</f>
        <v>0</v>
      </c>
      <c r="X797" s="57">
        <f>IF(AND(tblJTL[[#This Row],[経過秒]]&gt;='17_分析サンプル'!$E$11,tblJTL[[#This Row],[経過秒]]&lt;'17_分析サンプル'!$E$12),1,0)</f>
        <v>1</v>
      </c>
    </row>
    <row r="798" spans="2:24" ht="14.4" x14ac:dyDescent="0.3">
      <c r="B798" s="57">
        <v>1790816602623</v>
      </c>
      <c r="C798" s="58">
        <v>77</v>
      </c>
      <c r="D798" s="59" t="s">
        <v>1658</v>
      </c>
      <c r="E798" s="59" t="s">
        <v>1577</v>
      </c>
      <c r="F798" s="59" t="s">
        <v>2275</v>
      </c>
      <c r="G798" s="59" t="s">
        <v>3589</v>
      </c>
      <c r="H798" s="59" t="s">
        <v>2281</v>
      </c>
      <c r="I798" s="59" t="b">
        <v>1</v>
      </c>
      <c r="J798" s="59"/>
      <c r="K798" s="58">
        <v>1891</v>
      </c>
      <c r="L798" s="58">
        <v>1342</v>
      </c>
      <c r="M798" s="59">
        <v>10</v>
      </c>
      <c r="N798" s="59">
        <v>10</v>
      </c>
      <c r="O798" s="59" t="s">
        <v>3578</v>
      </c>
      <c r="P798" s="58">
        <v>73</v>
      </c>
      <c r="Q798" s="59">
        <v>0</v>
      </c>
      <c r="R798" s="59">
        <v>0</v>
      </c>
      <c r="S798" s="60">
        <f>tblJTL[[#This Row],[timeStamp]]/86400000+DATE(1970,1,1)+TIME(9,0,0)</f>
        <v>46296.419011840277</v>
      </c>
      <c r="T798" s="57">
        <f>tblJTL[[#This Row],[timeStamp]]+tblJTL[[#This Row],[elapsed]]</f>
        <v>1790816602700</v>
      </c>
      <c r="U798" s="61">
        <f>(tblJTL[[#This Row],[timeStamp]]-'17_分析サンプル'!$E$18)/1000</f>
        <v>202.44300000000001</v>
      </c>
      <c r="V798" s="57">
        <f>INT(tblJTL[[#This Row],[経過秒]]/60)</f>
        <v>3</v>
      </c>
      <c r="W798" s="57">
        <f>IF(OR(tblJTL[[#This Row],[success]]=FALSE,tblJTL[[#This Row],[success]]="false"),1,0)</f>
        <v>0</v>
      </c>
      <c r="X798" s="57">
        <f>IF(AND(tblJTL[[#This Row],[経過秒]]&gt;='17_分析サンプル'!$E$11,tblJTL[[#This Row],[経過秒]]&lt;'17_分析サンプル'!$E$12),1,0)</f>
        <v>1</v>
      </c>
    </row>
    <row r="799" spans="2:24" ht="14.4" x14ac:dyDescent="0.3">
      <c r="B799" s="57">
        <v>1790816602520</v>
      </c>
      <c r="C799" s="58">
        <v>253</v>
      </c>
      <c r="D799" s="59" t="s">
        <v>1677</v>
      </c>
      <c r="E799" s="59" t="s">
        <v>3579</v>
      </c>
      <c r="F799" s="59" t="s">
        <v>3580</v>
      </c>
      <c r="G799" s="59" t="s">
        <v>3585</v>
      </c>
      <c r="H799" s="59" t="s">
        <v>2281</v>
      </c>
      <c r="I799" s="59" t="b">
        <v>1</v>
      </c>
      <c r="J799" s="59"/>
      <c r="K799" s="58">
        <v>420</v>
      </c>
      <c r="L799" s="58">
        <v>1478</v>
      </c>
      <c r="M799" s="59">
        <v>10</v>
      </c>
      <c r="N799" s="59">
        <v>10</v>
      </c>
      <c r="O799" s="59" t="s">
        <v>3581</v>
      </c>
      <c r="P799" s="58">
        <v>248</v>
      </c>
      <c r="Q799" s="59">
        <v>0</v>
      </c>
      <c r="R799" s="59">
        <v>0</v>
      </c>
      <c r="S799" s="60">
        <f>tblJTL[[#This Row],[timeStamp]]/86400000+DATE(1970,1,1)+TIME(9,0,0)</f>
        <v>46296.419010648147</v>
      </c>
      <c r="T799" s="57">
        <f>tblJTL[[#This Row],[timeStamp]]+tblJTL[[#This Row],[elapsed]]</f>
        <v>1790816602773</v>
      </c>
      <c r="U799" s="61">
        <f>(tblJTL[[#This Row],[timeStamp]]-'17_分析サンプル'!$E$18)/1000</f>
        <v>202.34</v>
      </c>
      <c r="V799" s="57">
        <f>INT(tblJTL[[#This Row],[経過秒]]/60)</f>
        <v>3</v>
      </c>
      <c r="W799" s="57">
        <f>IF(OR(tblJTL[[#This Row],[success]]=FALSE,tblJTL[[#This Row],[success]]="false"),1,0)</f>
        <v>0</v>
      </c>
      <c r="X799" s="57">
        <f>IF(AND(tblJTL[[#This Row],[経過秒]]&gt;='17_分析サンプル'!$E$11,tblJTL[[#This Row],[経過秒]]&lt;'17_分析サンプル'!$E$12),1,0)</f>
        <v>1</v>
      </c>
    </row>
    <row r="800" spans="2:24" ht="14.4" x14ac:dyDescent="0.3">
      <c r="B800" s="57">
        <v>1790816602863</v>
      </c>
      <c r="C800" s="58">
        <v>96</v>
      </c>
      <c r="D800" s="59" t="s">
        <v>1658</v>
      </c>
      <c r="E800" s="59" t="s">
        <v>1577</v>
      </c>
      <c r="F800" s="59" t="s">
        <v>2275</v>
      </c>
      <c r="G800" s="59" t="s">
        <v>3583</v>
      </c>
      <c r="H800" s="59" t="s">
        <v>2281</v>
      </c>
      <c r="I800" s="59" t="b">
        <v>1</v>
      </c>
      <c r="J800" s="59"/>
      <c r="K800" s="58">
        <v>1882</v>
      </c>
      <c r="L800" s="58">
        <v>1342</v>
      </c>
      <c r="M800" s="59">
        <v>10</v>
      </c>
      <c r="N800" s="59">
        <v>10</v>
      </c>
      <c r="O800" s="59" t="s">
        <v>3578</v>
      </c>
      <c r="P800" s="58">
        <v>93</v>
      </c>
      <c r="Q800" s="59">
        <v>0</v>
      </c>
      <c r="R800" s="59">
        <v>0</v>
      </c>
      <c r="S800" s="60">
        <f>tblJTL[[#This Row],[timeStamp]]/86400000+DATE(1970,1,1)+TIME(9,0,0)</f>
        <v>46296.419014618055</v>
      </c>
      <c r="T800" s="57">
        <f>tblJTL[[#This Row],[timeStamp]]+tblJTL[[#This Row],[elapsed]]</f>
        <v>1790816602959</v>
      </c>
      <c r="U800" s="61">
        <f>(tblJTL[[#This Row],[timeStamp]]-'17_分析サンプル'!$E$18)/1000</f>
        <v>202.68299999999999</v>
      </c>
      <c r="V800" s="57">
        <f>INT(tblJTL[[#This Row],[経過秒]]/60)</f>
        <v>3</v>
      </c>
      <c r="W800" s="57">
        <f>IF(OR(tblJTL[[#This Row],[success]]=FALSE,tblJTL[[#This Row],[success]]="false"),1,0)</f>
        <v>0</v>
      </c>
      <c r="X800" s="57">
        <f>IF(AND(tblJTL[[#This Row],[経過秒]]&gt;='17_分析サンプル'!$E$11,tblJTL[[#This Row],[経過秒]]&lt;'17_分析サンプル'!$E$12),1,0)</f>
        <v>1</v>
      </c>
    </row>
    <row r="801" spans="2:24" ht="14.4" x14ac:dyDescent="0.3">
      <c r="B801" s="57">
        <v>1790816602956</v>
      </c>
      <c r="C801" s="58">
        <v>108</v>
      </c>
      <c r="D801" s="59" t="s">
        <v>1658</v>
      </c>
      <c r="E801" s="59" t="s">
        <v>1577</v>
      </c>
      <c r="F801" s="59" t="s">
        <v>2275</v>
      </c>
      <c r="G801" s="59" t="s">
        <v>3582</v>
      </c>
      <c r="H801" s="59" t="s">
        <v>2281</v>
      </c>
      <c r="I801" s="59" t="b">
        <v>1</v>
      </c>
      <c r="J801" s="59"/>
      <c r="K801" s="58">
        <v>1829</v>
      </c>
      <c r="L801" s="58">
        <v>1342</v>
      </c>
      <c r="M801" s="59">
        <v>10</v>
      </c>
      <c r="N801" s="59">
        <v>10</v>
      </c>
      <c r="O801" s="59" t="s">
        <v>3578</v>
      </c>
      <c r="P801" s="58">
        <v>105</v>
      </c>
      <c r="Q801" s="59">
        <v>0</v>
      </c>
      <c r="R801" s="59">
        <v>0</v>
      </c>
      <c r="S801" s="60">
        <f>tblJTL[[#This Row],[timeStamp]]/86400000+DATE(1970,1,1)+TIME(9,0,0)</f>
        <v>46296.419015694446</v>
      </c>
      <c r="T801" s="57">
        <f>tblJTL[[#This Row],[timeStamp]]+tblJTL[[#This Row],[elapsed]]</f>
        <v>1790816603064</v>
      </c>
      <c r="U801" s="61">
        <f>(tblJTL[[#This Row],[timeStamp]]-'17_分析サンプル'!$E$18)/1000</f>
        <v>202.77600000000001</v>
      </c>
      <c r="V801" s="57">
        <f>INT(tblJTL[[#This Row],[経過秒]]/60)</f>
        <v>3</v>
      </c>
      <c r="W801" s="57">
        <f>IF(OR(tblJTL[[#This Row],[success]]=FALSE,tblJTL[[#This Row],[success]]="false"),1,0)</f>
        <v>0</v>
      </c>
      <c r="X801" s="57">
        <f>IF(AND(tblJTL[[#This Row],[経過秒]]&gt;='17_分析サンプル'!$E$11,tblJTL[[#This Row],[経過秒]]&lt;'17_分析サンプル'!$E$12),1,0)</f>
        <v>1</v>
      </c>
    </row>
    <row r="802" spans="2:24" ht="14.4" x14ac:dyDescent="0.3">
      <c r="B802" s="57">
        <v>1790816603093</v>
      </c>
      <c r="C802" s="58">
        <v>230</v>
      </c>
      <c r="D802" s="59" t="s">
        <v>1677</v>
      </c>
      <c r="E802" s="59" t="s">
        <v>3579</v>
      </c>
      <c r="F802" s="59" t="s">
        <v>3580</v>
      </c>
      <c r="G802" s="59" t="s">
        <v>2278</v>
      </c>
      <c r="H802" s="59" t="s">
        <v>2281</v>
      </c>
      <c r="I802" s="59" t="b">
        <v>1</v>
      </c>
      <c r="J802" s="59"/>
      <c r="K802" s="58">
        <v>434</v>
      </c>
      <c r="L802" s="58">
        <v>1478</v>
      </c>
      <c r="M802" s="59">
        <v>10</v>
      </c>
      <c r="N802" s="59">
        <v>10</v>
      </c>
      <c r="O802" s="59" t="s">
        <v>3581</v>
      </c>
      <c r="P802" s="58">
        <v>225</v>
      </c>
      <c r="Q802" s="59">
        <v>0</v>
      </c>
      <c r="R802" s="59">
        <v>0</v>
      </c>
      <c r="S802" s="60">
        <f>tblJTL[[#This Row],[timeStamp]]/86400000+DATE(1970,1,1)+TIME(9,0,0)</f>
        <v>46296.419017280088</v>
      </c>
      <c r="T802" s="57">
        <f>tblJTL[[#This Row],[timeStamp]]+tblJTL[[#This Row],[elapsed]]</f>
        <v>1790816603323</v>
      </c>
      <c r="U802" s="61">
        <f>(tblJTL[[#This Row],[timeStamp]]-'17_分析サンプル'!$E$18)/1000</f>
        <v>202.91300000000001</v>
      </c>
      <c r="V802" s="57">
        <f>INT(tblJTL[[#This Row],[経過秒]]/60)</f>
        <v>3</v>
      </c>
      <c r="W802" s="57">
        <f>IF(OR(tblJTL[[#This Row],[success]]=FALSE,tblJTL[[#This Row],[success]]="false"),1,0)</f>
        <v>0</v>
      </c>
      <c r="X802" s="57">
        <f>IF(AND(tblJTL[[#This Row],[経過秒]]&gt;='17_分析サンプル'!$E$11,tblJTL[[#This Row],[経過秒]]&lt;'17_分析サンプル'!$E$12),1,0)</f>
        <v>1</v>
      </c>
    </row>
    <row r="803" spans="2:24" ht="14.4" x14ac:dyDescent="0.3">
      <c r="B803" s="57">
        <v>1790816603714</v>
      </c>
      <c r="C803" s="58">
        <v>470</v>
      </c>
      <c r="D803" s="59" t="s">
        <v>1677</v>
      </c>
      <c r="E803" s="59" t="s">
        <v>3579</v>
      </c>
      <c r="F803" s="59" t="s">
        <v>3580</v>
      </c>
      <c r="G803" s="59" t="s">
        <v>3589</v>
      </c>
      <c r="H803" s="59" t="s">
        <v>2281</v>
      </c>
      <c r="I803" s="59" t="b">
        <v>1</v>
      </c>
      <c r="J803" s="59"/>
      <c r="K803" s="58">
        <v>419</v>
      </c>
      <c r="L803" s="58">
        <v>1478</v>
      </c>
      <c r="M803" s="59">
        <v>10</v>
      </c>
      <c r="N803" s="59">
        <v>10</v>
      </c>
      <c r="O803" s="59" t="s">
        <v>3581</v>
      </c>
      <c r="P803" s="58">
        <v>465</v>
      </c>
      <c r="Q803" s="59">
        <v>0</v>
      </c>
      <c r="R803" s="59">
        <v>0</v>
      </c>
      <c r="S803" s="60">
        <f>tblJTL[[#This Row],[timeStamp]]/86400000+DATE(1970,1,1)+TIME(9,0,0)</f>
        <v>46296.419024467592</v>
      </c>
      <c r="T803" s="57">
        <f>tblJTL[[#This Row],[timeStamp]]+tblJTL[[#This Row],[elapsed]]</f>
        <v>1790816604184</v>
      </c>
      <c r="U803" s="61">
        <f>(tblJTL[[#This Row],[timeStamp]]-'17_分析サンプル'!$E$18)/1000</f>
        <v>203.53399999999999</v>
      </c>
      <c r="V803" s="57">
        <f>INT(tblJTL[[#This Row],[経過秒]]/60)</f>
        <v>3</v>
      </c>
      <c r="W803" s="57">
        <f>IF(OR(tblJTL[[#This Row],[success]]=FALSE,tblJTL[[#This Row],[success]]="false"),1,0)</f>
        <v>0</v>
      </c>
      <c r="X803" s="57">
        <f>IF(AND(tblJTL[[#This Row],[経過秒]]&gt;='17_分析サンプル'!$E$11,tblJTL[[#This Row],[経過秒]]&lt;'17_分析サンプル'!$E$12),1,0)</f>
        <v>1</v>
      </c>
    </row>
    <row r="804" spans="2:24" ht="14.4" x14ac:dyDescent="0.3">
      <c r="B804" s="57">
        <v>1790816604101</v>
      </c>
      <c r="C804" s="58">
        <v>95</v>
      </c>
      <c r="D804" s="59" t="s">
        <v>1658</v>
      </c>
      <c r="E804" s="59" t="s">
        <v>1577</v>
      </c>
      <c r="F804" s="59" t="s">
        <v>2275</v>
      </c>
      <c r="G804" s="59" t="s">
        <v>3587</v>
      </c>
      <c r="H804" s="59" t="s">
        <v>2281</v>
      </c>
      <c r="I804" s="59" t="b">
        <v>1</v>
      </c>
      <c r="J804" s="59"/>
      <c r="K804" s="58">
        <v>1883</v>
      </c>
      <c r="L804" s="58">
        <v>1342</v>
      </c>
      <c r="M804" s="59">
        <v>10</v>
      </c>
      <c r="N804" s="59">
        <v>10</v>
      </c>
      <c r="O804" s="59" t="s">
        <v>3578</v>
      </c>
      <c r="P804" s="58">
        <v>92</v>
      </c>
      <c r="Q804" s="59">
        <v>0</v>
      </c>
      <c r="R804" s="59">
        <v>0</v>
      </c>
      <c r="S804" s="60">
        <f>tblJTL[[#This Row],[timeStamp]]/86400000+DATE(1970,1,1)+TIME(9,0,0)</f>
        <v>46296.419028946759</v>
      </c>
      <c r="T804" s="57">
        <f>tblJTL[[#This Row],[timeStamp]]+tblJTL[[#This Row],[elapsed]]</f>
        <v>1790816604196</v>
      </c>
      <c r="U804" s="61">
        <f>(tblJTL[[#This Row],[timeStamp]]-'17_分析サンプル'!$E$18)/1000</f>
        <v>203.92099999999999</v>
      </c>
      <c r="V804" s="57">
        <f>INT(tblJTL[[#This Row],[経過秒]]/60)</f>
        <v>3</v>
      </c>
      <c r="W804" s="57">
        <f>IF(OR(tblJTL[[#This Row],[success]]=FALSE,tblJTL[[#This Row],[success]]="false"),1,0)</f>
        <v>0</v>
      </c>
      <c r="X804" s="57">
        <f>IF(AND(tblJTL[[#This Row],[経過秒]]&gt;='17_分析サンプル'!$E$11,tblJTL[[#This Row],[経過秒]]&lt;'17_分析サンプル'!$E$12),1,0)</f>
        <v>1</v>
      </c>
    </row>
    <row r="805" spans="2:24" ht="14.4" x14ac:dyDescent="0.3">
      <c r="B805" s="57">
        <v>1790816603902</v>
      </c>
      <c r="C805" s="58">
        <v>318</v>
      </c>
      <c r="D805" s="59" t="s">
        <v>1677</v>
      </c>
      <c r="E805" s="59" t="s">
        <v>3579</v>
      </c>
      <c r="F805" s="59" t="s">
        <v>3580</v>
      </c>
      <c r="G805" s="59" t="s">
        <v>3588</v>
      </c>
      <c r="H805" s="59" t="s">
        <v>2281</v>
      </c>
      <c r="I805" s="59" t="b">
        <v>1</v>
      </c>
      <c r="J805" s="59"/>
      <c r="K805" s="58">
        <v>439</v>
      </c>
      <c r="L805" s="58">
        <v>1478</v>
      </c>
      <c r="M805" s="59">
        <v>10</v>
      </c>
      <c r="N805" s="59">
        <v>10</v>
      </c>
      <c r="O805" s="59" t="s">
        <v>3581</v>
      </c>
      <c r="P805" s="58">
        <v>311</v>
      </c>
      <c r="Q805" s="59">
        <v>0</v>
      </c>
      <c r="R805" s="59">
        <v>0</v>
      </c>
      <c r="S805" s="60">
        <f>tblJTL[[#This Row],[timeStamp]]/86400000+DATE(1970,1,1)+TIME(9,0,0)</f>
        <v>46296.419026643518</v>
      </c>
      <c r="T805" s="57">
        <f>tblJTL[[#This Row],[timeStamp]]+tblJTL[[#This Row],[elapsed]]</f>
        <v>1790816604220</v>
      </c>
      <c r="U805" s="61">
        <f>(tblJTL[[#This Row],[timeStamp]]-'17_分析サンプル'!$E$18)/1000</f>
        <v>203.72200000000001</v>
      </c>
      <c r="V805" s="57">
        <f>INT(tblJTL[[#This Row],[経過秒]]/60)</f>
        <v>3</v>
      </c>
      <c r="W805" s="57">
        <f>IF(OR(tblJTL[[#This Row],[success]]=FALSE,tblJTL[[#This Row],[success]]="false"),1,0)</f>
        <v>0</v>
      </c>
      <c r="X805" s="57">
        <f>IF(AND(tblJTL[[#This Row],[経過秒]]&gt;='17_分析サンプル'!$E$11,tblJTL[[#This Row],[経過秒]]&lt;'17_分析サンプル'!$E$12),1,0)</f>
        <v>1</v>
      </c>
    </row>
    <row r="806" spans="2:24" ht="14.4" x14ac:dyDescent="0.3">
      <c r="B806" s="57">
        <v>1790816604176</v>
      </c>
      <c r="C806" s="58">
        <v>65</v>
      </c>
      <c r="D806" s="59" t="s">
        <v>1658</v>
      </c>
      <c r="E806" s="59" t="s">
        <v>1577</v>
      </c>
      <c r="F806" s="59" t="s">
        <v>2275</v>
      </c>
      <c r="G806" s="59" t="s">
        <v>3586</v>
      </c>
      <c r="H806" s="59" t="s">
        <v>2281</v>
      </c>
      <c r="I806" s="59" t="b">
        <v>1</v>
      </c>
      <c r="J806" s="59"/>
      <c r="K806" s="58">
        <v>1838</v>
      </c>
      <c r="L806" s="58">
        <v>1342</v>
      </c>
      <c r="M806" s="59">
        <v>10</v>
      </c>
      <c r="N806" s="59">
        <v>10</v>
      </c>
      <c r="O806" s="59" t="s">
        <v>3578</v>
      </c>
      <c r="P806" s="58">
        <v>63</v>
      </c>
      <c r="Q806" s="59">
        <v>0</v>
      </c>
      <c r="R806" s="59">
        <v>0</v>
      </c>
      <c r="S806" s="60">
        <f>tblJTL[[#This Row],[timeStamp]]/86400000+DATE(1970,1,1)+TIME(9,0,0)</f>
        <v>46296.419029814817</v>
      </c>
      <c r="T806" s="57">
        <f>tblJTL[[#This Row],[timeStamp]]+tblJTL[[#This Row],[elapsed]]</f>
        <v>1790816604241</v>
      </c>
      <c r="U806" s="61">
        <f>(tblJTL[[#This Row],[timeStamp]]-'17_分析サンプル'!$E$18)/1000</f>
        <v>203.99600000000001</v>
      </c>
      <c r="V806" s="57">
        <f>INT(tblJTL[[#This Row],[経過秒]]/60)</f>
        <v>3</v>
      </c>
      <c r="W806" s="57">
        <f>IF(OR(tblJTL[[#This Row],[success]]=FALSE,tblJTL[[#This Row],[success]]="false"),1,0)</f>
        <v>0</v>
      </c>
      <c r="X806" s="57">
        <f>IF(AND(tblJTL[[#This Row],[経過秒]]&gt;='17_分析サンプル'!$E$11,tblJTL[[#This Row],[経過秒]]&lt;'17_分析サンプル'!$E$12),1,0)</f>
        <v>1</v>
      </c>
    </row>
    <row r="807" spans="2:24" ht="14.4" x14ac:dyDescent="0.3">
      <c r="B807" s="57">
        <v>1790816604431</v>
      </c>
      <c r="C807" s="58">
        <v>101</v>
      </c>
      <c r="D807" s="59" t="s">
        <v>1658</v>
      </c>
      <c r="E807" s="59" t="s">
        <v>1577</v>
      </c>
      <c r="F807" s="59" t="s">
        <v>2275</v>
      </c>
      <c r="G807" s="59" t="s">
        <v>3585</v>
      </c>
      <c r="H807" s="59" t="s">
        <v>2281</v>
      </c>
      <c r="I807" s="59" t="b">
        <v>1</v>
      </c>
      <c r="J807" s="59"/>
      <c r="K807" s="58">
        <v>1898</v>
      </c>
      <c r="L807" s="58">
        <v>1342</v>
      </c>
      <c r="M807" s="59">
        <v>10</v>
      </c>
      <c r="N807" s="59">
        <v>10</v>
      </c>
      <c r="O807" s="59" t="s">
        <v>3578</v>
      </c>
      <c r="P807" s="58">
        <v>95</v>
      </c>
      <c r="Q807" s="59">
        <v>0</v>
      </c>
      <c r="R807" s="59">
        <v>0</v>
      </c>
      <c r="S807" s="60">
        <f>tblJTL[[#This Row],[timeStamp]]/86400000+DATE(1970,1,1)+TIME(9,0,0)</f>
        <v>46296.419032766207</v>
      </c>
      <c r="T807" s="57">
        <f>tblJTL[[#This Row],[timeStamp]]+tblJTL[[#This Row],[elapsed]]</f>
        <v>1790816604532</v>
      </c>
      <c r="U807" s="61">
        <f>(tblJTL[[#This Row],[timeStamp]]-'17_分析サンプル'!$E$18)/1000</f>
        <v>204.251</v>
      </c>
      <c r="V807" s="57">
        <f>INT(tblJTL[[#This Row],[経過秒]]/60)</f>
        <v>3</v>
      </c>
      <c r="W807" s="57">
        <f>IF(OR(tblJTL[[#This Row],[success]]=FALSE,tblJTL[[#This Row],[success]]="false"),1,0)</f>
        <v>0</v>
      </c>
      <c r="X807" s="57">
        <f>IF(AND(tblJTL[[#This Row],[経過秒]]&gt;='17_分析サンプル'!$E$11,tblJTL[[#This Row],[経過秒]]&lt;'17_分析サンプル'!$E$12),1,0)</f>
        <v>1</v>
      </c>
    </row>
    <row r="808" spans="2:24" ht="14.4" x14ac:dyDescent="0.3">
      <c r="B808" s="57">
        <v>1790816604577</v>
      </c>
      <c r="C808" s="58">
        <v>93</v>
      </c>
      <c r="D808" s="59" t="s">
        <v>1658</v>
      </c>
      <c r="E808" s="59" t="s">
        <v>1577</v>
      </c>
      <c r="F808" s="59" t="s">
        <v>2275</v>
      </c>
      <c r="G808" s="59" t="s">
        <v>2278</v>
      </c>
      <c r="H808" s="59" t="s">
        <v>2281</v>
      </c>
      <c r="I808" s="59" t="b">
        <v>1</v>
      </c>
      <c r="J808" s="59"/>
      <c r="K808" s="58">
        <v>1877</v>
      </c>
      <c r="L808" s="58">
        <v>1342</v>
      </c>
      <c r="M808" s="59">
        <v>10</v>
      </c>
      <c r="N808" s="59">
        <v>10</v>
      </c>
      <c r="O808" s="59" t="s">
        <v>3578</v>
      </c>
      <c r="P808" s="58">
        <v>88</v>
      </c>
      <c r="Q808" s="59">
        <v>0</v>
      </c>
      <c r="R808" s="59">
        <v>0</v>
      </c>
      <c r="S808" s="60">
        <f>tblJTL[[#This Row],[timeStamp]]/86400000+DATE(1970,1,1)+TIME(9,0,0)</f>
        <v>46296.419034456019</v>
      </c>
      <c r="T808" s="57">
        <f>tblJTL[[#This Row],[timeStamp]]+tblJTL[[#This Row],[elapsed]]</f>
        <v>1790816604670</v>
      </c>
      <c r="U808" s="61">
        <f>(tblJTL[[#This Row],[timeStamp]]-'17_分析サンプル'!$E$18)/1000</f>
        <v>204.39699999999999</v>
      </c>
      <c r="V808" s="57">
        <f>INT(tblJTL[[#This Row],[経過秒]]/60)</f>
        <v>3</v>
      </c>
      <c r="W808" s="57">
        <f>IF(OR(tblJTL[[#This Row],[success]]=FALSE,tblJTL[[#This Row],[success]]="false"),1,0)</f>
        <v>0</v>
      </c>
      <c r="X808" s="57">
        <f>IF(AND(tblJTL[[#This Row],[経過秒]]&gt;='17_分析サンプル'!$E$11,tblJTL[[#This Row],[経過秒]]&lt;'17_分析サンプル'!$E$12),1,0)</f>
        <v>1</v>
      </c>
    </row>
    <row r="809" spans="2:24" ht="14.4" x14ac:dyDescent="0.3">
      <c r="B809" s="57">
        <v>1790816604823</v>
      </c>
      <c r="C809" s="58">
        <v>332</v>
      </c>
      <c r="D809" s="59" t="s">
        <v>1677</v>
      </c>
      <c r="E809" s="59" t="s">
        <v>3579</v>
      </c>
      <c r="F809" s="59" t="s">
        <v>3580</v>
      </c>
      <c r="G809" s="59" t="s">
        <v>3583</v>
      </c>
      <c r="H809" s="59" t="s">
        <v>2281</v>
      </c>
      <c r="I809" s="59" t="b">
        <v>1</v>
      </c>
      <c r="J809" s="59"/>
      <c r="K809" s="58">
        <v>421</v>
      </c>
      <c r="L809" s="58">
        <v>1478</v>
      </c>
      <c r="M809" s="59">
        <v>10</v>
      </c>
      <c r="N809" s="59">
        <v>10</v>
      </c>
      <c r="O809" s="59" t="s">
        <v>3581</v>
      </c>
      <c r="P809" s="58">
        <v>326</v>
      </c>
      <c r="Q809" s="59">
        <v>0</v>
      </c>
      <c r="R809" s="59">
        <v>54</v>
      </c>
      <c r="S809" s="60">
        <f>tblJTL[[#This Row],[timeStamp]]/86400000+DATE(1970,1,1)+TIME(9,0,0)</f>
        <v>46296.41903730324</v>
      </c>
      <c r="T809" s="57">
        <f>tblJTL[[#This Row],[timeStamp]]+tblJTL[[#This Row],[elapsed]]</f>
        <v>1790816605155</v>
      </c>
      <c r="U809" s="61">
        <f>(tblJTL[[#This Row],[timeStamp]]-'17_分析サンプル'!$E$18)/1000</f>
        <v>204.643</v>
      </c>
      <c r="V809" s="57">
        <f>INT(tblJTL[[#This Row],[経過秒]]/60)</f>
        <v>3</v>
      </c>
      <c r="W809" s="57">
        <f>IF(OR(tblJTL[[#This Row],[success]]=FALSE,tblJTL[[#This Row],[success]]="false"),1,0)</f>
        <v>0</v>
      </c>
      <c r="X809" s="57">
        <f>IF(AND(tblJTL[[#This Row],[経過秒]]&gt;='17_分析サンプル'!$E$11,tblJTL[[#This Row],[経過秒]]&lt;'17_分析サンプル'!$E$12),1,0)</f>
        <v>1</v>
      </c>
    </row>
    <row r="810" spans="2:24" ht="14.4" x14ac:dyDescent="0.3">
      <c r="B810" s="57">
        <v>1790816604997</v>
      </c>
      <c r="C810" s="58">
        <v>210</v>
      </c>
      <c r="D810" s="59" t="s">
        <v>1677</v>
      </c>
      <c r="E810" s="59" t="s">
        <v>3579</v>
      </c>
      <c r="F810" s="59" t="s">
        <v>3580</v>
      </c>
      <c r="G810" s="59" t="s">
        <v>3577</v>
      </c>
      <c r="H810" s="59" t="s">
        <v>2281</v>
      </c>
      <c r="I810" s="59" t="b">
        <v>1</v>
      </c>
      <c r="J810" s="59"/>
      <c r="K810" s="58">
        <v>416</v>
      </c>
      <c r="L810" s="58">
        <v>1478</v>
      </c>
      <c r="M810" s="59">
        <v>10</v>
      </c>
      <c r="N810" s="59">
        <v>10</v>
      </c>
      <c r="O810" s="59" t="s">
        <v>3581</v>
      </c>
      <c r="P810" s="58">
        <v>203</v>
      </c>
      <c r="Q810" s="59">
        <v>0</v>
      </c>
      <c r="R810" s="59">
        <v>0</v>
      </c>
      <c r="S810" s="60">
        <f>tblJTL[[#This Row],[timeStamp]]/86400000+DATE(1970,1,1)+TIME(9,0,0)</f>
        <v>46296.41903931713</v>
      </c>
      <c r="T810" s="57">
        <f>tblJTL[[#This Row],[timeStamp]]+tblJTL[[#This Row],[elapsed]]</f>
        <v>1790816605207</v>
      </c>
      <c r="U810" s="61">
        <f>(tblJTL[[#This Row],[timeStamp]]-'17_分析サンプル'!$E$18)/1000</f>
        <v>204.81700000000001</v>
      </c>
      <c r="V810" s="57">
        <f>INT(tblJTL[[#This Row],[経過秒]]/60)</f>
        <v>3</v>
      </c>
      <c r="W810" s="57">
        <f>IF(OR(tblJTL[[#This Row],[success]]=FALSE,tblJTL[[#This Row],[success]]="false"),1,0)</f>
        <v>0</v>
      </c>
      <c r="X810" s="57">
        <f>IF(AND(tblJTL[[#This Row],[経過秒]]&gt;='17_分析サンプル'!$E$11,tblJTL[[#This Row],[経過秒]]&lt;'17_分析サンプル'!$E$12),1,0)</f>
        <v>1</v>
      </c>
    </row>
    <row r="811" spans="2:24" ht="14.4" x14ac:dyDescent="0.3">
      <c r="B811" s="57">
        <v>1790816605288</v>
      </c>
      <c r="C811" s="58">
        <v>77</v>
      </c>
      <c r="D811" s="59" t="s">
        <v>1658</v>
      </c>
      <c r="E811" s="59" t="s">
        <v>1577</v>
      </c>
      <c r="F811" s="59" t="s">
        <v>2275</v>
      </c>
      <c r="G811" s="59" t="s">
        <v>3588</v>
      </c>
      <c r="H811" s="59" t="s">
        <v>2281</v>
      </c>
      <c r="I811" s="59" t="b">
        <v>1</v>
      </c>
      <c r="J811" s="59"/>
      <c r="K811" s="58">
        <v>1895</v>
      </c>
      <c r="L811" s="58">
        <v>1342</v>
      </c>
      <c r="M811" s="59">
        <v>10</v>
      </c>
      <c r="N811" s="59">
        <v>10</v>
      </c>
      <c r="O811" s="59" t="s">
        <v>3578</v>
      </c>
      <c r="P811" s="58">
        <v>74</v>
      </c>
      <c r="Q811" s="59">
        <v>0</v>
      </c>
      <c r="R811" s="59">
        <v>0</v>
      </c>
      <c r="S811" s="60">
        <f>tblJTL[[#This Row],[timeStamp]]/86400000+DATE(1970,1,1)+TIME(9,0,0)</f>
        <v>46296.419042685186</v>
      </c>
      <c r="T811" s="57">
        <f>tblJTL[[#This Row],[timeStamp]]+tblJTL[[#This Row],[elapsed]]</f>
        <v>1790816605365</v>
      </c>
      <c r="U811" s="61">
        <f>(tblJTL[[#This Row],[timeStamp]]-'17_分析サンプル'!$E$18)/1000</f>
        <v>205.108</v>
      </c>
      <c r="V811" s="57">
        <f>INT(tblJTL[[#This Row],[経過秒]]/60)</f>
        <v>3</v>
      </c>
      <c r="W811" s="57">
        <f>IF(OR(tblJTL[[#This Row],[success]]=FALSE,tblJTL[[#This Row],[success]]="false"),1,0)</f>
        <v>0</v>
      </c>
      <c r="X811" s="57">
        <f>IF(AND(tblJTL[[#This Row],[経過秒]]&gt;='17_分析サンプル'!$E$11,tblJTL[[#This Row],[経過秒]]&lt;'17_分析サンプル'!$E$12),1,0)</f>
        <v>1</v>
      </c>
    </row>
    <row r="812" spans="2:24" ht="14.4" x14ac:dyDescent="0.3">
      <c r="B812" s="57">
        <v>1790816605126</v>
      </c>
      <c r="C812" s="58">
        <v>272</v>
      </c>
      <c r="D812" s="59" t="s">
        <v>1677</v>
      </c>
      <c r="E812" s="59" t="s">
        <v>3579</v>
      </c>
      <c r="F812" s="59" t="s">
        <v>3580</v>
      </c>
      <c r="G812" s="59" t="s">
        <v>3584</v>
      </c>
      <c r="H812" s="59" t="s">
        <v>2281</v>
      </c>
      <c r="I812" s="59" t="b">
        <v>1</v>
      </c>
      <c r="J812" s="59"/>
      <c r="K812" s="58">
        <v>437</v>
      </c>
      <c r="L812" s="58">
        <v>1478</v>
      </c>
      <c r="M812" s="59">
        <v>10</v>
      </c>
      <c r="N812" s="59">
        <v>10</v>
      </c>
      <c r="O812" s="59" t="s">
        <v>3581</v>
      </c>
      <c r="P812" s="58">
        <v>270</v>
      </c>
      <c r="Q812" s="59">
        <v>0</v>
      </c>
      <c r="R812" s="59">
        <v>0</v>
      </c>
      <c r="S812" s="60">
        <f>tblJTL[[#This Row],[timeStamp]]/86400000+DATE(1970,1,1)+TIME(9,0,0)</f>
        <v>46296.419040810186</v>
      </c>
      <c r="T812" s="57">
        <f>tblJTL[[#This Row],[timeStamp]]+tblJTL[[#This Row],[elapsed]]</f>
        <v>1790816605398</v>
      </c>
      <c r="U812" s="61">
        <f>(tblJTL[[#This Row],[timeStamp]]-'17_分析サンプル'!$E$18)/1000</f>
        <v>204.946</v>
      </c>
      <c r="V812" s="57">
        <f>INT(tblJTL[[#This Row],[経過秒]]/60)</f>
        <v>3</v>
      </c>
      <c r="W812" s="57">
        <f>IF(OR(tblJTL[[#This Row],[success]]=FALSE,tblJTL[[#This Row],[success]]="false"),1,0)</f>
        <v>0</v>
      </c>
      <c r="X812" s="57">
        <f>IF(AND(tblJTL[[#This Row],[経過秒]]&gt;='17_分析サンプル'!$E$11,tblJTL[[#This Row],[経過秒]]&lt;'17_分析サンプル'!$E$12),1,0)</f>
        <v>1</v>
      </c>
    </row>
    <row r="813" spans="2:24" ht="14.4" x14ac:dyDescent="0.3">
      <c r="B813" s="57">
        <v>1790816605577</v>
      </c>
      <c r="C813" s="58">
        <v>180</v>
      </c>
      <c r="D813" s="59" t="s">
        <v>1677</v>
      </c>
      <c r="E813" s="59" t="s">
        <v>3579</v>
      </c>
      <c r="F813" s="59" t="s">
        <v>3580</v>
      </c>
      <c r="G813" s="59" t="s">
        <v>3582</v>
      </c>
      <c r="H813" s="59" t="s">
        <v>2281</v>
      </c>
      <c r="I813" s="59" t="b">
        <v>1</v>
      </c>
      <c r="J813" s="59"/>
      <c r="K813" s="58">
        <v>436</v>
      </c>
      <c r="L813" s="58">
        <v>1478</v>
      </c>
      <c r="M813" s="59">
        <v>10</v>
      </c>
      <c r="N813" s="59">
        <v>10</v>
      </c>
      <c r="O813" s="59" t="s">
        <v>3581</v>
      </c>
      <c r="P813" s="58">
        <v>174</v>
      </c>
      <c r="Q813" s="59">
        <v>0</v>
      </c>
      <c r="R813" s="59">
        <v>0</v>
      </c>
      <c r="S813" s="60">
        <f>tblJTL[[#This Row],[timeStamp]]/86400000+DATE(1970,1,1)+TIME(9,0,0)</f>
        <v>46296.419046030089</v>
      </c>
      <c r="T813" s="57">
        <f>tblJTL[[#This Row],[timeStamp]]+tblJTL[[#This Row],[elapsed]]</f>
        <v>1790816605757</v>
      </c>
      <c r="U813" s="61">
        <f>(tblJTL[[#This Row],[timeStamp]]-'17_分析サンプル'!$E$18)/1000</f>
        <v>205.39699999999999</v>
      </c>
      <c r="V813" s="57">
        <f>INT(tblJTL[[#This Row],[経過秒]]/60)</f>
        <v>3</v>
      </c>
      <c r="W813" s="57">
        <f>IF(OR(tblJTL[[#This Row],[success]]=FALSE,tblJTL[[#This Row],[success]]="false"),1,0)</f>
        <v>0</v>
      </c>
      <c r="X813" s="57">
        <f>IF(AND(tblJTL[[#This Row],[経過秒]]&gt;='17_分析サンプル'!$E$11,tblJTL[[#This Row],[経過秒]]&lt;'17_分析サンプル'!$E$12),1,0)</f>
        <v>1</v>
      </c>
    </row>
    <row r="814" spans="2:24" ht="14.4" x14ac:dyDescent="0.3">
      <c r="B814" s="57">
        <v>1790816606402</v>
      </c>
      <c r="C814" s="58">
        <v>205</v>
      </c>
      <c r="D814" s="59" t="s">
        <v>1677</v>
      </c>
      <c r="E814" s="59" t="s">
        <v>3579</v>
      </c>
      <c r="F814" s="59" t="s">
        <v>3580</v>
      </c>
      <c r="G814" s="59" t="s">
        <v>3585</v>
      </c>
      <c r="H814" s="59" t="s">
        <v>2281</v>
      </c>
      <c r="I814" s="59" t="b">
        <v>1</v>
      </c>
      <c r="J814" s="59"/>
      <c r="K814" s="58">
        <v>433</v>
      </c>
      <c r="L814" s="58">
        <v>1478</v>
      </c>
      <c r="M814" s="59">
        <v>10</v>
      </c>
      <c r="N814" s="59">
        <v>10</v>
      </c>
      <c r="O814" s="59" t="s">
        <v>3581</v>
      </c>
      <c r="P814" s="58">
        <v>197</v>
      </c>
      <c r="Q814" s="59">
        <v>0</v>
      </c>
      <c r="R814" s="59">
        <v>0</v>
      </c>
      <c r="S814" s="60">
        <f>tblJTL[[#This Row],[timeStamp]]/86400000+DATE(1970,1,1)+TIME(9,0,0)</f>
        <v>46296.419055578706</v>
      </c>
      <c r="T814" s="57">
        <f>tblJTL[[#This Row],[timeStamp]]+tblJTL[[#This Row],[elapsed]]</f>
        <v>1790816606607</v>
      </c>
      <c r="U814" s="61">
        <f>(tblJTL[[#This Row],[timeStamp]]-'17_分析サンプル'!$E$18)/1000</f>
        <v>206.22200000000001</v>
      </c>
      <c r="V814" s="57">
        <f>INT(tblJTL[[#This Row],[経過秒]]/60)</f>
        <v>3</v>
      </c>
      <c r="W814" s="57">
        <f>IF(OR(tblJTL[[#This Row],[success]]=FALSE,tblJTL[[#This Row],[success]]="false"),1,0)</f>
        <v>0</v>
      </c>
      <c r="X814" s="57">
        <f>IF(AND(tblJTL[[#This Row],[経過秒]]&gt;='17_分析サンプル'!$E$11,tblJTL[[#This Row],[経過秒]]&lt;'17_分析サンプル'!$E$12),1,0)</f>
        <v>1</v>
      </c>
    </row>
    <row r="815" spans="2:24" ht="14.4" x14ac:dyDescent="0.3">
      <c r="B815" s="57">
        <v>1790816606322</v>
      </c>
      <c r="C815" s="58">
        <v>330</v>
      </c>
      <c r="D815" s="59" t="s">
        <v>1677</v>
      </c>
      <c r="E815" s="59" t="s">
        <v>3579</v>
      </c>
      <c r="F815" s="59" t="s">
        <v>3580</v>
      </c>
      <c r="G815" s="59" t="s">
        <v>3587</v>
      </c>
      <c r="H815" s="59" t="s">
        <v>2281</v>
      </c>
      <c r="I815" s="59" t="b">
        <v>1</v>
      </c>
      <c r="J815" s="59"/>
      <c r="K815" s="58">
        <v>417</v>
      </c>
      <c r="L815" s="58">
        <v>1478</v>
      </c>
      <c r="M815" s="59">
        <v>10</v>
      </c>
      <c r="N815" s="59">
        <v>10</v>
      </c>
      <c r="O815" s="59" t="s">
        <v>3581</v>
      </c>
      <c r="P815" s="58">
        <v>327</v>
      </c>
      <c r="Q815" s="59">
        <v>0</v>
      </c>
      <c r="R815" s="59">
        <v>0</v>
      </c>
      <c r="S815" s="60">
        <f>tblJTL[[#This Row],[timeStamp]]/86400000+DATE(1970,1,1)+TIME(9,0,0)</f>
        <v>46296.419054652783</v>
      </c>
      <c r="T815" s="57">
        <f>tblJTL[[#This Row],[timeStamp]]+tblJTL[[#This Row],[elapsed]]</f>
        <v>1790816606652</v>
      </c>
      <c r="U815" s="61">
        <f>(tblJTL[[#This Row],[timeStamp]]-'17_分析サンプル'!$E$18)/1000</f>
        <v>206.142</v>
      </c>
      <c r="V815" s="57">
        <f>INT(tblJTL[[#This Row],[経過秒]]/60)</f>
        <v>3</v>
      </c>
      <c r="W815" s="57">
        <f>IF(OR(tblJTL[[#This Row],[success]]=FALSE,tblJTL[[#This Row],[success]]="false"),1,0)</f>
        <v>0</v>
      </c>
      <c r="X815" s="57">
        <f>IF(AND(tblJTL[[#This Row],[経過秒]]&gt;='17_分析サンプル'!$E$11,tblJTL[[#This Row],[経過秒]]&lt;'17_分析サンプル'!$E$12),1,0)</f>
        <v>1</v>
      </c>
    </row>
    <row r="816" spans="2:24" ht="14.4" x14ac:dyDescent="0.3">
      <c r="B816" s="57">
        <v>1790816606464</v>
      </c>
      <c r="C816" s="58">
        <v>218</v>
      </c>
      <c r="D816" s="59" t="s">
        <v>1677</v>
      </c>
      <c r="E816" s="59" t="s">
        <v>3579</v>
      </c>
      <c r="F816" s="59" t="s">
        <v>3580</v>
      </c>
      <c r="G816" s="59" t="s">
        <v>3586</v>
      </c>
      <c r="H816" s="59" t="s">
        <v>2281</v>
      </c>
      <c r="I816" s="59" t="b">
        <v>1</v>
      </c>
      <c r="J816" s="59"/>
      <c r="K816" s="58">
        <v>417</v>
      </c>
      <c r="L816" s="58">
        <v>1478</v>
      </c>
      <c r="M816" s="59">
        <v>10</v>
      </c>
      <c r="N816" s="59">
        <v>10</v>
      </c>
      <c r="O816" s="59" t="s">
        <v>3581</v>
      </c>
      <c r="P816" s="58">
        <v>211</v>
      </c>
      <c r="Q816" s="59">
        <v>0</v>
      </c>
      <c r="R816" s="59">
        <v>0</v>
      </c>
      <c r="S816" s="60">
        <f>tblJTL[[#This Row],[timeStamp]]/86400000+DATE(1970,1,1)+TIME(9,0,0)</f>
        <v>46296.419056296298</v>
      </c>
      <c r="T816" s="57">
        <f>tblJTL[[#This Row],[timeStamp]]+tblJTL[[#This Row],[elapsed]]</f>
        <v>1790816606682</v>
      </c>
      <c r="U816" s="61">
        <f>(tblJTL[[#This Row],[timeStamp]]-'17_分析サンプル'!$E$18)/1000</f>
        <v>206.28399999999999</v>
      </c>
      <c r="V816" s="57">
        <f>INT(tblJTL[[#This Row],[経過秒]]/60)</f>
        <v>3</v>
      </c>
      <c r="W816" s="57">
        <f>IF(OR(tblJTL[[#This Row],[success]]=FALSE,tblJTL[[#This Row],[success]]="false"),1,0)</f>
        <v>0</v>
      </c>
      <c r="X816" s="57">
        <f>IF(AND(tblJTL[[#This Row],[経過秒]]&gt;='17_分析サンプル'!$E$11,tblJTL[[#This Row],[経過秒]]&lt;'17_分析サンプル'!$E$12),1,0)</f>
        <v>1</v>
      </c>
    </row>
    <row r="817" spans="2:24" ht="14.4" x14ac:dyDescent="0.3">
      <c r="B817" s="57">
        <v>1790816606565</v>
      </c>
      <c r="C817" s="58">
        <v>281</v>
      </c>
      <c r="D817" s="59" t="s">
        <v>1677</v>
      </c>
      <c r="E817" s="59" t="s">
        <v>3579</v>
      </c>
      <c r="F817" s="59" t="s">
        <v>3580</v>
      </c>
      <c r="G817" s="59" t="s">
        <v>2278</v>
      </c>
      <c r="H817" s="59" t="s">
        <v>2281</v>
      </c>
      <c r="I817" s="59" t="b">
        <v>1</v>
      </c>
      <c r="J817" s="59"/>
      <c r="K817" s="58">
        <v>434</v>
      </c>
      <c r="L817" s="58">
        <v>1478</v>
      </c>
      <c r="M817" s="59">
        <v>10</v>
      </c>
      <c r="N817" s="59">
        <v>10</v>
      </c>
      <c r="O817" s="59" t="s">
        <v>3581</v>
      </c>
      <c r="P817" s="58">
        <v>274</v>
      </c>
      <c r="Q817" s="59">
        <v>0</v>
      </c>
      <c r="R817" s="59">
        <v>0</v>
      </c>
      <c r="S817" s="60">
        <f>tblJTL[[#This Row],[timeStamp]]/86400000+DATE(1970,1,1)+TIME(9,0,0)</f>
        <v>46296.419057465275</v>
      </c>
      <c r="T817" s="57">
        <f>tblJTL[[#This Row],[timeStamp]]+tblJTL[[#This Row],[elapsed]]</f>
        <v>1790816606846</v>
      </c>
      <c r="U817" s="61">
        <f>(tblJTL[[#This Row],[timeStamp]]-'17_分析サンプル'!$E$18)/1000</f>
        <v>206.38499999999999</v>
      </c>
      <c r="V817" s="57">
        <f>INT(tblJTL[[#This Row],[経過秒]]/60)</f>
        <v>3</v>
      </c>
      <c r="W817" s="57">
        <f>IF(OR(tblJTL[[#This Row],[success]]=FALSE,tblJTL[[#This Row],[success]]="false"),1,0)</f>
        <v>0</v>
      </c>
      <c r="X817" s="57">
        <f>IF(AND(tblJTL[[#This Row],[経過秒]]&gt;='17_分析サンプル'!$E$11,tblJTL[[#This Row],[経過秒]]&lt;'17_分析サンプル'!$E$12),1,0)</f>
        <v>1</v>
      </c>
    </row>
    <row r="818" spans="2:24" ht="14.4" x14ac:dyDescent="0.3">
      <c r="B818" s="57">
        <v>1790816606869</v>
      </c>
      <c r="C818" s="58">
        <v>92</v>
      </c>
      <c r="D818" s="59" t="s">
        <v>1658</v>
      </c>
      <c r="E818" s="59" t="s">
        <v>1577</v>
      </c>
      <c r="F818" s="59" t="s">
        <v>2275</v>
      </c>
      <c r="G818" s="59" t="s">
        <v>3589</v>
      </c>
      <c r="H818" s="59" t="s">
        <v>2281</v>
      </c>
      <c r="I818" s="59" t="b">
        <v>1</v>
      </c>
      <c r="J818" s="59"/>
      <c r="K818" s="58">
        <v>1882</v>
      </c>
      <c r="L818" s="58">
        <v>1342</v>
      </c>
      <c r="M818" s="59">
        <v>10</v>
      </c>
      <c r="N818" s="59">
        <v>10</v>
      </c>
      <c r="O818" s="59" t="s">
        <v>3578</v>
      </c>
      <c r="P818" s="58">
        <v>85</v>
      </c>
      <c r="Q818" s="59">
        <v>0</v>
      </c>
      <c r="R818" s="59">
        <v>0</v>
      </c>
      <c r="S818" s="60">
        <f>tblJTL[[#This Row],[timeStamp]]/86400000+DATE(1970,1,1)+TIME(9,0,0)</f>
        <v>46296.419060983797</v>
      </c>
      <c r="T818" s="57">
        <f>tblJTL[[#This Row],[timeStamp]]+tblJTL[[#This Row],[elapsed]]</f>
        <v>1790816606961</v>
      </c>
      <c r="U818" s="61">
        <f>(tblJTL[[#This Row],[timeStamp]]-'17_分析サンプル'!$E$18)/1000</f>
        <v>206.68899999999999</v>
      </c>
      <c r="V818" s="57">
        <f>INT(tblJTL[[#This Row],[経過秒]]/60)</f>
        <v>3</v>
      </c>
      <c r="W818" s="57">
        <f>IF(OR(tblJTL[[#This Row],[success]]=FALSE,tblJTL[[#This Row],[success]]="false"),1,0)</f>
        <v>0</v>
      </c>
      <c r="X818" s="57">
        <f>IF(AND(tblJTL[[#This Row],[経過秒]]&gt;='17_分析サンプル'!$E$11,tblJTL[[#This Row],[経過秒]]&lt;'17_分析サンプル'!$E$12),1,0)</f>
        <v>1</v>
      </c>
    </row>
    <row r="819" spans="2:24" ht="14.4" x14ac:dyDescent="0.3">
      <c r="B819" s="57">
        <v>1790816606775</v>
      </c>
      <c r="C819" s="58">
        <v>307</v>
      </c>
      <c r="D819" s="59" t="s">
        <v>1677</v>
      </c>
      <c r="E819" s="59" t="s">
        <v>3579</v>
      </c>
      <c r="F819" s="59" t="s">
        <v>3580</v>
      </c>
      <c r="G819" s="59" t="s">
        <v>3588</v>
      </c>
      <c r="H819" s="59" t="s">
        <v>2281</v>
      </c>
      <c r="I819" s="59" t="b">
        <v>1</v>
      </c>
      <c r="J819" s="59"/>
      <c r="K819" s="58">
        <v>437</v>
      </c>
      <c r="L819" s="58">
        <v>1478</v>
      </c>
      <c r="M819" s="59">
        <v>10</v>
      </c>
      <c r="N819" s="59">
        <v>10</v>
      </c>
      <c r="O819" s="59" t="s">
        <v>3581</v>
      </c>
      <c r="P819" s="58">
        <v>301</v>
      </c>
      <c r="Q819" s="59">
        <v>0</v>
      </c>
      <c r="R819" s="59">
        <v>0</v>
      </c>
      <c r="S819" s="60">
        <f>tblJTL[[#This Row],[timeStamp]]/86400000+DATE(1970,1,1)+TIME(9,0,0)</f>
        <v>46296.419059895838</v>
      </c>
      <c r="T819" s="57">
        <f>tblJTL[[#This Row],[timeStamp]]+tblJTL[[#This Row],[elapsed]]</f>
        <v>1790816607082</v>
      </c>
      <c r="U819" s="61">
        <f>(tblJTL[[#This Row],[timeStamp]]-'17_分析サンプル'!$E$18)/1000</f>
        <v>206.595</v>
      </c>
      <c r="V819" s="57">
        <f>INT(tblJTL[[#This Row],[経過秒]]/60)</f>
        <v>3</v>
      </c>
      <c r="W819" s="57">
        <f>IF(OR(tblJTL[[#This Row],[success]]=FALSE,tblJTL[[#This Row],[success]]="false"),1,0)</f>
        <v>0</v>
      </c>
      <c r="X819" s="57">
        <f>IF(AND(tblJTL[[#This Row],[経過秒]]&gt;='17_分析サンプル'!$E$11,tblJTL[[#This Row],[経過秒]]&lt;'17_分析サンプル'!$E$12),1,0)</f>
        <v>1</v>
      </c>
    </row>
    <row r="820" spans="2:24" ht="14.4" x14ac:dyDescent="0.3">
      <c r="B820" s="57">
        <v>1790816607188</v>
      </c>
      <c r="C820" s="58">
        <v>203</v>
      </c>
      <c r="D820" s="59" t="s">
        <v>1658</v>
      </c>
      <c r="E820" s="59" t="s">
        <v>1577</v>
      </c>
      <c r="F820" s="59" t="s">
        <v>2275</v>
      </c>
      <c r="G820" s="59" t="s">
        <v>3584</v>
      </c>
      <c r="H820" s="59" t="s">
        <v>2281</v>
      </c>
      <c r="I820" s="59" t="b">
        <v>1</v>
      </c>
      <c r="J820" s="59"/>
      <c r="K820" s="58">
        <v>1899</v>
      </c>
      <c r="L820" s="58">
        <v>1342</v>
      </c>
      <c r="M820" s="59">
        <v>10</v>
      </c>
      <c r="N820" s="59">
        <v>10</v>
      </c>
      <c r="O820" s="59" t="s">
        <v>3578</v>
      </c>
      <c r="P820" s="58">
        <v>199</v>
      </c>
      <c r="Q820" s="59">
        <v>0</v>
      </c>
      <c r="R820" s="59">
        <v>0</v>
      </c>
      <c r="S820" s="60">
        <f>tblJTL[[#This Row],[timeStamp]]/86400000+DATE(1970,1,1)+TIME(9,0,0)</f>
        <v>46296.419064675923</v>
      </c>
      <c r="T820" s="57">
        <f>tblJTL[[#This Row],[timeStamp]]+tblJTL[[#This Row],[elapsed]]</f>
        <v>1790816607391</v>
      </c>
      <c r="U820" s="61">
        <f>(tblJTL[[#This Row],[timeStamp]]-'17_分析サンプル'!$E$18)/1000</f>
        <v>207.00800000000001</v>
      </c>
      <c r="V820" s="57">
        <f>INT(tblJTL[[#This Row],[経過秒]]/60)</f>
        <v>3</v>
      </c>
      <c r="W820" s="57">
        <f>IF(OR(tblJTL[[#This Row],[success]]=FALSE,tblJTL[[#This Row],[success]]="false"),1,0)</f>
        <v>0</v>
      </c>
      <c r="X820" s="57">
        <f>IF(AND(tblJTL[[#This Row],[経過秒]]&gt;='17_分析サンプル'!$E$11,tblJTL[[#This Row],[経過秒]]&lt;'17_分析サンプル'!$E$12),1,0)</f>
        <v>1</v>
      </c>
    </row>
    <row r="821" spans="2:24" ht="14.4" x14ac:dyDescent="0.3">
      <c r="B821" s="57">
        <v>1790816607666</v>
      </c>
      <c r="C821" s="58">
        <v>67</v>
      </c>
      <c r="D821" s="59" t="s">
        <v>1658</v>
      </c>
      <c r="E821" s="59" t="s">
        <v>1577</v>
      </c>
      <c r="F821" s="59" t="s">
        <v>2275</v>
      </c>
      <c r="G821" s="59" t="s">
        <v>3577</v>
      </c>
      <c r="H821" s="59" t="s">
        <v>2281</v>
      </c>
      <c r="I821" s="59" t="b">
        <v>1</v>
      </c>
      <c r="J821" s="59"/>
      <c r="K821" s="58">
        <v>1893</v>
      </c>
      <c r="L821" s="58">
        <v>1342</v>
      </c>
      <c r="M821" s="59">
        <v>10</v>
      </c>
      <c r="N821" s="59">
        <v>10</v>
      </c>
      <c r="O821" s="59" t="s">
        <v>3578</v>
      </c>
      <c r="P821" s="58">
        <v>59</v>
      </c>
      <c r="Q821" s="59">
        <v>0</v>
      </c>
      <c r="R821" s="59">
        <v>0</v>
      </c>
      <c r="S821" s="60">
        <f>tblJTL[[#This Row],[timeStamp]]/86400000+DATE(1970,1,1)+TIME(9,0,0)</f>
        <v>46296.419070208329</v>
      </c>
      <c r="T821" s="57">
        <f>tblJTL[[#This Row],[timeStamp]]+tblJTL[[#This Row],[elapsed]]</f>
        <v>1790816607733</v>
      </c>
      <c r="U821" s="61">
        <f>(tblJTL[[#This Row],[timeStamp]]-'17_分析サンプル'!$E$18)/1000</f>
        <v>207.48599999999999</v>
      </c>
      <c r="V821" s="57">
        <f>INT(tblJTL[[#This Row],[経過秒]]/60)</f>
        <v>3</v>
      </c>
      <c r="W821" s="57">
        <f>IF(OR(tblJTL[[#This Row],[success]]=FALSE,tblJTL[[#This Row],[success]]="false"),1,0)</f>
        <v>0</v>
      </c>
      <c r="X821" s="57">
        <f>IF(AND(tblJTL[[#This Row],[経過秒]]&gt;='17_分析サンプル'!$E$11,tblJTL[[#This Row],[経過秒]]&lt;'17_分析サンプル'!$E$12),1,0)</f>
        <v>1</v>
      </c>
    </row>
    <row r="822" spans="2:24" ht="14.4" x14ac:dyDescent="0.3">
      <c r="B822" s="57">
        <v>1790816607747</v>
      </c>
      <c r="C822" s="58">
        <v>104</v>
      </c>
      <c r="D822" s="59" t="s">
        <v>1658</v>
      </c>
      <c r="E822" s="59" t="s">
        <v>1577</v>
      </c>
      <c r="F822" s="59" t="s">
        <v>2275</v>
      </c>
      <c r="G822" s="59" t="s">
        <v>3582</v>
      </c>
      <c r="H822" s="59" t="s">
        <v>2281</v>
      </c>
      <c r="I822" s="59" t="b">
        <v>1</v>
      </c>
      <c r="J822" s="59"/>
      <c r="K822" s="58">
        <v>1897</v>
      </c>
      <c r="L822" s="58">
        <v>1342</v>
      </c>
      <c r="M822" s="59">
        <v>10</v>
      </c>
      <c r="N822" s="59">
        <v>10</v>
      </c>
      <c r="O822" s="59" t="s">
        <v>3578</v>
      </c>
      <c r="P822" s="58">
        <v>97</v>
      </c>
      <c r="Q822" s="59">
        <v>0</v>
      </c>
      <c r="R822" s="59">
        <v>0</v>
      </c>
      <c r="S822" s="60">
        <f>tblJTL[[#This Row],[timeStamp]]/86400000+DATE(1970,1,1)+TIME(9,0,0)</f>
        <v>46296.419071145836</v>
      </c>
      <c r="T822" s="57">
        <f>tblJTL[[#This Row],[timeStamp]]+tblJTL[[#This Row],[elapsed]]</f>
        <v>1790816607851</v>
      </c>
      <c r="U822" s="61">
        <f>(tblJTL[[#This Row],[timeStamp]]-'17_分析サンプル'!$E$18)/1000</f>
        <v>207.56700000000001</v>
      </c>
      <c r="V822" s="57">
        <f>INT(tblJTL[[#This Row],[経過秒]]/60)</f>
        <v>3</v>
      </c>
      <c r="W822" s="57">
        <f>IF(OR(tblJTL[[#This Row],[success]]=FALSE,tblJTL[[#This Row],[success]]="false"),1,0)</f>
        <v>0</v>
      </c>
      <c r="X822" s="57">
        <f>IF(AND(tblJTL[[#This Row],[経過秒]]&gt;='17_分析サンプル'!$E$11,tblJTL[[#This Row],[経過秒]]&lt;'17_分析サンプル'!$E$12),1,0)</f>
        <v>1</v>
      </c>
    </row>
    <row r="823" spans="2:24" ht="14.4" x14ac:dyDescent="0.3">
      <c r="B823" s="57">
        <v>1790816607957</v>
      </c>
      <c r="C823" s="58">
        <v>133</v>
      </c>
      <c r="D823" s="59" t="s">
        <v>1658</v>
      </c>
      <c r="E823" s="59" t="s">
        <v>1577</v>
      </c>
      <c r="F823" s="59" t="s">
        <v>2275</v>
      </c>
      <c r="G823" s="59" t="s">
        <v>3585</v>
      </c>
      <c r="H823" s="59" t="s">
        <v>2281</v>
      </c>
      <c r="I823" s="59" t="b">
        <v>1</v>
      </c>
      <c r="J823" s="59"/>
      <c r="K823" s="58">
        <v>1831</v>
      </c>
      <c r="L823" s="58">
        <v>1342</v>
      </c>
      <c r="M823" s="59">
        <v>10</v>
      </c>
      <c r="N823" s="59">
        <v>10</v>
      </c>
      <c r="O823" s="59" t="s">
        <v>3578</v>
      </c>
      <c r="P823" s="58">
        <v>127</v>
      </c>
      <c r="Q823" s="59">
        <v>0</v>
      </c>
      <c r="R823" s="59">
        <v>0</v>
      </c>
      <c r="S823" s="60">
        <f>tblJTL[[#This Row],[timeStamp]]/86400000+DATE(1970,1,1)+TIME(9,0,0)</f>
        <v>46296.419073576384</v>
      </c>
      <c r="T823" s="57">
        <f>tblJTL[[#This Row],[timeStamp]]+tblJTL[[#This Row],[elapsed]]</f>
        <v>1790816608090</v>
      </c>
      <c r="U823" s="61">
        <f>(tblJTL[[#This Row],[timeStamp]]-'17_分析サンプル'!$E$18)/1000</f>
        <v>207.77699999999999</v>
      </c>
      <c r="V823" s="57">
        <f>INT(tblJTL[[#This Row],[経過秒]]/60)</f>
        <v>3</v>
      </c>
      <c r="W823" s="57">
        <f>IF(OR(tblJTL[[#This Row],[success]]=FALSE,tblJTL[[#This Row],[success]]="false"),1,0)</f>
        <v>0</v>
      </c>
      <c r="X823" s="57">
        <f>IF(AND(tblJTL[[#This Row],[経過秒]]&gt;='17_分析サンプル'!$E$11,tblJTL[[#This Row],[経過秒]]&lt;'17_分析サンプル'!$E$12),1,0)</f>
        <v>1</v>
      </c>
    </row>
    <row r="824" spans="2:24" ht="14.4" x14ac:dyDescent="0.3">
      <c r="B824" s="57">
        <v>1790816608069</v>
      </c>
      <c r="C824" s="58">
        <v>87</v>
      </c>
      <c r="D824" s="59" t="s">
        <v>1658</v>
      </c>
      <c r="E824" s="59" t="s">
        <v>1577</v>
      </c>
      <c r="F824" s="59" t="s">
        <v>2275</v>
      </c>
      <c r="G824" s="59" t="s">
        <v>3583</v>
      </c>
      <c r="H824" s="59" t="s">
        <v>2281</v>
      </c>
      <c r="I824" s="59" t="b">
        <v>1</v>
      </c>
      <c r="J824" s="59"/>
      <c r="K824" s="58">
        <v>1863</v>
      </c>
      <c r="L824" s="58">
        <v>1342</v>
      </c>
      <c r="M824" s="59">
        <v>10</v>
      </c>
      <c r="N824" s="59">
        <v>10</v>
      </c>
      <c r="O824" s="59" t="s">
        <v>3578</v>
      </c>
      <c r="P824" s="58">
        <v>85</v>
      </c>
      <c r="Q824" s="59">
        <v>0</v>
      </c>
      <c r="R824" s="59">
        <v>0</v>
      </c>
      <c r="S824" s="60">
        <f>tblJTL[[#This Row],[timeStamp]]/86400000+DATE(1970,1,1)+TIME(9,0,0)</f>
        <v>46296.419074872683</v>
      </c>
      <c r="T824" s="57">
        <f>tblJTL[[#This Row],[timeStamp]]+tblJTL[[#This Row],[elapsed]]</f>
        <v>1790816608156</v>
      </c>
      <c r="U824" s="61">
        <f>(tblJTL[[#This Row],[timeStamp]]-'17_分析サンプル'!$E$18)/1000</f>
        <v>207.88900000000001</v>
      </c>
      <c r="V824" s="57">
        <f>INT(tblJTL[[#This Row],[経過秒]]/60)</f>
        <v>3</v>
      </c>
      <c r="W824" s="57">
        <f>IF(OR(tblJTL[[#This Row],[success]]=FALSE,tblJTL[[#This Row],[success]]="false"),1,0)</f>
        <v>0</v>
      </c>
      <c r="X824" s="57">
        <f>IF(AND(tblJTL[[#This Row],[経過秒]]&gt;='17_分析サンプル'!$E$11,tblJTL[[#This Row],[経過秒]]&lt;'17_分析サンプル'!$E$12),1,0)</f>
        <v>1</v>
      </c>
    </row>
    <row r="825" spans="2:24" ht="14.4" x14ac:dyDescent="0.3">
      <c r="B825" s="57">
        <v>1790816608364</v>
      </c>
      <c r="C825" s="58">
        <v>104</v>
      </c>
      <c r="D825" s="59" t="s">
        <v>1658</v>
      </c>
      <c r="E825" s="59" t="s">
        <v>1577</v>
      </c>
      <c r="F825" s="59" t="s">
        <v>2275</v>
      </c>
      <c r="G825" s="59" t="s">
        <v>3588</v>
      </c>
      <c r="H825" s="59" t="s">
        <v>2281</v>
      </c>
      <c r="I825" s="59" t="b">
        <v>1</v>
      </c>
      <c r="J825" s="59"/>
      <c r="K825" s="58">
        <v>1874</v>
      </c>
      <c r="L825" s="58">
        <v>1342</v>
      </c>
      <c r="M825" s="59">
        <v>10</v>
      </c>
      <c r="N825" s="59">
        <v>10</v>
      </c>
      <c r="O825" s="59" t="s">
        <v>3578</v>
      </c>
      <c r="P825" s="58">
        <v>96</v>
      </c>
      <c r="Q825" s="59">
        <v>0</v>
      </c>
      <c r="R825" s="59">
        <v>0</v>
      </c>
      <c r="S825" s="60">
        <f>tblJTL[[#This Row],[timeStamp]]/86400000+DATE(1970,1,1)+TIME(9,0,0)</f>
        <v>46296.419078287036</v>
      </c>
      <c r="T825" s="57">
        <f>tblJTL[[#This Row],[timeStamp]]+tblJTL[[#This Row],[elapsed]]</f>
        <v>1790816608468</v>
      </c>
      <c r="U825" s="61">
        <f>(tblJTL[[#This Row],[timeStamp]]-'17_分析サンプル'!$E$18)/1000</f>
        <v>208.184</v>
      </c>
      <c r="V825" s="57">
        <f>INT(tblJTL[[#This Row],[経過秒]]/60)</f>
        <v>3</v>
      </c>
      <c r="W825" s="57">
        <f>IF(OR(tblJTL[[#This Row],[success]]=FALSE,tblJTL[[#This Row],[success]]="false"),1,0)</f>
        <v>0</v>
      </c>
      <c r="X825" s="57">
        <f>IF(AND(tblJTL[[#This Row],[経過秒]]&gt;='17_分析サンプル'!$E$11,tblJTL[[#This Row],[経過秒]]&lt;'17_分析サンプル'!$E$12),1,0)</f>
        <v>1</v>
      </c>
    </row>
    <row r="826" spans="2:24" ht="14.4" x14ac:dyDescent="0.3">
      <c r="B826" s="57">
        <v>1790816608702</v>
      </c>
      <c r="C826" s="58">
        <v>117</v>
      </c>
      <c r="D826" s="59" t="s">
        <v>1658</v>
      </c>
      <c r="E826" s="59" t="s">
        <v>1577</v>
      </c>
      <c r="F826" s="59" t="s">
        <v>2275</v>
      </c>
      <c r="G826" s="59" t="s">
        <v>3586</v>
      </c>
      <c r="H826" s="59" t="s">
        <v>2281</v>
      </c>
      <c r="I826" s="59" t="b">
        <v>1</v>
      </c>
      <c r="J826" s="59"/>
      <c r="K826" s="58">
        <v>1888</v>
      </c>
      <c r="L826" s="58">
        <v>1342</v>
      </c>
      <c r="M826" s="59">
        <v>10</v>
      </c>
      <c r="N826" s="59">
        <v>10</v>
      </c>
      <c r="O826" s="59" t="s">
        <v>3578</v>
      </c>
      <c r="P826" s="58">
        <v>113</v>
      </c>
      <c r="Q826" s="59">
        <v>0</v>
      </c>
      <c r="R826" s="59">
        <v>0</v>
      </c>
      <c r="S826" s="60">
        <f>tblJTL[[#This Row],[timeStamp]]/86400000+DATE(1970,1,1)+TIME(9,0,0)</f>
        <v>46296.419082199078</v>
      </c>
      <c r="T826" s="57">
        <f>tblJTL[[#This Row],[timeStamp]]+tblJTL[[#This Row],[elapsed]]</f>
        <v>1790816608819</v>
      </c>
      <c r="U826" s="61">
        <f>(tblJTL[[#This Row],[timeStamp]]-'17_分析サンプル'!$E$18)/1000</f>
        <v>208.52199999999999</v>
      </c>
      <c r="V826" s="57">
        <f>INT(tblJTL[[#This Row],[経過秒]]/60)</f>
        <v>3</v>
      </c>
      <c r="W826" s="57">
        <f>IF(OR(tblJTL[[#This Row],[success]]=FALSE,tblJTL[[#This Row],[success]]="false"),1,0)</f>
        <v>0</v>
      </c>
      <c r="X826" s="57">
        <f>IF(AND(tblJTL[[#This Row],[経過秒]]&gt;='17_分析サンプル'!$E$11,tblJTL[[#This Row],[経過秒]]&lt;'17_分析サンプル'!$E$12),1,0)</f>
        <v>1</v>
      </c>
    </row>
    <row r="827" spans="2:24" ht="14.4" x14ac:dyDescent="0.3">
      <c r="B827" s="57">
        <v>1790816609024</v>
      </c>
      <c r="C827" s="58">
        <v>143</v>
      </c>
      <c r="D827" s="59" t="s">
        <v>1677</v>
      </c>
      <c r="E827" s="59" t="s">
        <v>3579</v>
      </c>
      <c r="F827" s="59" t="s">
        <v>3580</v>
      </c>
      <c r="G827" s="59" t="s">
        <v>3577</v>
      </c>
      <c r="H827" s="59" t="s">
        <v>2281</v>
      </c>
      <c r="I827" s="59" t="b">
        <v>1</v>
      </c>
      <c r="J827" s="59"/>
      <c r="K827" s="58">
        <v>427</v>
      </c>
      <c r="L827" s="58">
        <v>1478</v>
      </c>
      <c r="M827" s="59">
        <v>10</v>
      </c>
      <c r="N827" s="59">
        <v>10</v>
      </c>
      <c r="O827" s="59" t="s">
        <v>3581</v>
      </c>
      <c r="P827" s="58">
        <v>137</v>
      </c>
      <c r="Q827" s="59">
        <v>0</v>
      </c>
      <c r="R827" s="59">
        <v>0</v>
      </c>
      <c r="S827" s="60">
        <f>tblJTL[[#This Row],[timeStamp]]/86400000+DATE(1970,1,1)+TIME(9,0,0)</f>
        <v>46296.419085925925</v>
      </c>
      <c r="T827" s="57">
        <f>tblJTL[[#This Row],[timeStamp]]+tblJTL[[#This Row],[elapsed]]</f>
        <v>1790816609167</v>
      </c>
      <c r="U827" s="61">
        <f>(tblJTL[[#This Row],[timeStamp]]-'17_分析サンプル'!$E$18)/1000</f>
        <v>208.84399999999999</v>
      </c>
      <c r="V827" s="57">
        <f>INT(tblJTL[[#This Row],[経過秒]]/60)</f>
        <v>3</v>
      </c>
      <c r="W827" s="57">
        <f>IF(OR(tblJTL[[#This Row],[success]]=FALSE,tblJTL[[#This Row],[success]]="false"),1,0)</f>
        <v>0</v>
      </c>
      <c r="X827" s="57">
        <f>IF(AND(tblJTL[[#This Row],[経過秒]]&gt;='17_分析サンプル'!$E$11,tblJTL[[#This Row],[経過秒]]&lt;'17_分析サンプル'!$E$12),1,0)</f>
        <v>1</v>
      </c>
    </row>
    <row r="828" spans="2:24" ht="14.4" x14ac:dyDescent="0.3">
      <c r="B828" s="57">
        <v>1790816608966</v>
      </c>
      <c r="C828" s="58">
        <v>410</v>
      </c>
      <c r="D828" s="59" t="s">
        <v>1677</v>
      </c>
      <c r="E828" s="59" t="s">
        <v>3579</v>
      </c>
      <c r="F828" s="59" t="s">
        <v>3580</v>
      </c>
      <c r="G828" s="59" t="s">
        <v>3589</v>
      </c>
      <c r="H828" s="59" t="s">
        <v>2281</v>
      </c>
      <c r="I828" s="59" t="b">
        <v>1</v>
      </c>
      <c r="J828" s="59"/>
      <c r="K828" s="58">
        <v>435</v>
      </c>
      <c r="L828" s="58">
        <v>1478</v>
      </c>
      <c r="M828" s="59">
        <v>10</v>
      </c>
      <c r="N828" s="59">
        <v>10</v>
      </c>
      <c r="O828" s="59" t="s">
        <v>3581</v>
      </c>
      <c r="P828" s="58">
        <v>404</v>
      </c>
      <c r="Q828" s="59">
        <v>0</v>
      </c>
      <c r="R828" s="59">
        <v>0</v>
      </c>
      <c r="S828" s="60">
        <f>tblJTL[[#This Row],[timeStamp]]/86400000+DATE(1970,1,1)+TIME(9,0,0)</f>
        <v>46296.419085254631</v>
      </c>
      <c r="T828" s="57">
        <f>tblJTL[[#This Row],[timeStamp]]+tblJTL[[#This Row],[elapsed]]</f>
        <v>1790816609376</v>
      </c>
      <c r="U828" s="61">
        <f>(tblJTL[[#This Row],[timeStamp]]-'17_分析サンプル'!$E$18)/1000</f>
        <v>208.786</v>
      </c>
      <c r="V828" s="57">
        <f>INT(tblJTL[[#This Row],[経過秒]]/60)</f>
        <v>3</v>
      </c>
      <c r="W828" s="57">
        <f>IF(OR(tblJTL[[#This Row],[success]]=FALSE,tblJTL[[#This Row],[success]]="false"),1,0)</f>
        <v>0</v>
      </c>
      <c r="X828" s="57">
        <f>IF(AND(tblJTL[[#This Row],[経過秒]]&gt;='17_分析サンプル'!$E$11,tblJTL[[#This Row],[経過秒]]&lt;'17_分析サンプル'!$E$12),1,0)</f>
        <v>1</v>
      </c>
    </row>
    <row r="829" spans="2:24" ht="14.4" x14ac:dyDescent="0.3">
      <c r="B829" s="57">
        <v>1790816609419</v>
      </c>
      <c r="C829" s="58">
        <v>175</v>
      </c>
      <c r="D829" s="59" t="s">
        <v>1677</v>
      </c>
      <c r="E829" s="59" t="s">
        <v>3579</v>
      </c>
      <c r="F829" s="59" t="s">
        <v>3580</v>
      </c>
      <c r="G829" s="59" t="s">
        <v>3584</v>
      </c>
      <c r="H829" s="59" t="s">
        <v>2281</v>
      </c>
      <c r="I829" s="59" t="b">
        <v>1</v>
      </c>
      <c r="J829" s="59"/>
      <c r="K829" s="58">
        <v>412</v>
      </c>
      <c r="L829" s="58">
        <v>1478</v>
      </c>
      <c r="M829" s="59">
        <v>10</v>
      </c>
      <c r="N829" s="59">
        <v>10</v>
      </c>
      <c r="O829" s="59" t="s">
        <v>3581</v>
      </c>
      <c r="P829" s="58">
        <v>169</v>
      </c>
      <c r="Q829" s="59">
        <v>0</v>
      </c>
      <c r="R829" s="59">
        <v>0</v>
      </c>
      <c r="S829" s="60">
        <f>tblJTL[[#This Row],[timeStamp]]/86400000+DATE(1970,1,1)+TIME(9,0,0)</f>
        <v>46296.419090497686</v>
      </c>
      <c r="T829" s="57">
        <f>tblJTL[[#This Row],[timeStamp]]+tblJTL[[#This Row],[elapsed]]</f>
        <v>1790816609594</v>
      </c>
      <c r="U829" s="61">
        <f>(tblJTL[[#This Row],[timeStamp]]-'17_分析サンプル'!$E$18)/1000</f>
        <v>209.239</v>
      </c>
      <c r="V829" s="57">
        <f>INT(tblJTL[[#This Row],[経過秒]]/60)</f>
        <v>3</v>
      </c>
      <c r="W829" s="57">
        <f>IF(OR(tblJTL[[#This Row],[success]]=FALSE,tblJTL[[#This Row],[success]]="false"),1,0)</f>
        <v>0</v>
      </c>
      <c r="X829" s="57">
        <f>IF(AND(tblJTL[[#This Row],[経過秒]]&gt;='17_分析サンプル'!$E$11,tblJTL[[#This Row],[経過秒]]&lt;'17_分析サンプル'!$E$12),1,0)</f>
        <v>1</v>
      </c>
    </row>
    <row r="830" spans="2:24" ht="14.4" x14ac:dyDescent="0.3">
      <c r="B830" s="57">
        <v>1790816609418</v>
      </c>
      <c r="C830" s="58">
        <v>223</v>
      </c>
      <c r="D830" s="59" t="s">
        <v>1677</v>
      </c>
      <c r="E830" s="59" t="s">
        <v>3579</v>
      </c>
      <c r="F830" s="59" t="s">
        <v>3580</v>
      </c>
      <c r="G830" s="59" t="s">
        <v>3582</v>
      </c>
      <c r="H830" s="59" t="s">
        <v>2281</v>
      </c>
      <c r="I830" s="59" t="b">
        <v>1</v>
      </c>
      <c r="J830" s="59"/>
      <c r="K830" s="58">
        <v>440</v>
      </c>
      <c r="L830" s="58">
        <v>1478</v>
      </c>
      <c r="M830" s="59">
        <v>10</v>
      </c>
      <c r="N830" s="59">
        <v>10</v>
      </c>
      <c r="O830" s="59" t="s">
        <v>3581</v>
      </c>
      <c r="P830" s="58">
        <v>219</v>
      </c>
      <c r="Q830" s="59">
        <v>0</v>
      </c>
      <c r="R830" s="59">
        <v>0</v>
      </c>
      <c r="S830" s="60">
        <f>tblJTL[[#This Row],[timeStamp]]/86400000+DATE(1970,1,1)+TIME(9,0,0)</f>
        <v>46296.41909048611</v>
      </c>
      <c r="T830" s="57">
        <f>tblJTL[[#This Row],[timeStamp]]+tblJTL[[#This Row],[elapsed]]</f>
        <v>1790816609641</v>
      </c>
      <c r="U830" s="61">
        <f>(tblJTL[[#This Row],[timeStamp]]-'17_分析サンプル'!$E$18)/1000</f>
        <v>209.238</v>
      </c>
      <c r="V830" s="57">
        <f>INT(tblJTL[[#This Row],[経過秒]]/60)</f>
        <v>3</v>
      </c>
      <c r="W830" s="57">
        <f>IF(OR(tblJTL[[#This Row],[success]]=FALSE,tblJTL[[#This Row],[success]]="false"),1,0)</f>
        <v>0</v>
      </c>
      <c r="X830" s="57">
        <f>IF(AND(tblJTL[[#This Row],[経過秒]]&gt;='17_分析サンプル'!$E$11,tblJTL[[#This Row],[経過秒]]&lt;'17_分析サンプル'!$E$12),1,0)</f>
        <v>1</v>
      </c>
    </row>
    <row r="831" spans="2:24" ht="14.4" x14ac:dyDescent="0.3">
      <c r="B831" s="57">
        <v>1790816609546</v>
      </c>
      <c r="C831" s="58">
        <v>164</v>
      </c>
      <c r="D831" s="59" t="s">
        <v>1658</v>
      </c>
      <c r="E831" s="59" t="s">
        <v>1577</v>
      </c>
      <c r="F831" s="59" t="s">
        <v>2275</v>
      </c>
      <c r="G831" s="59" t="s">
        <v>2278</v>
      </c>
      <c r="H831" s="59" t="s">
        <v>2281</v>
      </c>
      <c r="I831" s="59" t="b">
        <v>1</v>
      </c>
      <c r="J831" s="59"/>
      <c r="K831" s="58">
        <v>1855</v>
      </c>
      <c r="L831" s="58">
        <v>1342</v>
      </c>
      <c r="M831" s="59">
        <v>10</v>
      </c>
      <c r="N831" s="59">
        <v>10</v>
      </c>
      <c r="O831" s="59" t="s">
        <v>3578</v>
      </c>
      <c r="P831" s="58">
        <v>162</v>
      </c>
      <c r="Q831" s="59">
        <v>0</v>
      </c>
      <c r="R831" s="59">
        <v>0</v>
      </c>
      <c r="S831" s="60">
        <f>tblJTL[[#This Row],[timeStamp]]/86400000+DATE(1970,1,1)+TIME(9,0,0)</f>
        <v>46296.419091967589</v>
      </c>
      <c r="T831" s="57">
        <f>tblJTL[[#This Row],[timeStamp]]+tblJTL[[#This Row],[elapsed]]</f>
        <v>1790816609710</v>
      </c>
      <c r="U831" s="61">
        <f>(tblJTL[[#This Row],[timeStamp]]-'17_分析サンプル'!$E$18)/1000</f>
        <v>209.36600000000001</v>
      </c>
      <c r="V831" s="57">
        <f>INT(tblJTL[[#This Row],[経過秒]]/60)</f>
        <v>3</v>
      </c>
      <c r="W831" s="57">
        <f>IF(OR(tblJTL[[#This Row],[success]]=FALSE,tblJTL[[#This Row],[success]]="false"),1,0)</f>
        <v>0</v>
      </c>
      <c r="X831" s="57">
        <f>IF(AND(tblJTL[[#This Row],[経過秒]]&gt;='17_分析サンプル'!$E$11,tblJTL[[#This Row],[経過秒]]&lt;'17_分析サンプル'!$E$12),1,0)</f>
        <v>1</v>
      </c>
    </row>
    <row r="832" spans="2:24" ht="14.4" x14ac:dyDescent="0.3">
      <c r="B832" s="57">
        <v>1790816609529</v>
      </c>
      <c r="C832" s="58">
        <v>191</v>
      </c>
      <c r="D832" s="59" t="s">
        <v>1658</v>
      </c>
      <c r="E832" s="59" t="s">
        <v>1577</v>
      </c>
      <c r="F832" s="59" t="s">
        <v>2275</v>
      </c>
      <c r="G832" s="59" t="s">
        <v>3587</v>
      </c>
      <c r="H832" s="59" t="s">
        <v>2281</v>
      </c>
      <c r="I832" s="59" t="b">
        <v>1</v>
      </c>
      <c r="J832" s="59"/>
      <c r="K832" s="58">
        <v>1868</v>
      </c>
      <c r="L832" s="58">
        <v>1342</v>
      </c>
      <c r="M832" s="59">
        <v>10</v>
      </c>
      <c r="N832" s="59">
        <v>10</v>
      </c>
      <c r="O832" s="59" t="s">
        <v>3578</v>
      </c>
      <c r="P832" s="58">
        <v>186</v>
      </c>
      <c r="Q832" s="59">
        <v>0</v>
      </c>
      <c r="R832" s="59">
        <v>0</v>
      </c>
      <c r="S832" s="60">
        <f>tblJTL[[#This Row],[timeStamp]]/86400000+DATE(1970,1,1)+TIME(9,0,0)</f>
        <v>46296.419091770833</v>
      </c>
      <c r="T832" s="57">
        <f>tblJTL[[#This Row],[timeStamp]]+tblJTL[[#This Row],[elapsed]]</f>
        <v>1790816609720</v>
      </c>
      <c r="U832" s="61">
        <f>(tblJTL[[#This Row],[timeStamp]]-'17_分析サンプル'!$E$18)/1000</f>
        <v>209.34899999999999</v>
      </c>
      <c r="V832" s="57">
        <f>INT(tblJTL[[#This Row],[経過秒]]/60)</f>
        <v>3</v>
      </c>
      <c r="W832" s="57">
        <f>IF(OR(tblJTL[[#This Row],[success]]=FALSE,tblJTL[[#This Row],[success]]="false"),1,0)</f>
        <v>0</v>
      </c>
      <c r="X832" s="57">
        <f>IF(AND(tblJTL[[#This Row],[経過秒]]&gt;='17_分析サンプル'!$E$11,tblJTL[[#This Row],[経過秒]]&lt;'17_分析サンプル'!$E$12),1,0)</f>
        <v>1</v>
      </c>
    </row>
    <row r="833" spans="2:24" ht="14.4" x14ac:dyDescent="0.3">
      <c r="B833" s="57">
        <v>1790816609838</v>
      </c>
      <c r="C833" s="58">
        <v>223</v>
      </c>
      <c r="D833" s="59" t="s">
        <v>1677</v>
      </c>
      <c r="E833" s="59" t="s">
        <v>3579</v>
      </c>
      <c r="F833" s="59" t="s">
        <v>3580</v>
      </c>
      <c r="G833" s="59" t="s">
        <v>3583</v>
      </c>
      <c r="H833" s="59" t="s">
        <v>2281</v>
      </c>
      <c r="I833" s="59" t="b">
        <v>1</v>
      </c>
      <c r="J833" s="59"/>
      <c r="K833" s="58">
        <v>432</v>
      </c>
      <c r="L833" s="58">
        <v>1478</v>
      </c>
      <c r="M833" s="59">
        <v>10</v>
      </c>
      <c r="N833" s="59">
        <v>10</v>
      </c>
      <c r="O833" s="59" t="s">
        <v>3581</v>
      </c>
      <c r="P833" s="58">
        <v>216</v>
      </c>
      <c r="Q833" s="59">
        <v>0</v>
      </c>
      <c r="R833" s="59">
        <v>0</v>
      </c>
      <c r="S833" s="60">
        <f>tblJTL[[#This Row],[timeStamp]]/86400000+DATE(1970,1,1)+TIME(9,0,0)</f>
        <v>46296.419095347221</v>
      </c>
      <c r="T833" s="57">
        <f>tblJTL[[#This Row],[timeStamp]]+tblJTL[[#This Row],[elapsed]]</f>
        <v>1790816610061</v>
      </c>
      <c r="U833" s="61">
        <f>(tblJTL[[#This Row],[timeStamp]]-'17_分析サンプル'!$E$18)/1000</f>
        <v>209.65799999999999</v>
      </c>
      <c r="V833" s="57">
        <f>INT(tblJTL[[#This Row],[経過秒]]/60)</f>
        <v>3</v>
      </c>
      <c r="W833" s="57">
        <f>IF(OR(tblJTL[[#This Row],[success]]=FALSE,tblJTL[[#This Row],[success]]="false"),1,0)</f>
        <v>0</v>
      </c>
      <c r="X833" s="57">
        <f>IF(AND(tblJTL[[#This Row],[経過秒]]&gt;='17_分析サンプル'!$E$11,tblJTL[[#This Row],[経過秒]]&lt;'17_分析サンプル'!$E$12),1,0)</f>
        <v>1</v>
      </c>
    </row>
    <row r="834" spans="2:24" ht="14.4" x14ac:dyDescent="0.3">
      <c r="B834" s="57">
        <v>1790816609930</v>
      </c>
      <c r="C834" s="58">
        <v>202</v>
      </c>
      <c r="D834" s="59" t="s">
        <v>1677</v>
      </c>
      <c r="E834" s="59" t="s">
        <v>3579</v>
      </c>
      <c r="F834" s="59" t="s">
        <v>3580</v>
      </c>
      <c r="G834" s="59" t="s">
        <v>3586</v>
      </c>
      <c r="H834" s="59" t="s">
        <v>2281</v>
      </c>
      <c r="I834" s="59" t="b">
        <v>1</v>
      </c>
      <c r="J834" s="59"/>
      <c r="K834" s="58">
        <v>427</v>
      </c>
      <c r="L834" s="58">
        <v>1478</v>
      </c>
      <c r="M834" s="59">
        <v>10</v>
      </c>
      <c r="N834" s="59">
        <v>10</v>
      </c>
      <c r="O834" s="59" t="s">
        <v>3581</v>
      </c>
      <c r="P834" s="58">
        <v>200</v>
      </c>
      <c r="Q834" s="59">
        <v>0</v>
      </c>
      <c r="R834" s="59">
        <v>0</v>
      </c>
      <c r="S834" s="60">
        <f>tblJTL[[#This Row],[timeStamp]]/86400000+DATE(1970,1,1)+TIME(9,0,0)</f>
        <v>46296.419096412035</v>
      </c>
      <c r="T834" s="57">
        <f>tblJTL[[#This Row],[timeStamp]]+tblJTL[[#This Row],[elapsed]]</f>
        <v>1790816610132</v>
      </c>
      <c r="U834" s="61">
        <f>(tblJTL[[#This Row],[timeStamp]]-'17_分析サンプル'!$E$18)/1000</f>
        <v>209.75</v>
      </c>
      <c r="V834" s="57">
        <f>INT(tblJTL[[#This Row],[経過秒]]/60)</f>
        <v>3</v>
      </c>
      <c r="W834" s="57">
        <f>IF(OR(tblJTL[[#This Row],[success]]=FALSE,tblJTL[[#This Row],[success]]="false"),1,0)</f>
        <v>0</v>
      </c>
      <c r="X834" s="57">
        <f>IF(AND(tblJTL[[#This Row],[経過秒]]&gt;='17_分析サンプル'!$E$11,tblJTL[[#This Row],[経過秒]]&lt;'17_分析サンプル'!$E$12),1,0)</f>
        <v>1</v>
      </c>
    </row>
    <row r="835" spans="2:24" ht="14.4" x14ac:dyDescent="0.3">
      <c r="B835" s="57">
        <v>1790816610236</v>
      </c>
      <c r="C835" s="58">
        <v>263</v>
      </c>
      <c r="D835" s="59" t="s">
        <v>1677</v>
      </c>
      <c r="E835" s="59" t="s">
        <v>3579</v>
      </c>
      <c r="F835" s="59" t="s">
        <v>3580</v>
      </c>
      <c r="G835" s="59" t="s">
        <v>3588</v>
      </c>
      <c r="H835" s="59" t="s">
        <v>2281</v>
      </c>
      <c r="I835" s="59" t="b">
        <v>1</v>
      </c>
      <c r="J835" s="59"/>
      <c r="K835" s="58">
        <v>434</v>
      </c>
      <c r="L835" s="58">
        <v>1478</v>
      </c>
      <c r="M835" s="59">
        <v>10</v>
      </c>
      <c r="N835" s="59">
        <v>10</v>
      </c>
      <c r="O835" s="59" t="s">
        <v>3581</v>
      </c>
      <c r="P835" s="58">
        <v>259</v>
      </c>
      <c r="Q835" s="59">
        <v>0</v>
      </c>
      <c r="R835" s="59">
        <v>0</v>
      </c>
      <c r="S835" s="60">
        <f>tblJTL[[#This Row],[timeStamp]]/86400000+DATE(1970,1,1)+TIME(9,0,0)</f>
        <v>46296.419099953702</v>
      </c>
      <c r="T835" s="57">
        <f>tblJTL[[#This Row],[timeStamp]]+tblJTL[[#This Row],[elapsed]]</f>
        <v>1790816610499</v>
      </c>
      <c r="U835" s="61">
        <f>(tblJTL[[#This Row],[timeStamp]]-'17_分析サンプル'!$E$18)/1000</f>
        <v>210.05600000000001</v>
      </c>
      <c r="V835" s="57">
        <f>INT(tblJTL[[#This Row],[経過秒]]/60)</f>
        <v>3</v>
      </c>
      <c r="W835" s="57">
        <f>IF(OR(tblJTL[[#This Row],[success]]=FALSE,tblJTL[[#This Row],[success]]="false"),1,0)</f>
        <v>0</v>
      </c>
      <c r="X835" s="57">
        <f>IF(AND(tblJTL[[#This Row],[経過秒]]&gt;='17_分析サンプル'!$E$11,tblJTL[[#This Row],[経過秒]]&lt;'17_分析サンプル'!$E$12),1,0)</f>
        <v>1</v>
      </c>
    </row>
    <row r="836" spans="2:24" ht="14.4" x14ac:dyDescent="0.3">
      <c r="B836" s="57">
        <v>1790816611036</v>
      </c>
      <c r="C836" s="58">
        <v>171</v>
      </c>
      <c r="D836" s="59" t="s">
        <v>1677</v>
      </c>
      <c r="E836" s="59" t="s">
        <v>3579</v>
      </c>
      <c r="F836" s="59" t="s">
        <v>3580</v>
      </c>
      <c r="G836" s="59" t="s">
        <v>3585</v>
      </c>
      <c r="H836" s="59" t="s">
        <v>2281</v>
      </c>
      <c r="I836" s="59" t="b">
        <v>1</v>
      </c>
      <c r="J836" s="59"/>
      <c r="K836" s="58">
        <v>436</v>
      </c>
      <c r="L836" s="58">
        <v>1478</v>
      </c>
      <c r="M836" s="59">
        <v>10</v>
      </c>
      <c r="N836" s="59">
        <v>10</v>
      </c>
      <c r="O836" s="59" t="s">
        <v>3581</v>
      </c>
      <c r="P836" s="58">
        <v>166</v>
      </c>
      <c r="Q836" s="59">
        <v>0</v>
      </c>
      <c r="R836" s="59">
        <v>0</v>
      </c>
      <c r="S836" s="60">
        <f>tblJTL[[#This Row],[timeStamp]]/86400000+DATE(1970,1,1)+TIME(9,0,0)</f>
        <v>46296.419109212962</v>
      </c>
      <c r="T836" s="57">
        <f>tblJTL[[#This Row],[timeStamp]]+tblJTL[[#This Row],[elapsed]]</f>
        <v>1790816611207</v>
      </c>
      <c r="U836" s="61">
        <f>(tblJTL[[#This Row],[timeStamp]]-'17_分析サンプル'!$E$18)/1000</f>
        <v>210.85599999999999</v>
      </c>
      <c r="V836" s="57">
        <f>INT(tblJTL[[#This Row],[経過秒]]/60)</f>
        <v>3</v>
      </c>
      <c r="W836" s="57">
        <f>IF(OR(tblJTL[[#This Row],[success]]=FALSE,tblJTL[[#This Row],[success]]="false"),1,0)</f>
        <v>0</v>
      </c>
      <c r="X836" s="57">
        <f>IF(AND(tblJTL[[#This Row],[経過秒]]&gt;='17_分析サンプル'!$E$11,tblJTL[[#This Row],[経過秒]]&lt;'17_分析サンプル'!$E$12),1,0)</f>
        <v>1</v>
      </c>
    </row>
    <row r="837" spans="2:24" ht="14.4" x14ac:dyDescent="0.3">
      <c r="B837" s="57">
        <v>1790816611405</v>
      </c>
      <c r="C837" s="58">
        <v>158</v>
      </c>
      <c r="D837" s="59" t="s">
        <v>1658</v>
      </c>
      <c r="E837" s="59" t="s">
        <v>1577</v>
      </c>
      <c r="F837" s="59" t="s">
        <v>2275</v>
      </c>
      <c r="G837" s="59" t="s">
        <v>3584</v>
      </c>
      <c r="H837" s="59" t="s">
        <v>2281</v>
      </c>
      <c r="I837" s="59" t="b">
        <v>1</v>
      </c>
      <c r="J837" s="59"/>
      <c r="K837" s="58">
        <v>1887</v>
      </c>
      <c r="L837" s="58">
        <v>1342</v>
      </c>
      <c r="M837" s="59">
        <v>10</v>
      </c>
      <c r="N837" s="59">
        <v>10</v>
      </c>
      <c r="O837" s="59" t="s">
        <v>3578</v>
      </c>
      <c r="P837" s="58">
        <v>156</v>
      </c>
      <c r="Q837" s="59">
        <v>0</v>
      </c>
      <c r="R837" s="59">
        <v>44</v>
      </c>
      <c r="S837" s="60">
        <f>tblJTL[[#This Row],[timeStamp]]/86400000+DATE(1970,1,1)+TIME(9,0,0)</f>
        <v>46296.419113483797</v>
      </c>
      <c r="T837" s="57">
        <f>tblJTL[[#This Row],[timeStamp]]+tblJTL[[#This Row],[elapsed]]</f>
        <v>1790816611563</v>
      </c>
      <c r="U837" s="61">
        <f>(tblJTL[[#This Row],[timeStamp]]-'17_分析サンプル'!$E$18)/1000</f>
        <v>211.22499999999999</v>
      </c>
      <c r="V837" s="57">
        <f>INT(tblJTL[[#This Row],[経過秒]]/60)</f>
        <v>3</v>
      </c>
      <c r="W837" s="57">
        <f>IF(OR(tblJTL[[#This Row],[success]]=FALSE,tblJTL[[#This Row],[success]]="false"),1,0)</f>
        <v>0</v>
      </c>
      <c r="X837" s="57">
        <f>IF(AND(tblJTL[[#This Row],[経過秒]]&gt;='17_分析サンプル'!$E$11,tblJTL[[#This Row],[経過秒]]&lt;'17_分析サンプル'!$E$12),1,0)</f>
        <v>1</v>
      </c>
    </row>
    <row r="838" spans="2:24" ht="14.4" x14ac:dyDescent="0.3">
      <c r="B838" s="57">
        <v>1790816611624</v>
      </c>
      <c r="C838" s="58">
        <v>112</v>
      </c>
      <c r="D838" s="59" t="s">
        <v>1658</v>
      </c>
      <c r="E838" s="59" t="s">
        <v>1577</v>
      </c>
      <c r="F838" s="59" t="s">
        <v>2275</v>
      </c>
      <c r="G838" s="59" t="s">
        <v>3582</v>
      </c>
      <c r="H838" s="59" t="s">
        <v>2281</v>
      </c>
      <c r="I838" s="59" t="b">
        <v>1</v>
      </c>
      <c r="J838" s="59"/>
      <c r="K838" s="58">
        <v>1885</v>
      </c>
      <c r="L838" s="58">
        <v>1342</v>
      </c>
      <c r="M838" s="59">
        <v>10</v>
      </c>
      <c r="N838" s="59">
        <v>10</v>
      </c>
      <c r="O838" s="59" t="s">
        <v>3578</v>
      </c>
      <c r="P838" s="58">
        <v>105</v>
      </c>
      <c r="Q838" s="59">
        <v>0</v>
      </c>
      <c r="R838" s="59">
        <v>0</v>
      </c>
      <c r="S838" s="60">
        <f>tblJTL[[#This Row],[timeStamp]]/86400000+DATE(1970,1,1)+TIME(9,0,0)</f>
        <v>46296.419116018515</v>
      </c>
      <c r="T838" s="57">
        <f>tblJTL[[#This Row],[timeStamp]]+tblJTL[[#This Row],[elapsed]]</f>
        <v>1790816611736</v>
      </c>
      <c r="U838" s="61">
        <f>(tblJTL[[#This Row],[timeStamp]]-'17_分析サンプル'!$E$18)/1000</f>
        <v>211.44399999999999</v>
      </c>
      <c r="V838" s="57">
        <f>INT(tblJTL[[#This Row],[経過秒]]/60)</f>
        <v>3</v>
      </c>
      <c r="W838" s="57">
        <f>IF(OR(tblJTL[[#This Row],[success]]=FALSE,tblJTL[[#This Row],[success]]="false"),1,0)</f>
        <v>0</v>
      </c>
      <c r="X838" s="57">
        <f>IF(AND(tblJTL[[#This Row],[経過秒]]&gt;='17_分析サンプル'!$E$11,tblJTL[[#This Row],[経過秒]]&lt;'17_分析サンプル'!$E$12),1,0)</f>
        <v>1</v>
      </c>
    </row>
    <row r="839" spans="2:24" ht="14.4" x14ac:dyDescent="0.3">
      <c r="B839" s="57">
        <v>1790816611680</v>
      </c>
      <c r="C839" s="58">
        <v>91</v>
      </c>
      <c r="D839" s="59" t="s">
        <v>1658</v>
      </c>
      <c r="E839" s="59" t="s">
        <v>1577</v>
      </c>
      <c r="F839" s="59" t="s">
        <v>2275</v>
      </c>
      <c r="G839" s="59" t="s">
        <v>3577</v>
      </c>
      <c r="H839" s="59" t="s">
        <v>2281</v>
      </c>
      <c r="I839" s="59" t="b">
        <v>1</v>
      </c>
      <c r="J839" s="59"/>
      <c r="K839" s="58">
        <v>1899</v>
      </c>
      <c r="L839" s="58">
        <v>1342</v>
      </c>
      <c r="M839" s="59">
        <v>10</v>
      </c>
      <c r="N839" s="59">
        <v>10</v>
      </c>
      <c r="O839" s="59" t="s">
        <v>3578</v>
      </c>
      <c r="P839" s="58">
        <v>89</v>
      </c>
      <c r="Q839" s="59">
        <v>0</v>
      </c>
      <c r="R839" s="59">
        <v>0</v>
      </c>
      <c r="S839" s="60">
        <f>tblJTL[[#This Row],[timeStamp]]/86400000+DATE(1970,1,1)+TIME(9,0,0)</f>
        <v>46296.419116666671</v>
      </c>
      <c r="T839" s="57">
        <f>tblJTL[[#This Row],[timeStamp]]+tblJTL[[#This Row],[elapsed]]</f>
        <v>1790816611771</v>
      </c>
      <c r="U839" s="61">
        <f>(tblJTL[[#This Row],[timeStamp]]-'17_分析サンプル'!$E$18)/1000</f>
        <v>211.5</v>
      </c>
      <c r="V839" s="57">
        <f>INT(tblJTL[[#This Row],[経過秒]]/60)</f>
        <v>3</v>
      </c>
      <c r="W839" s="57">
        <f>IF(OR(tblJTL[[#This Row],[success]]=FALSE,tblJTL[[#This Row],[success]]="false"),1,0)</f>
        <v>0</v>
      </c>
      <c r="X839" s="57">
        <f>IF(AND(tblJTL[[#This Row],[経過秒]]&gt;='17_分析サンプル'!$E$11,tblJTL[[#This Row],[経過秒]]&lt;'17_分析サンプル'!$E$12),1,0)</f>
        <v>1</v>
      </c>
    </row>
    <row r="840" spans="2:24" ht="14.4" x14ac:dyDescent="0.3">
      <c r="B840" s="57">
        <v>1790816611708</v>
      </c>
      <c r="C840" s="58">
        <v>167</v>
      </c>
      <c r="D840" s="59" t="s">
        <v>1658</v>
      </c>
      <c r="E840" s="59" t="s">
        <v>1577</v>
      </c>
      <c r="F840" s="59" t="s">
        <v>2275</v>
      </c>
      <c r="G840" s="59" t="s">
        <v>3589</v>
      </c>
      <c r="H840" s="59" t="s">
        <v>2281</v>
      </c>
      <c r="I840" s="59" t="b">
        <v>1</v>
      </c>
      <c r="J840" s="59"/>
      <c r="K840" s="58">
        <v>1868</v>
      </c>
      <c r="L840" s="58">
        <v>1342</v>
      </c>
      <c r="M840" s="59">
        <v>10</v>
      </c>
      <c r="N840" s="59">
        <v>10</v>
      </c>
      <c r="O840" s="59" t="s">
        <v>3578</v>
      </c>
      <c r="P840" s="58">
        <v>163</v>
      </c>
      <c r="Q840" s="59">
        <v>0</v>
      </c>
      <c r="R840" s="59">
        <v>0</v>
      </c>
      <c r="S840" s="60">
        <f>tblJTL[[#This Row],[timeStamp]]/86400000+DATE(1970,1,1)+TIME(9,0,0)</f>
        <v>46296.419116990743</v>
      </c>
      <c r="T840" s="57">
        <f>tblJTL[[#This Row],[timeStamp]]+tblJTL[[#This Row],[elapsed]]</f>
        <v>1790816611875</v>
      </c>
      <c r="U840" s="61">
        <f>(tblJTL[[#This Row],[timeStamp]]-'17_分析サンプル'!$E$18)/1000</f>
        <v>211.52799999999999</v>
      </c>
      <c r="V840" s="57">
        <f>INT(tblJTL[[#This Row],[経過秒]]/60)</f>
        <v>3</v>
      </c>
      <c r="W840" s="57">
        <f>IF(OR(tblJTL[[#This Row],[success]]=FALSE,tblJTL[[#This Row],[success]]="false"),1,0)</f>
        <v>0</v>
      </c>
      <c r="X840" s="57">
        <f>IF(AND(tblJTL[[#This Row],[経過秒]]&gt;='17_分析サンプル'!$E$11,tblJTL[[#This Row],[経過秒]]&lt;'17_分析サンプル'!$E$12),1,0)</f>
        <v>1</v>
      </c>
    </row>
    <row r="841" spans="2:24" ht="14.4" x14ac:dyDescent="0.3">
      <c r="B841" s="57">
        <v>1790816611749</v>
      </c>
      <c r="C841" s="58">
        <v>198</v>
      </c>
      <c r="D841" s="59" t="s">
        <v>1677</v>
      </c>
      <c r="E841" s="59" t="s">
        <v>3579</v>
      </c>
      <c r="F841" s="59" t="s">
        <v>3580</v>
      </c>
      <c r="G841" s="59" t="s">
        <v>3587</v>
      </c>
      <c r="H841" s="59" t="s">
        <v>2281</v>
      </c>
      <c r="I841" s="59" t="b">
        <v>1</v>
      </c>
      <c r="J841" s="59"/>
      <c r="K841" s="58">
        <v>431</v>
      </c>
      <c r="L841" s="58">
        <v>1478</v>
      </c>
      <c r="M841" s="59">
        <v>10</v>
      </c>
      <c r="N841" s="59">
        <v>10</v>
      </c>
      <c r="O841" s="59" t="s">
        <v>3581</v>
      </c>
      <c r="P841" s="58">
        <v>190</v>
      </c>
      <c r="Q841" s="59">
        <v>0</v>
      </c>
      <c r="R841" s="59">
        <v>0</v>
      </c>
      <c r="S841" s="60">
        <f>tblJTL[[#This Row],[timeStamp]]/86400000+DATE(1970,1,1)+TIME(9,0,0)</f>
        <v>46296.419117465281</v>
      </c>
      <c r="T841" s="57">
        <f>tblJTL[[#This Row],[timeStamp]]+tblJTL[[#This Row],[elapsed]]</f>
        <v>1790816611947</v>
      </c>
      <c r="U841" s="61">
        <f>(tblJTL[[#This Row],[timeStamp]]-'17_分析サンプル'!$E$18)/1000</f>
        <v>211.56899999999999</v>
      </c>
      <c r="V841" s="57">
        <f>INT(tblJTL[[#This Row],[経過秒]]/60)</f>
        <v>3</v>
      </c>
      <c r="W841" s="57">
        <f>IF(OR(tblJTL[[#This Row],[success]]=FALSE,tblJTL[[#This Row],[success]]="false"),1,0)</f>
        <v>0</v>
      </c>
      <c r="X841" s="57">
        <f>IF(AND(tblJTL[[#This Row],[経過秒]]&gt;='17_分析サンプル'!$E$11,tblJTL[[#This Row],[経過秒]]&lt;'17_分析サンプル'!$E$12),1,0)</f>
        <v>1</v>
      </c>
    </row>
    <row r="842" spans="2:24" ht="14.4" x14ac:dyDescent="0.3">
      <c r="B842" s="57">
        <v>1790816612019</v>
      </c>
      <c r="C842" s="58">
        <v>175</v>
      </c>
      <c r="D842" s="59" t="s">
        <v>1658</v>
      </c>
      <c r="E842" s="59" t="s">
        <v>1577</v>
      </c>
      <c r="F842" s="59" t="s">
        <v>2275</v>
      </c>
      <c r="G842" s="59" t="s">
        <v>3583</v>
      </c>
      <c r="H842" s="59" t="s">
        <v>2281</v>
      </c>
      <c r="I842" s="59" t="b">
        <v>1</v>
      </c>
      <c r="J842" s="59"/>
      <c r="K842" s="58">
        <v>1880</v>
      </c>
      <c r="L842" s="58">
        <v>1342</v>
      </c>
      <c r="M842" s="59">
        <v>10</v>
      </c>
      <c r="N842" s="59">
        <v>10</v>
      </c>
      <c r="O842" s="59" t="s">
        <v>3578</v>
      </c>
      <c r="P842" s="58">
        <v>167</v>
      </c>
      <c r="Q842" s="59">
        <v>0</v>
      </c>
      <c r="R842" s="59">
        <v>0</v>
      </c>
      <c r="S842" s="60">
        <f>tblJTL[[#This Row],[timeStamp]]/86400000+DATE(1970,1,1)+TIME(9,0,0)</f>
        <v>46296.419120590275</v>
      </c>
      <c r="T842" s="57">
        <f>tblJTL[[#This Row],[timeStamp]]+tblJTL[[#This Row],[elapsed]]</f>
        <v>1790816612194</v>
      </c>
      <c r="U842" s="61">
        <f>(tblJTL[[#This Row],[timeStamp]]-'17_分析サンプル'!$E$18)/1000</f>
        <v>211.839</v>
      </c>
      <c r="V842" s="57">
        <f>INT(tblJTL[[#This Row],[経過秒]]/60)</f>
        <v>3</v>
      </c>
      <c r="W842" s="57">
        <f>IF(OR(tblJTL[[#This Row],[success]]=FALSE,tblJTL[[#This Row],[success]]="false"),1,0)</f>
        <v>0</v>
      </c>
      <c r="X842" s="57">
        <f>IF(AND(tblJTL[[#This Row],[経過秒]]&gt;='17_分析サンプル'!$E$11,tblJTL[[#This Row],[経過秒]]&lt;'17_分析サンプル'!$E$12),1,0)</f>
        <v>1</v>
      </c>
    </row>
    <row r="843" spans="2:24" ht="14.4" x14ac:dyDescent="0.3">
      <c r="B843" s="57">
        <v>1790816612334</v>
      </c>
      <c r="C843" s="58">
        <v>118</v>
      </c>
      <c r="D843" s="59" t="s">
        <v>1658</v>
      </c>
      <c r="E843" s="59" t="s">
        <v>1577</v>
      </c>
      <c r="F843" s="59" t="s">
        <v>2275</v>
      </c>
      <c r="G843" s="59" t="s">
        <v>3588</v>
      </c>
      <c r="H843" s="59" t="s">
        <v>2281</v>
      </c>
      <c r="I843" s="59" t="b">
        <v>1</v>
      </c>
      <c r="J843" s="59"/>
      <c r="K843" s="58">
        <v>1879</v>
      </c>
      <c r="L843" s="58">
        <v>1342</v>
      </c>
      <c r="M843" s="59">
        <v>10</v>
      </c>
      <c r="N843" s="59">
        <v>10</v>
      </c>
      <c r="O843" s="59" t="s">
        <v>3578</v>
      </c>
      <c r="P843" s="58">
        <v>113</v>
      </c>
      <c r="Q843" s="59">
        <v>0</v>
      </c>
      <c r="R843" s="59">
        <v>0</v>
      </c>
      <c r="S843" s="60">
        <f>tblJTL[[#This Row],[timeStamp]]/86400000+DATE(1970,1,1)+TIME(9,0,0)</f>
        <v>46296.419124236112</v>
      </c>
      <c r="T843" s="57">
        <f>tblJTL[[#This Row],[timeStamp]]+tblJTL[[#This Row],[elapsed]]</f>
        <v>1790816612452</v>
      </c>
      <c r="U843" s="61">
        <f>(tblJTL[[#This Row],[timeStamp]]-'17_分析サンプル'!$E$18)/1000</f>
        <v>212.154</v>
      </c>
      <c r="V843" s="57">
        <f>INT(tblJTL[[#This Row],[経過秒]]/60)</f>
        <v>3</v>
      </c>
      <c r="W843" s="57">
        <f>IF(OR(tblJTL[[#This Row],[success]]=FALSE,tblJTL[[#This Row],[success]]="false"),1,0)</f>
        <v>0</v>
      </c>
      <c r="X843" s="57">
        <f>IF(AND(tblJTL[[#This Row],[経過秒]]&gt;='17_分析サンプル'!$E$11,tblJTL[[#This Row],[経過秒]]&lt;'17_分析サンプル'!$E$12),1,0)</f>
        <v>1</v>
      </c>
    </row>
    <row r="844" spans="2:24" ht="14.4" x14ac:dyDescent="0.3">
      <c r="B844" s="57">
        <v>1790816612481</v>
      </c>
      <c r="C844" s="58">
        <v>201</v>
      </c>
      <c r="D844" s="59" t="s">
        <v>1677</v>
      </c>
      <c r="E844" s="59" t="s">
        <v>3579</v>
      </c>
      <c r="F844" s="59" t="s">
        <v>3580</v>
      </c>
      <c r="G844" s="59" t="s">
        <v>2278</v>
      </c>
      <c r="H844" s="59" t="s">
        <v>2281</v>
      </c>
      <c r="I844" s="59" t="b">
        <v>1</v>
      </c>
      <c r="J844" s="59"/>
      <c r="K844" s="58">
        <v>436</v>
      </c>
      <c r="L844" s="58">
        <v>1478</v>
      </c>
      <c r="M844" s="59">
        <v>10</v>
      </c>
      <c r="N844" s="59">
        <v>10</v>
      </c>
      <c r="O844" s="59" t="s">
        <v>3581</v>
      </c>
      <c r="P844" s="58">
        <v>199</v>
      </c>
      <c r="Q844" s="59">
        <v>0</v>
      </c>
      <c r="R844" s="59">
        <v>0</v>
      </c>
      <c r="S844" s="60">
        <f>tblJTL[[#This Row],[timeStamp]]/86400000+DATE(1970,1,1)+TIME(9,0,0)</f>
        <v>46296.4191259375</v>
      </c>
      <c r="T844" s="57">
        <f>tblJTL[[#This Row],[timeStamp]]+tblJTL[[#This Row],[elapsed]]</f>
        <v>1790816612682</v>
      </c>
      <c r="U844" s="61">
        <f>(tblJTL[[#This Row],[timeStamp]]-'17_分析サンプル'!$E$18)/1000</f>
        <v>212.30099999999999</v>
      </c>
      <c r="V844" s="57">
        <f>INT(tblJTL[[#This Row],[経過秒]]/60)</f>
        <v>3</v>
      </c>
      <c r="W844" s="57">
        <f>IF(OR(tblJTL[[#This Row],[success]]=FALSE,tblJTL[[#This Row],[success]]="false"),1,0)</f>
        <v>0</v>
      </c>
      <c r="X844" s="57">
        <f>IF(AND(tblJTL[[#This Row],[経過秒]]&gt;='17_分析サンプル'!$E$11,tblJTL[[#This Row],[経過秒]]&lt;'17_分析サンプル'!$E$12),1,0)</f>
        <v>1</v>
      </c>
    </row>
    <row r="845" spans="2:24" ht="14.4" x14ac:dyDescent="0.3">
      <c r="B845" s="57">
        <v>1790816612617</v>
      </c>
      <c r="C845" s="58">
        <v>149</v>
      </c>
      <c r="D845" s="59" t="s">
        <v>1658</v>
      </c>
      <c r="E845" s="59" t="s">
        <v>1577</v>
      </c>
      <c r="F845" s="59" t="s">
        <v>2275</v>
      </c>
      <c r="G845" s="59" t="s">
        <v>3585</v>
      </c>
      <c r="H845" s="59" t="s">
        <v>2281</v>
      </c>
      <c r="I845" s="59" t="b">
        <v>1</v>
      </c>
      <c r="J845" s="59"/>
      <c r="K845" s="58">
        <v>1833</v>
      </c>
      <c r="L845" s="58">
        <v>1342</v>
      </c>
      <c r="M845" s="59">
        <v>10</v>
      </c>
      <c r="N845" s="59">
        <v>10</v>
      </c>
      <c r="O845" s="59" t="s">
        <v>3578</v>
      </c>
      <c r="P845" s="58">
        <v>145</v>
      </c>
      <c r="Q845" s="59">
        <v>0</v>
      </c>
      <c r="R845" s="59">
        <v>0</v>
      </c>
      <c r="S845" s="60">
        <f>tblJTL[[#This Row],[timeStamp]]/86400000+DATE(1970,1,1)+TIME(9,0,0)</f>
        <v>46296.419127511574</v>
      </c>
      <c r="T845" s="57">
        <f>tblJTL[[#This Row],[timeStamp]]+tblJTL[[#This Row],[elapsed]]</f>
        <v>1790816612766</v>
      </c>
      <c r="U845" s="61">
        <f>(tblJTL[[#This Row],[timeStamp]]-'17_分析サンプル'!$E$18)/1000</f>
        <v>212.43700000000001</v>
      </c>
      <c r="V845" s="57">
        <f>INT(tblJTL[[#This Row],[経過秒]]/60)</f>
        <v>3</v>
      </c>
      <c r="W845" s="57">
        <f>IF(OR(tblJTL[[#This Row],[success]]=FALSE,tblJTL[[#This Row],[success]]="false"),1,0)</f>
        <v>0</v>
      </c>
      <c r="X845" s="57">
        <f>IF(AND(tblJTL[[#This Row],[経過秒]]&gt;='17_分析サンプル'!$E$11,tblJTL[[#This Row],[経過秒]]&lt;'17_分析サンプル'!$E$12),1,0)</f>
        <v>1</v>
      </c>
    </row>
    <row r="846" spans="2:24" ht="14.4" x14ac:dyDescent="0.3">
      <c r="B846" s="57">
        <v>1790816612743</v>
      </c>
      <c r="C846" s="58">
        <v>175</v>
      </c>
      <c r="D846" s="59" t="s">
        <v>1658</v>
      </c>
      <c r="E846" s="59" t="s">
        <v>1577</v>
      </c>
      <c r="F846" s="59" t="s">
        <v>2275</v>
      </c>
      <c r="G846" s="59" t="s">
        <v>3586</v>
      </c>
      <c r="H846" s="59" t="s">
        <v>2281</v>
      </c>
      <c r="I846" s="59" t="b">
        <v>1</v>
      </c>
      <c r="J846" s="59"/>
      <c r="K846" s="58">
        <v>1873</v>
      </c>
      <c r="L846" s="58">
        <v>1342</v>
      </c>
      <c r="M846" s="59">
        <v>10</v>
      </c>
      <c r="N846" s="59">
        <v>10</v>
      </c>
      <c r="O846" s="59" t="s">
        <v>3578</v>
      </c>
      <c r="P846" s="58">
        <v>169</v>
      </c>
      <c r="Q846" s="59">
        <v>0</v>
      </c>
      <c r="R846" s="59">
        <v>0</v>
      </c>
      <c r="S846" s="60">
        <f>tblJTL[[#This Row],[timeStamp]]/86400000+DATE(1970,1,1)+TIME(9,0,0)</f>
        <v>46296.419128969908</v>
      </c>
      <c r="T846" s="57">
        <f>tblJTL[[#This Row],[timeStamp]]+tblJTL[[#This Row],[elapsed]]</f>
        <v>1790816612918</v>
      </c>
      <c r="U846" s="61">
        <f>(tblJTL[[#This Row],[timeStamp]]-'17_分析サンプル'!$E$18)/1000</f>
        <v>212.56299999999999</v>
      </c>
      <c r="V846" s="57">
        <f>INT(tblJTL[[#This Row],[経過秒]]/60)</f>
        <v>3</v>
      </c>
      <c r="W846" s="57">
        <f>IF(OR(tblJTL[[#This Row],[success]]=FALSE,tblJTL[[#This Row],[success]]="false"),1,0)</f>
        <v>0</v>
      </c>
      <c r="X846" s="57">
        <f>IF(AND(tblJTL[[#This Row],[経過秒]]&gt;='17_分析サンプル'!$E$11,tblJTL[[#This Row],[経過秒]]&lt;'17_分析サンプル'!$E$12),1,0)</f>
        <v>1</v>
      </c>
    </row>
    <row r="847" spans="2:24" ht="14.4" x14ac:dyDescent="0.3">
      <c r="B847" s="57">
        <v>1790816613083</v>
      </c>
      <c r="C847" s="58">
        <v>145</v>
      </c>
      <c r="D847" s="59" t="s">
        <v>1658</v>
      </c>
      <c r="E847" s="59" t="s">
        <v>1577</v>
      </c>
      <c r="F847" s="59" t="s">
        <v>2275</v>
      </c>
      <c r="G847" s="59" t="s">
        <v>3587</v>
      </c>
      <c r="H847" s="59" t="s">
        <v>2281</v>
      </c>
      <c r="I847" s="59" t="b">
        <v>1</v>
      </c>
      <c r="J847" s="59"/>
      <c r="K847" s="58">
        <v>1830</v>
      </c>
      <c r="L847" s="58">
        <v>1342</v>
      </c>
      <c r="M847" s="59">
        <v>10</v>
      </c>
      <c r="N847" s="59">
        <v>10</v>
      </c>
      <c r="O847" s="59" t="s">
        <v>3578</v>
      </c>
      <c r="P847" s="58">
        <v>139</v>
      </c>
      <c r="Q847" s="59">
        <v>0</v>
      </c>
      <c r="R847" s="59">
        <v>0</v>
      </c>
      <c r="S847" s="60">
        <f>tblJTL[[#This Row],[timeStamp]]/86400000+DATE(1970,1,1)+TIME(9,0,0)</f>
        <v>46296.419132905095</v>
      </c>
      <c r="T847" s="57">
        <f>tblJTL[[#This Row],[timeStamp]]+tblJTL[[#This Row],[elapsed]]</f>
        <v>1790816613228</v>
      </c>
      <c r="U847" s="61">
        <f>(tblJTL[[#This Row],[timeStamp]]-'17_分析サンプル'!$E$18)/1000</f>
        <v>212.90299999999999</v>
      </c>
      <c r="V847" s="57">
        <f>INT(tblJTL[[#This Row],[経過秒]]/60)</f>
        <v>3</v>
      </c>
      <c r="W847" s="57">
        <f>IF(OR(tblJTL[[#This Row],[success]]=FALSE,tblJTL[[#This Row],[success]]="false"),1,0)</f>
        <v>0</v>
      </c>
      <c r="X847" s="57">
        <f>IF(AND(tblJTL[[#This Row],[経過秒]]&gt;='17_分析サンプル'!$E$11,tblJTL[[#This Row],[経過秒]]&lt;'17_分析サンプル'!$E$12),1,0)</f>
        <v>1</v>
      </c>
    </row>
    <row r="848" spans="2:24" ht="14.4" x14ac:dyDescent="0.3">
      <c r="B848" s="57">
        <v>1790816613168</v>
      </c>
      <c r="C848" s="58">
        <v>285</v>
      </c>
      <c r="D848" s="59" t="s">
        <v>1677</v>
      </c>
      <c r="E848" s="59" t="s">
        <v>3579</v>
      </c>
      <c r="F848" s="59" t="s">
        <v>3580</v>
      </c>
      <c r="G848" s="59" t="s">
        <v>3589</v>
      </c>
      <c r="H848" s="59" t="s">
        <v>2281</v>
      </c>
      <c r="I848" s="59" t="b">
        <v>1</v>
      </c>
      <c r="J848" s="59"/>
      <c r="K848" s="58">
        <v>418</v>
      </c>
      <c r="L848" s="58">
        <v>1478</v>
      </c>
      <c r="M848" s="59">
        <v>10</v>
      </c>
      <c r="N848" s="59">
        <v>10</v>
      </c>
      <c r="O848" s="59" t="s">
        <v>3581</v>
      </c>
      <c r="P848" s="58">
        <v>277</v>
      </c>
      <c r="Q848" s="59">
        <v>0</v>
      </c>
      <c r="R848" s="59">
        <v>0</v>
      </c>
      <c r="S848" s="60">
        <f>tblJTL[[#This Row],[timeStamp]]/86400000+DATE(1970,1,1)+TIME(9,0,0)</f>
        <v>46296.419133888892</v>
      </c>
      <c r="T848" s="57">
        <f>tblJTL[[#This Row],[timeStamp]]+tblJTL[[#This Row],[elapsed]]</f>
        <v>1790816613453</v>
      </c>
      <c r="U848" s="61">
        <f>(tblJTL[[#This Row],[timeStamp]]-'17_分析サンプル'!$E$18)/1000</f>
        <v>212.988</v>
      </c>
      <c r="V848" s="57">
        <f>INT(tblJTL[[#This Row],[経過秒]]/60)</f>
        <v>3</v>
      </c>
      <c r="W848" s="57">
        <f>IF(OR(tblJTL[[#This Row],[success]]=FALSE,tblJTL[[#This Row],[success]]="false"),1,0)</f>
        <v>0</v>
      </c>
      <c r="X848" s="57">
        <f>IF(AND(tblJTL[[#This Row],[経過秒]]&gt;='17_分析サンプル'!$E$11,tblJTL[[#This Row],[経過秒]]&lt;'17_分析サンプル'!$E$12),1,0)</f>
        <v>1</v>
      </c>
    </row>
    <row r="849" spans="2:24" ht="14.4" x14ac:dyDescent="0.3">
      <c r="B849" s="57">
        <v>1790816613463</v>
      </c>
      <c r="C849" s="58">
        <v>394</v>
      </c>
      <c r="D849" s="59" t="s">
        <v>1677</v>
      </c>
      <c r="E849" s="59" t="s">
        <v>3579</v>
      </c>
      <c r="F849" s="59" t="s">
        <v>3580</v>
      </c>
      <c r="G849" s="59" t="s">
        <v>3584</v>
      </c>
      <c r="H849" s="59" t="s">
        <v>2281</v>
      </c>
      <c r="I849" s="59" t="b">
        <v>1</v>
      </c>
      <c r="J849" s="59"/>
      <c r="K849" s="58">
        <v>430</v>
      </c>
      <c r="L849" s="58">
        <v>1478</v>
      </c>
      <c r="M849" s="59">
        <v>10</v>
      </c>
      <c r="N849" s="59">
        <v>10</v>
      </c>
      <c r="O849" s="59" t="s">
        <v>3581</v>
      </c>
      <c r="P849" s="58">
        <v>392</v>
      </c>
      <c r="Q849" s="59">
        <v>0</v>
      </c>
      <c r="R849" s="59">
        <v>0</v>
      </c>
      <c r="S849" s="60">
        <f>tblJTL[[#This Row],[timeStamp]]/86400000+DATE(1970,1,1)+TIME(9,0,0)</f>
        <v>46296.419137303237</v>
      </c>
      <c r="T849" s="57">
        <f>tblJTL[[#This Row],[timeStamp]]+tblJTL[[#This Row],[elapsed]]</f>
        <v>1790816613857</v>
      </c>
      <c r="U849" s="61">
        <f>(tblJTL[[#This Row],[timeStamp]]-'17_分析サンプル'!$E$18)/1000</f>
        <v>213.28299999999999</v>
      </c>
      <c r="V849" s="57">
        <f>INT(tblJTL[[#This Row],[経過秒]]/60)</f>
        <v>3</v>
      </c>
      <c r="W849" s="57">
        <f>IF(OR(tblJTL[[#This Row],[success]]=FALSE,tblJTL[[#This Row],[success]]="false"),1,0)</f>
        <v>0</v>
      </c>
      <c r="X849" s="57">
        <f>IF(AND(tblJTL[[#This Row],[経過秒]]&gt;='17_分析サンプル'!$E$11,tblJTL[[#This Row],[経過秒]]&lt;'17_分析サンプル'!$E$12),1,0)</f>
        <v>1</v>
      </c>
    </row>
    <row r="850" spans="2:24" ht="14.4" x14ac:dyDescent="0.3">
      <c r="B850" s="57">
        <v>1790816613882</v>
      </c>
      <c r="C850" s="58">
        <v>208</v>
      </c>
      <c r="D850" s="59" t="s">
        <v>1658</v>
      </c>
      <c r="E850" s="59" t="s">
        <v>1577</v>
      </c>
      <c r="F850" s="59" t="s">
        <v>2275</v>
      </c>
      <c r="G850" s="59" t="s">
        <v>2278</v>
      </c>
      <c r="H850" s="59" t="s">
        <v>2281</v>
      </c>
      <c r="I850" s="59" t="b">
        <v>1</v>
      </c>
      <c r="J850" s="59"/>
      <c r="K850" s="58">
        <v>1830</v>
      </c>
      <c r="L850" s="58">
        <v>1342</v>
      </c>
      <c r="M850" s="59">
        <v>10</v>
      </c>
      <c r="N850" s="59">
        <v>10</v>
      </c>
      <c r="O850" s="59" t="s">
        <v>3578</v>
      </c>
      <c r="P850" s="58">
        <v>206</v>
      </c>
      <c r="Q850" s="59">
        <v>0</v>
      </c>
      <c r="R850" s="59">
        <v>0</v>
      </c>
      <c r="S850" s="60">
        <f>tblJTL[[#This Row],[timeStamp]]/86400000+DATE(1970,1,1)+TIME(9,0,0)</f>
        <v>46296.419142152779</v>
      </c>
      <c r="T850" s="57">
        <f>tblJTL[[#This Row],[timeStamp]]+tblJTL[[#This Row],[elapsed]]</f>
        <v>1790816614090</v>
      </c>
      <c r="U850" s="61">
        <f>(tblJTL[[#This Row],[timeStamp]]-'17_分析サンプル'!$E$18)/1000</f>
        <v>213.702</v>
      </c>
      <c r="V850" s="57">
        <f>INT(tblJTL[[#This Row],[経過秒]]/60)</f>
        <v>3</v>
      </c>
      <c r="W850" s="57">
        <f>IF(OR(tblJTL[[#This Row],[success]]=FALSE,tblJTL[[#This Row],[success]]="false"),1,0)</f>
        <v>0</v>
      </c>
      <c r="X850" s="57">
        <f>IF(AND(tblJTL[[#This Row],[経過秒]]&gt;='17_分析サンプル'!$E$11,tblJTL[[#This Row],[経過秒]]&lt;'17_分析サンプル'!$E$12),1,0)</f>
        <v>1</v>
      </c>
    </row>
    <row r="851" spans="2:24" ht="14.4" x14ac:dyDescent="0.3">
      <c r="B851" s="57">
        <v>1790816614009</v>
      </c>
      <c r="C851" s="58">
        <v>283</v>
      </c>
      <c r="D851" s="59" t="s">
        <v>1677</v>
      </c>
      <c r="E851" s="59" t="s">
        <v>3579</v>
      </c>
      <c r="F851" s="59" t="s">
        <v>3580</v>
      </c>
      <c r="G851" s="59" t="s">
        <v>3585</v>
      </c>
      <c r="H851" s="59" t="s">
        <v>2281</v>
      </c>
      <c r="I851" s="59" t="b">
        <v>1</v>
      </c>
      <c r="J851" s="59"/>
      <c r="K851" s="58">
        <v>429</v>
      </c>
      <c r="L851" s="58">
        <v>1478</v>
      </c>
      <c r="M851" s="59">
        <v>10</v>
      </c>
      <c r="N851" s="59">
        <v>10</v>
      </c>
      <c r="O851" s="59" t="s">
        <v>3581</v>
      </c>
      <c r="P851" s="58">
        <v>279</v>
      </c>
      <c r="Q851" s="59">
        <v>0</v>
      </c>
      <c r="R851" s="59">
        <v>0</v>
      </c>
      <c r="S851" s="60">
        <f>tblJTL[[#This Row],[timeStamp]]/86400000+DATE(1970,1,1)+TIME(9,0,0)</f>
        <v>46296.419143622683</v>
      </c>
      <c r="T851" s="57">
        <f>tblJTL[[#This Row],[timeStamp]]+tblJTL[[#This Row],[elapsed]]</f>
        <v>1790816614292</v>
      </c>
      <c r="U851" s="61">
        <f>(tblJTL[[#This Row],[timeStamp]]-'17_分析サンプル'!$E$18)/1000</f>
        <v>213.82900000000001</v>
      </c>
      <c r="V851" s="57">
        <f>INT(tblJTL[[#This Row],[経過秒]]/60)</f>
        <v>3</v>
      </c>
      <c r="W851" s="57">
        <f>IF(OR(tblJTL[[#This Row],[success]]=FALSE,tblJTL[[#This Row],[success]]="false"),1,0)</f>
        <v>0</v>
      </c>
      <c r="X851" s="57">
        <f>IF(AND(tblJTL[[#This Row],[経過秒]]&gt;='17_分析サンプル'!$E$11,tblJTL[[#This Row],[経過秒]]&lt;'17_分析サンプル'!$E$12),1,0)</f>
        <v>1</v>
      </c>
    </row>
    <row r="852" spans="2:24" ht="14.4" x14ac:dyDescent="0.3">
      <c r="B852" s="57">
        <v>1790816614407</v>
      </c>
      <c r="C852" s="58">
        <v>138</v>
      </c>
      <c r="D852" s="59" t="s">
        <v>1677</v>
      </c>
      <c r="E852" s="59" t="s">
        <v>3579</v>
      </c>
      <c r="F852" s="59" t="s">
        <v>3580</v>
      </c>
      <c r="G852" s="59" t="s">
        <v>3577</v>
      </c>
      <c r="H852" s="59" t="s">
        <v>2281</v>
      </c>
      <c r="I852" s="59" t="b">
        <v>1</v>
      </c>
      <c r="J852" s="59"/>
      <c r="K852" s="58">
        <v>417</v>
      </c>
      <c r="L852" s="58">
        <v>1478</v>
      </c>
      <c r="M852" s="59">
        <v>10</v>
      </c>
      <c r="N852" s="59">
        <v>10</v>
      </c>
      <c r="O852" s="59" t="s">
        <v>3581</v>
      </c>
      <c r="P852" s="58">
        <v>135</v>
      </c>
      <c r="Q852" s="59">
        <v>0</v>
      </c>
      <c r="R852" s="59">
        <v>0</v>
      </c>
      <c r="S852" s="60">
        <f>tblJTL[[#This Row],[timeStamp]]/86400000+DATE(1970,1,1)+TIME(9,0,0)</f>
        <v>46296.419148229164</v>
      </c>
      <c r="T852" s="57">
        <f>tblJTL[[#This Row],[timeStamp]]+tblJTL[[#This Row],[elapsed]]</f>
        <v>1790816614545</v>
      </c>
      <c r="U852" s="61">
        <f>(tblJTL[[#This Row],[timeStamp]]-'17_分析サンプル'!$E$18)/1000</f>
        <v>214.227</v>
      </c>
      <c r="V852" s="57">
        <f>INT(tblJTL[[#This Row],[経過秒]]/60)</f>
        <v>3</v>
      </c>
      <c r="W852" s="57">
        <f>IF(OR(tblJTL[[#This Row],[success]]=FALSE,tblJTL[[#This Row],[success]]="false"),1,0)</f>
        <v>0</v>
      </c>
      <c r="X852" s="57">
        <f>IF(AND(tblJTL[[#This Row],[経過秒]]&gt;='17_分析サンプル'!$E$11,tblJTL[[#This Row],[経過秒]]&lt;'17_分析サンプル'!$E$12),1,0)</f>
        <v>1</v>
      </c>
    </row>
    <row r="853" spans="2:24" ht="14.4" x14ac:dyDescent="0.3">
      <c r="B853" s="57">
        <v>1790816614369</v>
      </c>
      <c r="C853" s="58">
        <v>226</v>
      </c>
      <c r="D853" s="59" t="s">
        <v>1677</v>
      </c>
      <c r="E853" s="59" t="s">
        <v>3579</v>
      </c>
      <c r="F853" s="59" t="s">
        <v>3580</v>
      </c>
      <c r="G853" s="59" t="s">
        <v>3587</v>
      </c>
      <c r="H853" s="59" t="s">
        <v>2281</v>
      </c>
      <c r="I853" s="59" t="b">
        <v>1</v>
      </c>
      <c r="J853" s="59"/>
      <c r="K853" s="58">
        <v>410</v>
      </c>
      <c r="L853" s="58">
        <v>1478</v>
      </c>
      <c r="M853" s="59">
        <v>10</v>
      </c>
      <c r="N853" s="59">
        <v>10</v>
      </c>
      <c r="O853" s="59" t="s">
        <v>3581</v>
      </c>
      <c r="P853" s="58">
        <v>223</v>
      </c>
      <c r="Q853" s="59">
        <v>0</v>
      </c>
      <c r="R853" s="59">
        <v>0</v>
      </c>
      <c r="S853" s="60">
        <f>tblJTL[[#This Row],[timeStamp]]/86400000+DATE(1970,1,1)+TIME(9,0,0)</f>
        <v>46296.419147789347</v>
      </c>
      <c r="T853" s="57">
        <f>tblJTL[[#This Row],[timeStamp]]+tblJTL[[#This Row],[elapsed]]</f>
        <v>1790816614595</v>
      </c>
      <c r="U853" s="61">
        <f>(tblJTL[[#This Row],[timeStamp]]-'17_分析サンプル'!$E$18)/1000</f>
        <v>214.18899999999999</v>
      </c>
      <c r="V853" s="57">
        <f>INT(tblJTL[[#This Row],[経過秒]]/60)</f>
        <v>3</v>
      </c>
      <c r="W853" s="57">
        <f>IF(OR(tblJTL[[#This Row],[success]]=FALSE,tblJTL[[#This Row],[success]]="false"),1,0)</f>
        <v>0</v>
      </c>
      <c r="X853" s="57">
        <f>IF(AND(tblJTL[[#This Row],[経過秒]]&gt;='17_分析サンプル'!$E$11,tblJTL[[#This Row],[経過秒]]&lt;'17_分析サンプル'!$E$12),1,0)</f>
        <v>1</v>
      </c>
    </row>
    <row r="854" spans="2:24" ht="14.4" x14ac:dyDescent="0.3">
      <c r="B854" s="57">
        <v>1790816614533</v>
      </c>
      <c r="C854" s="58">
        <v>164</v>
      </c>
      <c r="D854" s="59" t="s">
        <v>1677</v>
      </c>
      <c r="E854" s="59" t="s">
        <v>3579</v>
      </c>
      <c r="F854" s="59" t="s">
        <v>3580</v>
      </c>
      <c r="G854" s="59" t="s">
        <v>3588</v>
      </c>
      <c r="H854" s="59" t="s">
        <v>2281</v>
      </c>
      <c r="I854" s="59" t="b">
        <v>1</v>
      </c>
      <c r="J854" s="59"/>
      <c r="K854" s="58">
        <v>418</v>
      </c>
      <c r="L854" s="58">
        <v>1478</v>
      </c>
      <c r="M854" s="59">
        <v>10</v>
      </c>
      <c r="N854" s="59">
        <v>10</v>
      </c>
      <c r="O854" s="59" t="s">
        <v>3581</v>
      </c>
      <c r="P854" s="58">
        <v>161</v>
      </c>
      <c r="Q854" s="59">
        <v>0</v>
      </c>
      <c r="R854" s="59">
        <v>0</v>
      </c>
      <c r="S854" s="60">
        <f>tblJTL[[#This Row],[timeStamp]]/86400000+DATE(1970,1,1)+TIME(9,0,0)</f>
        <v>46296.419149687499</v>
      </c>
      <c r="T854" s="57">
        <f>tblJTL[[#This Row],[timeStamp]]+tblJTL[[#This Row],[elapsed]]</f>
        <v>1790816614697</v>
      </c>
      <c r="U854" s="61">
        <f>(tblJTL[[#This Row],[timeStamp]]-'17_分析サンプル'!$E$18)/1000</f>
        <v>214.35300000000001</v>
      </c>
      <c r="V854" s="57">
        <f>INT(tblJTL[[#This Row],[経過秒]]/60)</f>
        <v>3</v>
      </c>
      <c r="W854" s="57">
        <f>IF(OR(tblJTL[[#This Row],[success]]=FALSE,tblJTL[[#This Row],[success]]="false"),1,0)</f>
        <v>0</v>
      </c>
      <c r="X854" s="57">
        <f>IF(AND(tblJTL[[#This Row],[経過秒]]&gt;='17_分析サンプル'!$E$11,tblJTL[[#This Row],[経過秒]]&lt;'17_分析サンプル'!$E$12),1,0)</f>
        <v>1</v>
      </c>
    </row>
    <row r="855" spans="2:24" ht="14.4" x14ac:dyDescent="0.3">
      <c r="B855" s="57">
        <v>1790816614437</v>
      </c>
      <c r="C855" s="58">
        <v>299</v>
      </c>
      <c r="D855" s="59" t="s">
        <v>1677</v>
      </c>
      <c r="E855" s="59" t="s">
        <v>3579</v>
      </c>
      <c r="F855" s="59" t="s">
        <v>3580</v>
      </c>
      <c r="G855" s="59" t="s">
        <v>3582</v>
      </c>
      <c r="H855" s="59" t="s">
        <v>2281</v>
      </c>
      <c r="I855" s="59" t="b">
        <v>1</v>
      </c>
      <c r="J855" s="59"/>
      <c r="K855" s="58">
        <v>425</v>
      </c>
      <c r="L855" s="58">
        <v>1478</v>
      </c>
      <c r="M855" s="59">
        <v>10</v>
      </c>
      <c r="N855" s="59">
        <v>10</v>
      </c>
      <c r="O855" s="59" t="s">
        <v>3581</v>
      </c>
      <c r="P855" s="58">
        <v>293</v>
      </c>
      <c r="Q855" s="59">
        <v>0</v>
      </c>
      <c r="R855" s="59">
        <v>0</v>
      </c>
      <c r="S855" s="60">
        <f>tblJTL[[#This Row],[timeStamp]]/86400000+DATE(1970,1,1)+TIME(9,0,0)</f>
        <v>46296.419148576388</v>
      </c>
      <c r="T855" s="57">
        <f>tblJTL[[#This Row],[timeStamp]]+tblJTL[[#This Row],[elapsed]]</f>
        <v>1790816614736</v>
      </c>
      <c r="U855" s="61">
        <f>(tblJTL[[#This Row],[timeStamp]]-'17_分析サンプル'!$E$18)/1000</f>
        <v>214.25700000000001</v>
      </c>
      <c r="V855" s="57">
        <f>INT(tblJTL[[#This Row],[経過秒]]/60)</f>
        <v>3</v>
      </c>
      <c r="W855" s="57">
        <f>IF(OR(tblJTL[[#This Row],[success]]=FALSE,tblJTL[[#This Row],[success]]="false"),1,0)</f>
        <v>0</v>
      </c>
      <c r="X855" s="57">
        <f>IF(AND(tblJTL[[#This Row],[経過秒]]&gt;='17_分析サンプル'!$E$11,tblJTL[[#This Row],[経過秒]]&lt;'17_分析サンプル'!$E$12),1,0)</f>
        <v>1</v>
      </c>
    </row>
    <row r="856" spans="2:24" ht="14.4" x14ac:dyDescent="0.3">
      <c r="B856" s="57">
        <v>1790816614671</v>
      </c>
      <c r="C856" s="58">
        <v>118</v>
      </c>
      <c r="D856" s="59" t="s">
        <v>1677</v>
      </c>
      <c r="E856" s="59" t="s">
        <v>3579</v>
      </c>
      <c r="F856" s="59" t="s">
        <v>3580</v>
      </c>
      <c r="G856" s="59" t="s">
        <v>3583</v>
      </c>
      <c r="H856" s="59" t="s">
        <v>2281</v>
      </c>
      <c r="I856" s="59" t="b">
        <v>1</v>
      </c>
      <c r="J856" s="59"/>
      <c r="K856" s="58">
        <v>410</v>
      </c>
      <c r="L856" s="58">
        <v>1478</v>
      </c>
      <c r="M856" s="59">
        <v>10</v>
      </c>
      <c r="N856" s="59">
        <v>10</v>
      </c>
      <c r="O856" s="59" t="s">
        <v>3581</v>
      </c>
      <c r="P856" s="58">
        <v>115</v>
      </c>
      <c r="Q856" s="59">
        <v>0</v>
      </c>
      <c r="R856" s="59">
        <v>0</v>
      </c>
      <c r="S856" s="60">
        <f>tblJTL[[#This Row],[timeStamp]]/86400000+DATE(1970,1,1)+TIME(9,0,0)</f>
        <v>46296.419151284717</v>
      </c>
      <c r="T856" s="57">
        <f>tblJTL[[#This Row],[timeStamp]]+tblJTL[[#This Row],[elapsed]]</f>
        <v>1790816614789</v>
      </c>
      <c r="U856" s="61">
        <f>(tblJTL[[#This Row],[timeStamp]]-'17_分析サンプル'!$E$18)/1000</f>
        <v>214.49100000000001</v>
      </c>
      <c r="V856" s="57">
        <f>INT(tblJTL[[#This Row],[経過秒]]/60)</f>
        <v>3</v>
      </c>
      <c r="W856" s="57">
        <f>IF(OR(tblJTL[[#This Row],[success]]=FALSE,tblJTL[[#This Row],[success]]="false"),1,0)</f>
        <v>0</v>
      </c>
      <c r="X856" s="57">
        <f>IF(AND(tblJTL[[#This Row],[経過秒]]&gt;='17_分析サンプル'!$E$11,tblJTL[[#This Row],[経過秒]]&lt;'17_分析サンプル'!$E$12),1,0)</f>
        <v>1</v>
      </c>
    </row>
    <row r="857" spans="2:24" ht="14.4" x14ac:dyDescent="0.3">
      <c r="B857" s="57">
        <v>1790816614813</v>
      </c>
      <c r="C857" s="58">
        <v>233</v>
      </c>
      <c r="D857" s="59" t="s">
        <v>1677</v>
      </c>
      <c r="E857" s="59" t="s">
        <v>3579</v>
      </c>
      <c r="F857" s="59" t="s">
        <v>3580</v>
      </c>
      <c r="G857" s="59" t="s">
        <v>3586</v>
      </c>
      <c r="H857" s="59" t="s">
        <v>2281</v>
      </c>
      <c r="I857" s="59" t="b">
        <v>1</v>
      </c>
      <c r="J857" s="59"/>
      <c r="K857" s="58">
        <v>430</v>
      </c>
      <c r="L857" s="58">
        <v>1478</v>
      </c>
      <c r="M857" s="59">
        <v>10</v>
      </c>
      <c r="N857" s="59">
        <v>10</v>
      </c>
      <c r="O857" s="59" t="s">
        <v>3581</v>
      </c>
      <c r="P857" s="58">
        <v>226</v>
      </c>
      <c r="Q857" s="59">
        <v>0</v>
      </c>
      <c r="R857" s="59">
        <v>0</v>
      </c>
      <c r="S857" s="60">
        <f>tblJTL[[#This Row],[timeStamp]]/86400000+DATE(1970,1,1)+TIME(9,0,0)</f>
        <v>46296.41915292824</v>
      </c>
      <c r="T857" s="57">
        <f>tblJTL[[#This Row],[timeStamp]]+tblJTL[[#This Row],[elapsed]]</f>
        <v>1790816615046</v>
      </c>
      <c r="U857" s="61">
        <f>(tblJTL[[#This Row],[timeStamp]]-'17_分析サンプル'!$E$18)/1000</f>
        <v>214.63300000000001</v>
      </c>
      <c r="V857" s="57">
        <f>INT(tblJTL[[#This Row],[経過秒]]/60)</f>
        <v>3</v>
      </c>
      <c r="W857" s="57">
        <f>IF(OR(tblJTL[[#This Row],[success]]=FALSE,tblJTL[[#This Row],[success]]="false"),1,0)</f>
        <v>0</v>
      </c>
      <c r="X857" s="57">
        <f>IF(AND(tblJTL[[#This Row],[経過秒]]&gt;='17_分析サンプル'!$E$11,tblJTL[[#This Row],[経過秒]]&lt;'17_分析サンプル'!$E$12),1,0)</f>
        <v>1</v>
      </c>
    </row>
    <row r="858" spans="2:24" ht="14.4" x14ac:dyDescent="0.3">
      <c r="B858" s="57">
        <v>1790816615293</v>
      </c>
      <c r="C858" s="58">
        <v>249</v>
      </c>
      <c r="D858" s="59" t="s">
        <v>1658</v>
      </c>
      <c r="E858" s="59" t="s">
        <v>1577</v>
      </c>
      <c r="F858" s="59" t="s">
        <v>2275</v>
      </c>
      <c r="G858" s="59" t="s">
        <v>3585</v>
      </c>
      <c r="H858" s="59" t="s">
        <v>2281</v>
      </c>
      <c r="I858" s="59" t="b">
        <v>1</v>
      </c>
      <c r="J858" s="59"/>
      <c r="K858" s="58">
        <v>1835</v>
      </c>
      <c r="L858" s="58">
        <v>1342</v>
      </c>
      <c r="M858" s="59">
        <v>10</v>
      </c>
      <c r="N858" s="59">
        <v>10</v>
      </c>
      <c r="O858" s="59" t="s">
        <v>3578</v>
      </c>
      <c r="P858" s="58">
        <v>242</v>
      </c>
      <c r="Q858" s="59">
        <v>0</v>
      </c>
      <c r="R858" s="59">
        <v>0</v>
      </c>
      <c r="S858" s="60">
        <f>tblJTL[[#This Row],[timeStamp]]/86400000+DATE(1970,1,1)+TIME(9,0,0)</f>
        <v>46296.419158483797</v>
      </c>
      <c r="T858" s="57">
        <f>tblJTL[[#This Row],[timeStamp]]+tblJTL[[#This Row],[elapsed]]</f>
        <v>1790816615542</v>
      </c>
      <c r="U858" s="61">
        <f>(tblJTL[[#This Row],[timeStamp]]-'17_分析サンプル'!$E$18)/1000</f>
        <v>215.113</v>
      </c>
      <c r="V858" s="57">
        <f>INT(tblJTL[[#This Row],[経過秒]]/60)</f>
        <v>3</v>
      </c>
      <c r="W858" s="57">
        <f>IF(OR(tblJTL[[#This Row],[success]]=FALSE,tblJTL[[#This Row],[success]]="false"),1,0)</f>
        <v>0</v>
      </c>
      <c r="X858" s="57">
        <f>IF(AND(tblJTL[[#This Row],[経過秒]]&gt;='17_分析サンプル'!$E$11,tblJTL[[#This Row],[経過秒]]&lt;'17_分析サンプル'!$E$12),1,0)</f>
        <v>1</v>
      </c>
    </row>
    <row r="859" spans="2:24" ht="14.4" x14ac:dyDescent="0.3">
      <c r="B859" s="57">
        <v>1790816615371</v>
      </c>
      <c r="C859" s="58">
        <v>180</v>
      </c>
      <c r="D859" s="59" t="s">
        <v>1658</v>
      </c>
      <c r="E859" s="59" t="s">
        <v>1577</v>
      </c>
      <c r="F859" s="59" t="s">
        <v>2275</v>
      </c>
      <c r="G859" s="59" t="s">
        <v>3589</v>
      </c>
      <c r="H859" s="59" t="s">
        <v>2281</v>
      </c>
      <c r="I859" s="59" t="b">
        <v>1</v>
      </c>
      <c r="J859" s="59"/>
      <c r="K859" s="58">
        <v>1840</v>
      </c>
      <c r="L859" s="58">
        <v>1342</v>
      </c>
      <c r="M859" s="59">
        <v>10</v>
      </c>
      <c r="N859" s="59">
        <v>10</v>
      </c>
      <c r="O859" s="59" t="s">
        <v>3578</v>
      </c>
      <c r="P859" s="58">
        <v>177</v>
      </c>
      <c r="Q859" s="59">
        <v>0</v>
      </c>
      <c r="R859" s="59">
        <v>0</v>
      </c>
      <c r="S859" s="60">
        <f>tblJTL[[#This Row],[timeStamp]]/86400000+DATE(1970,1,1)+TIME(9,0,0)</f>
        <v>46296.419159386569</v>
      </c>
      <c r="T859" s="57">
        <f>tblJTL[[#This Row],[timeStamp]]+tblJTL[[#This Row],[elapsed]]</f>
        <v>1790816615551</v>
      </c>
      <c r="U859" s="61">
        <f>(tblJTL[[#This Row],[timeStamp]]-'17_分析サンプル'!$E$18)/1000</f>
        <v>215.191</v>
      </c>
      <c r="V859" s="57">
        <f>INT(tblJTL[[#This Row],[経過秒]]/60)</f>
        <v>3</v>
      </c>
      <c r="W859" s="57">
        <f>IF(OR(tblJTL[[#This Row],[success]]=FALSE,tblJTL[[#This Row],[success]]="false"),1,0)</f>
        <v>0</v>
      </c>
      <c r="X859" s="57">
        <f>IF(AND(tblJTL[[#This Row],[経過秒]]&gt;='17_分析サンプル'!$E$11,tblJTL[[#This Row],[経過秒]]&lt;'17_分析サンプル'!$E$12),1,0)</f>
        <v>1</v>
      </c>
    </row>
    <row r="860" spans="2:24" ht="14.4" x14ac:dyDescent="0.3">
      <c r="B860" s="57">
        <v>1790816615377</v>
      </c>
      <c r="C860" s="58">
        <v>307</v>
      </c>
      <c r="D860" s="59" t="s">
        <v>1677</v>
      </c>
      <c r="E860" s="59" t="s">
        <v>3579</v>
      </c>
      <c r="F860" s="59" t="s">
        <v>3580</v>
      </c>
      <c r="G860" s="59" t="s">
        <v>2278</v>
      </c>
      <c r="H860" s="59" t="s">
        <v>2281</v>
      </c>
      <c r="I860" s="59" t="b">
        <v>1</v>
      </c>
      <c r="J860" s="59"/>
      <c r="K860" s="58">
        <v>416</v>
      </c>
      <c r="L860" s="58">
        <v>1478</v>
      </c>
      <c r="M860" s="59">
        <v>10</v>
      </c>
      <c r="N860" s="59">
        <v>10</v>
      </c>
      <c r="O860" s="59" t="s">
        <v>3581</v>
      </c>
      <c r="P860" s="58">
        <v>305</v>
      </c>
      <c r="Q860" s="59">
        <v>0</v>
      </c>
      <c r="R860" s="59">
        <v>0</v>
      </c>
      <c r="S860" s="60">
        <f>tblJTL[[#This Row],[timeStamp]]/86400000+DATE(1970,1,1)+TIME(9,0,0)</f>
        <v>46296.419159456018</v>
      </c>
      <c r="T860" s="57">
        <f>tblJTL[[#This Row],[timeStamp]]+tblJTL[[#This Row],[elapsed]]</f>
        <v>1790816615684</v>
      </c>
      <c r="U860" s="61">
        <f>(tblJTL[[#This Row],[timeStamp]]-'17_分析サンプル'!$E$18)/1000</f>
        <v>215.197</v>
      </c>
      <c r="V860" s="57">
        <f>INT(tblJTL[[#This Row],[経過秒]]/60)</f>
        <v>3</v>
      </c>
      <c r="W860" s="57">
        <f>IF(OR(tblJTL[[#This Row],[success]]=FALSE,tblJTL[[#This Row],[success]]="false"),1,0)</f>
        <v>0</v>
      </c>
      <c r="X860" s="57">
        <f>IF(AND(tblJTL[[#This Row],[経過秒]]&gt;='17_分析サンプル'!$E$11,tblJTL[[#This Row],[経過秒]]&lt;'17_分析サンプル'!$E$12),1,0)</f>
        <v>1</v>
      </c>
    </row>
    <row r="861" spans="2:24" ht="14.4" x14ac:dyDescent="0.3">
      <c r="B861" s="57">
        <v>1790816616087</v>
      </c>
      <c r="C861" s="58">
        <v>115</v>
      </c>
      <c r="D861" s="59" t="s">
        <v>1658</v>
      </c>
      <c r="E861" s="59" t="s">
        <v>1577</v>
      </c>
      <c r="F861" s="59" t="s">
        <v>2275</v>
      </c>
      <c r="G861" s="59" t="s">
        <v>3587</v>
      </c>
      <c r="H861" s="59" t="s">
        <v>2281</v>
      </c>
      <c r="I861" s="59" t="b">
        <v>1</v>
      </c>
      <c r="J861" s="59"/>
      <c r="K861" s="58">
        <v>1831</v>
      </c>
      <c r="L861" s="58">
        <v>1342</v>
      </c>
      <c r="M861" s="59">
        <v>10</v>
      </c>
      <c r="N861" s="59">
        <v>10</v>
      </c>
      <c r="O861" s="59" t="s">
        <v>3578</v>
      </c>
      <c r="P861" s="58">
        <v>109</v>
      </c>
      <c r="Q861" s="59">
        <v>0</v>
      </c>
      <c r="R861" s="59">
        <v>0</v>
      </c>
      <c r="S861" s="60">
        <f>tblJTL[[#This Row],[timeStamp]]/86400000+DATE(1970,1,1)+TIME(9,0,0)</f>
        <v>46296.419167673608</v>
      </c>
      <c r="T861" s="57">
        <f>tblJTL[[#This Row],[timeStamp]]+tblJTL[[#This Row],[elapsed]]</f>
        <v>1790816616202</v>
      </c>
      <c r="U861" s="61">
        <f>(tblJTL[[#This Row],[timeStamp]]-'17_分析サンプル'!$E$18)/1000</f>
        <v>215.90700000000001</v>
      </c>
      <c r="V861" s="57">
        <f>INT(tblJTL[[#This Row],[経過秒]]/60)</f>
        <v>3</v>
      </c>
      <c r="W861" s="57">
        <f>IF(OR(tblJTL[[#This Row],[success]]=FALSE,tblJTL[[#This Row],[success]]="false"),1,0)</f>
        <v>0</v>
      </c>
      <c r="X861" s="57">
        <f>IF(AND(tblJTL[[#This Row],[経過秒]]&gt;='17_分析サンプル'!$E$11,tblJTL[[#This Row],[経過秒]]&lt;'17_分析サンプル'!$E$12),1,0)</f>
        <v>1</v>
      </c>
    </row>
    <row r="862" spans="2:24" ht="14.4" x14ac:dyDescent="0.3">
      <c r="B862" s="57">
        <v>1790816616342</v>
      </c>
      <c r="C862" s="58">
        <v>114</v>
      </c>
      <c r="D862" s="59" t="s">
        <v>1658</v>
      </c>
      <c r="E862" s="59" t="s">
        <v>1577</v>
      </c>
      <c r="F862" s="59" t="s">
        <v>2275</v>
      </c>
      <c r="G862" s="59" t="s">
        <v>3582</v>
      </c>
      <c r="H862" s="59" t="s">
        <v>2281</v>
      </c>
      <c r="I862" s="59" t="b">
        <v>1</v>
      </c>
      <c r="J862" s="59"/>
      <c r="K862" s="58">
        <v>1867</v>
      </c>
      <c r="L862" s="58">
        <v>1342</v>
      </c>
      <c r="M862" s="59">
        <v>10</v>
      </c>
      <c r="N862" s="59">
        <v>10</v>
      </c>
      <c r="O862" s="59" t="s">
        <v>3578</v>
      </c>
      <c r="P862" s="58">
        <v>111</v>
      </c>
      <c r="Q862" s="59">
        <v>0</v>
      </c>
      <c r="R862" s="59">
        <v>0</v>
      </c>
      <c r="S862" s="60">
        <f>tblJTL[[#This Row],[timeStamp]]/86400000+DATE(1970,1,1)+TIME(9,0,0)</f>
        <v>46296.419170624999</v>
      </c>
      <c r="T862" s="57">
        <f>tblJTL[[#This Row],[timeStamp]]+tblJTL[[#This Row],[elapsed]]</f>
        <v>1790816616456</v>
      </c>
      <c r="U862" s="61">
        <f>(tblJTL[[#This Row],[timeStamp]]-'17_分析サンプル'!$E$18)/1000</f>
        <v>216.16200000000001</v>
      </c>
      <c r="V862" s="57">
        <f>INT(tblJTL[[#This Row],[経過秒]]/60)</f>
        <v>3</v>
      </c>
      <c r="W862" s="57">
        <f>IF(OR(tblJTL[[#This Row],[success]]=FALSE,tblJTL[[#This Row],[success]]="false"),1,0)</f>
        <v>0</v>
      </c>
      <c r="X862" s="57">
        <f>IF(AND(tblJTL[[#This Row],[経過秒]]&gt;='17_分析サンプル'!$E$11,tblJTL[[#This Row],[経過秒]]&lt;'17_分析サンプル'!$E$12),1,0)</f>
        <v>1</v>
      </c>
    </row>
    <row r="863" spans="2:24" ht="14.4" x14ac:dyDescent="0.3">
      <c r="B863" s="57">
        <v>1790816616374</v>
      </c>
      <c r="C863" s="58">
        <v>84</v>
      </c>
      <c r="D863" s="59" t="s">
        <v>1658</v>
      </c>
      <c r="E863" s="59" t="s">
        <v>1577</v>
      </c>
      <c r="F863" s="59" t="s">
        <v>2275</v>
      </c>
      <c r="G863" s="59" t="s">
        <v>3577</v>
      </c>
      <c r="H863" s="59" t="s">
        <v>2281</v>
      </c>
      <c r="I863" s="59" t="b">
        <v>1</v>
      </c>
      <c r="J863" s="59"/>
      <c r="K863" s="58">
        <v>1866</v>
      </c>
      <c r="L863" s="58">
        <v>1342</v>
      </c>
      <c r="M863" s="59">
        <v>10</v>
      </c>
      <c r="N863" s="59">
        <v>10</v>
      </c>
      <c r="O863" s="59" t="s">
        <v>3578</v>
      </c>
      <c r="P863" s="58">
        <v>76</v>
      </c>
      <c r="Q863" s="59">
        <v>0</v>
      </c>
      <c r="R863" s="59">
        <v>0</v>
      </c>
      <c r="S863" s="60">
        <f>tblJTL[[#This Row],[timeStamp]]/86400000+DATE(1970,1,1)+TIME(9,0,0)</f>
        <v>46296.419170995374</v>
      </c>
      <c r="T863" s="57">
        <f>tblJTL[[#This Row],[timeStamp]]+tblJTL[[#This Row],[elapsed]]</f>
        <v>1790816616458</v>
      </c>
      <c r="U863" s="61">
        <f>(tblJTL[[#This Row],[timeStamp]]-'17_分析サンプル'!$E$18)/1000</f>
        <v>216.19399999999999</v>
      </c>
      <c r="V863" s="57">
        <f>INT(tblJTL[[#This Row],[経過秒]]/60)</f>
        <v>3</v>
      </c>
      <c r="W863" s="57">
        <f>IF(OR(tblJTL[[#This Row],[success]]=FALSE,tblJTL[[#This Row],[success]]="false"),1,0)</f>
        <v>0</v>
      </c>
      <c r="X863" s="57">
        <f>IF(AND(tblJTL[[#This Row],[経過秒]]&gt;='17_分析サンプル'!$E$11,tblJTL[[#This Row],[経過秒]]&lt;'17_分析サンプル'!$E$12),1,0)</f>
        <v>1</v>
      </c>
    </row>
    <row r="864" spans="2:24" ht="14.4" x14ac:dyDescent="0.3">
      <c r="B864" s="57">
        <v>1790816616404</v>
      </c>
      <c r="C864" s="58">
        <v>105</v>
      </c>
      <c r="D864" s="59" t="s">
        <v>1658</v>
      </c>
      <c r="E864" s="59" t="s">
        <v>1577</v>
      </c>
      <c r="F864" s="59" t="s">
        <v>2275</v>
      </c>
      <c r="G864" s="59" t="s">
        <v>3583</v>
      </c>
      <c r="H864" s="59" t="s">
        <v>2281</v>
      </c>
      <c r="I864" s="59" t="b">
        <v>1</v>
      </c>
      <c r="J864" s="59"/>
      <c r="K864" s="58">
        <v>1865</v>
      </c>
      <c r="L864" s="58">
        <v>1342</v>
      </c>
      <c r="M864" s="59">
        <v>10</v>
      </c>
      <c r="N864" s="59">
        <v>10</v>
      </c>
      <c r="O864" s="59" t="s">
        <v>3578</v>
      </c>
      <c r="P864" s="58">
        <v>100</v>
      </c>
      <c r="Q864" s="59">
        <v>0</v>
      </c>
      <c r="R864" s="59">
        <v>0</v>
      </c>
      <c r="S864" s="60">
        <f>tblJTL[[#This Row],[timeStamp]]/86400000+DATE(1970,1,1)+TIME(9,0,0)</f>
        <v>46296.419171342597</v>
      </c>
      <c r="T864" s="57">
        <f>tblJTL[[#This Row],[timeStamp]]+tblJTL[[#This Row],[elapsed]]</f>
        <v>1790816616509</v>
      </c>
      <c r="U864" s="61">
        <f>(tblJTL[[#This Row],[timeStamp]]-'17_分析サンプル'!$E$18)/1000</f>
        <v>216.22399999999999</v>
      </c>
      <c r="V864" s="57">
        <f>INT(tblJTL[[#This Row],[経過秒]]/60)</f>
        <v>3</v>
      </c>
      <c r="W864" s="57">
        <f>IF(OR(tblJTL[[#This Row],[success]]=FALSE,tblJTL[[#This Row],[success]]="false"),1,0)</f>
        <v>0</v>
      </c>
      <c r="X864" s="57">
        <f>IF(AND(tblJTL[[#This Row],[経過秒]]&gt;='17_分析サンプル'!$E$11,tblJTL[[#This Row],[経過秒]]&lt;'17_分析サンプル'!$E$12),1,0)</f>
        <v>1</v>
      </c>
    </row>
    <row r="865" spans="2:24" ht="14.4" x14ac:dyDescent="0.3">
      <c r="B865" s="57">
        <v>1790816616552</v>
      </c>
      <c r="C865" s="58">
        <v>83</v>
      </c>
      <c r="D865" s="59" t="s">
        <v>1658</v>
      </c>
      <c r="E865" s="59" t="s">
        <v>1577</v>
      </c>
      <c r="F865" s="59" t="s">
        <v>2275</v>
      </c>
      <c r="G865" s="59" t="s">
        <v>3588</v>
      </c>
      <c r="H865" s="59" t="s">
        <v>2281</v>
      </c>
      <c r="I865" s="59" t="b">
        <v>1</v>
      </c>
      <c r="J865" s="59"/>
      <c r="K865" s="58">
        <v>1820</v>
      </c>
      <c r="L865" s="58">
        <v>1342</v>
      </c>
      <c r="M865" s="59">
        <v>10</v>
      </c>
      <c r="N865" s="59">
        <v>10</v>
      </c>
      <c r="O865" s="59" t="s">
        <v>3578</v>
      </c>
      <c r="P865" s="58">
        <v>80</v>
      </c>
      <c r="Q865" s="59">
        <v>0</v>
      </c>
      <c r="R865" s="59">
        <v>0</v>
      </c>
      <c r="S865" s="60">
        <f>tblJTL[[#This Row],[timeStamp]]/86400000+DATE(1970,1,1)+TIME(9,0,0)</f>
        <v>46296.419173055554</v>
      </c>
      <c r="T865" s="57">
        <f>tblJTL[[#This Row],[timeStamp]]+tblJTL[[#This Row],[elapsed]]</f>
        <v>1790816616635</v>
      </c>
      <c r="U865" s="61">
        <f>(tblJTL[[#This Row],[timeStamp]]-'17_分析サンプル'!$E$18)/1000</f>
        <v>216.37200000000001</v>
      </c>
      <c r="V865" s="57">
        <f>INT(tblJTL[[#This Row],[経過秒]]/60)</f>
        <v>3</v>
      </c>
      <c r="W865" s="57">
        <f>IF(OR(tblJTL[[#This Row],[success]]=FALSE,tblJTL[[#This Row],[success]]="false"),1,0)</f>
        <v>0</v>
      </c>
      <c r="X865" s="57">
        <f>IF(AND(tblJTL[[#This Row],[経過秒]]&gt;='17_分析サンプル'!$E$11,tblJTL[[#This Row],[経過秒]]&lt;'17_分析サンプル'!$E$12),1,0)</f>
        <v>1</v>
      </c>
    </row>
    <row r="866" spans="2:24" ht="14.4" x14ac:dyDescent="0.3">
      <c r="B866" s="57">
        <v>1790816616562</v>
      </c>
      <c r="C866" s="58">
        <v>106</v>
      </c>
      <c r="D866" s="59" t="s">
        <v>1658</v>
      </c>
      <c r="E866" s="59" t="s">
        <v>1577</v>
      </c>
      <c r="F866" s="59" t="s">
        <v>2275</v>
      </c>
      <c r="G866" s="59" t="s">
        <v>3584</v>
      </c>
      <c r="H866" s="59" t="s">
        <v>2281</v>
      </c>
      <c r="I866" s="59" t="b">
        <v>1</v>
      </c>
      <c r="J866" s="59"/>
      <c r="K866" s="58">
        <v>1897</v>
      </c>
      <c r="L866" s="58">
        <v>1342</v>
      </c>
      <c r="M866" s="59">
        <v>10</v>
      </c>
      <c r="N866" s="59">
        <v>10</v>
      </c>
      <c r="O866" s="59" t="s">
        <v>3578</v>
      </c>
      <c r="P866" s="58">
        <v>99</v>
      </c>
      <c r="Q866" s="59">
        <v>0</v>
      </c>
      <c r="R866" s="59">
        <v>0</v>
      </c>
      <c r="S866" s="60">
        <f>tblJTL[[#This Row],[timeStamp]]/86400000+DATE(1970,1,1)+TIME(9,0,0)</f>
        <v>46296.419173171293</v>
      </c>
      <c r="T866" s="57">
        <f>tblJTL[[#This Row],[timeStamp]]+tblJTL[[#This Row],[elapsed]]</f>
        <v>1790816616668</v>
      </c>
      <c r="U866" s="61">
        <f>(tblJTL[[#This Row],[timeStamp]]-'17_分析サンプル'!$E$18)/1000</f>
        <v>216.38200000000001</v>
      </c>
      <c r="V866" s="57">
        <f>INT(tblJTL[[#This Row],[経過秒]]/60)</f>
        <v>3</v>
      </c>
      <c r="W866" s="57">
        <f>IF(OR(tblJTL[[#This Row],[success]]=FALSE,tblJTL[[#This Row],[success]]="false"),1,0)</f>
        <v>0</v>
      </c>
      <c r="X866" s="57">
        <f>IF(AND(tblJTL[[#This Row],[経過秒]]&gt;='17_分析サンプル'!$E$11,tblJTL[[#This Row],[経過秒]]&lt;'17_分析サンプル'!$E$12),1,0)</f>
        <v>1</v>
      </c>
    </row>
    <row r="867" spans="2:24" ht="14.4" x14ac:dyDescent="0.3">
      <c r="B867" s="57">
        <v>1790816617038</v>
      </c>
      <c r="C867" s="58">
        <v>217</v>
      </c>
      <c r="D867" s="59" t="s">
        <v>1677</v>
      </c>
      <c r="E867" s="59" t="s">
        <v>3579</v>
      </c>
      <c r="F867" s="59" t="s">
        <v>3580</v>
      </c>
      <c r="G867" s="59" t="s">
        <v>3585</v>
      </c>
      <c r="H867" s="59" t="s">
        <v>2281</v>
      </c>
      <c r="I867" s="59" t="b">
        <v>1</v>
      </c>
      <c r="J867" s="59"/>
      <c r="K867" s="58">
        <v>431</v>
      </c>
      <c r="L867" s="58">
        <v>1478</v>
      </c>
      <c r="M867" s="59">
        <v>10</v>
      </c>
      <c r="N867" s="59">
        <v>10</v>
      </c>
      <c r="O867" s="59" t="s">
        <v>3581</v>
      </c>
      <c r="P867" s="58">
        <v>209</v>
      </c>
      <c r="Q867" s="59">
        <v>0</v>
      </c>
      <c r="R867" s="59">
        <v>0</v>
      </c>
      <c r="S867" s="60">
        <f>tblJTL[[#This Row],[timeStamp]]/86400000+DATE(1970,1,1)+TIME(9,0,0)</f>
        <v>46296.41917868056</v>
      </c>
      <c r="T867" s="57">
        <f>tblJTL[[#This Row],[timeStamp]]+tblJTL[[#This Row],[elapsed]]</f>
        <v>1790816617255</v>
      </c>
      <c r="U867" s="61">
        <f>(tblJTL[[#This Row],[timeStamp]]-'17_分析サンプル'!$E$18)/1000</f>
        <v>216.858</v>
      </c>
      <c r="V867" s="57">
        <f>INT(tblJTL[[#This Row],[経過秒]]/60)</f>
        <v>3</v>
      </c>
      <c r="W867" s="57">
        <f>IF(OR(tblJTL[[#This Row],[success]]=FALSE,tblJTL[[#This Row],[success]]="false"),1,0)</f>
        <v>0</v>
      </c>
      <c r="X867" s="57">
        <f>IF(AND(tblJTL[[#This Row],[経過秒]]&gt;='17_分析サンプル'!$E$11,tblJTL[[#This Row],[経過秒]]&lt;'17_分析サンプル'!$E$12),1,0)</f>
        <v>1</v>
      </c>
    </row>
    <row r="868" spans="2:24" ht="14.4" x14ac:dyDescent="0.3">
      <c r="B868" s="57">
        <v>1790816617218</v>
      </c>
      <c r="C868" s="58">
        <v>92</v>
      </c>
      <c r="D868" s="59" t="s">
        <v>1658</v>
      </c>
      <c r="E868" s="59" t="s">
        <v>1577</v>
      </c>
      <c r="F868" s="59" t="s">
        <v>2275</v>
      </c>
      <c r="G868" s="59" t="s">
        <v>3586</v>
      </c>
      <c r="H868" s="59" t="s">
        <v>2281</v>
      </c>
      <c r="I868" s="59" t="b">
        <v>1</v>
      </c>
      <c r="J868" s="59"/>
      <c r="K868" s="58">
        <v>1836</v>
      </c>
      <c r="L868" s="58">
        <v>1342</v>
      </c>
      <c r="M868" s="59">
        <v>10</v>
      </c>
      <c r="N868" s="59">
        <v>10</v>
      </c>
      <c r="O868" s="59" t="s">
        <v>3578</v>
      </c>
      <c r="P868" s="58">
        <v>85</v>
      </c>
      <c r="Q868" s="59">
        <v>0</v>
      </c>
      <c r="R868" s="59">
        <v>0</v>
      </c>
      <c r="S868" s="60">
        <f>tblJTL[[#This Row],[timeStamp]]/86400000+DATE(1970,1,1)+TIME(9,0,0)</f>
        <v>46296.419180763885</v>
      </c>
      <c r="T868" s="57">
        <f>tblJTL[[#This Row],[timeStamp]]+tblJTL[[#This Row],[elapsed]]</f>
        <v>1790816617310</v>
      </c>
      <c r="U868" s="61">
        <f>(tblJTL[[#This Row],[timeStamp]]-'17_分析サンプル'!$E$18)/1000</f>
        <v>217.03800000000001</v>
      </c>
      <c r="V868" s="57">
        <f>INT(tblJTL[[#This Row],[経過秒]]/60)</f>
        <v>3</v>
      </c>
      <c r="W868" s="57">
        <f>IF(OR(tblJTL[[#This Row],[success]]=FALSE,tblJTL[[#This Row],[success]]="false"),1,0)</f>
        <v>0</v>
      </c>
      <c r="X868" s="57">
        <f>IF(AND(tblJTL[[#This Row],[経過秒]]&gt;='17_分析サンプル'!$E$11,tblJTL[[#This Row],[経過秒]]&lt;'17_分析サンプル'!$E$12),1,0)</f>
        <v>1</v>
      </c>
    </row>
    <row r="869" spans="2:24" ht="14.4" x14ac:dyDescent="0.3">
      <c r="B869" s="57">
        <v>1790816617418</v>
      </c>
      <c r="C869" s="58">
        <v>183</v>
      </c>
      <c r="D869" s="59" t="s">
        <v>1677</v>
      </c>
      <c r="E869" s="59" t="s">
        <v>3579</v>
      </c>
      <c r="F869" s="59" t="s">
        <v>3580</v>
      </c>
      <c r="G869" s="59" t="s">
        <v>3587</v>
      </c>
      <c r="H869" s="59" t="s">
        <v>2281</v>
      </c>
      <c r="I869" s="59" t="b">
        <v>1</v>
      </c>
      <c r="J869" s="59"/>
      <c r="K869" s="58">
        <v>413</v>
      </c>
      <c r="L869" s="58">
        <v>1478</v>
      </c>
      <c r="M869" s="59">
        <v>10</v>
      </c>
      <c r="N869" s="59">
        <v>10</v>
      </c>
      <c r="O869" s="59" t="s">
        <v>3581</v>
      </c>
      <c r="P869" s="58">
        <v>180</v>
      </c>
      <c r="Q869" s="59">
        <v>0</v>
      </c>
      <c r="R869" s="59">
        <v>0</v>
      </c>
      <c r="S869" s="60">
        <f>tblJTL[[#This Row],[timeStamp]]/86400000+DATE(1970,1,1)+TIME(9,0,0)</f>
        <v>46296.419183078702</v>
      </c>
      <c r="T869" s="57">
        <f>tblJTL[[#This Row],[timeStamp]]+tblJTL[[#This Row],[elapsed]]</f>
        <v>1790816617601</v>
      </c>
      <c r="U869" s="61">
        <f>(tblJTL[[#This Row],[timeStamp]]-'17_分析サンプル'!$E$18)/1000</f>
        <v>217.238</v>
      </c>
      <c r="V869" s="57">
        <f>INT(tblJTL[[#This Row],[経過秒]]/60)</f>
        <v>3</v>
      </c>
      <c r="W869" s="57">
        <f>IF(OR(tblJTL[[#This Row],[success]]=FALSE,tblJTL[[#This Row],[success]]="false"),1,0)</f>
        <v>0</v>
      </c>
      <c r="X869" s="57">
        <f>IF(AND(tblJTL[[#This Row],[経過秒]]&gt;='17_分析サンプル'!$E$11,tblJTL[[#This Row],[経過秒]]&lt;'17_分析サンプル'!$E$12),1,0)</f>
        <v>1</v>
      </c>
    </row>
    <row r="870" spans="2:24" ht="14.4" x14ac:dyDescent="0.3">
      <c r="B870" s="57">
        <v>1790816617943</v>
      </c>
      <c r="C870" s="58">
        <v>282</v>
      </c>
      <c r="D870" s="59" t="s">
        <v>1677</v>
      </c>
      <c r="E870" s="59" t="s">
        <v>3579</v>
      </c>
      <c r="F870" s="59" t="s">
        <v>3580</v>
      </c>
      <c r="G870" s="59" t="s">
        <v>3589</v>
      </c>
      <c r="H870" s="59" t="s">
        <v>2281</v>
      </c>
      <c r="I870" s="59" t="b">
        <v>1</v>
      </c>
      <c r="J870" s="59"/>
      <c r="K870" s="58">
        <v>422</v>
      </c>
      <c r="L870" s="58">
        <v>1478</v>
      </c>
      <c r="M870" s="59">
        <v>10</v>
      </c>
      <c r="N870" s="59">
        <v>10</v>
      </c>
      <c r="O870" s="59" t="s">
        <v>3581</v>
      </c>
      <c r="P870" s="58">
        <v>278</v>
      </c>
      <c r="Q870" s="59">
        <v>0</v>
      </c>
      <c r="R870" s="59">
        <v>0</v>
      </c>
      <c r="S870" s="60">
        <f>tblJTL[[#This Row],[timeStamp]]/86400000+DATE(1970,1,1)+TIME(9,0,0)</f>
        <v>46296.419189155087</v>
      </c>
      <c r="T870" s="57">
        <f>tblJTL[[#This Row],[timeStamp]]+tblJTL[[#This Row],[elapsed]]</f>
        <v>1790816618225</v>
      </c>
      <c r="U870" s="61">
        <f>(tblJTL[[#This Row],[timeStamp]]-'17_分析サンプル'!$E$18)/1000</f>
        <v>217.76300000000001</v>
      </c>
      <c r="V870" s="57">
        <f>INT(tblJTL[[#This Row],[経過秒]]/60)</f>
        <v>3</v>
      </c>
      <c r="W870" s="57">
        <f>IF(OR(tblJTL[[#This Row],[success]]=FALSE,tblJTL[[#This Row],[success]]="false"),1,0)</f>
        <v>0</v>
      </c>
      <c r="X870" s="57">
        <f>IF(AND(tblJTL[[#This Row],[経過秒]]&gt;='17_分析サンプル'!$E$11,tblJTL[[#This Row],[経過秒]]&lt;'17_分析サンプル'!$E$12),1,0)</f>
        <v>1</v>
      </c>
    </row>
    <row r="871" spans="2:24" ht="14.4" x14ac:dyDescent="0.3">
      <c r="B871" s="57">
        <v>1790816618148</v>
      </c>
      <c r="C871" s="58">
        <v>109</v>
      </c>
      <c r="D871" s="59" t="s">
        <v>1658</v>
      </c>
      <c r="E871" s="59" t="s">
        <v>1577</v>
      </c>
      <c r="F871" s="59" t="s">
        <v>2275</v>
      </c>
      <c r="G871" s="59" t="s">
        <v>2278</v>
      </c>
      <c r="H871" s="59" t="s">
        <v>2281</v>
      </c>
      <c r="I871" s="59" t="b">
        <v>1</v>
      </c>
      <c r="J871" s="59"/>
      <c r="K871" s="58">
        <v>1850</v>
      </c>
      <c r="L871" s="58">
        <v>1342</v>
      </c>
      <c r="M871" s="59">
        <v>10</v>
      </c>
      <c r="N871" s="59">
        <v>10</v>
      </c>
      <c r="O871" s="59" t="s">
        <v>3578</v>
      </c>
      <c r="P871" s="58">
        <v>102</v>
      </c>
      <c r="Q871" s="59">
        <v>0</v>
      </c>
      <c r="R871" s="59">
        <v>0</v>
      </c>
      <c r="S871" s="60">
        <f>tblJTL[[#This Row],[timeStamp]]/86400000+DATE(1970,1,1)+TIME(9,0,0)</f>
        <v>46296.419191527777</v>
      </c>
      <c r="T871" s="57">
        <f>tblJTL[[#This Row],[timeStamp]]+tblJTL[[#This Row],[elapsed]]</f>
        <v>1790816618257</v>
      </c>
      <c r="U871" s="61">
        <f>(tblJTL[[#This Row],[timeStamp]]-'17_分析サンプル'!$E$18)/1000</f>
        <v>217.96799999999999</v>
      </c>
      <c r="V871" s="57">
        <f>INT(tblJTL[[#This Row],[経過秒]]/60)</f>
        <v>3</v>
      </c>
      <c r="W871" s="57">
        <f>IF(OR(tblJTL[[#This Row],[success]]=FALSE,tblJTL[[#This Row],[success]]="false"),1,0)</f>
        <v>0</v>
      </c>
      <c r="X871" s="57">
        <f>IF(AND(tblJTL[[#This Row],[経過秒]]&gt;='17_分析サンプル'!$E$11,tblJTL[[#This Row],[経過秒]]&lt;'17_分析サンプル'!$E$12),1,0)</f>
        <v>1</v>
      </c>
    </row>
    <row r="872" spans="2:24" ht="14.4" x14ac:dyDescent="0.3">
      <c r="B872" s="57">
        <v>1790816618133</v>
      </c>
      <c r="C872" s="58">
        <v>205</v>
      </c>
      <c r="D872" s="59" t="s">
        <v>1677</v>
      </c>
      <c r="E872" s="59" t="s">
        <v>3579</v>
      </c>
      <c r="F872" s="59" t="s">
        <v>3580</v>
      </c>
      <c r="G872" s="59" t="s">
        <v>3583</v>
      </c>
      <c r="H872" s="59" t="s">
        <v>2281</v>
      </c>
      <c r="I872" s="59" t="b">
        <v>1</v>
      </c>
      <c r="J872" s="59"/>
      <c r="K872" s="58">
        <v>438</v>
      </c>
      <c r="L872" s="58">
        <v>1478</v>
      </c>
      <c r="M872" s="59">
        <v>10</v>
      </c>
      <c r="N872" s="59">
        <v>10</v>
      </c>
      <c r="O872" s="59" t="s">
        <v>3581</v>
      </c>
      <c r="P872" s="58">
        <v>198</v>
      </c>
      <c r="Q872" s="59">
        <v>0</v>
      </c>
      <c r="R872" s="59">
        <v>0</v>
      </c>
      <c r="S872" s="60">
        <f>tblJTL[[#This Row],[timeStamp]]/86400000+DATE(1970,1,1)+TIME(9,0,0)</f>
        <v>46296.419191354165</v>
      </c>
      <c r="T872" s="57">
        <f>tblJTL[[#This Row],[timeStamp]]+tblJTL[[#This Row],[elapsed]]</f>
        <v>1790816618338</v>
      </c>
      <c r="U872" s="61">
        <f>(tblJTL[[#This Row],[timeStamp]]-'17_分析サンプル'!$E$18)/1000</f>
        <v>217.953</v>
      </c>
      <c r="V872" s="57">
        <f>INT(tblJTL[[#This Row],[経過秒]]/60)</f>
        <v>3</v>
      </c>
      <c r="W872" s="57">
        <f>IF(OR(tblJTL[[#This Row],[success]]=FALSE,tblJTL[[#This Row],[success]]="false"),1,0)</f>
        <v>0</v>
      </c>
      <c r="X872" s="57">
        <f>IF(AND(tblJTL[[#This Row],[経過秒]]&gt;='17_分析サンプル'!$E$11,tblJTL[[#This Row],[経過秒]]&lt;'17_分析サンプル'!$E$12),1,0)</f>
        <v>1</v>
      </c>
    </row>
    <row r="873" spans="2:24" ht="14.4" x14ac:dyDescent="0.3">
      <c r="B873" s="57">
        <v>1790816617846</v>
      </c>
      <c r="C873" s="58">
        <v>497</v>
      </c>
      <c r="D873" s="59" t="s">
        <v>1677</v>
      </c>
      <c r="E873" s="59" t="s">
        <v>3579</v>
      </c>
      <c r="F873" s="59" t="s">
        <v>3580</v>
      </c>
      <c r="G873" s="59" t="s">
        <v>3577</v>
      </c>
      <c r="H873" s="59" t="s">
        <v>2281</v>
      </c>
      <c r="I873" s="59" t="b">
        <v>1</v>
      </c>
      <c r="J873" s="59"/>
      <c r="K873" s="58">
        <v>414</v>
      </c>
      <c r="L873" s="58">
        <v>1478</v>
      </c>
      <c r="M873" s="59">
        <v>10</v>
      </c>
      <c r="N873" s="59">
        <v>10</v>
      </c>
      <c r="O873" s="59" t="s">
        <v>3581</v>
      </c>
      <c r="P873" s="58">
        <v>490</v>
      </c>
      <c r="Q873" s="59">
        <v>0</v>
      </c>
      <c r="R873" s="59">
        <v>0</v>
      </c>
      <c r="S873" s="60">
        <f>tblJTL[[#This Row],[timeStamp]]/86400000+DATE(1970,1,1)+TIME(9,0,0)</f>
        <v>46296.419188032407</v>
      </c>
      <c r="T873" s="57">
        <f>tblJTL[[#This Row],[timeStamp]]+tblJTL[[#This Row],[elapsed]]</f>
        <v>1790816618343</v>
      </c>
      <c r="U873" s="61">
        <f>(tblJTL[[#This Row],[timeStamp]]-'17_分析サンプル'!$E$18)/1000</f>
        <v>217.666</v>
      </c>
      <c r="V873" s="57">
        <f>INT(tblJTL[[#This Row],[経過秒]]/60)</f>
        <v>3</v>
      </c>
      <c r="W873" s="57">
        <f>IF(OR(tblJTL[[#This Row],[success]]=FALSE,tblJTL[[#This Row],[success]]="false"),1,0)</f>
        <v>0</v>
      </c>
      <c r="X873" s="57">
        <f>IF(AND(tblJTL[[#This Row],[経過秒]]&gt;='17_分析サンプル'!$E$11,tblJTL[[#This Row],[経過秒]]&lt;'17_分析サンプル'!$E$12),1,0)</f>
        <v>1</v>
      </c>
    </row>
    <row r="874" spans="2:24" ht="14.4" x14ac:dyDescent="0.3">
      <c r="B874" s="57">
        <v>1790816618244</v>
      </c>
      <c r="C874" s="58">
        <v>168</v>
      </c>
      <c r="D874" s="59" t="s">
        <v>1677</v>
      </c>
      <c r="E874" s="59" t="s">
        <v>3579</v>
      </c>
      <c r="F874" s="59" t="s">
        <v>3580</v>
      </c>
      <c r="G874" s="59" t="s">
        <v>3582</v>
      </c>
      <c r="H874" s="59" t="s">
        <v>2281</v>
      </c>
      <c r="I874" s="59" t="b">
        <v>1</v>
      </c>
      <c r="J874" s="59"/>
      <c r="K874" s="58">
        <v>424</v>
      </c>
      <c r="L874" s="58">
        <v>1478</v>
      </c>
      <c r="M874" s="59">
        <v>10</v>
      </c>
      <c r="N874" s="59">
        <v>10</v>
      </c>
      <c r="O874" s="59" t="s">
        <v>3581</v>
      </c>
      <c r="P874" s="58">
        <v>161</v>
      </c>
      <c r="Q874" s="59">
        <v>0</v>
      </c>
      <c r="R874" s="59">
        <v>0</v>
      </c>
      <c r="S874" s="60">
        <f>tblJTL[[#This Row],[timeStamp]]/86400000+DATE(1970,1,1)+TIME(9,0,0)</f>
        <v>46296.419192638888</v>
      </c>
      <c r="T874" s="57">
        <f>tblJTL[[#This Row],[timeStamp]]+tblJTL[[#This Row],[elapsed]]</f>
        <v>1790816618412</v>
      </c>
      <c r="U874" s="61">
        <f>(tblJTL[[#This Row],[timeStamp]]-'17_分析サンプル'!$E$18)/1000</f>
        <v>218.06399999999999</v>
      </c>
      <c r="V874" s="57">
        <f>INT(tblJTL[[#This Row],[経過秒]]/60)</f>
        <v>3</v>
      </c>
      <c r="W874" s="57">
        <f>IF(OR(tblJTL[[#This Row],[success]]=FALSE,tblJTL[[#This Row],[success]]="false"),1,0)</f>
        <v>0</v>
      </c>
      <c r="X874" s="57">
        <f>IF(AND(tblJTL[[#This Row],[経過秒]]&gt;='17_分析サンプル'!$E$11,tblJTL[[#This Row],[経過秒]]&lt;'17_分析サンプル'!$E$12),1,0)</f>
        <v>1</v>
      </c>
    </row>
    <row r="875" spans="2:24" ht="14.4" x14ac:dyDescent="0.3">
      <c r="B875" s="57">
        <v>1790816618593</v>
      </c>
      <c r="C875" s="58">
        <v>144</v>
      </c>
      <c r="D875" s="59" t="s">
        <v>1677</v>
      </c>
      <c r="E875" s="59" t="s">
        <v>3579</v>
      </c>
      <c r="F875" s="59" t="s">
        <v>3580</v>
      </c>
      <c r="G875" s="59" t="s">
        <v>3584</v>
      </c>
      <c r="H875" s="59" t="s">
        <v>2281</v>
      </c>
      <c r="I875" s="59" t="b">
        <v>1</v>
      </c>
      <c r="J875" s="59"/>
      <c r="K875" s="58">
        <v>419</v>
      </c>
      <c r="L875" s="58">
        <v>1478</v>
      </c>
      <c r="M875" s="59">
        <v>10</v>
      </c>
      <c r="N875" s="59">
        <v>10</v>
      </c>
      <c r="O875" s="59" t="s">
        <v>3581</v>
      </c>
      <c r="P875" s="58">
        <v>142</v>
      </c>
      <c r="Q875" s="59">
        <v>0</v>
      </c>
      <c r="R875" s="59">
        <v>0</v>
      </c>
      <c r="S875" s="60">
        <f>tblJTL[[#This Row],[timeStamp]]/86400000+DATE(1970,1,1)+TIME(9,0,0)</f>
        <v>46296.419196678238</v>
      </c>
      <c r="T875" s="57">
        <f>tblJTL[[#This Row],[timeStamp]]+tblJTL[[#This Row],[elapsed]]</f>
        <v>1790816618737</v>
      </c>
      <c r="U875" s="61">
        <f>(tblJTL[[#This Row],[timeStamp]]-'17_分析サンプル'!$E$18)/1000</f>
        <v>218.41300000000001</v>
      </c>
      <c r="V875" s="57">
        <f>INT(tblJTL[[#This Row],[経過秒]]/60)</f>
        <v>3</v>
      </c>
      <c r="W875" s="57">
        <f>IF(OR(tblJTL[[#This Row],[success]]=FALSE,tblJTL[[#This Row],[success]]="false"),1,0)</f>
        <v>0</v>
      </c>
      <c r="X875" s="57">
        <f>IF(AND(tblJTL[[#This Row],[経過秒]]&gt;='17_分析サンプル'!$E$11,tblJTL[[#This Row],[経過秒]]&lt;'17_分析サンプル'!$E$12),1,0)</f>
        <v>1</v>
      </c>
    </row>
    <row r="876" spans="2:24" ht="14.4" x14ac:dyDescent="0.3">
      <c r="B876" s="57">
        <v>1790816618518</v>
      </c>
      <c r="C876" s="58">
        <v>268</v>
      </c>
      <c r="D876" s="59" t="s">
        <v>1677</v>
      </c>
      <c r="E876" s="59" t="s">
        <v>3579</v>
      </c>
      <c r="F876" s="59" t="s">
        <v>3580</v>
      </c>
      <c r="G876" s="59" t="s">
        <v>3588</v>
      </c>
      <c r="H876" s="59" t="s">
        <v>2281</v>
      </c>
      <c r="I876" s="59" t="b">
        <v>1</v>
      </c>
      <c r="J876" s="59"/>
      <c r="K876" s="58">
        <v>429</v>
      </c>
      <c r="L876" s="58">
        <v>1478</v>
      </c>
      <c r="M876" s="59">
        <v>10</v>
      </c>
      <c r="N876" s="59">
        <v>10</v>
      </c>
      <c r="O876" s="59" t="s">
        <v>3581</v>
      </c>
      <c r="P876" s="58">
        <v>260</v>
      </c>
      <c r="Q876" s="59">
        <v>0</v>
      </c>
      <c r="R876" s="59">
        <v>0</v>
      </c>
      <c r="S876" s="60">
        <f>tblJTL[[#This Row],[timeStamp]]/86400000+DATE(1970,1,1)+TIME(9,0,0)</f>
        <v>46296.419195810187</v>
      </c>
      <c r="T876" s="57">
        <f>tblJTL[[#This Row],[timeStamp]]+tblJTL[[#This Row],[elapsed]]</f>
        <v>1790816618786</v>
      </c>
      <c r="U876" s="61">
        <f>(tblJTL[[#This Row],[timeStamp]]-'17_分析サンプル'!$E$18)/1000</f>
        <v>218.33799999999999</v>
      </c>
      <c r="V876" s="57">
        <f>INT(tblJTL[[#This Row],[経過秒]]/60)</f>
        <v>3</v>
      </c>
      <c r="W876" s="57">
        <f>IF(OR(tblJTL[[#This Row],[success]]=FALSE,tblJTL[[#This Row],[success]]="false"),1,0)</f>
        <v>0</v>
      </c>
      <c r="X876" s="57">
        <f>IF(AND(tblJTL[[#This Row],[経過秒]]&gt;='17_分析サンプル'!$E$11,tblJTL[[#This Row],[経過秒]]&lt;'17_分析サンプル'!$E$12),1,0)</f>
        <v>1</v>
      </c>
    </row>
    <row r="877" spans="2:24" ht="14.4" x14ac:dyDescent="0.3">
      <c r="B877" s="57">
        <v>1790816619059</v>
      </c>
      <c r="C877" s="58">
        <v>134</v>
      </c>
      <c r="D877" s="59" t="s">
        <v>1658</v>
      </c>
      <c r="E877" s="59" t="s">
        <v>1577</v>
      </c>
      <c r="F877" s="59" t="s">
        <v>2275</v>
      </c>
      <c r="G877" s="59" t="s">
        <v>3587</v>
      </c>
      <c r="H877" s="59" t="s">
        <v>2281</v>
      </c>
      <c r="I877" s="59" t="b">
        <v>1</v>
      </c>
      <c r="J877" s="59"/>
      <c r="K877" s="58">
        <v>1827</v>
      </c>
      <c r="L877" s="58">
        <v>1342</v>
      </c>
      <c r="M877" s="59">
        <v>10</v>
      </c>
      <c r="N877" s="59">
        <v>10</v>
      </c>
      <c r="O877" s="59" t="s">
        <v>3578</v>
      </c>
      <c r="P877" s="58">
        <v>129</v>
      </c>
      <c r="Q877" s="59">
        <v>0</v>
      </c>
      <c r="R877" s="59">
        <v>0</v>
      </c>
      <c r="S877" s="60">
        <f>tblJTL[[#This Row],[timeStamp]]/86400000+DATE(1970,1,1)+TIME(9,0,0)</f>
        <v>46296.41920207176</v>
      </c>
      <c r="T877" s="57">
        <f>tblJTL[[#This Row],[timeStamp]]+tblJTL[[#This Row],[elapsed]]</f>
        <v>1790816619193</v>
      </c>
      <c r="U877" s="61">
        <f>(tblJTL[[#This Row],[timeStamp]]-'17_分析サンプル'!$E$18)/1000</f>
        <v>218.87899999999999</v>
      </c>
      <c r="V877" s="57">
        <f>INT(tblJTL[[#This Row],[経過秒]]/60)</f>
        <v>3</v>
      </c>
      <c r="W877" s="57">
        <f>IF(OR(tblJTL[[#This Row],[success]]=FALSE,tblJTL[[#This Row],[success]]="false"),1,0)</f>
        <v>0</v>
      </c>
      <c r="X877" s="57">
        <f>IF(AND(tblJTL[[#This Row],[経過秒]]&gt;='17_分析サンプル'!$E$11,tblJTL[[#This Row],[経過秒]]&lt;'17_分析サンプル'!$E$12),1,0)</f>
        <v>1</v>
      </c>
    </row>
    <row r="878" spans="2:24" ht="14.4" x14ac:dyDescent="0.3">
      <c r="B878" s="57">
        <v>1790816619404</v>
      </c>
      <c r="C878" s="58">
        <v>195</v>
      </c>
      <c r="D878" s="59" t="s">
        <v>1677</v>
      </c>
      <c r="E878" s="59" t="s">
        <v>3579</v>
      </c>
      <c r="F878" s="59" t="s">
        <v>3580</v>
      </c>
      <c r="G878" s="59" t="s">
        <v>3586</v>
      </c>
      <c r="H878" s="59" t="s">
        <v>2281</v>
      </c>
      <c r="I878" s="59" t="b">
        <v>1</v>
      </c>
      <c r="J878" s="59"/>
      <c r="K878" s="58">
        <v>427</v>
      </c>
      <c r="L878" s="58">
        <v>1478</v>
      </c>
      <c r="M878" s="59">
        <v>10</v>
      </c>
      <c r="N878" s="59">
        <v>10</v>
      </c>
      <c r="O878" s="59" t="s">
        <v>3581</v>
      </c>
      <c r="P878" s="58">
        <v>193</v>
      </c>
      <c r="Q878" s="59">
        <v>0</v>
      </c>
      <c r="R878" s="59">
        <v>0</v>
      </c>
      <c r="S878" s="60">
        <f>tblJTL[[#This Row],[timeStamp]]/86400000+DATE(1970,1,1)+TIME(9,0,0)</f>
        <v>46296.41920606482</v>
      </c>
      <c r="T878" s="57">
        <f>tblJTL[[#This Row],[timeStamp]]+tblJTL[[#This Row],[elapsed]]</f>
        <v>1790816619599</v>
      </c>
      <c r="U878" s="61">
        <f>(tblJTL[[#This Row],[timeStamp]]-'17_分析サンプル'!$E$18)/1000</f>
        <v>219.22399999999999</v>
      </c>
      <c r="V878" s="57">
        <f>INT(tblJTL[[#This Row],[経過秒]]/60)</f>
        <v>3</v>
      </c>
      <c r="W878" s="57">
        <f>IF(OR(tblJTL[[#This Row],[success]]=FALSE,tblJTL[[#This Row],[success]]="false"),1,0)</f>
        <v>0</v>
      </c>
      <c r="X878" s="57">
        <f>IF(AND(tblJTL[[#This Row],[経過秒]]&gt;='17_分析サンプル'!$E$11,tblJTL[[#This Row],[経過秒]]&lt;'17_分析サンプル'!$E$12),1,0)</f>
        <v>1</v>
      </c>
    </row>
    <row r="879" spans="2:24" ht="14.4" x14ac:dyDescent="0.3">
      <c r="B879" s="57">
        <v>1790816619481</v>
      </c>
      <c r="C879" s="58">
        <v>232</v>
      </c>
      <c r="D879" s="59" t="s">
        <v>1658</v>
      </c>
      <c r="E879" s="59" t="s">
        <v>1577</v>
      </c>
      <c r="F879" s="59" t="s">
        <v>2275</v>
      </c>
      <c r="G879" s="59" t="s">
        <v>3589</v>
      </c>
      <c r="H879" s="59" t="s">
        <v>2281</v>
      </c>
      <c r="I879" s="59" t="b">
        <v>1</v>
      </c>
      <c r="J879" s="59"/>
      <c r="K879" s="58">
        <v>1862</v>
      </c>
      <c r="L879" s="58">
        <v>1342</v>
      </c>
      <c r="M879" s="59">
        <v>10</v>
      </c>
      <c r="N879" s="59">
        <v>10</v>
      </c>
      <c r="O879" s="59" t="s">
        <v>3578</v>
      </c>
      <c r="P879" s="58">
        <v>227</v>
      </c>
      <c r="Q879" s="59">
        <v>0</v>
      </c>
      <c r="R879" s="59">
        <v>0</v>
      </c>
      <c r="S879" s="60">
        <f>tblJTL[[#This Row],[timeStamp]]/86400000+DATE(1970,1,1)+TIME(9,0,0)</f>
        <v>46296.419206956023</v>
      </c>
      <c r="T879" s="57">
        <f>tblJTL[[#This Row],[timeStamp]]+tblJTL[[#This Row],[elapsed]]</f>
        <v>1790816619713</v>
      </c>
      <c r="U879" s="61">
        <f>(tblJTL[[#This Row],[timeStamp]]-'17_分析サンプル'!$E$18)/1000</f>
        <v>219.30099999999999</v>
      </c>
      <c r="V879" s="57">
        <f>INT(tblJTL[[#This Row],[経過秒]]/60)</f>
        <v>3</v>
      </c>
      <c r="W879" s="57">
        <f>IF(OR(tblJTL[[#This Row],[success]]=FALSE,tblJTL[[#This Row],[success]]="false"),1,0)</f>
        <v>0</v>
      </c>
      <c r="X879" s="57">
        <f>IF(AND(tblJTL[[#This Row],[経過秒]]&gt;='17_分析サンプル'!$E$11,tblJTL[[#This Row],[経過秒]]&lt;'17_分析サンプル'!$E$12),1,0)</f>
        <v>1</v>
      </c>
    </row>
    <row r="880" spans="2:24" ht="14.4" x14ac:dyDescent="0.3">
      <c r="B880" s="57">
        <v>1790816619672</v>
      </c>
      <c r="C880" s="58">
        <v>192</v>
      </c>
      <c r="D880" s="59" t="s">
        <v>1658</v>
      </c>
      <c r="E880" s="59" t="s">
        <v>1577</v>
      </c>
      <c r="F880" s="59" t="s">
        <v>2275</v>
      </c>
      <c r="G880" s="59" t="s">
        <v>3585</v>
      </c>
      <c r="H880" s="59" t="s">
        <v>2281</v>
      </c>
      <c r="I880" s="59" t="b">
        <v>1</v>
      </c>
      <c r="J880" s="59"/>
      <c r="K880" s="58">
        <v>1838</v>
      </c>
      <c r="L880" s="58">
        <v>1342</v>
      </c>
      <c r="M880" s="59">
        <v>10</v>
      </c>
      <c r="N880" s="59">
        <v>10</v>
      </c>
      <c r="O880" s="59" t="s">
        <v>3578</v>
      </c>
      <c r="P880" s="58">
        <v>184</v>
      </c>
      <c r="Q880" s="59">
        <v>0</v>
      </c>
      <c r="R880" s="59">
        <v>58</v>
      </c>
      <c r="S880" s="60">
        <f>tblJTL[[#This Row],[timeStamp]]/86400000+DATE(1970,1,1)+TIME(9,0,0)</f>
        <v>46296.419209166663</v>
      </c>
      <c r="T880" s="57">
        <f>tblJTL[[#This Row],[timeStamp]]+tblJTL[[#This Row],[elapsed]]</f>
        <v>1790816619864</v>
      </c>
      <c r="U880" s="61">
        <f>(tblJTL[[#This Row],[timeStamp]]-'17_分析サンプル'!$E$18)/1000</f>
        <v>219.49199999999999</v>
      </c>
      <c r="V880" s="57">
        <f>INT(tblJTL[[#This Row],[経過秒]]/60)</f>
        <v>3</v>
      </c>
      <c r="W880" s="57">
        <f>IF(OR(tblJTL[[#This Row],[success]]=FALSE,tblJTL[[#This Row],[success]]="false"),1,0)</f>
        <v>0</v>
      </c>
      <c r="X880" s="57">
        <f>IF(AND(tblJTL[[#This Row],[経過秒]]&gt;='17_分析サンプル'!$E$11,tblJTL[[#This Row],[経過秒]]&lt;'17_分析サンプル'!$E$12),1,0)</f>
        <v>1</v>
      </c>
    </row>
    <row r="881" spans="2:24" ht="14.4" x14ac:dyDescent="0.3">
      <c r="B881" s="57">
        <v>1790816619782</v>
      </c>
      <c r="C881" s="58">
        <v>85</v>
      </c>
      <c r="D881" s="59" t="s">
        <v>1658</v>
      </c>
      <c r="E881" s="59" t="s">
        <v>1577</v>
      </c>
      <c r="F881" s="59" t="s">
        <v>2275</v>
      </c>
      <c r="G881" s="59" t="s">
        <v>3583</v>
      </c>
      <c r="H881" s="59" t="s">
        <v>2281</v>
      </c>
      <c r="I881" s="59" t="b">
        <v>1</v>
      </c>
      <c r="J881" s="59"/>
      <c r="K881" s="58">
        <v>1837</v>
      </c>
      <c r="L881" s="58">
        <v>1342</v>
      </c>
      <c r="M881" s="59">
        <v>10</v>
      </c>
      <c r="N881" s="59">
        <v>10</v>
      </c>
      <c r="O881" s="59" t="s">
        <v>3578</v>
      </c>
      <c r="P881" s="58">
        <v>80</v>
      </c>
      <c r="Q881" s="59">
        <v>0</v>
      </c>
      <c r="R881" s="59">
        <v>0</v>
      </c>
      <c r="S881" s="60">
        <f>tblJTL[[#This Row],[timeStamp]]/86400000+DATE(1970,1,1)+TIME(9,0,0)</f>
        <v>46296.41921043981</v>
      </c>
      <c r="T881" s="57">
        <f>tblJTL[[#This Row],[timeStamp]]+tblJTL[[#This Row],[elapsed]]</f>
        <v>1790816619867</v>
      </c>
      <c r="U881" s="61">
        <f>(tblJTL[[#This Row],[timeStamp]]-'17_分析サンプル'!$E$18)/1000</f>
        <v>219.602</v>
      </c>
      <c r="V881" s="57">
        <f>INT(tblJTL[[#This Row],[経過秒]]/60)</f>
        <v>3</v>
      </c>
      <c r="W881" s="57">
        <f>IF(OR(tblJTL[[#This Row],[success]]=FALSE,tblJTL[[#This Row],[success]]="false"),1,0)</f>
        <v>0</v>
      </c>
      <c r="X881" s="57">
        <f>IF(AND(tblJTL[[#This Row],[経過秒]]&gt;='17_分析サンプル'!$E$11,tblJTL[[#This Row],[経過秒]]&lt;'17_分析サンプル'!$E$12),1,0)</f>
        <v>1</v>
      </c>
    </row>
    <row r="882" spans="2:24" ht="14.4" x14ac:dyDescent="0.3">
      <c r="B882" s="57">
        <v>1790816620095</v>
      </c>
      <c r="C882" s="58">
        <v>116</v>
      </c>
      <c r="D882" s="59" t="s">
        <v>1658</v>
      </c>
      <c r="E882" s="59" t="s">
        <v>1577</v>
      </c>
      <c r="F882" s="59" t="s">
        <v>2275</v>
      </c>
      <c r="G882" s="59" t="s">
        <v>3582</v>
      </c>
      <c r="H882" s="59" t="s">
        <v>2281</v>
      </c>
      <c r="I882" s="59" t="b">
        <v>1</v>
      </c>
      <c r="J882" s="59"/>
      <c r="K882" s="58">
        <v>1820</v>
      </c>
      <c r="L882" s="58">
        <v>1342</v>
      </c>
      <c r="M882" s="59">
        <v>10</v>
      </c>
      <c r="N882" s="59">
        <v>10</v>
      </c>
      <c r="O882" s="59" t="s">
        <v>3578</v>
      </c>
      <c r="P882" s="58">
        <v>114</v>
      </c>
      <c r="Q882" s="59">
        <v>0</v>
      </c>
      <c r="R882" s="59">
        <v>0</v>
      </c>
      <c r="S882" s="60">
        <f>tblJTL[[#This Row],[timeStamp]]/86400000+DATE(1970,1,1)+TIME(9,0,0)</f>
        <v>46296.419214062495</v>
      </c>
      <c r="T882" s="57">
        <f>tblJTL[[#This Row],[timeStamp]]+tblJTL[[#This Row],[elapsed]]</f>
        <v>1790816620211</v>
      </c>
      <c r="U882" s="61">
        <f>(tblJTL[[#This Row],[timeStamp]]-'17_分析サンプル'!$E$18)/1000</f>
        <v>219.91499999999999</v>
      </c>
      <c r="V882" s="57">
        <f>INT(tblJTL[[#This Row],[経過秒]]/60)</f>
        <v>3</v>
      </c>
      <c r="W882" s="57">
        <f>IF(OR(tblJTL[[#This Row],[success]]=FALSE,tblJTL[[#This Row],[success]]="false"),1,0)</f>
        <v>0</v>
      </c>
      <c r="X882" s="57">
        <f>IF(AND(tblJTL[[#This Row],[経過秒]]&gt;='17_分析サンプル'!$E$11,tblJTL[[#This Row],[経過秒]]&lt;'17_分析サンプル'!$E$12),1,0)</f>
        <v>1</v>
      </c>
    </row>
    <row r="883" spans="2:24" ht="14.4" x14ac:dyDescent="0.3">
      <c r="B883" s="57">
        <v>1790816619968</v>
      </c>
      <c r="C883" s="58">
        <v>303</v>
      </c>
      <c r="D883" s="59" t="s">
        <v>1677</v>
      </c>
      <c r="E883" s="59" t="s">
        <v>3579</v>
      </c>
      <c r="F883" s="59" t="s">
        <v>3580</v>
      </c>
      <c r="G883" s="59" t="s">
        <v>2278</v>
      </c>
      <c r="H883" s="59" t="s">
        <v>2281</v>
      </c>
      <c r="I883" s="59" t="b">
        <v>1</v>
      </c>
      <c r="J883" s="59"/>
      <c r="K883" s="58">
        <v>430</v>
      </c>
      <c r="L883" s="58">
        <v>1478</v>
      </c>
      <c r="M883" s="59">
        <v>10</v>
      </c>
      <c r="N883" s="59">
        <v>10</v>
      </c>
      <c r="O883" s="59" t="s">
        <v>3581</v>
      </c>
      <c r="P883" s="58">
        <v>301</v>
      </c>
      <c r="Q883" s="59">
        <v>0</v>
      </c>
      <c r="R883" s="59">
        <v>0</v>
      </c>
      <c r="S883" s="60">
        <f>tblJTL[[#This Row],[timeStamp]]/86400000+DATE(1970,1,1)+TIME(9,0,0)</f>
        <v>46296.419212592591</v>
      </c>
      <c r="T883" s="57">
        <f>tblJTL[[#This Row],[timeStamp]]+tblJTL[[#This Row],[elapsed]]</f>
        <v>1790816620271</v>
      </c>
      <c r="U883" s="61">
        <f>(tblJTL[[#This Row],[timeStamp]]-'17_分析サンプル'!$E$18)/1000</f>
        <v>219.78800000000001</v>
      </c>
      <c r="V883" s="57">
        <f>INT(tblJTL[[#This Row],[経過秒]]/60)</f>
        <v>3</v>
      </c>
      <c r="W883" s="57">
        <f>IF(OR(tblJTL[[#This Row],[success]]=FALSE,tblJTL[[#This Row],[success]]="false"),1,0)</f>
        <v>0</v>
      </c>
      <c r="X883" s="57">
        <f>IF(AND(tblJTL[[#This Row],[経過秒]]&gt;='17_分析サンプル'!$E$11,tblJTL[[#This Row],[経過秒]]&lt;'17_分析サンプル'!$E$12),1,0)</f>
        <v>1</v>
      </c>
    </row>
    <row r="884" spans="2:24" ht="14.4" x14ac:dyDescent="0.3">
      <c r="B884" s="57">
        <v>1790816620935</v>
      </c>
      <c r="C884" s="58">
        <v>133</v>
      </c>
      <c r="D884" s="59" t="s">
        <v>1658</v>
      </c>
      <c r="E884" s="59" t="s">
        <v>1577</v>
      </c>
      <c r="F884" s="59" t="s">
        <v>2275</v>
      </c>
      <c r="G884" s="59" t="s">
        <v>3588</v>
      </c>
      <c r="H884" s="59" t="s">
        <v>2281</v>
      </c>
      <c r="I884" s="59" t="b">
        <v>1</v>
      </c>
      <c r="J884" s="59"/>
      <c r="K884" s="58">
        <v>1882</v>
      </c>
      <c r="L884" s="58">
        <v>1342</v>
      </c>
      <c r="M884" s="59">
        <v>10</v>
      </c>
      <c r="N884" s="59">
        <v>10</v>
      </c>
      <c r="O884" s="59" t="s">
        <v>3578</v>
      </c>
      <c r="P884" s="58">
        <v>130</v>
      </c>
      <c r="Q884" s="59">
        <v>0</v>
      </c>
      <c r="R884" s="59">
        <v>0</v>
      </c>
      <c r="S884" s="60">
        <f>tblJTL[[#This Row],[timeStamp]]/86400000+DATE(1970,1,1)+TIME(9,0,0)</f>
        <v>46296.419223784724</v>
      </c>
      <c r="T884" s="57">
        <f>tblJTL[[#This Row],[timeStamp]]+tblJTL[[#This Row],[elapsed]]</f>
        <v>1790816621068</v>
      </c>
      <c r="U884" s="61">
        <f>(tblJTL[[#This Row],[timeStamp]]-'17_分析サンプル'!$E$18)/1000</f>
        <v>220.755</v>
      </c>
      <c r="V884" s="57">
        <f>INT(tblJTL[[#This Row],[経過秒]]/60)</f>
        <v>3</v>
      </c>
      <c r="W884" s="57">
        <f>IF(OR(tblJTL[[#This Row],[success]]=FALSE,tblJTL[[#This Row],[success]]="false"),1,0)</f>
        <v>0</v>
      </c>
      <c r="X884" s="57">
        <f>IF(AND(tblJTL[[#This Row],[経過秒]]&gt;='17_分析サンプル'!$E$11,tblJTL[[#This Row],[経過秒]]&lt;'17_分析サンプル'!$E$12),1,0)</f>
        <v>1</v>
      </c>
    </row>
    <row r="885" spans="2:24" ht="14.4" x14ac:dyDescent="0.3">
      <c r="B885" s="57">
        <v>1790816620912</v>
      </c>
      <c r="C885" s="58">
        <v>226</v>
      </c>
      <c r="D885" s="59" t="s">
        <v>1677</v>
      </c>
      <c r="E885" s="59" t="s">
        <v>3579</v>
      </c>
      <c r="F885" s="59" t="s">
        <v>3580</v>
      </c>
      <c r="G885" s="59" t="s">
        <v>3583</v>
      </c>
      <c r="H885" s="59" t="s">
        <v>2281</v>
      </c>
      <c r="I885" s="59" t="b">
        <v>1</v>
      </c>
      <c r="J885" s="59"/>
      <c r="K885" s="58">
        <v>430</v>
      </c>
      <c r="L885" s="58">
        <v>1478</v>
      </c>
      <c r="M885" s="59">
        <v>10</v>
      </c>
      <c r="N885" s="59">
        <v>10</v>
      </c>
      <c r="O885" s="59" t="s">
        <v>3581</v>
      </c>
      <c r="P885" s="58">
        <v>220</v>
      </c>
      <c r="Q885" s="59">
        <v>0</v>
      </c>
      <c r="R885" s="59">
        <v>0</v>
      </c>
      <c r="S885" s="60">
        <f>tblJTL[[#This Row],[timeStamp]]/86400000+DATE(1970,1,1)+TIME(9,0,0)</f>
        <v>46296.419223518518</v>
      </c>
      <c r="T885" s="57">
        <f>tblJTL[[#This Row],[timeStamp]]+tblJTL[[#This Row],[elapsed]]</f>
        <v>1790816621138</v>
      </c>
      <c r="U885" s="61">
        <f>(tblJTL[[#This Row],[timeStamp]]-'17_分析サンプル'!$E$18)/1000</f>
        <v>220.732</v>
      </c>
      <c r="V885" s="57">
        <f>INT(tblJTL[[#This Row],[経過秒]]/60)</f>
        <v>3</v>
      </c>
      <c r="W885" s="57">
        <f>IF(OR(tblJTL[[#This Row],[success]]=FALSE,tblJTL[[#This Row],[success]]="false"),1,0)</f>
        <v>0</v>
      </c>
      <c r="X885" s="57">
        <f>IF(AND(tblJTL[[#This Row],[経過秒]]&gt;='17_分析サンプル'!$E$11,tblJTL[[#This Row],[経過秒]]&lt;'17_分析サンプル'!$E$12),1,0)</f>
        <v>1</v>
      </c>
    </row>
    <row r="886" spans="2:24" ht="14.4" x14ac:dyDescent="0.3">
      <c r="B886" s="57">
        <v>1790816621025</v>
      </c>
      <c r="C886" s="58">
        <v>177</v>
      </c>
      <c r="D886" s="59" t="s">
        <v>1658</v>
      </c>
      <c r="E886" s="59" t="s">
        <v>1577</v>
      </c>
      <c r="F886" s="59" t="s">
        <v>2275</v>
      </c>
      <c r="G886" s="59" t="s">
        <v>3577</v>
      </c>
      <c r="H886" s="59" t="s">
        <v>2281</v>
      </c>
      <c r="I886" s="59" t="b">
        <v>1</v>
      </c>
      <c r="J886" s="59"/>
      <c r="K886" s="58">
        <v>1886</v>
      </c>
      <c r="L886" s="58">
        <v>1342</v>
      </c>
      <c r="M886" s="59">
        <v>10</v>
      </c>
      <c r="N886" s="59">
        <v>10</v>
      </c>
      <c r="O886" s="59" t="s">
        <v>3578</v>
      </c>
      <c r="P886" s="58">
        <v>174</v>
      </c>
      <c r="Q886" s="59">
        <v>0</v>
      </c>
      <c r="R886" s="59">
        <v>0</v>
      </c>
      <c r="S886" s="60">
        <f>tblJTL[[#This Row],[timeStamp]]/86400000+DATE(1970,1,1)+TIME(9,0,0)</f>
        <v>46296.419224826386</v>
      </c>
      <c r="T886" s="57">
        <f>tblJTL[[#This Row],[timeStamp]]+tblJTL[[#This Row],[elapsed]]</f>
        <v>1790816621202</v>
      </c>
      <c r="U886" s="61">
        <f>(tblJTL[[#This Row],[timeStamp]]-'17_分析サンプル'!$E$18)/1000</f>
        <v>220.845</v>
      </c>
      <c r="V886" s="57">
        <f>INT(tblJTL[[#This Row],[経過秒]]/60)</f>
        <v>3</v>
      </c>
      <c r="W886" s="57">
        <f>IF(OR(tblJTL[[#This Row],[success]]=FALSE,tblJTL[[#This Row],[success]]="false"),1,0)</f>
        <v>0</v>
      </c>
      <c r="X886" s="57">
        <f>IF(AND(tblJTL[[#This Row],[経過秒]]&gt;='17_分析サンプル'!$E$11,tblJTL[[#This Row],[経過秒]]&lt;'17_分析サンプル'!$E$12),1,0)</f>
        <v>1</v>
      </c>
    </row>
    <row r="887" spans="2:24" ht="14.4" x14ac:dyDescent="0.3">
      <c r="B887" s="57">
        <v>1790816621043</v>
      </c>
      <c r="C887" s="58">
        <v>230</v>
      </c>
      <c r="D887" s="59" t="s">
        <v>1677</v>
      </c>
      <c r="E887" s="59" t="s">
        <v>3579</v>
      </c>
      <c r="F887" s="59" t="s">
        <v>3580</v>
      </c>
      <c r="G887" s="59" t="s">
        <v>3587</v>
      </c>
      <c r="H887" s="59" t="s">
        <v>2281</v>
      </c>
      <c r="I887" s="59" t="b">
        <v>1</v>
      </c>
      <c r="J887" s="59"/>
      <c r="K887" s="58">
        <v>411</v>
      </c>
      <c r="L887" s="58">
        <v>1478</v>
      </c>
      <c r="M887" s="59">
        <v>10</v>
      </c>
      <c r="N887" s="59">
        <v>10</v>
      </c>
      <c r="O887" s="59" t="s">
        <v>3581</v>
      </c>
      <c r="P887" s="58">
        <v>228</v>
      </c>
      <c r="Q887" s="59">
        <v>0</v>
      </c>
      <c r="R887" s="59">
        <v>0</v>
      </c>
      <c r="S887" s="60">
        <f>tblJTL[[#This Row],[timeStamp]]/86400000+DATE(1970,1,1)+TIME(9,0,0)</f>
        <v>46296.419225034726</v>
      </c>
      <c r="T887" s="57">
        <f>tblJTL[[#This Row],[timeStamp]]+tblJTL[[#This Row],[elapsed]]</f>
        <v>1790816621273</v>
      </c>
      <c r="U887" s="61">
        <f>(tblJTL[[#This Row],[timeStamp]]-'17_分析サンプル'!$E$18)/1000</f>
        <v>220.863</v>
      </c>
      <c r="V887" s="57">
        <f>INT(tblJTL[[#This Row],[経過秒]]/60)</f>
        <v>3</v>
      </c>
      <c r="W887" s="57">
        <f>IF(OR(tblJTL[[#This Row],[success]]=FALSE,tblJTL[[#This Row],[success]]="false"),1,0)</f>
        <v>0</v>
      </c>
      <c r="X887" s="57">
        <f>IF(AND(tblJTL[[#This Row],[経過秒]]&gt;='17_分析サンプル'!$E$11,tblJTL[[#This Row],[経過秒]]&lt;'17_分析サンプル'!$E$12),1,0)</f>
        <v>1</v>
      </c>
    </row>
    <row r="888" spans="2:24" ht="14.4" x14ac:dyDescent="0.3">
      <c r="B888" s="57">
        <v>1790816621540</v>
      </c>
      <c r="C888" s="58">
        <v>121</v>
      </c>
      <c r="D888" s="59" t="s">
        <v>1658</v>
      </c>
      <c r="E888" s="59" t="s">
        <v>1577</v>
      </c>
      <c r="F888" s="59" t="s">
        <v>2275</v>
      </c>
      <c r="G888" s="59" t="s">
        <v>3584</v>
      </c>
      <c r="H888" s="59" t="s">
        <v>2281</v>
      </c>
      <c r="I888" s="59" t="b">
        <v>1</v>
      </c>
      <c r="J888" s="59"/>
      <c r="K888" s="58">
        <v>1820</v>
      </c>
      <c r="L888" s="58">
        <v>1342</v>
      </c>
      <c r="M888" s="59">
        <v>10</v>
      </c>
      <c r="N888" s="59">
        <v>10</v>
      </c>
      <c r="O888" s="59" t="s">
        <v>3578</v>
      </c>
      <c r="P888" s="58">
        <v>115</v>
      </c>
      <c r="Q888" s="59">
        <v>0</v>
      </c>
      <c r="R888" s="59">
        <v>0</v>
      </c>
      <c r="S888" s="60">
        <f>tblJTL[[#This Row],[timeStamp]]/86400000+DATE(1970,1,1)+TIME(9,0,0)</f>
        <v>46296.41923078704</v>
      </c>
      <c r="T888" s="57">
        <f>tblJTL[[#This Row],[timeStamp]]+tblJTL[[#This Row],[elapsed]]</f>
        <v>1790816621661</v>
      </c>
      <c r="U888" s="61">
        <f>(tblJTL[[#This Row],[timeStamp]]-'17_分析サンプル'!$E$18)/1000</f>
        <v>221.36</v>
      </c>
      <c r="V888" s="57">
        <f>INT(tblJTL[[#This Row],[経過秒]]/60)</f>
        <v>3</v>
      </c>
      <c r="W888" s="57">
        <f>IF(OR(tblJTL[[#This Row],[success]]=FALSE,tblJTL[[#This Row],[success]]="false"),1,0)</f>
        <v>0</v>
      </c>
      <c r="X888" s="57">
        <f>IF(AND(tblJTL[[#This Row],[経過秒]]&gt;='17_分析サンプル'!$E$11,tblJTL[[#This Row],[経過秒]]&lt;'17_分析サンプル'!$E$12),1,0)</f>
        <v>1</v>
      </c>
    </row>
    <row r="889" spans="2:24" ht="14.4" x14ac:dyDescent="0.3">
      <c r="B889" s="57">
        <v>1790816621534</v>
      </c>
      <c r="C889" s="58">
        <v>282</v>
      </c>
      <c r="D889" s="59" t="s">
        <v>1677</v>
      </c>
      <c r="E889" s="59" t="s">
        <v>3579</v>
      </c>
      <c r="F889" s="59" t="s">
        <v>3580</v>
      </c>
      <c r="G889" s="59" t="s">
        <v>3585</v>
      </c>
      <c r="H889" s="59" t="s">
        <v>2281</v>
      </c>
      <c r="I889" s="59" t="b">
        <v>1</v>
      </c>
      <c r="J889" s="59"/>
      <c r="K889" s="58">
        <v>419</v>
      </c>
      <c r="L889" s="58">
        <v>1478</v>
      </c>
      <c r="M889" s="59">
        <v>10</v>
      </c>
      <c r="N889" s="59">
        <v>10</v>
      </c>
      <c r="O889" s="59" t="s">
        <v>3581</v>
      </c>
      <c r="P889" s="58">
        <v>276</v>
      </c>
      <c r="Q889" s="59">
        <v>0</v>
      </c>
      <c r="R889" s="59">
        <v>0</v>
      </c>
      <c r="S889" s="60">
        <f>tblJTL[[#This Row],[timeStamp]]/86400000+DATE(1970,1,1)+TIME(9,0,0)</f>
        <v>46296.419230717591</v>
      </c>
      <c r="T889" s="57">
        <f>tblJTL[[#This Row],[timeStamp]]+tblJTL[[#This Row],[elapsed]]</f>
        <v>1790816621816</v>
      </c>
      <c r="U889" s="61">
        <f>(tblJTL[[#This Row],[timeStamp]]-'17_分析サンプル'!$E$18)/1000</f>
        <v>221.35400000000001</v>
      </c>
      <c r="V889" s="57">
        <f>INT(tblJTL[[#This Row],[経過秒]]/60)</f>
        <v>3</v>
      </c>
      <c r="W889" s="57">
        <f>IF(OR(tblJTL[[#This Row],[success]]=FALSE,tblJTL[[#This Row],[success]]="false"),1,0)</f>
        <v>0</v>
      </c>
      <c r="X889" s="57">
        <f>IF(AND(tblJTL[[#This Row],[経過秒]]&gt;='17_分析サンプル'!$E$11,tblJTL[[#This Row],[経過秒]]&lt;'17_分析サンプル'!$E$12),1,0)</f>
        <v>1</v>
      </c>
    </row>
    <row r="890" spans="2:24" ht="14.4" x14ac:dyDescent="0.3">
      <c r="B890" s="57">
        <v>1790816621807</v>
      </c>
      <c r="C890" s="58">
        <v>189</v>
      </c>
      <c r="D890" s="59" t="s">
        <v>1677</v>
      </c>
      <c r="E890" s="59" t="s">
        <v>3579</v>
      </c>
      <c r="F890" s="59" t="s">
        <v>3580</v>
      </c>
      <c r="G890" s="59" t="s">
        <v>3589</v>
      </c>
      <c r="H890" s="59" t="s">
        <v>2281</v>
      </c>
      <c r="I890" s="59" t="b">
        <v>1</v>
      </c>
      <c r="J890" s="59"/>
      <c r="K890" s="58">
        <v>434</v>
      </c>
      <c r="L890" s="58">
        <v>1478</v>
      </c>
      <c r="M890" s="59">
        <v>10</v>
      </c>
      <c r="N890" s="59">
        <v>10</v>
      </c>
      <c r="O890" s="59" t="s">
        <v>3581</v>
      </c>
      <c r="P890" s="58">
        <v>183</v>
      </c>
      <c r="Q890" s="59">
        <v>0</v>
      </c>
      <c r="R890" s="59">
        <v>0</v>
      </c>
      <c r="S890" s="60">
        <f>tblJTL[[#This Row],[timeStamp]]/86400000+DATE(1970,1,1)+TIME(9,0,0)</f>
        <v>46296.419233877314</v>
      </c>
      <c r="T890" s="57">
        <f>tblJTL[[#This Row],[timeStamp]]+tblJTL[[#This Row],[elapsed]]</f>
        <v>1790816621996</v>
      </c>
      <c r="U890" s="61">
        <f>(tblJTL[[#This Row],[timeStamp]]-'17_分析サンプル'!$E$18)/1000</f>
        <v>221.62700000000001</v>
      </c>
      <c r="V890" s="57">
        <f>INT(tblJTL[[#This Row],[経過秒]]/60)</f>
        <v>3</v>
      </c>
      <c r="W890" s="57">
        <f>IF(OR(tblJTL[[#This Row],[success]]=FALSE,tblJTL[[#This Row],[success]]="false"),1,0)</f>
        <v>0</v>
      </c>
      <c r="X890" s="57">
        <f>IF(AND(tblJTL[[#This Row],[経過秒]]&gt;='17_分析サンプル'!$E$11,tblJTL[[#This Row],[経過秒]]&lt;'17_分析サンプル'!$E$12),1,0)</f>
        <v>1</v>
      </c>
    </row>
    <row r="891" spans="2:24" ht="14.4" x14ac:dyDescent="0.3">
      <c r="B891" s="57">
        <v>1790816621821</v>
      </c>
      <c r="C891" s="58">
        <v>226</v>
      </c>
      <c r="D891" s="59" t="s">
        <v>1677</v>
      </c>
      <c r="E891" s="59" t="s">
        <v>3579</v>
      </c>
      <c r="F891" s="59" t="s">
        <v>3580</v>
      </c>
      <c r="G891" s="59" t="s">
        <v>3582</v>
      </c>
      <c r="H891" s="59" t="s">
        <v>2281</v>
      </c>
      <c r="I891" s="59" t="b">
        <v>1</v>
      </c>
      <c r="J891" s="59"/>
      <c r="K891" s="58">
        <v>423</v>
      </c>
      <c r="L891" s="58">
        <v>1478</v>
      </c>
      <c r="M891" s="59">
        <v>10</v>
      </c>
      <c r="N891" s="59">
        <v>10</v>
      </c>
      <c r="O891" s="59" t="s">
        <v>3581</v>
      </c>
      <c r="P891" s="58">
        <v>222</v>
      </c>
      <c r="Q891" s="59">
        <v>0</v>
      </c>
      <c r="R891" s="59">
        <v>0</v>
      </c>
      <c r="S891" s="60">
        <f>tblJTL[[#This Row],[timeStamp]]/86400000+DATE(1970,1,1)+TIME(9,0,0)</f>
        <v>46296.419234039349</v>
      </c>
      <c r="T891" s="57">
        <f>tblJTL[[#This Row],[timeStamp]]+tblJTL[[#This Row],[elapsed]]</f>
        <v>1790816622047</v>
      </c>
      <c r="U891" s="61">
        <f>(tblJTL[[#This Row],[timeStamp]]-'17_分析サンプル'!$E$18)/1000</f>
        <v>221.64099999999999</v>
      </c>
      <c r="V891" s="57">
        <f>INT(tblJTL[[#This Row],[経過秒]]/60)</f>
        <v>3</v>
      </c>
      <c r="W891" s="57">
        <f>IF(OR(tblJTL[[#This Row],[success]]=FALSE,tblJTL[[#This Row],[success]]="false"),1,0)</f>
        <v>0</v>
      </c>
      <c r="X891" s="57">
        <f>IF(AND(tblJTL[[#This Row],[経過秒]]&gt;='17_分析サンプル'!$E$11,tblJTL[[#This Row],[経過秒]]&lt;'17_分析サンプル'!$E$12),1,0)</f>
        <v>1</v>
      </c>
    </row>
    <row r="892" spans="2:24" ht="14.4" x14ac:dyDescent="0.3">
      <c r="B892" s="57">
        <v>1790816622101</v>
      </c>
      <c r="C892" s="58">
        <v>98</v>
      </c>
      <c r="D892" s="59" t="s">
        <v>1658</v>
      </c>
      <c r="E892" s="59" t="s">
        <v>1577</v>
      </c>
      <c r="F892" s="59" t="s">
        <v>2275</v>
      </c>
      <c r="G892" s="59" t="s">
        <v>3586</v>
      </c>
      <c r="H892" s="59" t="s">
        <v>2281</v>
      </c>
      <c r="I892" s="59" t="b">
        <v>1</v>
      </c>
      <c r="J892" s="59"/>
      <c r="K892" s="58">
        <v>1871</v>
      </c>
      <c r="L892" s="58">
        <v>1342</v>
      </c>
      <c r="M892" s="59">
        <v>10</v>
      </c>
      <c r="N892" s="59">
        <v>10</v>
      </c>
      <c r="O892" s="59" t="s">
        <v>3578</v>
      </c>
      <c r="P892" s="58">
        <v>95</v>
      </c>
      <c r="Q892" s="59">
        <v>0</v>
      </c>
      <c r="R892" s="59">
        <v>0</v>
      </c>
      <c r="S892" s="60">
        <f>tblJTL[[#This Row],[timeStamp]]/86400000+DATE(1970,1,1)+TIME(9,0,0)</f>
        <v>46296.41923728009</v>
      </c>
      <c r="T892" s="57">
        <f>tblJTL[[#This Row],[timeStamp]]+tblJTL[[#This Row],[elapsed]]</f>
        <v>1790816622199</v>
      </c>
      <c r="U892" s="61">
        <f>(tblJTL[[#This Row],[timeStamp]]-'17_分析サンプル'!$E$18)/1000</f>
        <v>221.92099999999999</v>
      </c>
      <c r="V892" s="57">
        <f>INT(tblJTL[[#This Row],[経過秒]]/60)</f>
        <v>3</v>
      </c>
      <c r="W892" s="57">
        <f>IF(OR(tblJTL[[#This Row],[success]]=FALSE,tblJTL[[#This Row],[success]]="false"),1,0)</f>
        <v>0</v>
      </c>
      <c r="X892" s="57">
        <f>IF(AND(tblJTL[[#This Row],[経過秒]]&gt;='17_分析サンプル'!$E$11,tblJTL[[#This Row],[経過秒]]&lt;'17_分析サンプル'!$E$12),1,0)</f>
        <v>1</v>
      </c>
    </row>
    <row r="893" spans="2:24" ht="14.4" x14ac:dyDescent="0.3">
      <c r="B893" s="57">
        <v>1790816622078</v>
      </c>
      <c r="C893" s="58">
        <v>216</v>
      </c>
      <c r="D893" s="59" t="s">
        <v>1677</v>
      </c>
      <c r="E893" s="59" t="s">
        <v>3579</v>
      </c>
      <c r="F893" s="59" t="s">
        <v>3580</v>
      </c>
      <c r="G893" s="59" t="s">
        <v>3588</v>
      </c>
      <c r="H893" s="59" t="s">
        <v>2281</v>
      </c>
      <c r="I893" s="59" t="b">
        <v>1</v>
      </c>
      <c r="J893" s="59"/>
      <c r="K893" s="58">
        <v>423</v>
      </c>
      <c r="L893" s="58">
        <v>1478</v>
      </c>
      <c r="M893" s="59">
        <v>10</v>
      </c>
      <c r="N893" s="59">
        <v>10</v>
      </c>
      <c r="O893" s="59" t="s">
        <v>3581</v>
      </c>
      <c r="P893" s="58">
        <v>213</v>
      </c>
      <c r="Q893" s="59">
        <v>0</v>
      </c>
      <c r="R893" s="59">
        <v>0</v>
      </c>
      <c r="S893" s="60">
        <f>tblJTL[[#This Row],[timeStamp]]/86400000+DATE(1970,1,1)+TIME(9,0,0)</f>
        <v>46296.419237013892</v>
      </c>
      <c r="T893" s="57">
        <f>tblJTL[[#This Row],[timeStamp]]+tblJTL[[#This Row],[elapsed]]</f>
        <v>1790816622294</v>
      </c>
      <c r="U893" s="61">
        <f>(tblJTL[[#This Row],[timeStamp]]-'17_分析サンプル'!$E$18)/1000</f>
        <v>221.898</v>
      </c>
      <c r="V893" s="57">
        <f>INT(tblJTL[[#This Row],[経過秒]]/60)</f>
        <v>3</v>
      </c>
      <c r="W893" s="57">
        <f>IF(OR(tblJTL[[#This Row],[success]]=FALSE,tblJTL[[#This Row],[success]]="false"),1,0)</f>
        <v>0</v>
      </c>
      <c r="X893" s="57">
        <f>IF(AND(tblJTL[[#This Row],[経過秒]]&gt;='17_分析サンプル'!$E$11,tblJTL[[#This Row],[経過秒]]&lt;'17_分析サンプル'!$E$12),1,0)</f>
        <v>1</v>
      </c>
    </row>
    <row r="894" spans="2:24" ht="14.4" x14ac:dyDescent="0.3">
      <c r="B894" s="57">
        <v>1790816622518</v>
      </c>
      <c r="C894" s="58">
        <v>129</v>
      </c>
      <c r="D894" s="59" t="s">
        <v>1658</v>
      </c>
      <c r="E894" s="59" t="s">
        <v>1577</v>
      </c>
      <c r="F894" s="59" t="s">
        <v>2275</v>
      </c>
      <c r="G894" s="59" t="s">
        <v>3587</v>
      </c>
      <c r="H894" s="59" t="s">
        <v>2281</v>
      </c>
      <c r="I894" s="59" t="b">
        <v>1</v>
      </c>
      <c r="J894" s="59"/>
      <c r="K894" s="58">
        <v>1846</v>
      </c>
      <c r="L894" s="58">
        <v>1342</v>
      </c>
      <c r="M894" s="59">
        <v>10</v>
      </c>
      <c r="N894" s="59">
        <v>10</v>
      </c>
      <c r="O894" s="59" t="s">
        <v>3578</v>
      </c>
      <c r="P894" s="58">
        <v>123</v>
      </c>
      <c r="Q894" s="59">
        <v>0</v>
      </c>
      <c r="R894" s="59">
        <v>0</v>
      </c>
      <c r="S894" s="60">
        <f>tblJTL[[#This Row],[timeStamp]]/86400000+DATE(1970,1,1)+TIME(9,0,0)</f>
        <v>46296.41924210648</v>
      </c>
      <c r="T894" s="57">
        <f>tblJTL[[#This Row],[timeStamp]]+tblJTL[[#This Row],[elapsed]]</f>
        <v>1790816622647</v>
      </c>
      <c r="U894" s="61">
        <f>(tblJTL[[#This Row],[timeStamp]]-'17_分析サンプル'!$E$18)/1000</f>
        <v>222.33799999999999</v>
      </c>
      <c r="V894" s="57">
        <f>INT(tblJTL[[#This Row],[経過秒]]/60)</f>
        <v>3</v>
      </c>
      <c r="W894" s="57">
        <f>IF(OR(tblJTL[[#This Row],[success]]=FALSE,tblJTL[[#This Row],[success]]="false"),1,0)</f>
        <v>0</v>
      </c>
      <c r="X894" s="57">
        <f>IF(AND(tblJTL[[#This Row],[経過秒]]&gt;='17_分析サンプル'!$E$11,tblJTL[[#This Row],[経過秒]]&lt;'17_分析サンプル'!$E$12),1,0)</f>
        <v>1</v>
      </c>
    </row>
    <row r="895" spans="2:24" ht="14.4" x14ac:dyDescent="0.3">
      <c r="B895" s="57">
        <v>1790816623106</v>
      </c>
      <c r="C895" s="58">
        <v>85</v>
      </c>
      <c r="D895" s="59" t="s">
        <v>1658</v>
      </c>
      <c r="E895" s="59" t="s">
        <v>1577</v>
      </c>
      <c r="F895" s="59" t="s">
        <v>2275</v>
      </c>
      <c r="G895" s="59" t="s">
        <v>2278</v>
      </c>
      <c r="H895" s="59" t="s">
        <v>2281</v>
      </c>
      <c r="I895" s="59" t="b">
        <v>1</v>
      </c>
      <c r="J895" s="59"/>
      <c r="K895" s="58">
        <v>1885</v>
      </c>
      <c r="L895" s="58">
        <v>1342</v>
      </c>
      <c r="M895" s="59">
        <v>10</v>
      </c>
      <c r="N895" s="59">
        <v>10</v>
      </c>
      <c r="O895" s="59" t="s">
        <v>3578</v>
      </c>
      <c r="P895" s="58">
        <v>81</v>
      </c>
      <c r="Q895" s="59">
        <v>0</v>
      </c>
      <c r="R895" s="59">
        <v>0</v>
      </c>
      <c r="S895" s="60">
        <f>tblJTL[[#This Row],[timeStamp]]/86400000+DATE(1970,1,1)+TIME(9,0,0)</f>
        <v>46296.419248912032</v>
      </c>
      <c r="T895" s="57">
        <f>tblJTL[[#This Row],[timeStamp]]+tblJTL[[#This Row],[elapsed]]</f>
        <v>1790816623191</v>
      </c>
      <c r="U895" s="61">
        <f>(tblJTL[[#This Row],[timeStamp]]-'17_分析サンプル'!$E$18)/1000</f>
        <v>222.92599999999999</v>
      </c>
      <c r="V895" s="57">
        <f>INT(tblJTL[[#This Row],[経過秒]]/60)</f>
        <v>3</v>
      </c>
      <c r="W895" s="57">
        <f>IF(OR(tblJTL[[#This Row],[success]]=FALSE,tblJTL[[#This Row],[success]]="false"),1,0)</f>
        <v>0</v>
      </c>
      <c r="X895" s="57">
        <f>IF(AND(tblJTL[[#This Row],[経過秒]]&gt;='17_分析サンプル'!$E$11,tblJTL[[#This Row],[経過秒]]&lt;'17_分析サンプル'!$E$12),1,0)</f>
        <v>1</v>
      </c>
    </row>
    <row r="896" spans="2:24" ht="14.4" x14ac:dyDescent="0.3">
      <c r="B896" s="57">
        <v>1790816623050</v>
      </c>
      <c r="C896" s="58">
        <v>271</v>
      </c>
      <c r="D896" s="59" t="s">
        <v>1658</v>
      </c>
      <c r="E896" s="59" t="s">
        <v>1577</v>
      </c>
      <c r="F896" s="59" t="s">
        <v>2275</v>
      </c>
      <c r="G896" s="59" t="s">
        <v>3583</v>
      </c>
      <c r="H896" s="59" t="s">
        <v>2281</v>
      </c>
      <c r="I896" s="59" t="b">
        <v>1</v>
      </c>
      <c r="J896" s="59"/>
      <c r="K896" s="58">
        <v>1871</v>
      </c>
      <c r="L896" s="58">
        <v>1342</v>
      </c>
      <c r="M896" s="59">
        <v>10</v>
      </c>
      <c r="N896" s="59">
        <v>10</v>
      </c>
      <c r="O896" s="59" t="s">
        <v>3578</v>
      </c>
      <c r="P896" s="58">
        <v>269</v>
      </c>
      <c r="Q896" s="59">
        <v>0</v>
      </c>
      <c r="R896" s="59">
        <v>0</v>
      </c>
      <c r="S896" s="60">
        <f>tblJTL[[#This Row],[timeStamp]]/86400000+DATE(1970,1,1)+TIME(9,0,0)</f>
        <v>46296.41924826389</v>
      </c>
      <c r="T896" s="57">
        <f>tblJTL[[#This Row],[timeStamp]]+tblJTL[[#This Row],[elapsed]]</f>
        <v>1790816623321</v>
      </c>
      <c r="U896" s="61">
        <f>(tblJTL[[#This Row],[timeStamp]]-'17_分析サンプル'!$E$18)/1000</f>
        <v>222.87</v>
      </c>
      <c r="V896" s="57">
        <f>INT(tblJTL[[#This Row],[経過秒]]/60)</f>
        <v>3</v>
      </c>
      <c r="W896" s="57">
        <f>IF(OR(tblJTL[[#This Row],[success]]=FALSE,tblJTL[[#This Row],[success]]="false"),1,0)</f>
        <v>0</v>
      </c>
      <c r="X896" s="57">
        <f>IF(AND(tblJTL[[#This Row],[経過秒]]&gt;='17_分析サンプル'!$E$11,tblJTL[[#This Row],[経過秒]]&lt;'17_分析サンプル'!$E$12),1,0)</f>
        <v>1</v>
      </c>
    </row>
    <row r="897" spans="2:24" ht="14.4" x14ac:dyDescent="0.3">
      <c r="B897" s="57">
        <v>1790816623193</v>
      </c>
      <c r="C897" s="58">
        <v>227</v>
      </c>
      <c r="D897" s="59" t="s">
        <v>1677</v>
      </c>
      <c r="E897" s="59" t="s">
        <v>3579</v>
      </c>
      <c r="F897" s="59" t="s">
        <v>3580</v>
      </c>
      <c r="G897" s="59" t="s">
        <v>3577</v>
      </c>
      <c r="H897" s="59" t="s">
        <v>2281</v>
      </c>
      <c r="I897" s="59" t="b">
        <v>1</v>
      </c>
      <c r="J897" s="59"/>
      <c r="K897" s="58">
        <v>433</v>
      </c>
      <c r="L897" s="58">
        <v>1478</v>
      </c>
      <c r="M897" s="59">
        <v>10</v>
      </c>
      <c r="N897" s="59">
        <v>10</v>
      </c>
      <c r="O897" s="59" t="s">
        <v>3581</v>
      </c>
      <c r="P897" s="58">
        <v>220</v>
      </c>
      <c r="Q897" s="59">
        <v>0</v>
      </c>
      <c r="R897" s="59">
        <v>0</v>
      </c>
      <c r="S897" s="60">
        <f>tblJTL[[#This Row],[timeStamp]]/86400000+DATE(1970,1,1)+TIME(9,0,0)</f>
        <v>46296.419249918981</v>
      </c>
      <c r="T897" s="57">
        <f>tblJTL[[#This Row],[timeStamp]]+tblJTL[[#This Row],[elapsed]]</f>
        <v>1790816623420</v>
      </c>
      <c r="U897" s="61">
        <f>(tblJTL[[#This Row],[timeStamp]]-'17_分析サンプル'!$E$18)/1000</f>
        <v>223.01300000000001</v>
      </c>
      <c r="V897" s="57">
        <f>INT(tblJTL[[#This Row],[経過秒]]/60)</f>
        <v>3</v>
      </c>
      <c r="W897" s="57">
        <f>IF(OR(tblJTL[[#This Row],[success]]=FALSE,tblJTL[[#This Row],[success]]="false"),1,0)</f>
        <v>0</v>
      </c>
      <c r="X897" s="57">
        <f>IF(AND(tblJTL[[#This Row],[経過秒]]&gt;='17_分析サンプル'!$E$11,tblJTL[[#This Row],[経過秒]]&lt;'17_分析サンプル'!$E$12),1,0)</f>
        <v>1</v>
      </c>
    </row>
    <row r="898" spans="2:24" ht="14.4" x14ac:dyDescent="0.3">
      <c r="B898" s="57">
        <v>1790816623375</v>
      </c>
      <c r="C898" s="58">
        <v>82</v>
      </c>
      <c r="D898" s="59" t="s">
        <v>1658</v>
      </c>
      <c r="E898" s="59" t="s">
        <v>1577</v>
      </c>
      <c r="F898" s="59" t="s">
        <v>2275</v>
      </c>
      <c r="G898" s="59" t="s">
        <v>3585</v>
      </c>
      <c r="H898" s="59" t="s">
        <v>2281</v>
      </c>
      <c r="I898" s="59" t="b">
        <v>1</v>
      </c>
      <c r="J898" s="59"/>
      <c r="K898" s="58">
        <v>1892</v>
      </c>
      <c r="L898" s="58">
        <v>1342</v>
      </c>
      <c r="M898" s="59">
        <v>10</v>
      </c>
      <c r="N898" s="59">
        <v>10</v>
      </c>
      <c r="O898" s="59" t="s">
        <v>3578</v>
      </c>
      <c r="P898" s="58">
        <v>76</v>
      </c>
      <c r="Q898" s="59">
        <v>0</v>
      </c>
      <c r="R898" s="59">
        <v>0</v>
      </c>
      <c r="S898" s="60">
        <f>tblJTL[[#This Row],[timeStamp]]/86400000+DATE(1970,1,1)+TIME(9,0,0)</f>
        <v>46296.419252025458</v>
      </c>
      <c r="T898" s="57">
        <f>tblJTL[[#This Row],[timeStamp]]+tblJTL[[#This Row],[elapsed]]</f>
        <v>1790816623457</v>
      </c>
      <c r="U898" s="61">
        <f>(tblJTL[[#This Row],[timeStamp]]-'17_分析サンプル'!$E$18)/1000</f>
        <v>223.19499999999999</v>
      </c>
      <c r="V898" s="57">
        <f>INT(tblJTL[[#This Row],[経過秒]]/60)</f>
        <v>3</v>
      </c>
      <c r="W898" s="57">
        <f>IF(OR(tblJTL[[#This Row],[success]]=FALSE,tblJTL[[#This Row],[success]]="false"),1,0)</f>
        <v>0</v>
      </c>
      <c r="X898" s="57">
        <f>IF(AND(tblJTL[[#This Row],[経過秒]]&gt;='17_分析サンプル'!$E$11,tblJTL[[#This Row],[経過秒]]&lt;'17_分析サンプル'!$E$12),1,0)</f>
        <v>1</v>
      </c>
    </row>
    <row r="899" spans="2:24" ht="14.4" x14ac:dyDescent="0.3">
      <c r="B899" s="57">
        <v>1790816623607</v>
      </c>
      <c r="C899" s="58">
        <v>330</v>
      </c>
      <c r="D899" s="59" t="s">
        <v>1677</v>
      </c>
      <c r="E899" s="59" t="s">
        <v>3579</v>
      </c>
      <c r="F899" s="59" t="s">
        <v>3580</v>
      </c>
      <c r="G899" s="59" t="s">
        <v>3584</v>
      </c>
      <c r="H899" s="59" t="s">
        <v>2281</v>
      </c>
      <c r="I899" s="59" t="b">
        <v>1</v>
      </c>
      <c r="J899" s="59"/>
      <c r="K899" s="58">
        <v>427</v>
      </c>
      <c r="L899" s="58">
        <v>1478</v>
      </c>
      <c r="M899" s="59">
        <v>10</v>
      </c>
      <c r="N899" s="59">
        <v>10</v>
      </c>
      <c r="O899" s="59" t="s">
        <v>3581</v>
      </c>
      <c r="P899" s="58">
        <v>322</v>
      </c>
      <c r="Q899" s="59">
        <v>0</v>
      </c>
      <c r="R899" s="59">
        <v>0</v>
      </c>
      <c r="S899" s="60">
        <f>tblJTL[[#This Row],[timeStamp]]/86400000+DATE(1970,1,1)+TIME(9,0,0)</f>
        <v>46296.41925471065</v>
      </c>
      <c r="T899" s="57">
        <f>tblJTL[[#This Row],[timeStamp]]+tblJTL[[#This Row],[elapsed]]</f>
        <v>1790816623937</v>
      </c>
      <c r="U899" s="61">
        <f>(tblJTL[[#This Row],[timeStamp]]-'17_分析サンプル'!$E$18)/1000</f>
        <v>223.42699999999999</v>
      </c>
      <c r="V899" s="57">
        <f>INT(tblJTL[[#This Row],[経過秒]]/60)</f>
        <v>3</v>
      </c>
      <c r="W899" s="57">
        <f>IF(OR(tblJTL[[#This Row],[success]]=FALSE,tblJTL[[#This Row],[success]]="false"),1,0)</f>
        <v>0</v>
      </c>
      <c r="X899" s="57">
        <f>IF(AND(tblJTL[[#This Row],[経過秒]]&gt;='17_分析サンプル'!$E$11,tblJTL[[#This Row],[経過秒]]&lt;'17_分析サンプル'!$E$12),1,0)</f>
        <v>1</v>
      </c>
    </row>
    <row r="900" spans="2:24" ht="14.4" x14ac:dyDescent="0.3">
      <c r="B900" s="57">
        <v>1790816624182</v>
      </c>
      <c r="C900" s="58">
        <v>269</v>
      </c>
      <c r="D900" s="59" t="s">
        <v>1677</v>
      </c>
      <c r="E900" s="59" t="s">
        <v>3579</v>
      </c>
      <c r="F900" s="59" t="s">
        <v>3580</v>
      </c>
      <c r="G900" s="59" t="s">
        <v>3586</v>
      </c>
      <c r="H900" s="59" t="s">
        <v>2281</v>
      </c>
      <c r="I900" s="59" t="b">
        <v>1</v>
      </c>
      <c r="J900" s="59"/>
      <c r="K900" s="58">
        <v>416</v>
      </c>
      <c r="L900" s="58">
        <v>1478</v>
      </c>
      <c r="M900" s="59">
        <v>10</v>
      </c>
      <c r="N900" s="59">
        <v>10</v>
      </c>
      <c r="O900" s="59" t="s">
        <v>3581</v>
      </c>
      <c r="P900" s="58">
        <v>264</v>
      </c>
      <c r="Q900" s="59">
        <v>0</v>
      </c>
      <c r="R900" s="59">
        <v>57</v>
      </c>
      <c r="S900" s="60">
        <f>tblJTL[[#This Row],[timeStamp]]/86400000+DATE(1970,1,1)+TIME(9,0,0)</f>
        <v>46296.419261365736</v>
      </c>
      <c r="T900" s="57">
        <f>tblJTL[[#This Row],[timeStamp]]+tblJTL[[#This Row],[elapsed]]</f>
        <v>1790816624451</v>
      </c>
      <c r="U900" s="61">
        <f>(tblJTL[[#This Row],[timeStamp]]-'17_分析サンプル'!$E$18)/1000</f>
        <v>224.00200000000001</v>
      </c>
      <c r="V900" s="57">
        <f>INT(tblJTL[[#This Row],[経過秒]]/60)</f>
        <v>3</v>
      </c>
      <c r="W900" s="57">
        <f>IF(OR(tblJTL[[#This Row],[success]]=FALSE,tblJTL[[#This Row],[success]]="false"),1,0)</f>
        <v>0</v>
      </c>
      <c r="X900" s="57">
        <f>IF(AND(tblJTL[[#This Row],[経過秒]]&gt;='17_分析サンプル'!$E$11,tblJTL[[#This Row],[経過秒]]&lt;'17_分析サンプル'!$E$12),1,0)</f>
        <v>1</v>
      </c>
    </row>
    <row r="901" spans="2:24" ht="14.4" x14ac:dyDescent="0.3">
      <c r="B901" s="57">
        <v>1790816624717</v>
      </c>
      <c r="C901" s="58">
        <v>89</v>
      </c>
      <c r="D901" s="59" t="s">
        <v>1658</v>
      </c>
      <c r="E901" s="59" t="s">
        <v>1577</v>
      </c>
      <c r="F901" s="59" t="s">
        <v>2275</v>
      </c>
      <c r="G901" s="59" t="s">
        <v>3582</v>
      </c>
      <c r="H901" s="59" t="s">
        <v>2281</v>
      </c>
      <c r="I901" s="59" t="b">
        <v>1</v>
      </c>
      <c r="J901" s="59"/>
      <c r="K901" s="58">
        <v>1823</v>
      </c>
      <c r="L901" s="58">
        <v>1342</v>
      </c>
      <c r="M901" s="59">
        <v>10</v>
      </c>
      <c r="N901" s="59">
        <v>10</v>
      </c>
      <c r="O901" s="59" t="s">
        <v>3578</v>
      </c>
      <c r="P901" s="58">
        <v>86</v>
      </c>
      <c r="Q901" s="59">
        <v>0</v>
      </c>
      <c r="R901" s="59">
        <v>0</v>
      </c>
      <c r="S901" s="60">
        <f>tblJTL[[#This Row],[timeStamp]]/86400000+DATE(1970,1,1)+TIME(9,0,0)</f>
        <v>46296.419267557867</v>
      </c>
      <c r="T901" s="57">
        <f>tblJTL[[#This Row],[timeStamp]]+tblJTL[[#This Row],[elapsed]]</f>
        <v>1790816624806</v>
      </c>
      <c r="U901" s="61">
        <f>(tblJTL[[#This Row],[timeStamp]]-'17_分析サンプル'!$E$18)/1000</f>
        <v>224.53700000000001</v>
      </c>
      <c r="V901" s="57">
        <f>INT(tblJTL[[#This Row],[経過秒]]/60)</f>
        <v>3</v>
      </c>
      <c r="W901" s="57">
        <f>IF(OR(tblJTL[[#This Row],[success]]=FALSE,tblJTL[[#This Row],[success]]="false"),1,0)</f>
        <v>0</v>
      </c>
      <c r="X901" s="57">
        <f>IF(AND(tblJTL[[#This Row],[経過秒]]&gt;='17_分析サンプル'!$E$11,tblJTL[[#This Row],[経過秒]]&lt;'17_分析サンプル'!$E$12),1,0)</f>
        <v>1</v>
      </c>
    </row>
    <row r="902" spans="2:24" ht="14.4" x14ac:dyDescent="0.3">
      <c r="B902" s="57">
        <v>1790816624822</v>
      </c>
      <c r="C902" s="58">
        <v>123</v>
      </c>
      <c r="D902" s="59" t="s">
        <v>1658</v>
      </c>
      <c r="E902" s="59" t="s">
        <v>1577</v>
      </c>
      <c r="F902" s="59" t="s">
        <v>2275</v>
      </c>
      <c r="G902" s="59" t="s">
        <v>3588</v>
      </c>
      <c r="H902" s="59" t="s">
        <v>2281</v>
      </c>
      <c r="I902" s="59" t="b">
        <v>1</v>
      </c>
      <c r="J902" s="59"/>
      <c r="K902" s="58">
        <v>1879</v>
      </c>
      <c r="L902" s="58">
        <v>1342</v>
      </c>
      <c r="M902" s="59">
        <v>10</v>
      </c>
      <c r="N902" s="59">
        <v>10</v>
      </c>
      <c r="O902" s="59" t="s">
        <v>3578</v>
      </c>
      <c r="P902" s="58">
        <v>118</v>
      </c>
      <c r="Q902" s="59">
        <v>0</v>
      </c>
      <c r="R902" s="59">
        <v>0</v>
      </c>
      <c r="S902" s="60">
        <f>tblJTL[[#This Row],[timeStamp]]/86400000+DATE(1970,1,1)+TIME(9,0,0)</f>
        <v>46296.419268773148</v>
      </c>
      <c r="T902" s="57">
        <f>tblJTL[[#This Row],[timeStamp]]+tblJTL[[#This Row],[elapsed]]</f>
        <v>1790816624945</v>
      </c>
      <c r="U902" s="61">
        <f>(tblJTL[[#This Row],[timeStamp]]-'17_分析サンプル'!$E$18)/1000</f>
        <v>224.642</v>
      </c>
      <c r="V902" s="57">
        <f>INT(tblJTL[[#This Row],[経過秒]]/60)</f>
        <v>3</v>
      </c>
      <c r="W902" s="57">
        <f>IF(OR(tblJTL[[#This Row],[success]]=FALSE,tblJTL[[#This Row],[success]]="false"),1,0)</f>
        <v>0</v>
      </c>
      <c r="X902" s="57">
        <f>IF(AND(tblJTL[[#This Row],[経過秒]]&gt;='17_分析サンプル'!$E$11,tblJTL[[#This Row],[経過秒]]&lt;'17_分析サンプル'!$E$12),1,0)</f>
        <v>1</v>
      </c>
    </row>
    <row r="903" spans="2:24" ht="14.4" x14ac:dyDescent="0.3">
      <c r="B903" s="57">
        <v>1790816624977</v>
      </c>
      <c r="C903" s="58">
        <v>95</v>
      </c>
      <c r="D903" s="59" t="s">
        <v>1658</v>
      </c>
      <c r="E903" s="59" t="s">
        <v>1577</v>
      </c>
      <c r="F903" s="59" t="s">
        <v>2275</v>
      </c>
      <c r="G903" s="59" t="s">
        <v>3577</v>
      </c>
      <c r="H903" s="59" t="s">
        <v>2281</v>
      </c>
      <c r="I903" s="59" t="b">
        <v>1</v>
      </c>
      <c r="J903" s="59"/>
      <c r="K903" s="58">
        <v>1899</v>
      </c>
      <c r="L903" s="58">
        <v>1342</v>
      </c>
      <c r="M903" s="59">
        <v>10</v>
      </c>
      <c r="N903" s="59">
        <v>10</v>
      </c>
      <c r="O903" s="59" t="s">
        <v>3578</v>
      </c>
      <c r="P903" s="58">
        <v>89</v>
      </c>
      <c r="Q903" s="59">
        <v>0</v>
      </c>
      <c r="R903" s="59">
        <v>0</v>
      </c>
      <c r="S903" s="60">
        <f>tblJTL[[#This Row],[timeStamp]]/86400000+DATE(1970,1,1)+TIME(9,0,0)</f>
        <v>46296.41927056713</v>
      </c>
      <c r="T903" s="57">
        <f>tblJTL[[#This Row],[timeStamp]]+tblJTL[[#This Row],[elapsed]]</f>
        <v>1790816625072</v>
      </c>
      <c r="U903" s="61">
        <f>(tblJTL[[#This Row],[timeStamp]]-'17_分析サンプル'!$E$18)/1000</f>
        <v>224.797</v>
      </c>
      <c r="V903" s="57">
        <f>INT(tblJTL[[#This Row],[経過秒]]/60)</f>
        <v>3</v>
      </c>
      <c r="W903" s="57">
        <f>IF(OR(tblJTL[[#This Row],[success]]=FALSE,tblJTL[[#This Row],[success]]="false"),1,0)</f>
        <v>0</v>
      </c>
      <c r="X903" s="57">
        <f>IF(AND(tblJTL[[#This Row],[経過秒]]&gt;='17_分析サンプル'!$E$11,tblJTL[[#This Row],[経過秒]]&lt;'17_分析サンプル'!$E$12),1,0)</f>
        <v>1</v>
      </c>
    </row>
    <row r="904" spans="2:24" ht="14.4" x14ac:dyDescent="0.3">
      <c r="B904" s="57">
        <v>1790816624964</v>
      </c>
      <c r="C904" s="58">
        <v>167</v>
      </c>
      <c r="D904" s="59" t="s">
        <v>1658</v>
      </c>
      <c r="E904" s="59" t="s">
        <v>1577</v>
      </c>
      <c r="F904" s="59" t="s">
        <v>2275</v>
      </c>
      <c r="G904" s="59" t="s">
        <v>3589</v>
      </c>
      <c r="H904" s="59" t="s">
        <v>2281</v>
      </c>
      <c r="I904" s="59" t="b">
        <v>1</v>
      </c>
      <c r="J904" s="59"/>
      <c r="K904" s="58">
        <v>1831</v>
      </c>
      <c r="L904" s="58">
        <v>1342</v>
      </c>
      <c r="M904" s="59">
        <v>10</v>
      </c>
      <c r="N904" s="59">
        <v>10</v>
      </c>
      <c r="O904" s="59" t="s">
        <v>3578</v>
      </c>
      <c r="P904" s="58">
        <v>160</v>
      </c>
      <c r="Q904" s="59">
        <v>0</v>
      </c>
      <c r="R904" s="59">
        <v>0</v>
      </c>
      <c r="S904" s="60">
        <f>tblJTL[[#This Row],[timeStamp]]/86400000+DATE(1970,1,1)+TIME(9,0,0)</f>
        <v>46296.419270416663</v>
      </c>
      <c r="T904" s="57">
        <f>tblJTL[[#This Row],[timeStamp]]+tblJTL[[#This Row],[elapsed]]</f>
        <v>1790816625131</v>
      </c>
      <c r="U904" s="61">
        <f>(tblJTL[[#This Row],[timeStamp]]-'17_分析サンプル'!$E$18)/1000</f>
        <v>224.78399999999999</v>
      </c>
      <c r="V904" s="57">
        <f>INT(tblJTL[[#This Row],[経過秒]]/60)</f>
        <v>3</v>
      </c>
      <c r="W904" s="57">
        <f>IF(OR(tblJTL[[#This Row],[success]]=FALSE,tblJTL[[#This Row],[success]]="false"),1,0)</f>
        <v>0</v>
      </c>
      <c r="X904" s="57">
        <f>IF(AND(tblJTL[[#This Row],[経過秒]]&gt;='17_分析サンプル'!$E$11,tblJTL[[#This Row],[経過秒]]&lt;'17_分析サンプル'!$E$12),1,0)</f>
        <v>1</v>
      </c>
    </row>
    <row r="905" spans="2:24" ht="14.4" x14ac:dyDescent="0.3">
      <c r="B905" s="57">
        <v>1790816625066</v>
      </c>
      <c r="C905" s="58">
        <v>213</v>
      </c>
      <c r="D905" s="59" t="s">
        <v>1677</v>
      </c>
      <c r="E905" s="59" t="s">
        <v>3579</v>
      </c>
      <c r="F905" s="59" t="s">
        <v>3580</v>
      </c>
      <c r="G905" s="59" t="s">
        <v>3587</v>
      </c>
      <c r="H905" s="59" t="s">
        <v>2281</v>
      </c>
      <c r="I905" s="59" t="b">
        <v>1</v>
      </c>
      <c r="J905" s="59"/>
      <c r="K905" s="58">
        <v>419</v>
      </c>
      <c r="L905" s="58">
        <v>1478</v>
      </c>
      <c r="M905" s="59">
        <v>10</v>
      </c>
      <c r="N905" s="59">
        <v>10</v>
      </c>
      <c r="O905" s="59" t="s">
        <v>3581</v>
      </c>
      <c r="P905" s="58">
        <v>206</v>
      </c>
      <c r="Q905" s="59">
        <v>0</v>
      </c>
      <c r="R905" s="59">
        <v>0</v>
      </c>
      <c r="S905" s="60">
        <f>tblJTL[[#This Row],[timeStamp]]/86400000+DATE(1970,1,1)+TIME(9,0,0)</f>
        <v>46296.419271597224</v>
      </c>
      <c r="T905" s="57">
        <f>tblJTL[[#This Row],[timeStamp]]+tblJTL[[#This Row],[elapsed]]</f>
        <v>1790816625279</v>
      </c>
      <c r="U905" s="61">
        <f>(tblJTL[[#This Row],[timeStamp]]-'17_分析サンプル'!$E$18)/1000</f>
        <v>224.886</v>
      </c>
      <c r="V905" s="57">
        <f>INT(tblJTL[[#This Row],[経過秒]]/60)</f>
        <v>3</v>
      </c>
      <c r="W905" s="57">
        <f>IF(OR(tblJTL[[#This Row],[success]]=FALSE,tblJTL[[#This Row],[success]]="false"),1,0)</f>
        <v>0</v>
      </c>
      <c r="X905" s="57">
        <f>IF(AND(tblJTL[[#This Row],[経過秒]]&gt;='17_分析サンプル'!$E$11,tblJTL[[#This Row],[経過秒]]&lt;'17_分析サンプル'!$E$12),1,0)</f>
        <v>1</v>
      </c>
    </row>
    <row r="906" spans="2:24" ht="14.4" x14ac:dyDescent="0.3">
      <c r="B906" s="57">
        <v>1790816625296</v>
      </c>
      <c r="C906" s="58">
        <v>277</v>
      </c>
      <c r="D906" s="59" t="s">
        <v>1677</v>
      </c>
      <c r="E906" s="59" t="s">
        <v>3579</v>
      </c>
      <c r="F906" s="59" t="s">
        <v>3580</v>
      </c>
      <c r="G906" s="59" t="s">
        <v>3583</v>
      </c>
      <c r="H906" s="59" t="s">
        <v>2281</v>
      </c>
      <c r="I906" s="59" t="b">
        <v>1</v>
      </c>
      <c r="J906" s="59"/>
      <c r="K906" s="58">
        <v>416</v>
      </c>
      <c r="L906" s="58">
        <v>1478</v>
      </c>
      <c r="M906" s="59">
        <v>10</v>
      </c>
      <c r="N906" s="59">
        <v>10</v>
      </c>
      <c r="O906" s="59" t="s">
        <v>3581</v>
      </c>
      <c r="P906" s="58">
        <v>269</v>
      </c>
      <c r="Q906" s="59">
        <v>0</v>
      </c>
      <c r="R906" s="59">
        <v>0</v>
      </c>
      <c r="S906" s="60">
        <f>tblJTL[[#This Row],[timeStamp]]/86400000+DATE(1970,1,1)+TIME(9,0,0)</f>
        <v>46296.419274259257</v>
      </c>
      <c r="T906" s="57">
        <f>tblJTL[[#This Row],[timeStamp]]+tblJTL[[#This Row],[elapsed]]</f>
        <v>1790816625573</v>
      </c>
      <c r="U906" s="61">
        <f>(tblJTL[[#This Row],[timeStamp]]-'17_分析サンプル'!$E$18)/1000</f>
        <v>225.11600000000001</v>
      </c>
      <c r="V906" s="57">
        <f>INT(tblJTL[[#This Row],[経過秒]]/60)</f>
        <v>3</v>
      </c>
      <c r="W906" s="57">
        <f>IF(OR(tblJTL[[#This Row],[success]]=FALSE,tblJTL[[#This Row],[success]]="false"),1,0)</f>
        <v>0</v>
      </c>
      <c r="X906" s="57">
        <f>IF(AND(tblJTL[[#This Row],[経過秒]]&gt;='17_分析サンプル'!$E$11,tblJTL[[#This Row],[経過秒]]&lt;'17_分析サンプル'!$E$12),1,0)</f>
        <v>1</v>
      </c>
    </row>
    <row r="907" spans="2:24" ht="14.4" x14ac:dyDescent="0.3">
      <c r="B907" s="57">
        <v>1790816625424</v>
      </c>
      <c r="C907" s="58">
        <v>213</v>
      </c>
      <c r="D907" s="59" t="s">
        <v>1677</v>
      </c>
      <c r="E907" s="59" t="s">
        <v>3579</v>
      </c>
      <c r="F907" s="59" t="s">
        <v>3580</v>
      </c>
      <c r="G907" s="59" t="s">
        <v>3585</v>
      </c>
      <c r="H907" s="59" t="s">
        <v>2281</v>
      </c>
      <c r="I907" s="59" t="b">
        <v>1</v>
      </c>
      <c r="J907" s="59"/>
      <c r="K907" s="58">
        <v>429</v>
      </c>
      <c r="L907" s="58">
        <v>1478</v>
      </c>
      <c r="M907" s="59">
        <v>10</v>
      </c>
      <c r="N907" s="59">
        <v>10</v>
      </c>
      <c r="O907" s="59" t="s">
        <v>3581</v>
      </c>
      <c r="P907" s="58">
        <v>209</v>
      </c>
      <c r="Q907" s="59">
        <v>0</v>
      </c>
      <c r="R907" s="59">
        <v>0</v>
      </c>
      <c r="S907" s="60">
        <f>tblJTL[[#This Row],[timeStamp]]/86400000+DATE(1970,1,1)+TIME(9,0,0)</f>
        <v>46296.419275740744</v>
      </c>
      <c r="T907" s="57">
        <f>tblJTL[[#This Row],[timeStamp]]+tblJTL[[#This Row],[elapsed]]</f>
        <v>1790816625637</v>
      </c>
      <c r="U907" s="61">
        <f>(tblJTL[[#This Row],[timeStamp]]-'17_分析サンプル'!$E$18)/1000</f>
        <v>225.244</v>
      </c>
      <c r="V907" s="57">
        <f>INT(tblJTL[[#This Row],[経過秒]]/60)</f>
        <v>3</v>
      </c>
      <c r="W907" s="57">
        <f>IF(OR(tblJTL[[#This Row],[success]]=FALSE,tblJTL[[#This Row],[success]]="false"),1,0)</f>
        <v>0</v>
      </c>
      <c r="X907" s="57">
        <f>IF(AND(tblJTL[[#This Row],[経過秒]]&gt;='17_分析サンプル'!$E$11,tblJTL[[#This Row],[経過秒]]&lt;'17_分析サンプル'!$E$12),1,0)</f>
        <v>1</v>
      </c>
    </row>
    <row r="908" spans="2:24" ht="14.4" x14ac:dyDescent="0.3">
      <c r="B908" s="57">
        <v>1790816625600</v>
      </c>
      <c r="C908" s="58">
        <v>206</v>
      </c>
      <c r="D908" s="59" t="s">
        <v>1677</v>
      </c>
      <c r="E908" s="59" t="s">
        <v>3579</v>
      </c>
      <c r="F908" s="59" t="s">
        <v>3580</v>
      </c>
      <c r="G908" s="59" t="s">
        <v>2278</v>
      </c>
      <c r="H908" s="59" t="s">
        <v>2281</v>
      </c>
      <c r="I908" s="59" t="b">
        <v>1</v>
      </c>
      <c r="J908" s="59"/>
      <c r="K908" s="58">
        <v>412</v>
      </c>
      <c r="L908" s="58">
        <v>1478</v>
      </c>
      <c r="M908" s="59">
        <v>10</v>
      </c>
      <c r="N908" s="59">
        <v>10</v>
      </c>
      <c r="O908" s="59" t="s">
        <v>3581</v>
      </c>
      <c r="P908" s="58">
        <v>202</v>
      </c>
      <c r="Q908" s="59">
        <v>0</v>
      </c>
      <c r="R908" s="59">
        <v>0</v>
      </c>
      <c r="S908" s="60">
        <f>tblJTL[[#This Row],[timeStamp]]/86400000+DATE(1970,1,1)+TIME(9,0,0)</f>
        <v>46296.419277777779</v>
      </c>
      <c r="T908" s="57">
        <f>tblJTL[[#This Row],[timeStamp]]+tblJTL[[#This Row],[elapsed]]</f>
        <v>1790816625806</v>
      </c>
      <c r="U908" s="61">
        <f>(tblJTL[[#This Row],[timeStamp]]-'17_分析サンプル'!$E$18)/1000</f>
        <v>225.42</v>
      </c>
      <c r="V908" s="57">
        <f>INT(tblJTL[[#This Row],[経過秒]]/60)</f>
        <v>3</v>
      </c>
      <c r="W908" s="57">
        <f>IF(OR(tblJTL[[#This Row],[success]]=FALSE,tblJTL[[#This Row],[success]]="false"),1,0)</f>
        <v>0</v>
      </c>
      <c r="X908" s="57">
        <f>IF(AND(tblJTL[[#This Row],[経過秒]]&gt;='17_分析サンプル'!$E$11,tblJTL[[#This Row],[経過秒]]&lt;'17_分析サンプル'!$E$12),1,0)</f>
        <v>1</v>
      </c>
    </row>
    <row r="909" spans="2:24" ht="14.4" x14ac:dyDescent="0.3">
      <c r="B909" s="57">
        <v>1790816625696</v>
      </c>
      <c r="C909" s="58">
        <v>151</v>
      </c>
      <c r="D909" s="59" t="s">
        <v>1658</v>
      </c>
      <c r="E909" s="59" t="s">
        <v>1577</v>
      </c>
      <c r="F909" s="59" t="s">
        <v>2275</v>
      </c>
      <c r="G909" s="59" t="s">
        <v>3584</v>
      </c>
      <c r="H909" s="59" t="s">
        <v>2281</v>
      </c>
      <c r="I909" s="59" t="b">
        <v>1</v>
      </c>
      <c r="J909" s="59"/>
      <c r="K909" s="58">
        <v>1831</v>
      </c>
      <c r="L909" s="58">
        <v>1342</v>
      </c>
      <c r="M909" s="59">
        <v>10</v>
      </c>
      <c r="N909" s="59">
        <v>10</v>
      </c>
      <c r="O909" s="59" t="s">
        <v>3578</v>
      </c>
      <c r="P909" s="58">
        <v>149</v>
      </c>
      <c r="Q909" s="59">
        <v>0</v>
      </c>
      <c r="R909" s="59">
        <v>0</v>
      </c>
      <c r="S909" s="60">
        <f>tblJTL[[#This Row],[timeStamp]]/86400000+DATE(1970,1,1)+TIME(9,0,0)</f>
        <v>46296.41927888889</v>
      </c>
      <c r="T909" s="57">
        <f>tblJTL[[#This Row],[timeStamp]]+tblJTL[[#This Row],[elapsed]]</f>
        <v>1790816625847</v>
      </c>
      <c r="U909" s="61">
        <f>(tblJTL[[#This Row],[timeStamp]]-'17_分析サンプル'!$E$18)/1000</f>
        <v>225.51599999999999</v>
      </c>
      <c r="V909" s="57">
        <f>INT(tblJTL[[#This Row],[経過秒]]/60)</f>
        <v>3</v>
      </c>
      <c r="W909" s="57">
        <f>IF(OR(tblJTL[[#This Row],[success]]=FALSE,tblJTL[[#This Row],[success]]="false"),1,0)</f>
        <v>0</v>
      </c>
      <c r="X909" s="57">
        <f>IF(AND(tblJTL[[#This Row],[経過秒]]&gt;='17_分析サンプル'!$E$11,tblJTL[[#This Row],[経過秒]]&lt;'17_分析サンプル'!$E$12),1,0)</f>
        <v>1</v>
      </c>
    </row>
    <row r="910" spans="2:24" ht="14.4" x14ac:dyDescent="0.3">
      <c r="B910" s="57">
        <v>1790816625715</v>
      </c>
      <c r="C910" s="58">
        <v>162</v>
      </c>
      <c r="D910" s="59" t="s">
        <v>1658</v>
      </c>
      <c r="E910" s="59" t="s">
        <v>1577</v>
      </c>
      <c r="F910" s="59" t="s">
        <v>2275</v>
      </c>
      <c r="G910" s="59" t="s">
        <v>3586</v>
      </c>
      <c r="H910" s="59" t="s">
        <v>2281</v>
      </c>
      <c r="I910" s="59" t="b">
        <v>1</v>
      </c>
      <c r="J910" s="59"/>
      <c r="K910" s="58">
        <v>1851</v>
      </c>
      <c r="L910" s="58">
        <v>1342</v>
      </c>
      <c r="M910" s="59">
        <v>10</v>
      </c>
      <c r="N910" s="59">
        <v>10</v>
      </c>
      <c r="O910" s="59" t="s">
        <v>3578</v>
      </c>
      <c r="P910" s="58">
        <v>160</v>
      </c>
      <c r="Q910" s="59">
        <v>0</v>
      </c>
      <c r="R910" s="59">
        <v>0</v>
      </c>
      <c r="S910" s="60">
        <f>tblJTL[[#This Row],[timeStamp]]/86400000+DATE(1970,1,1)+TIME(9,0,0)</f>
        <v>46296.419279108799</v>
      </c>
      <c r="T910" s="57">
        <f>tblJTL[[#This Row],[timeStamp]]+tblJTL[[#This Row],[elapsed]]</f>
        <v>1790816625877</v>
      </c>
      <c r="U910" s="61">
        <f>(tblJTL[[#This Row],[timeStamp]]-'17_分析サンプル'!$E$18)/1000</f>
        <v>225.535</v>
      </c>
      <c r="V910" s="57">
        <f>INT(tblJTL[[#This Row],[経過秒]]/60)</f>
        <v>3</v>
      </c>
      <c r="W910" s="57">
        <f>IF(OR(tblJTL[[#This Row],[success]]=FALSE,tblJTL[[#This Row],[success]]="false"),1,0)</f>
        <v>0</v>
      </c>
      <c r="X910" s="57">
        <f>IF(AND(tblJTL[[#This Row],[経過秒]]&gt;='17_分析サンプル'!$E$11,tblJTL[[#This Row],[経過秒]]&lt;'17_分析サンプル'!$E$12),1,0)</f>
        <v>1</v>
      </c>
    </row>
    <row r="911" spans="2:24" ht="14.4" x14ac:dyDescent="0.3">
      <c r="B911" s="57">
        <v>1790816626299</v>
      </c>
      <c r="C911" s="58">
        <v>77</v>
      </c>
      <c r="D911" s="59" t="s">
        <v>1658</v>
      </c>
      <c r="E911" s="59" t="s">
        <v>1577</v>
      </c>
      <c r="F911" s="59" t="s">
        <v>2275</v>
      </c>
      <c r="G911" s="59" t="s">
        <v>3587</v>
      </c>
      <c r="H911" s="59" t="s">
        <v>2281</v>
      </c>
      <c r="I911" s="59" t="b">
        <v>1</v>
      </c>
      <c r="J911" s="59"/>
      <c r="K911" s="58">
        <v>1883</v>
      </c>
      <c r="L911" s="58">
        <v>1342</v>
      </c>
      <c r="M911" s="59">
        <v>10</v>
      </c>
      <c r="N911" s="59">
        <v>10</v>
      </c>
      <c r="O911" s="59" t="s">
        <v>3578</v>
      </c>
      <c r="P911" s="58">
        <v>73</v>
      </c>
      <c r="Q911" s="59">
        <v>0</v>
      </c>
      <c r="R911" s="59">
        <v>0</v>
      </c>
      <c r="S911" s="60">
        <f>tblJTL[[#This Row],[timeStamp]]/86400000+DATE(1970,1,1)+TIME(9,0,0)</f>
        <v>46296.419285868054</v>
      </c>
      <c r="T911" s="57">
        <f>tblJTL[[#This Row],[timeStamp]]+tblJTL[[#This Row],[elapsed]]</f>
        <v>1790816626376</v>
      </c>
      <c r="U911" s="61">
        <f>(tblJTL[[#This Row],[timeStamp]]-'17_分析サンプル'!$E$18)/1000</f>
        <v>226.119</v>
      </c>
      <c r="V911" s="57">
        <f>INT(tblJTL[[#This Row],[経過秒]]/60)</f>
        <v>3</v>
      </c>
      <c r="W911" s="57">
        <f>IF(OR(tblJTL[[#This Row],[success]]=FALSE,tblJTL[[#This Row],[success]]="false"),1,0)</f>
        <v>0</v>
      </c>
      <c r="X911" s="57">
        <f>IF(AND(tblJTL[[#This Row],[経過秒]]&gt;='17_分析サンプル'!$E$11,tblJTL[[#This Row],[経過秒]]&lt;'17_分析サンプル'!$E$12),1,0)</f>
        <v>1</v>
      </c>
    </row>
    <row r="912" spans="2:24" ht="14.4" x14ac:dyDescent="0.3">
      <c r="B912" s="57">
        <v>1790816626263</v>
      </c>
      <c r="C912" s="58">
        <v>269</v>
      </c>
      <c r="D912" s="59" t="s">
        <v>1677</v>
      </c>
      <c r="E912" s="59" t="s">
        <v>3579</v>
      </c>
      <c r="F912" s="59" t="s">
        <v>3580</v>
      </c>
      <c r="G912" s="59" t="s">
        <v>3589</v>
      </c>
      <c r="H912" s="59" t="s">
        <v>2281</v>
      </c>
      <c r="I912" s="59" t="b">
        <v>1</v>
      </c>
      <c r="J912" s="59"/>
      <c r="K912" s="58">
        <v>439</v>
      </c>
      <c r="L912" s="58">
        <v>1478</v>
      </c>
      <c r="M912" s="59">
        <v>10</v>
      </c>
      <c r="N912" s="59">
        <v>10</v>
      </c>
      <c r="O912" s="59" t="s">
        <v>3581</v>
      </c>
      <c r="P912" s="58">
        <v>261</v>
      </c>
      <c r="Q912" s="59">
        <v>0</v>
      </c>
      <c r="R912" s="59">
        <v>0</v>
      </c>
      <c r="S912" s="60">
        <f>tblJTL[[#This Row],[timeStamp]]/86400000+DATE(1970,1,1)+TIME(9,0,0)</f>
        <v>46296.419285451389</v>
      </c>
      <c r="T912" s="57">
        <f>tblJTL[[#This Row],[timeStamp]]+tblJTL[[#This Row],[elapsed]]</f>
        <v>1790816626532</v>
      </c>
      <c r="U912" s="61">
        <f>(tblJTL[[#This Row],[timeStamp]]-'17_分析サンプル'!$E$18)/1000</f>
        <v>226.083</v>
      </c>
      <c r="V912" s="57">
        <f>INT(tblJTL[[#This Row],[経過秒]]/60)</f>
        <v>3</v>
      </c>
      <c r="W912" s="57">
        <f>IF(OR(tblJTL[[#This Row],[success]]=FALSE,tblJTL[[#This Row],[success]]="false"),1,0)</f>
        <v>0</v>
      </c>
      <c r="X912" s="57">
        <f>IF(AND(tblJTL[[#This Row],[経過秒]]&gt;='17_分析サンプル'!$E$11,tblJTL[[#This Row],[経過秒]]&lt;'17_分析サンプル'!$E$12),1,0)</f>
        <v>1</v>
      </c>
    </row>
    <row r="913" spans="2:24" ht="14.4" x14ac:dyDescent="0.3">
      <c r="B913" s="57">
        <v>1790816626471</v>
      </c>
      <c r="C913" s="58">
        <v>202</v>
      </c>
      <c r="D913" s="59" t="s">
        <v>1677</v>
      </c>
      <c r="E913" s="59" t="s">
        <v>3579</v>
      </c>
      <c r="F913" s="59" t="s">
        <v>3580</v>
      </c>
      <c r="G913" s="59" t="s">
        <v>3582</v>
      </c>
      <c r="H913" s="59" t="s">
        <v>2281</v>
      </c>
      <c r="I913" s="59" t="b">
        <v>1</v>
      </c>
      <c r="J913" s="59"/>
      <c r="K913" s="58">
        <v>434</v>
      </c>
      <c r="L913" s="58">
        <v>1478</v>
      </c>
      <c r="M913" s="59">
        <v>10</v>
      </c>
      <c r="N913" s="59">
        <v>10</v>
      </c>
      <c r="O913" s="59" t="s">
        <v>3581</v>
      </c>
      <c r="P913" s="58">
        <v>194</v>
      </c>
      <c r="Q913" s="59">
        <v>0</v>
      </c>
      <c r="R913" s="59">
        <v>0</v>
      </c>
      <c r="S913" s="60">
        <f>tblJTL[[#This Row],[timeStamp]]/86400000+DATE(1970,1,1)+TIME(9,0,0)</f>
        <v>46296.419287858793</v>
      </c>
      <c r="T913" s="57">
        <f>tblJTL[[#This Row],[timeStamp]]+tblJTL[[#This Row],[elapsed]]</f>
        <v>1790816626673</v>
      </c>
      <c r="U913" s="61">
        <f>(tblJTL[[#This Row],[timeStamp]]-'17_分析サンプル'!$E$18)/1000</f>
        <v>226.291</v>
      </c>
      <c r="V913" s="57">
        <f>INT(tblJTL[[#This Row],[経過秒]]/60)</f>
        <v>3</v>
      </c>
      <c r="W913" s="57">
        <f>IF(OR(tblJTL[[#This Row],[success]]=FALSE,tblJTL[[#This Row],[success]]="false"),1,0)</f>
        <v>0</v>
      </c>
      <c r="X913" s="57">
        <f>IF(AND(tblJTL[[#This Row],[経過秒]]&gt;='17_分析サンプル'!$E$11,tblJTL[[#This Row],[経過秒]]&lt;'17_分析サンプル'!$E$12),1,0)</f>
        <v>1</v>
      </c>
    </row>
    <row r="914" spans="2:24" ht="14.4" x14ac:dyDescent="0.3">
      <c r="B914" s="57">
        <v>1790816626516</v>
      </c>
      <c r="C914" s="58">
        <v>362</v>
      </c>
      <c r="D914" s="59" t="s">
        <v>1677</v>
      </c>
      <c r="E914" s="59" t="s">
        <v>3579</v>
      </c>
      <c r="F914" s="59" t="s">
        <v>3580</v>
      </c>
      <c r="G914" s="59" t="s">
        <v>3588</v>
      </c>
      <c r="H914" s="59" t="s">
        <v>2281</v>
      </c>
      <c r="I914" s="59" t="b">
        <v>1</v>
      </c>
      <c r="J914" s="59"/>
      <c r="K914" s="58">
        <v>440</v>
      </c>
      <c r="L914" s="58">
        <v>1478</v>
      </c>
      <c r="M914" s="59">
        <v>10</v>
      </c>
      <c r="N914" s="59">
        <v>10</v>
      </c>
      <c r="O914" s="59" t="s">
        <v>3581</v>
      </c>
      <c r="P914" s="58">
        <v>355</v>
      </c>
      <c r="Q914" s="59">
        <v>0</v>
      </c>
      <c r="R914" s="59">
        <v>0</v>
      </c>
      <c r="S914" s="60">
        <f>tblJTL[[#This Row],[timeStamp]]/86400000+DATE(1970,1,1)+TIME(9,0,0)</f>
        <v>46296.419288379635</v>
      </c>
      <c r="T914" s="57">
        <f>tblJTL[[#This Row],[timeStamp]]+tblJTL[[#This Row],[elapsed]]</f>
        <v>1790816626878</v>
      </c>
      <c r="U914" s="61">
        <f>(tblJTL[[#This Row],[timeStamp]]-'17_分析サンプル'!$E$18)/1000</f>
        <v>226.33600000000001</v>
      </c>
      <c r="V914" s="57">
        <f>INT(tblJTL[[#This Row],[経過秒]]/60)</f>
        <v>3</v>
      </c>
      <c r="W914" s="57">
        <f>IF(OR(tblJTL[[#This Row],[success]]=FALSE,tblJTL[[#This Row],[success]]="false"),1,0)</f>
        <v>0</v>
      </c>
      <c r="X914" s="57">
        <f>IF(AND(tblJTL[[#This Row],[経過秒]]&gt;='17_分析サンプル'!$E$11,tblJTL[[#This Row],[経過秒]]&lt;'17_分析サンプル'!$E$12),1,0)</f>
        <v>1</v>
      </c>
    </row>
    <row r="915" spans="2:24" ht="14.4" x14ac:dyDescent="0.3">
      <c r="B915" s="57">
        <v>1790816626808</v>
      </c>
      <c r="C915" s="58">
        <v>105</v>
      </c>
      <c r="D915" s="59" t="s">
        <v>1658</v>
      </c>
      <c r="E915" s="59" t="s">
        <v>1577</v>
      </c>
      <c r="F915" s="59" t="s">
        <v>2275</v>
      </c>
      <c r="G915" s="59" t="s">
        <v>3583</v>
      </c>
      <c r="H915" s="59" t="s">
        <v>2281</v>
      </c>
      <c r="I915" s="59" t="b">
        <v>1</v>
      </c>
      <c r="J915" s="59"/>
      <c r="K915" s="58">
        <v>1870</v>
      </c>
      <c r="L915" s="58">
        <v>1342</v>
      </c>
      <c r="M915" s="59">
        <v>10</v>
      </c>
      <c r="N915" s="59">
        <v>10</v>
      </c>
      <c r="O915" s="59" t="s">
        <v>3578</v>
      </c>
      <c r="P915" s="58">
        <v>99</v>
      </c>
      <c r="Q915" s="59">
        <v>0</v>
      </c>
      <c r="R915" s="59">
        <v>0</v>
      </c>
      <c r="S915" s="60">
        <f>tblJTL[[#This Row],[timeStamp]]/86400000+DATE(1970,1,1)+TIME(9,0,0)</f>
        <v>46296.419291759259</v>
      </c>
      <c r="T915" s="57">
        <f>tblJTL[[#This Row],[timeStamp]]+tblJTL[[#This Row],[elapsed]]</f>
        <v>1790816626913</v>
      </c>
      <c r="U915" s="61">
        <f>(tblJTL[[#This Row],[timeStamp]]-'17_分析サンプル'!$E$18)/1000</f>
        <v>226.62799999999999</v>
      </c>
      <c r="V915" s="57">
        <f>INT(tblJTL[[#This Row],[経過秒]]/60)</f>
        <v>3</v>
      </c>
      <c r="W915" s="57">
        <f>IF(OR(tblJTL[[#This Row],[success]]=FALSE,tblJTL[[#This Row],[success]]="false"),1,0)</f>
        <v>0</v>
      </c>
      <c r="X915" s="57">
        <f>IF(AND(tblJTL[[#This Row],[経過秒]]&gt;='17_分析サンプル'!$E$11,tblJTL[[#This Row],[経過秒]]&lt;'17_分析サンプル'!$E$12),1,0)</f>
        <v>1</v>
      </c>
    </row>
    <row r="916" spans="2:24" ht="14.4" x14ac:dyDescent="0.3">
      <c r="B916" s="57">
        <v>1790816626853</v>
      </c>
      <c r="C916" s="58">
        <v>141</v>
      </c>
      <c r="D916" s="59" t="s">
        <v>1658</v>
      </c>
      <c r="E916" s="59" t="s">
        <v>1577</v>
      </c>
      <c r="F916" s="59" t="s">
        <v>2275</v>
      </c>
      <c r="G916" s="59" t="s">
        <v>2278</v>
      </c>
      <c r="H916" s="59" t="s">
        <v>2281</v>
      </c>
      <c r="I916" s="59" t="b">
        <v>1</v>
      </c>
      <c r="J916" s="59"/>
      <c r="K916" s="58">
        <v>1890</v>
      </c>
      <c r="L916" s="58">
        <v>1342</v>
      </c>
      <c r="M916" s="59">
        <v>10</v>
      </c>
      <c r="N916" s="59">
        <v>10</v>
      </c>
      <c r="O916" s="59" t="s">
        <v>3578</v>
      </c>
      <c r="P916" s="58">
        <v>137</v>
      </c>
      <c r="Q916" s="59">
        <v>0</v>
      </c>
      <c r="R916" s="59">
        <v>0</v>
      </c>
      <c r="S916" s="60">
        <f>tblJTL[[#This Row],[timeStamp]]/86400000+DATE(1970,1,1)+TIME(9,0,0)</f>
        <v>46296.419292280094</v>
      </c>
      <c r="T916" s="57">
        <f>tblJTL[[#This Row],[timeStamp]]+tblJTL[[#This Row],[elapsed]]</f>
        <v>1790816626994</v>
      </c>
      <c r="U916" s="61">
        <f>(tblJTL[[#This Row],[timeStamp]]-'17_分析サンプル'!$E$18)/1000</f>
        <v>226.673</v>
      </c>
      <c r="V916" s="57">
        <f>INT(tblJTL[[#This Row],[経過秒]]/60)</f>
        <v>3</v>
      </c>
      <c r="W916" s="57">
        <f>IF(OR(tblJTL[[#This Row],[success]]=FALSE,tblJTL[[#This Row],[success]]="false"),1,0)</f>
        <v>0</v>
      </c>
      <c r="X916" s="57">
        <f>IF(AND(tblJTL[[#This Row],[経過秒]]&gt;='17_分析サンプル'!$E$11,tblJTL[[#This Row],[経過秒]]&lt;'17_分析サンプル'!$E$12),1,0)</f>
        <v>1</v>
      </c>
    </row>
    <row r="917" spans="2:24" ht="14.4" x14ac:dyDescent="0.3">
      <c r="B917" s="57">
        <v>1790816626865</v>
      </c>
      <c r="C917" s="58">
        <v>207</v>
      </c>
      <c r="D917" s="59" t="s">
        <v>1677</v>
      </c>
      <c r="E917" s="59" t="s">
        <v>3579</v>
      </c>
      <c r="F917" s="59" t="s">
        <v>3580</v>
      </c>
      <c r="G917" s="59" t="s">
        <v>3577</v>
      </c>
      <c r="H917" s="59" t="s">
        <v>2281</v>
      </c>
      <c r="I917" s="59" t="b">
        <v>1</v>
      </c>
      <c r="J917" s="59"/>
      <c r="K917" s="58">
        <v>440</v>
      </c>
      <c r="L917" s="58">
        <v>1478</v>
      </c>
      <c r="M917" s="59">
        <v>10</v>
      </c>
      <c r="N917" s="59">
        <v>10</v>
      </c>
      <c r="O917" s="59" t="s">
        <v>3581</v>
      </c>
      <c r="P917" s="58">
        <v>204</v>
      </c>
      <c r="Q917" s="59">
        <v>0</v>
      </c>
      <c r="R917" s="59">
        <v>0</v>
      </c>
      <c r="S917" s="60">
        <f>tblJTL[[#This Row],[timeStamp]]/86400000+DATE(1970,1,1)+TIME(9,0,0)</f>
        <v>46296.419292418985</v>
      </c>
      <c r="T917" s="57">
        <f>tblJTL[[#This Row],[timeStamp]]+tblJTL[[#This Row],[elapsed]]</f>
        <v>1790816627072</v>
      </c>
      <c r="U917" s="61">
        <f>(tblJTL[[#This Row],[timeStamp]]-'17_分析サンプル'!$E$18)/1000</f>
        <v>226.685</v>
      </c>
      <c r="V917" s="57">
        <f>INT(tblJTL[[#This Row],[経過秒]]/60)</f>
        <v>3</v>
      </c>
      <c r="W917" s="57">
        <f>IF(OR(tblJTL[[#This Row],[success]]=FALSE,tblJTL[[#This Row],[success]]="false"),1,0)</f>
        <v>0</v>
      </c>
      <c r="X917" s="57">
        <f>IF(AND(tblJTL[[#This Row],[経過秒]]&gt;='17_分析サンプル'!$E$11,tblJTL[[#This Row],[経過秒]]&lt;'17_分析サンプル'!$E$12),1,0)</f>
        <v>1</v>
      </c>
    </row>
    <row r="918" spans="2:24" ht="14.4" x14ac:dyDescent="0.3">
      <c r="B918" s="57">
        <v>1790816627978</v>
      </c>
      <c r="C918" s="58">
        <v>295</v>
      </c>
      <c r="D918" s="59" t="s">
        <v>1677</v>
      </c>
      <c r="E918" s="59" t="s">
        <v>3579</v>
      </c>
      <c r="F918" s="59" t="s">
        <v>3580</v>
      </c>
      <c r="G918" s="59" t="s">
        <v>3586</v>
      </c>
      <c r="H918" s="59" t="s">
        <v>2281</v>
      </c>
      <c r="I918" s="59" t="b">
        <v>1</v>
      </c>
      <c r="J918" s="59"/>
      <c r="K918" s="58">
        <v>426</v>
      </c>
      <c r="L918" s="58">
        <v>1478</v>
      </c>
      <c r="M918" s="59">
        <v>10</v>
      </c>
      <c r="N918" s="59">
        <v>10</v>
      </c>
      <c r="O918" s="59" t="s">
        <v>3581</v>
      </c>
      <c r="P918" s="58">
        <v>289</v>
      </c>
      <c r="Q918" s="59">
        <v>0</v>
      </c>
      <c r="R918" s="59">
        <v>0</v>
      </c>
      <c r="S918" s="60">
        <f>tblJTL[[#This Row],[timeStamp]]/86400000+DATE(1970,1,1)+TIME(9,0,0)</f>
        <v>46296.419305300922</v>
      </c>
      <c r="T918" s="57">
        <f>tblJTL[[#This Row],[timeStamp]]+tblJTL[[#This Row],[elapsed]]</f>
        <v>1790816628273</v>
      </c>
      <c r="U918" s="61">
        <f>(tblJTL[[#This Row],[timeStamp]]-'17_分析サンプル'!$E$18)/1000</f>
        <v>227.798</v>
      </c>
      <c r="V918" s="57">
        <f>INT(tblJTL[[#This Row],[経過秒]]/60)</f>
        <v>3</v>
      </c>
      <c r="W918" s="57">
        <f>IF(OR(tblJTL[[#This Row],[success]]=FALSE,tblJTL[[#This Row],[success]]="false"),1,0)</f>
        <v>0</v>
      </c>
      <c r="X918" s="57">
        <f>IF(AND(tblJTL[[#This Row],[経過秒]]&gt;='17_分析サンプル'!$E$11,tblJTL[[#This Row],[経過秒]]&lt;'17_分析サンプル'!$E$12),1,0)</f>
        <v>1</v>
      </c>
    </row>
    <row r="919" spans="2:24" ht="14.4" x14ac:dyDescent="0.3">
      <c r="B919" s="57">
        <v>1790816628470</v>
      </c>
      <c r="C919" s="58">
        <v>141</v>
      </c>
      <c r="D919" s="59" t="s">
        <v>1658</v>
      </c>
      <c r="E919" s="59" t="s">
        <v>1577</v>
      </c>
      <c r="F919" s="59" t="s">
        <v>2275</v>
      </c>
      <c r="G919" s="59" t="s">
        <v>3585</v>
      </c>
      <c r="H919" s="59" t="s">
        <v>2281</v>
      </c>
      <c r="I919" s="59" t="b">
        <v>1</v>
      </c>
      <c r="J919" s="59"/>
      <c r="K919" s="58">
        <v>1896</v>
      </c>
      <c r="L919" s="58">
        <v>1342</v>
      </c>
      <c r="M919" s="59">
        <v>10</v>
      </c>
      <c r="N919" s="59">
        <v>10</v>
      </c>
      <c r="O919" s="59" t="s">
        <v>3578</v>
      </c>
      <c r="P919" s="58">
        <v>139</v>
      </c>
      <c r="Q919" s="59">
        <v>0</v>
      </c>
      <c r="R919" s="59">
        <v>0</v>
      </c>
      <c r="S919" s="60">
        <f>tblJTL[[#This Row],[timeStamp]]/86400000+DATE(1970,1,1)+TIME(9,0,0)</f>
        <v>46296.41931099537</v>
      </c>
      <c r="T919" s="57">
        <f>tblJTL[[#This Row],[timeStamp]]+tblJTL[[#This Row],[elapsed]]</f>
        <v>1790816628611</v>
      </c>
      <c r="U919" s="61">
        <f>(tblJTL[[#This Row],[timeStamp]]-'17_分析サンプル'!$E$18)/1000</f>
        <v>228.29</v>
      </c>
      <c r="V919" s="57">
        <f>INT(tblJTL[[#This Row],[経過秒]]/60)</f>
        <v>3</v>
      </c>
      <c r="W919" s="57">
        <f>IF(OR(tblJTL[[#This Row],[success]]=FALSE,tblJTL[[#This Row],[success]]="false"),1,0)</f>
        <v>0</v>
      </c>
      <c r="X919" s="57">
        <f>IF(AND(tblJTL[[#This Row],[経過秒]]&gt;='17_分析サンプル'!$E$11,tblJTL[[#This Row],[経過秒]]&lt;'17_分析サンプル'!$E$12),1,0)</f>
        <v>1</v>
      </c>
    </row>
    <row r="920" spans="2:24" ht="14.4" x14ac:dyDescent="0.3">
      <c r="B920" s="57">
        <v>1790816628465</v>
      </c>
      <c r="C920" s="58">
        <v>223</v>
      </c>
      <c r="D920" s="59" t="s">
        <v>1677</v>
      </c>
      <c r="E920" s="59" t="s">
        <v>3579</v>
      </c>
      <c r="F920" s="59" t="s">
        <v>3580</v>
      </c>
      <c r="G920" s="59" t="s">
        <v>3584</v>
      </c>
      <c r="H920" s="59" t="s">
        <v>2281</v>
      </c>
      <c r="I920" s="59" t="b">
        <v>1</v>
      </c>
      <c r="J920" s="59"/>
      <c r="K920" s="58">
        <v>425</v>
      </c>
      <c r="L920" s="58">
        <v>1478</v>
      </c>
      <c r="M920" s="59">
        <v>10</v>
      </c>
      <c r="N920" s="59">
        <v>10</v>
      </c>
      <c r="O920" s="59" t="s">
        <v>3581</v>
      </c>
      <c r="P920" s="58">
        <v>218</v>
      </c>
      <c r="Q920" s="59">
        <v>0</v>
      </c>
      <c r="R920" s="59">
        <v>0</v>
      </c>
      <c r="S920" s="60">
        <f>tblJTL[[#This Row],[timeStamp]]/86400000+DATE(1970,1,1)+TIME(9,0,0)</f>
        <v>46296.419310937505</v>
      </c>
      <c r="T920" s="57">
        <f>tblJTL[[#This Row],[timeStamp]]+tblJTL[[#This Row],[elapsed]]</f>
        <v>1790816628688</v>
      </c>
      <c r="U920" s="61">
        <f>(tblJTL[[#This Row],[timeStamp]]-'17_分析サンプル'!$E$18)/1000</f>
        <v>228.285</v>
      </c>
      <c r="V920" s="57">
        <f>INT(tblJTL[[#This Row],[経過秒]]/60)</f>
        <v>3</v>
      </c>
      <c r="W920" s="57">
        <f>IF(OR(tblJTL[[#This Row],[success]]=FALSE,tblJTL[[#This Row],[success]]="false"),1,0)</f>
        <v>0</v>
      </c>
      <c r="X920" s="57">
        <f>IF(AND(tblJTL[[#This Row],[経過秒]]&gt;='17_分析サンプル'!$E$11,tblJTL[[#This Row],[経過秒]]&lt;'17_分析サンプル'!$E$12),1,0)</f>
        <v>1</v>
      </c>
    </row>
    <row r="921" spans="2:24" ht="14.4" x14ac:dyDescent="0.3">
      <c r="B921" s="57">
        <v>1790816628897</v>
      </c>
      <c r="C921" s="58">
        <v>112</v>
      </c>
      <c r="D921" s="59" t="s">
        <v>1658</v>
      </c>
      <c r="E921" s="59" t="s">
        <v>1577</v>
      </c>
      <c r="F921" s="59" t="s">
        <v>2275</v>
      </c>
      <c r="G921" s="59" t="s">
        <v>3589</v>
      </c>
      <c r="H921" s="59" t="s">
        <v>2281</v>
      </c>
      <c r="I921" s="59" t="b">
        <v>1</v>
      </c>
      <c r="J921" s="59"/>
      <c r="K921" s="58">
        <v>1843</v>
      </c>
      <c r="L921" s="58">
        <v>1342</v>
      </c>
      <c r="M921" s="59">
        <v>10</v>
      </c>
      <c r="N921" s="59">
        <v>10</v>
      </c>
      <c r="O921" s="59" t="s">
        <v>3578</v>
      </c>
      <c r="P921" s="58">
        <v>105</v>
      </c>
      <c r="Q921" s="59">
        <v>0</v>
      </c>
      <c r="R921" s="59">
        <v>0</v>
      </c>
      <c r="S921" s="60">
        <f>tblJTL[[#This Row],[timeStamp]]/86400000+DATE(1970,1,1)+TIME(9,0,0)</f>
        <v>46296.419315937499</v>
      </c>
      <c r="T921" s="57">
        <f>tblJTL[[#This Row],[timeStamp]]+tblJTL[[#This Row],[elapsed]]</f>
        <v>1790816629009</v>
      </c>
      <c r="U921" s="61">
        <f>(tblJTL[[#This Row],[timeStamp]]-'17_分析サンプル'!$E$18)/1000</f>
        <v>228.71700000000001</v>
      </c>
      <c r="V921" s="57">
        <f>INT(tblJTL[[#This Row],[経過秒]]/60)</f>
        <v>3</v>
      </c>
      <c r="W921" s="57">
        <f>IF(OR(tblJTL[[#This Row],[success]]=FALSE,tblJTL[[#This Row],[success]]="false"),1,0)</f>
        <v>0</v>
      </c>
      <c r="X921" s="57">
        <f>IF(AND(tblJTL[[#This Row],[経過秒]]&gt;='17_分析サンプル'!$E$11,tblJTL[[#This Row],[経過秒]]&lt;'17_分析サンプル'!$E$12),1,0)</f>
        <v>1</v>
      </c>
    </row>
    <row r="922" spans="2:24" ht="14.4" x14ac:dyDescent="0.3">
      <c r="B922" s="57">
        <v>1790816629325</v>
      </c>
      <c r="C922" s="58">
        <v>132</v>
      </c>
      <c r="D922" s="59" t="s">
        <v>1658</v>
      </c>
      <c r="E922" s="59" t="s">
        <v>1577</v>
      </c>
      <c r="F922" s="59" t="s">
        <v>2275</v>
      </c>
      <c r="G922" s="59" t="s">
        <v>3582</v>
      </c>
      <c r="H922" s="59" t="s">
        <v>2281</v>
      </c>
      <c r="I922" s="59" t="b">
        <v>1</v>
      </c>
      <c r="J922" s="59"/>
      <c r="K922" s="58">
        <v>1867</v>
      </c>
      <c r="L922" s="58">
        <v>1342</v>
      </c>
      <c r="M922" s="59">
        <v>10</v>
      </c>
      <c r="N922" s="59">
        <v>10</v>
      </c>
      <c r="O922" s="59" t="s">
        <v>3578</v>
      </c>
      <c r="P922" s="58">
        <v>128</v>
      </c>
      <c r="Q922" s="59">
        <v>0</v>
      </c>
      <c r="R922" s="59">
        <v>0</v>
      </c>
      <c r="S922" s="60">
        <f>tblJTL[[#This Row],[timeStamp]]/86400000+DATE(1970,1,1)+TIME(9,0,0)</f>
        <v>46296.419320891204</v>
      </c>
      <c r="T922" s="57">
        <f>tblJTL[[#This Row],[timeStamp]]+tblJTL[[#This Row],[elapsed]]</f>
        <v>1790816629457</v>
      </c>
      <c r="U922" s="61">
        <f>(tblJTL[[#This Row],[timeStamp]]-'17_分析サンプル'!$E$18)/1000</f>
        <v>229.14500000000001</v>
      </c>
      <c r="V922" s="57">
        <f>INT(tblJTL[[#This Row],[経過秒]]/60)</f>
        <v>3</v>
      </c>
      <c r="W922" s="57">
        <f>IF(OR(tblJTL[[#This Row],[success]]=FALSE,tblJTL[[#This Row],[success]]="false"),1,0)</f>
        <v>0</v>
      </c>
      <c r="X922" s="57">
        <f>IF(AND(tblJTL[[#This Row],[経過秒]]&gt;='17_分析サンプル'!$E$11,tblJTL[[#This Row],[経過秒]]&lt;'17_分析サンプル'!$E$12),1,0)</f>
        <v>1</v>
      </c>
    </row>
    <row r="923" spans="2:24" ht="14.4" x14ac:dyDescent="0.3">
      <c r="B923" s="57">
        <v>1790816629315</v>
      </c>
      <c r="C923" s="58">
        <v>152</v>
      </c>
      <c r="D923" s="59" t="s">
        <v>1658</v>
      </c>
      <c r="E923" s="59" t="s">
        <v>1577</v>
      </c>
      <c r="F923" s="59" t="s">
        <v>2275</v>
      </c>
      <c r="G923" s="59" t="s">
        <v>3577</v>
      </c>
      <c r="H923" s="59" t="s">
        <v>2281</v>
      </c>
      <c r="I923" s="59" t="b">
        <v>1</v>
      </c>
      <c r="J923" s="59"/>
      <c r="K923" s="58">
        <v>1850</v>
      </c>
      <c r="L923" s="58">
        <v>1342</v>
      </c>
      <c r="M923" s="59">
        <v>10</v>
      </c>
      <c r="N923" s="59">
        <v>10</v>
      </c>
      <c r="O923" s="59" t="s">
        <v>3578</v>
      </c>
      <c r="P923" s="58">
        <v>148</v>
      </c>
      <c r="Q923" s="59">
        <v>0</v>
      </c>
      <c r="R923" s="59">
        <v>0</v>
      </c>
      <c r="S923" s="60">
        <f>tblJTL[[#This Row],[timeStamp]]/86400000+DATE(1970,1,1)+TIME(9,0,0)</f>
        <v>46296.419320775458</v>
      </c>
      <c r="T923" s="57">
        <f>tblJTL[[#This Row],[timeStamp]]+tblJTL[[#This Row],[elapsed]]</f>
        <v>1790816629467</v>
      </c>
      <c r="U923" s="61">
        <f>(tblJTL[[#This Row],[timeStamp]]-'17_分析サンプル'!$E$18)/1000</f>
        <v>229.13499999999999</v>
      </c>
      <c r="V923" s="57">
        <f>INT(tblJTL[[#This Row],[経過秒]]/60)</f>
        <v>3</v>
      </c>
      <c r="W923" s="57">
        <f>IF(OR(tblJTL[[#This Row],[success]]=FALSE,tblJTL[[#This Row],[success]]="false"),1,0)</f>
        <v>0</v>
      </c>
      <c r="X923" s="57">
        <f>IF(AND(tblJTL[[#This Row],[経過秒]]&gt;='17_分析サンプル'!$E$11,tblJTL[[#This Row],[経過秒]]&lt;'17_分析サンプル'!$E$12),1,0)</f>
        <v>1</v>
      </c>
    </row>
    <row r="924" spans="2:24" ht="14.4" x14ac:dyDescent="0.3">
      <c r="B924" s="57">
        <v>1790816629116</v>
      </c>
      <c r="C924" s="58">
        <v>464</v>
      </c>
      <c r="D924" s="59" t="s">
        <v>1677</v>
      </c>
      <c r="E924" s="59" t="s">
        <v>3579</v>
      </c>
      <c r="F924" s="59" t="s">
        <v>3580</v>
      </c>
      <c r="G924" s="59" t="s">
        <v>3587</v>
      </c>
      <c r="H924" s="59" t="s">
        <v>2281</v>
      </c>
      <c r="I924" s="59" t="b">
        <v>1</v>
      </c>
      <c r="J924" s="59"/>
      <c r="K924" s="58">
        <v>419</v>
      </c>
      <c r="L924" s="58">
        <v>1478</v>
      </c>
      <c r="M924" s="59">
        <v>10</v>
      </c>
      <c r="N924" s="59">
        <v>10</v>
      </c>
      <c r="O924" s="59" t="s">
        <v>3581</v>
      </c>
      <c r="P924" s="58">
        <v>460</v>
      </c>
      <c r="Q924" s="59">
        <v>0</v>
      </c>
      <c r="R924" s="59">
        <v>62</v>
      </c>
      <c r="S924" s="60">
        <f>tblJTL[[#This Row],[timeStamp]]/86400000+DATE(1970,1,1)+TIME(9,0,0)</f>
        <v>46296.419318472224</v>
      </c>
      <c r="T924" s="57">
        <f>tblJTL[[#This Row],[timeStamp]]+tblJTL[[#This Row],[elapsed]]</f>
        <v>1790816629580</v>
      </c>
      <c r="U924" s="61">
        <f>(tblJTL[[#This Row],[timeStamp]]-'17_分析サンプル'!$E$18)/1000</f>
        <v>228.93600000000001</v>
      </c>
      <c r="V924" s="57">
        <f>INT(tblJTL[[#This Row],[経過秒]]/60)</f>
        <v>3</v>
      </c>
      <c r="W924" s="57">
        <f>IF(OR(tblJTL[[#This Row],[success]]=FALSE,tblJTL[[#This Row],[success]]="false"),1,0)</f>
        <v>0</v>
      </c>
      <c r="X924" s="57">
        <f>IF(AND(tblJTL[[#This Row],[経過秒]]&gt;='17_分析サンプル'!$E$11,tblJTL[[#This Row],[経過秒]]&lt;'17_分析サンプル'!$E$12),1,0)</f>
        <v>1</v>
      </c>
    </row>
    <row r="925" spans="2:24" ht="14.4" x14ac:dyDescent="0.3">
      <c r="B925" s="57">
        <v>1790816629612</v>
      </c>
      <c r="C925" s="58">
        <v>87</v>
      </c>
      <c r="D925" s="59" t="s">
        <v>1658</v>
      </c>
      <c r="E925" s="59" t="s">
        <v>1577</v>
      </c>
      <c r="F925" s="59" t="s">
        <v>2275</v>
      </c>
      <c r="G925" s="59" t="s">
        <v>3588</v>
      </c>
      <c r="H925" s="59" t="s">
        <v>2281</v>
      </c>
      <c r="I925" s="59" t="b">
        <v>1</v>
      </c>
      <c r="J925" s="59"/>
      <c r="K925" s="58">
        <v>1846</v>
      </c>
      <c r="L925" s="58">
        <v>1342</v>
      </c>
      <c r="M925" s="59">
        <v>10</v>
      </c>
      <c r="N925" s="59">
        <v>10</v>
      </c>
      <c r="O925" s="59" t="s">
        <v>3578</v>
      </c>
      <c r="P925" s="58">
        <v>81</v>
      </c>
      <c r="Q925" s="59">
        <v>0</v>
      </c>
      <c r="R925" s="59">
        <v>0</v>
      </c>
      <c r="S925" s="60">
        <f>tblJTL[[#This Row],[timeStamp]]/86400000+DATE(1970,1,1)+TIME(9,0,0)</f>
        <v>46296.419324212962</v>
      </c>
      <c r="T925" s="57">
        <f>tblJTL[[#This Row],[timeStamp]]+tblJTL[[#This Row],[elapsed]]</f>
        <v>1790816629699</v>
      </c>
      <c r="U925" s="61">
        <f>(tblJTL[[#This Row],[timeStamp]]-'17_分析サンプル'!$E$18)/1000</f>
        <v>229.43199999999999</v>
      </c>
      <c r="V925" s="57">
        <f>INT(tblJTL[[#This Row],[経過秒]]/60)</f>
        <v>3</v>
      </c>
      <c r="W925" s="57">
        <f>IF(OR(tblJTL[[#This Row],[success]]=FALSE,tblJTL[[#This Row],[success]]="false"),1,0)</f>
        <v>0</v>
      </c>
      <c r="X925" s="57">
        <f>IF(AND(tblJTL[[#This Row],[経過秒]]&gt;='17_分析サンプル'!$E$11,tblJTL[[#This Row],[経過秒]]&lt;'17_分析サンプル'!$E$12),1,0)</f>
        <v>1</v>
      </c>
    </row>
    <row r="926" spans="2:24" ht="14.4" x14ac:dyDescent="0.3">
      <c r="B926" s="57">
        <v>1790816629650</v>
      </c>
      <c r="C926" s="58">
        <v>196</v>
      </c>
      <c r="D926" s="59" t="s">
        <v>1677</v>
      </c>
      <c r="E926" s="59" t="s">
        <v>3579</v>
      </c>
      <c r="F926" s="59" t="s">
        <v>3580</v>
      </c>
      <c r="G926" s="59" t="s">
        <v>2278</v>
      </c>
      <c r="H926" s="59" t="s">
        <v>2281</v>
      </c>
      <c r="I926" s="59" t="b">
        <v>1</v>
      </c>
      <c r="J926" s="59"/>
      <c r="K926" s="58">
        <v>440</v>
      </c>
      <c r="L926" s="58">
        <v>1478</v>
      </c>
      <c r="M926" s="59">
        <v>10</v>
      </c>
      <c r="N926" s="59">
        <v>10</v>
      </c>
      <c r="O926" s="59" t="s">
        <v>3581</v>
      </c>
      <c r="P926" s="58">
        <v>193</v>
      </c>
      <c r="Q926" s="59">
        <v>0</v>
      </c>
      <c r="R926" s="59">
        <v>0</v>
      </c>
      <c r="S926" s="60">
        <f>tblJTL[[#This Row],[timeStamp]]/86400000+DATE(1970,1,1)+TIME(9,0,0)</f>
        <v>46296.419324652779</v>
      </c>
      <c r="T926" s="57">
        <f>tblJTL[[#This Row],[timeStamp]]+tblJTL[[#This Row],[elapsed]]</f>
        <v>1790816629846</v>
      </c>
      <c r="U926" s="61">
        <f>(tblJTL[[#This Row],[timeStamp]]-'17_分析サンプル'!$E$18)/1000</f>
        <v>229.47</v>
      </c>
      <c r="V926" s="57">
        <f>INT(tblJTL[[#This Row],[経過秒]]/60)</f>
        <v>3</v>
      </c>
      <c r="W926" s="57">
        <f>IF(OR(tblJTL[[#This Row],[success]]=FALSE,tblJTL[[#This Row],[success]]="false"),1,0)</f>
        <v>0</v>
      </c>
      <c r="X926" s="57">
        <f>IF(AND(tblJTL[[#This Row],[経過秒]]&gt;='17_分析サンプル'!$E$11,tblJTL[[#This Row],[経過秒]]&lt;'17_分析サンプル'!$E$12),1,0)</f>
        <v>1</v>
      </c>
    </row>
    <row r="927" spans="2:24" ht="14.4" x14ac:dyDescent="0.3">
      <c r="B927" s="57">
        <v>1790816629635</v>
      </c>
      <c r="C927" s="58">
        <v>451</v>
      </c>
      <c r="D927" s="59" t="s">
        <v>1677</v>
      </c>
      <c r="E927" s="59" t="s">
        <v>3579</v>
      </c>
      <c r="F927" s="59" t="s">
        <v>3580</v>
      </c>
      <c r="G927" s="59" t="s">
        <v>3583</v>
      </c>
      <c r="H927" s="59" t="s">
        <v>2281</v>
      </c>
      <c r="I927" s="59" t="b">
        <v>1</v>
      </c>
      <c r="J927" s="59"/>
      <c r="K927" s="58">
        <v>416</v>
      </c>
      <c r="L927" s="58">
        <v>1478</v>
      </c>
      <c r="M927" s="59">
        <v>10</v>
      </c>
      <c r="N927" s="59">
        <v>10</v>
      </c>
      <c r="O927" s="59" t="s">
        <v>3581</v>
      </c>
      <c r="P927" s="58">
        <v>449</v>
      </c>
      <c r="Q927" s="59">
        <v>0</v>
      </c>
      <c r="R927" s="59">
        <v>0</v>
      </c>
      <c r="S927" s="60">
        <f>tblJTL[[#This Row],[timeStamp]]/86400000+DATE(1970,1,1)+TIME(9,0,0)</f>
        <v>46296.419324479168</v>
      </c>
      <c r="T927" s="57">
        <f>tblJTL[[#This Row],[timeStamp]]+tblJTL[[#This Row],[elapsed]]</f>
        <v>1790816630086</v>
      </c>
      <c r="U927" s="61">
        <f>(tblJTL[[#This Row],[timeStamp]]-'17_分析サンプル'!$E$18)/1000</f>
        <v>229.45500000000001</v>
      </c>
      <c r="V927" s="57">
        <f>INT(tblJTL[[#This Row],[経過秒]]/60)</f>
        <v>3</v>
      </c>
      <c r="W927" s="57">
        <f>IF(OR(tblJTL[[#This Row],[success]]=FALSE,tblJTL[[#This Row],[success]]="false"),1,0)</f>
        <v>0</v>
      </c>
      <c r="X927" s="57">
        <f>IF(AND(tblJTL[[#This Row],[経過秒]]&gt;='17_分析サンプル'!$E$11,tblJTL[[#This Row],[経過秒]]&lt;'17_分析サンプル'!$E$12),1,0)</f>
        <v>1</v>
      </c>
    </row>
    <row r="928" spans="2:24" ht="14.4" x14ac:dyDescent="0.3">
      <c r="B928" s="57">
        <v>1790816630545</v>
      </c>
      <c r="C928" s="58">
        <v>203</v>
      </c>
      <c r="D928" s="59" t="s">
        <v>1677</v>
      </c>
      <c r="E928" s="59" t="s">
        <v>3579</v>
      </c>
      <c r="F928" s="59" t="s">
        <v>3580</v>
      </c>
      <c r="G928" s="59" t="s">
        <v>3589</v>
      </c>
      <c r="H928" s="59" t="s">
        <v>2281</v>
      </c>
      <c r="I928" s="59" t="b">
        <v>1</v>
      </c>
      <c r="J928" s="59"/>
      <c r="K928" s="58">
        <v>428</v>
      </c>
      <c r="L928" s="58">
        <v>1478</v>
      </c>
      <c r="M928" s="59">
        <v>10</v>
      </c>
      <c r="N928" s="59">
        <v>10</v>
      </c>
      <c r="O928" s="59" t="s">
        <v>3581</v>
      </c>
      <c r="P928" s="58">
        <v>199</v>
      </c>
      <c r="Q928" s="59">
        <v>0</v>
      </c>
      <c r="R928" s="59">
        <v>0</v>
      </c>
      <c r="S928" s="60">
        <f>tblJTL[[#This Row],[timeStamp]]/86400000+DATE(1970,1,1)+TIME(9,0,0)</f>
        <v>46296.419335011575</v>
      </c>
      <c r="T928" s="57">
        <f>tblJTL[[#This Row],[timeStamp]]+tblJTL[[#This Row],[elapsed]]</f>
        <v>1790816630748</v>
      </c>
      <c r="U928" s="61">
        <f>(tblJTL[[#This Row],[timeStamp]]-'17_分析サンプル'!$E$18)/1000</f>
        <v>230.36500000000001</v>
      </c>
      <c r="V928" s="57">
        <f>INT(tblJTL[[#This Row],[経過秒]]/60)</f>
        <v>3</v>
      </c>
      <c r="W928" s="57">
        <f>IF(OR(tblJTL[[#This Row],[success]]=FALSE,tblJTL[[#This Row],[success]]="false"),1,0)</f>
        <v>0</v>
      </c>
      <c r="X928" s="57">
        <f>IF(AND(tblJTL[[#This Row],[経過秒]]&gt;='17_分析サンプル'!$E$11,tblJTL[[#This Row],[経過秒]]&lt;'17_分析サンプル'!$E$12),1,0)</f>
        <v>1</v>
      </c>
    </row>
    <row r="929" spans="2:24" ht="14.4" x14ac:dyDescent="0.3">
      <c r="B929" s="57">
        <v>1790816630796</v>
      </c>
      <c r="C929" s="58">
        <v>86</v>
      </c>
      <c r="D929" s="59" t="s">
        <v>1658</v>
      </c>
      <c r="E929" s="59" t="s">
        <v>1577</v>
      </c>
      <c r="F929" s="59" t="s">
        <v>2275</v>
      </c>
      <c r="G929" s="59" t="s">
        <v>3587</v>
      </c>
      <c r="H929" s="59" t="s">
        <v>2281</v>
      </c>
      <c r="I929" s="59" t="b">
        <v>1</v>
      </c>
      <c r="J929" s="59"/>
      <c r="K929" s="58">
        <v>1875</v>
      </c>
      <c r="L929" s="58">
        <v>1342</v>
      </c>
      <c r="M929" s="59">
        <v>10</v>
      </c>
      <c r="N929" s="59">
        <v>10</v>
      </c>
      <c r="O929" s="59" t="s">
        <v>3578</v>
      </c>
      <c r="P929" s="58">
        <v>84</v>
      </c>
      <c r="Q929" s="59">
        <v>0</v>
      </c>
      <c r="R929" s="59">
        <v>0</v>
      </c>
      <c r="S929" s="60">
        <f>tblJTL[[#This Row],[timeStamp]]/86400000+DATE(1970,1,1)+TIME(9,0,0)</f>
        <v>46296.419337916668</v>
      </c>
      <c r="T929" s="57">
        <f>tblJTL[[#This Row],[timeStamp]]+tblJTL[[#This Row],[elapsed]]</f>
        <v>1790816630882</v>
      </c>
      <c r="U929" s="61">
        <f>(tblJTL[[#This Row],[timeStamp]]-'17_分析サンプル'!$E$18)/1000</f>
        <v>230.61600000000001</v>
      </c>
      <c r="V929" s="57">
        <f>INT(tblJTL[[#This Row],[経過秒]]/60)</f>
        <v>3</v>
      </c>
      <c r="W929" s="57">
        <f>IF(OR(tblJTL[[#This Row],[success]]=FALSE,tblJTL[[#This Row],[success]]="false"),1,0)</f>
        <v>0</v>
      </c>
      <c r="X929" s="57">
        <f>IF(AND(tblJTL[[#This Row],[経過秒]]&gt;='17_分析サンプル'!$E$11,tblJTL[[#This Row],[経過秒]]&lt;'17_分析サンプル'!$E$12),1,0)</f>
        <v>1</v>
      </c>
    </row>
    <row r="930" spans="2:24" ht="14.4" x14ac:dyDescent="0.3">
      <c r="B930" s="57">
        <v>1790816630909</v>
      </c>
      <c r="C930" s="58">
        <v>98</v>
      </c>
      <c r="D930" s="59" t="s">
        <v>1658</v>
      </c>
      <c r="E930" s="59" t="s">
        <v>1577</v>
      </c>
      <c r="F930" s="59" t="s">
        <v>2275</v>
      </c>
      <c r="G930" s="59" t="s">
        <v>3586</v>
      </c>
      <c r="H930" s="59" t="s">
        <v>2281</v>
      </c>
      <c r="I930" s="59" t="b">
        <v>1</v>
      </c>
      <c r="J930" s="59"/>
      <c r="K930" s="58">
        <v>1826</v>
      </c>
      <c r="L930" s="58">
        <v>1342</v>
      </c>
      <c r="M930" s="59">
        <v>10</v>
      </c>
      <c r="N930" s="59">
        <v>10</v>
      </c>
      <c r="O930" s="59" t="s">
        <v>3578</v>
      </c>
      <c r="P930" s="58">
        <v>95</v>
      </c>
      <c r="Q930" s="59">
        <v>0</v>
      </c>
      <c r="R930" s="59">
        <v>0</v>
      </c>
      <c r="S930" s="60">
        <f>tblJTL[[#This Row],[timeStamp]]/86400000+DATE(1970,1,1)+TIME(9,0,0)</f>
        <v>46296.419339224536</v>
      </c>
      <c r="T930" s="57">
        <f>tblJTL[[#This Row],[timeStamp]]+tblJTL[[#This Row],[elapsed]]</f>
        <v>1790816631007</v>
      </c>
      <c r="U930" s="61">
        <f>(tblJTL[[#This Row],[timeStamp]]-'17_分析サンプル'!$E$18)/1000</f>
        <v>230.72900000000001</v>
      </c>
      <c r="V930" s="57">
        <f>INT(tblJTL[[#This Row],[経過秒]]/60)</f>
        <v>3</v>
      </c>
      <c r="W930" s="57">
        <f>IF(OR(tblJTL[[#This Row],[success]]=FALSE,tblJTL[[#This Row],[success]]="false"),1,0)</f>
        <v>0</v>
      </c>
      <c r="X930" s="57">
        <f>IF(AND(tblJTL[[#This Row],[経過秒]]&gt;='17_分析サンプル'!$E$11,tblJTL[[#This Row],[経過秒]]&lt;'17_分析サンプル'!$E$12),1,0)</f>
        <v>1</v>
      </c>
    </row>
    <row r="931" spans="2:24" ht="14.4" x14ac:dyDescent="0.3">
      <c r="B931" s="57">
        <v>1790816631053</v>
      </c>
      <c r="C931" s="58">
        <v>168</v>
      </c>
      <c r="D931" s="59" t="s">
        <v>1658</v>
      </c>
      <c r="E931" s="59" t="s">
        <v>1577</v>
      </c>
      <c r="F931" s="59" t="s">
        <v>2275</v>
      </c>
      <c r="G931" s="59" t="s">
        <v>3584</v>
      </c>
      <c r="H931" s="59" t="s">
        <v>2281</v>
      </c>
      <c r="I931" s="59" t="b">
        <v>1</v>
      </c>
      <c r="J931" s="59"/>
      <c r="K931" s="58">
        <v>1862</v>
      </c>
      <c r="L931" s="58">
        <v>1342</v>
      </c>
      <c r="M931" s="59">
        <v>10</v>
      </c>
      <c r="N931" s="59">
        <v>10</v>
      </c>
      <c r="O931" s="59" t="s">
        <v>3578</v>
      </c>
      <c r="P931" s="58">
        <v>166</v>
      </c>
      <c r="Q931" s="59">
        <v>0</v>
      </c>
      <c r="R931" s="59">
        <v>0</v>
      </c>
      <c r="S931" s="60">
        <f>tblJTL[[#This Row],[timeStamp]]/86400000+DATE(1970,1,1)+TIME(9,0,0)</f>
        <v>46296.419340891203</v>
      </c>
      <c r="T931" s="57">
        <f>tblJTL[[#This Row],[timeStamp]]+tblJTL[[#This Row],[elapsed]]</f>
        <v>1790816631221</v>
      </c>
      <c r="U931" s="61">
        <f>(tblJTL[[#This Row],[timeStamp]]-'17_分析サンプル'!$E$18)/1000</f>
        <v>230.87299999999999</v>
      </c>
      <c r="V931" s="57">
        <f>INT(tblJTL[[#This Row],[経過秒]]/60)</f>
        <v>3</v>
      </c>
      <c r="W931" s="57">
        <f>IF(OR(tblJTL[[#This Row],[success]]=FALSE,tblJTL[[#This Row],[success]]="false"),1,0)</f>
        <v>0</v>
      </c>
      <c r="X931" s="57">
        <f>IF(AND(tblJTL[[#This Row],[経過秒]]&gt;='17_分析サンプル'!$E$11,tblJTL[[#This Row],[経過秒]]&lt;'17_分析サンプル'!$E$12),1,0)</f>
        <v>1</v>
      </c>
    </row>
    <row r="932" spans="2:24" ht="14.4" x14ac:dyDescent="0.3">
      <c r="B932" s="57">
        <v>1790816631292</v>
      </c>
      <c r="C932" s="58">
        <v>141</v>
      </c>
      <c r="D932" s="59" t="s">
        <v>1677</v>
      </c>
      <c r="E932" s="59" t="s">
        <v>3579</v>
      </c>
      <c r="F932" s="59" t="s">
        <v>3580</v>
      </c>
      <c r="G932" s="59" t="s">
        <v>3585</v>
      </c>
      <c r="H932" s="59" t="s">
        <v>2281</v>
      </c>
      <c r="I932" s="59" t="b">
        <v>1</v>
      </c>
      <c r="J932" s="59"/>
      <c r="K932" s="58">
        <v>437</v>
      </c>
      <c r="L932" s="58">
        <v>1478</v>
      </c>
      <c r="M932" s="59">
        <v>10</v>
      </c>
      <c r="N932" s="59">
        <v>10</v>
      </c>
      <c r="O932" s="59" t="s">
        <v>3581</v>
      </c>
      <c r="P932" s="58">
        <v>133</v>
      </c>
      <c r="Q932" s="59">
        <v>0</v>
      </c>
      <c r="R932" s="59">
        <v>0</v>
      </c>
      <c r="S932" s="60">
        <f>tblJTL[[#This Row],[timeStamp]]/86400000+DATE(1970,1,1)+TIME(9,0,0)</f>
        <v>46296.419343657406</v>
      </c>
      <c r="T932" s="57">
        <f>tblJTL[[#This Row],[timeStamp]]+tblJTL[[#This Row],[elapsed]]</f>
        <v>1790816631433</v>
      </c>
      <c r="U932" s="61">
        <f>(tblJTL[[#This Row],[timeStamp]]-'17_分析サンプル'!$E$18)/1000</f>
        <v>231.11199999999999</v>
      </c>
      <c r="V932" s="57">
        <f>INT(tblJTL[[#This Row],[経過秒]]/60)</f>
        <v>3</v>
      </c>
      <c r="W932" s="57">
        <f>IF(OR(tblJTL[[#This Row],[success]]=FALSE,tblJTL[[#This Row],[success]]="false"),1,0)</f>
        <v>0</v>
      </c>
      <c r="X932" s="57">
        <f>IF(AND(tblJTL[[#This Row],[経過秒]]&gt;='17_分析サンプル'!$E$11,tblJTL[[#This Row],[経過秒]]&lt;'17_分析サンプル'!$E$12),1,0)</f>
        <v>1</v>
      </c>
    </row>
    <row r="933" spans="2:24" ht="14.4" x14ac:dyDescent="0.3">
      <c r="B933" s="57">
        <v>1790816631406</v>
      </c>
      <c r="C933" s="58">
        <v>226</v>
      </c>
      <c r="D933" s="59" t="s">
        <v>1677</v>
      </c>
      <c r="E933" s="59" t="s">
        <v>3579</v>
      </c>
      <c r="F933" s="59" t="s">
        <v>3580</v>
      </c>
      <c r="G933" s="59" t="s">
        <v>3588</v>
      </c>
      <c r="H933" s="59" t="s">
        <v>2281</v>
      </c>
      <c r="I933" s="59" t="b">
        <v>1</v>
      </c>
      <c r="J933" s="59"/>
      <c r="K933" s="58">
        <v>418</v>
      </c>
      <c r="L933" s="58">
        <v>1478</v>
      </c>
      <c r="M933" s="59">
        <v>10</v>
      </c>
      <c r="N933" s="59">
        <v>10</v>
      </c>
      <c r="O933" s="59" t="s">
        <v>3581</v>
      </c>
      <c r="P933" s="58">
        <v>222</v>
      </c>
      <c r="Q933" s="59">
        <v>0</v>
      </c>
      <c r="R933" s="59">
        <v>0</v>
      </c>
      <c r="S933" s="60">
        <f>tblJTL[[#This Row],[timeStamp]]/86400000+DATE(1970,1,1)+TIME(9,0,0)</f>
        <v>46296.41934497685</v>
      </c>
      <c r="T933" s="57">
        <f>tblJTL[[#This Row],[timeStamp]]+tblJTL[[#This Row],[elapsed]]</f>
        <v>1790816631632</v>
      </c>
      <c r="U933" s="61">
        <f>(tblJTL[[#This Row],[timeStamp]]-'17_分析サンプル'!$E$18)/1000</f>
        <v>231.226</v>
      </c>
      <c r="V933" s="57">
        <f>INT(tblJTL[[#This Row],[経過秒]]/60)</f>
        <v>3</v>
      </c>
      <c r="W933" s="57">
        <f>IF(OR(tblJTL[[#This Row],[success]]=FALSE,tblJTL[[#This Row],[success]]="false"),1,0)</f>
        <v>0</v>
      </c>
      <c r="X933" s="57">
        <f>IF(AND(tblJTL[[#This Row],[経過秒]]&gt;='17_分析サンプル'!$E$11,tblJTL[[#This Row],[経過秒]]&lt;'17_分析サンプル'!$E$12),1,0)</f>
        <v>1</v>
      </c>
    </row>
    <row r="934" spans="2:24" ht="14.4" x14ac:dyDescent="0.3">
      <c r="B934" s="57">
        <v>1790816631468</v>
      </c>
      <c r="C934" s="58">
        <v>318</v>
      </c>
      <c r="D934" s="59" t="s">
        <v>1677</v>
      </c>
      <c r="E934" s="59" t="s">
        <v>3579</v>
      </c>
      <c r="F934" s="59" t="s">
        <v>3580</v>
      </c>
      <c r="G934" s="59" t="s">
        <v>3582</v>
      </c>
      <c r="H934" s="59" t="s">
        <v>2281</v>
      </c>
      <c r="I934" s="59" t="b">
        <v>1</v>
      </c>
      <c r="J934" s="59"/>
      <c r="K934" s="58">
        <v>434</v>
      </c>
      <c r="L934" s="58">
        <v>1478</v>
      </c>
      <c r="M934" s="59">
        <v>10</v>
      </c>
      <c r="N934" s="59">
        <v>10</v>
      </c>
      <c r="O934" s="59" t="s">
        <v>3581</v>
      </c>
      <c r="P934" s="58">
        <v>312</v>
      </c>
      <c r="Q934" s="59">
        <v>0</v>
      </c>
      <c r="R934" s="59">
        <v>0</v>
      </c>
      <c r="S934" s="60">
        <f>tblJTL[[#This Row],[timeStamp]]/86400000+DATE(1970,1,1)+TIME(9,0,0)</f>
        <v>46296.419345694449</v>
      </c>
      <c r="T934" s="57">
        <f>tblJTL[[#This Row],[timeStamp]]+tblJTL[[#This Row],[elapsed]]</f>
        <v>1790816631786</v>
      </c>
      <c r="U934" s="61">
        <f>(tblJTL[[#This Row],[timeStamp]]-'17_分析サンプル'!$E$18)/1000</f>
        <v>231.28800000000001</v>
      </c>
      <c r="V934" s="57">
        <f>INT(tblJTL[[#This Row],[経過秒]]/60)</f>
        <v>3</v>
      </c>
      <c r="W934" s="57">
        <f>IF(OR(tblJTL[[#This Row],[success]]=FALSE,tblJTL[[#This Row],[success]]="false"),1,0)</f>
        <v>0</v>
      </c>
      <c r="X934" s="57">
        <f>IF(AND(tblJTL[[#This Row],[経過秒]]&gt;='17_分析サンプル'!$E$11,tblJTL[[#This Row],[経過秒]]&lt;'17_分析サンプル'!$E$12),1,0)</f>
        <v>1</v>
      </c>
    </row>
    <row r="935" spans="2:24" ht="14.4" x14ac:dyDescent="0.3">
      <c r="B935" s="57">
        <v>1790816631965</v>
      </c>
      <c r="C935" s="58">
        <v>322</v>
      </c>
      <c r="D935" s="59" t="s">
        <v>1677</v>
      </c>
      <c r="E935" s="59" t="s">
        <v>3579</v>
      </c>
      <c r="F935" s="59" t="s">
        <v>3580</v>
      </c>
      <c r="G935" s="59" t="s">
        <v>3577</v>
      </c>
      <c r="H935" s="59" t="s">
        <v>2281</v>
      </c>
      <c r="I935" s="59" t="b">
        <v>1</v>
      </c>
      <c r="J935" s="59"/>
      <c r="K935" s="58">
        <v>425</v>
      </c>
      <c r="L935" s="58">
        <v>1478</v>
      </c>
      <c r="M935" s="59">
        <v>10</v>
      </c>
      <c r="N935" s="59">
        <v>10</v>
      </c>
      <c r="O935" s="59" t="s">
        <v>3581</v>
      </c>
      <c r="P935" s="58">
        <v>320</v>
      </c>
      <c r="Q935" s="59">
        <v>0</v>
      </c>
      <c r="R935" s="59">
        <v>0</v>
      </c>
      <c r="S935" s="60">
        <f>tblJTL[[#This Row],[timeStamp]]/86400000+DATE(1970,1,1)+TIME(9,0,0)</f>
        <v>46296.419351446762</v>
      </c>
      <c r="T935" s="57">
        <f>tblJTL[[#This Row],[timeStamp]]+tblJTL[[#This Row],[elapsed]]</f>
        <v>1790816632287</v>
      </c>
      <c r="U935" s="61">
        <f>(tblJTL[[#This Row],[timeStamp]]-'17_分析サンプル'!$E$18)/1000</f>
        <v>231.785</v>
      </c>
      <c r="V935" s="57">
        <f>INT(tblJTL[[#This Row],[経過秒]]/60)</f>
        <v>3</v>
      </c>
      <c r="W935" s="57">
        <f>IF(OR(tblJTL[[#This Row],[success]]=FALSE,tblJTL[[#This Row],[success]]="false"),1,0)</f>
        <v>0</v>
      </c>
      <c r="X935" s="57">
        <f>IF(AND(tblJTL[[#This Row],[経過秒]]&gt;='17_分析サンプル'!$E$11,tblJTL[[#This Row],[経過秒]]&lt;'17_分析サンプル'!$E$12),1,0)</f>
        <v>1</v>
      </c>
    </row>
    <row r="936" spans="2:24" ht="14.4" x14ac:dyDescent="0.3">
      <c r="B936" s="57">
        <v>1790816632296</v>
      </c>
      <c r="C936" s="58">
        <v>124</v>
      </c>
      <c r="D936" s="59" t="s">
        <v>1677</v>
      </c>
      <c r="E936" s="59" t="s">
        <v>3579</v>
      </c>
      <c r="F936" s="59" t="s">
        <v>3580</v>
      </c>
      <c r="G936" s="59" t="s">
        <v>3584</v>
      </c>
      <c r="H936" s="59" t="s">
        <v>2281</v>
      </c>
      <c r="I936" s="59" t="b">
        <v>1</v>
      </c>
      <c r="J936" s="59"/>
      <c r="K936" s="58">
        <v>422</v>
      </c>
      <c r="L936" s="58">
        <v>1478</v>
      </c>
      <c r="M936" s="59">
        <v>10</v>
      </c>
      <c r="N936" s="59">
        <v>10</v>
      </c>
      <c r="O936" s="59" t="s">
        <v>3581</v>
      </c>
      <c r="P936" s="58">
        <v>121</v>
      </c>
      <c r="Q936" s="59">
        <v>0</v>
      </c>
      <c r="R936" s="59">
        <v>0</v>
      </c>
      <c r="S936" s="60">
        <f>tblJTL[[#This Row],[timeStamp]]/86400000+DATE(1970,1,1)+TIME(9,0,0)</f>
        <v>46296.419355277772</v>
      </c>
      <c r="T936" s="57">
        <f>tblJTL[[#This Row],[timeStamp]]+tblJTL[[#This Row],[elapsed]]</f>
        <v>1790816632420</v>
      </c>
      <c r="U936" s="61">
        <f>(tblJTL[[#This Row],[timeStamp]]-'17_分析サンプル'!$E$18)/1000</f>
        <v>232.11600000000001</v>
      </c>
      <c r="V936" s="57">
        <f>INT(tblJTL[[#This Row],[経過秒]]/60)</f>
        <v>3</v>
      </c>
      <c r="W936" s="57">
        <f>IF(OR(tblJTL[[#This Row],[success]]=FALSE,tblJTL[[#This Row],[success]]="false"),1,0)</f>
        <v>0</v>
      </c>
      <c r="X936" s="57">
        <f>IF(AND(tblJTL[[#This Row],[経過秒]]&gt;='17_分析サンプル'!$E$11,tblJTL[[#This Row],[経過秒]]&lt;'17_分析サンプル'!$E$12),1,0)</f>
        <v>1</v>
      </c>
    </row>
    <row r="937" spans="2:24" ht="14.4" x14ac:dyDescent="0.3">
      <c r="B937" s="57">
        <v>1790816632372</v>
      </c>
      <c r="C937" s="58">
        <v>97</v>
      </c>
      <c r="D937" s="59" t="s">
        <v>1658</v>
      </c>
      <c r="E937" s="59" t="s">
        <v>1577</v>
      </c>
      <c r="F937" s="59" t="s">
        <v>2275</v>
      </c>
      <c r="G937" s="59" t="s">
        <v>2278</v>
      </c>
      <c r="H937" s="59" t="s">
        <v>2281</v>
      </c>
      <c r="I937" s="59" t="b">
        <v>1</v>
      </c>
      <c r="J937" s="59"/>
      <c r="K937" s="58">
        <v>1836</v>
      </c>
      <c r="L937" s="58">
        <v>1342</v>
      </c>
      <c r="M937" s="59">
        <v>10</v>
      </c>
      <c r="N937" s="59">
        <v>10</v>
      </c>
      <c r="O937" s="59" t="s">
        <v>3578</v>
      </c>
      <c r="P937" s="58">
        <v>94</v>
      </c>
      <c r="Q937" s="59">
        <v>0</v>
      </c>
      <c r="R937" s="59">
        <v>0</v>
      </c>
      <c r="S937" s="60">
        <f>tblJTL[[#This Row],[timeStamp]]/86400000+DATE(1970,1,1)+TIME(9,0,0)</f>
        <v>46296.419356157407</v>
      </c>
      <c r="T937" s="57">
        <f>tblJTL[[#This Row],[timeStamp]]+tblJTL[[#This Row],[elapsed]]</f>
        <v>1790816632469</v>
      </c>
      <c r="U937" s="61">
        <f>(tblJTL[[#This Row],[timeStamp]]-'17_分析サンプル'!$E$18)/1000</f>
        <v>232.19200000000001</v>
      </c>
      <c r="V937" s="57">
        <f>INT(tblJTL[[#This Row],[経過秒]]/60)</f>
        <v>3</v>
      </c>
      <c r="W937" s="57">
        <f>IF(OR(tblJTL[[#This Row],[success]]=FALSE,tblJTL[[#This Row],[success]]="false"),1,0)</f>
        <v>0</v>
      </c>
      <c r="X937" s="57">
        <f>IF(AND(tblJTL[[#This Row],[経過秒]]&gt;='17_分析サンプル'!$E$11,tblJTL[[#This Row],[経過秒]]&lt;'17_分析サンプル'!$E$12),1,0)</f>
        <v>1</v>
      </c>
    </row>
    <row r="938" spans="2:24" ht="14.4" x14ac:dyDescent="0.3">
      <c r="B938" s="57">
        <v>1790816632703</v>
      </c>
      <c r="C938" s="58">
        <v>114</v>
      </c>
      <c r="D938" s="59" t="s">
        <v>1658</v>
      </c>
      <c r="E938" s="59" t="s">
        <v>1577</v>
      </c>
      <c r="F938" s="59" t="s">
        <v>2275</v>
      </c>
      <c r="G938" s="59" t="s">
        <v>3583</v>
      </c>
      <c r="H938" s="59" t="s">
        <v>2281</v>
      </c>
      <c r="I938" s="59" t="b">
        <v>1</v>
      </c>
      <c r="J938" s="59"/>
      <c r="K938" s="58">
        <v>1839</v>
      </c>
      <c r="L938" s="58">
        <v>1342</v>
      </c>
      <c r="M938" s="59">
        <v>10</v>
      </c>
      <c r="N938" s="59">
        <v>10</v>
      </c>
      <c r="O938" s="59" t="s">
        <v>3578</v>
      </c>
      <c r="P938" s="58">
        <v>108</v>
      </c>
      <c r="Q938" s="59">
        <v>0</v>
      </c>
      <c r="R938" s="59">
        <v>0</v>
      </c>
      <c r="S938" s="60">
        <f>tblJTL[[#This Row],[timeStamp]]/86400000+DATE(1970,1,1)+TIME(9,0,0)</f>
        <v>46296.419359988431</v>
      </c>
      <c r="T938" s="57">
        <f>tblJTL[[#This Row],[timeStamp]]+tblJTL[[#This Row],[elapsed]]</f>
        <v>1790816632817</v>
      </c>
      <c r="U938" s="61">
        <f>(tblJTL[[#This Row],[timeStamp]]-'17_分析サンプル'!$E$18)/1000</f>
        <v>232.523</v>
      </c>
      <c r="V938" s="57">
        <f>INT(tblJTL[[#This Row],[経過秒]]/60)</f>
        <v>3</v>
      </c>
      <c r="W938" s="57">
        <f>IF(OR(tblJTL[[#This Row],[success]]=FALSE,tblJTL[[#This Row],[success]]="false"),1,0)</f>
        <v>0</v>
      </c>
      <c r="X938" s="57">
        <f>IF(AND(tblJTL[[#This Row],[経過秒]]&gt;='17_分析サンプル'!$E$11,tblJTL[[#This Row],[経過秒]]&lt;'17_分析サンプル'!$E$12),1,0)</f>
        <v>1</v>
      </c>
    </row>
    <row r="939" spans="2:24" ht="14.4" x14ac:dyDescent="0.3">
      <c r="B939" s="57">
        <v>1790816632804</v>
      </c>
      <c r="C939" s="58">
        <v>128</v>
      </c>
      <c r="D939" s="59" t="s">
        <v>1658</v>
      </c>
      <c r="E939" s="59" t="s">
        <v>1577</v>
      </c>
      <c r="F939" s="59" t="s">
        <v>2275</v>
      </c>
      <c r="G939" s="59" t="s">
        <v>3589</v>
      </c>
      <c r="H939" s="59" t="s">
        <v>2281</v>
      </c>
      <c r="I939" s="59" t="b">
        <v>1</v>
      </c>
      <c r="J939" s="59"/>
      <c r="K939" s="58">
        <v>1869</v>
      </c>
      <c r="L939" s="58">
        <v>1342</v>
      </c>
      <c r="M939" s="59">
        <v>10</v>
      </c>
      <c r="N939" s="59">
        <v>10</v>
      </c>
      <c r="O939" s="59" t="s">
        <v>3578</v>
      </c>
      <c r="P939" s="58">
        <v>125</v>
      </c>
      <c r="Q939" s="59">
        <v>0</v>
      </c>
      <c r="R939" s="59">
        <v>0</v>
      </c>
      <c r="S939" s="60">
        <f>tblJTL[[#This Row],[timeStamp]]/86400000+DATE(1970,1,1)+TIME(9,0,0)</f>
        <v>46296.419361157408</v>
      </c>
      <c r="T939" s="57">
        <f>tblJTL[[#This Row],[timeStamp]]+tblJTL[[#This Row],[elapsed]]</f>
        <v>1790816632932</v>
      </c>
      <c r="U939" s="61">
        <f>(tblJTL[[#This Row],[timeStamp]]-'17_分析サンプル'!$E$18)/1000</f>
        <v>232.624</v>
      </c>
      <c r="V939" s="57">
        <f>INT(tblJTL[[#This Row],[経過秒]]/60)</f>
        <v>3</v>
      </c>
      <c r="W939" s="57">
        <f>IF(OR(tblJTL[[#This Row],[success]]=FALSE,tblJTL[[#This Row],[success]]="false"),1,0)</f>
        <v>0</v>
      </c>
      <c r="X939" s="57">
        <f>IF(AND(tblJTL[[#This Row],[経過秒]]&gt;='17_分析サンプル'!$E$11,tblJTL[[#This Row],[経過秒]]&lt;'17_分析サンプル'!$E$12),1,0)</f>
        <v>1</v>
      </c>
    </row>
    <row r="940" spans="2:24" ht="14.4" x14ac:dyDescent="0.3">
      <c r="B940" s="57">
        <v>1790816632918</v>
      </c>
      <c r="C940" s="58">
        <v>110</v>
      </c>
      <c r="D940" s="59" t="s">
        <v>1658</v>
      </c>
      <c r="E940" s="59" t="s">
        <v>1577</v>
      </c>
      <c r="F940" s="59" t="s">
        <v>2275</v>
      </c>
      <c r="G940" s="59" t="s">
        <v>3585</v>
      </c>
      <c r="H940" s="59" t="s">
        <v>2281</v>
      </c>
      <c r="I940" s="59" t="b">
        <v>1</v>
      </c>
      <c r="J940" s="59"/>
      <c r="K940" s="58">
        <v>1850</v>
      </c>
      <c r="L940" s="58">
        <v>1342</v>
      </c>
      <c r="M940" s="59">
        <v>10</v>
      </c>
      <c r="N940" s="59">
        <v>10</v>
      </c>
      <c r="O940" s="59" t="s">
        <v>3578</v>
      </c>
      <c r="P940" s="58">
        <v>107</v>
      </c>
      <c r="Q940" s="59">
        <v>0</v>
      </c>
      <c r="R940" s="59">
        <v>0</v>
      </c>
      <c r="S940" s="60">
        <f>tblJTL[[#This Row],[timeStamp]]/86400000+DATE(1970,1,1)+TIME(9,0,0)</f>
        <v>46296.419362476852</v>
      </c>
      <c r="T940" s="57">
        <f>tblJTL[[#This Row],[timeStamp]]+tblJTL[[#This Row],[elapsed]]</f>
        <v>1790816633028</v>
      </c>
      <c r="U940" s="61">
        <f>(tblJTL[[#This Row],[timeStamp]]-'17_分析サンプル'!$E$18)/1000</f>
        <v>232.738</v>
      </c>
      <c r="V940" s="57">
        <f>INT(tblJTL[[#This Row],[経過秒]]/60)</f>
        <v>3</v>
      </c>
      <c r="W940" s="57">
        <f>IF(OR(tblJTL[[#This Row],[success]]=FALSE,tblJTL[[#This Row],[success]]="false"),1,0)</f>
        <v>0</v>
      </c>
      <c r="X940" s="57">
        <f>IF(AND(tblJTL[[#This Row],[経過秒]]&gt;='17_分析サンプル'!$E$11,tblJTL[[#This Row],[経過秒]]&lt;'17_分析サンプル'!$E$12),1,0)</f>
        <v>1</v>
      </c>
    </row>
    <row r="941" spans="2:24" ht="14.4" x14ac:dyDescent="0.3">
      <c r="B941" s="57">
        <v>1790816633330</v>
      </c>
      <c r="C941" s="58">
        <v>206</v>
      </c>
      <c r="D941" s="59" t="s">
        <v>1658</v>
      </c>
      <c r="E941" s="59" t="s">
        <v>1577</v>
      </c>
      <c r="F941" s="59" t="s">
        <v>2275</v>
      </c>
      <c r="G941" s="59" t="s">
        <v>3588</v>
      </c>
      <c r="H941" s="59" t="s">
        <v>2281</v>
      </c>
      <c r="I941" s="59" t="b">
        <v>1</v>
      </c>
      <c r="J941" s="59"/>
      <c r="K941" s="58">
        <v>1843</v>
      </c>
      <c r="L941" s="58">
        <v>1342</v>
      </c>
      <c r="M941" s="59">
        <v>10</v>
      </c>
      <c r="N941" s="59">
        <v>10</v>
      </c>
      <c r="O941" s="59" t="s">
        <v>3578</v>
      </c>
      <c r="P941" s="58">
        <v>200</v>
      </c>
      <c r="Q941" s="59">
        <v>0</v>
      </c>
      <c r="R941" s="59">
        <v>61</v>
      </c>
      <c r="S941" s="60">
        <f>tblJTL[[#This Row],[timeStamp]]/86400000+DATE(1970,1,1)+TIME(9,0,0)</f>
        <v>46296.419367245369</v>
      </c>
      <c r="T941" s="57">
        <f>tblJTL[[#This Row],[timeStamp]]+tblJTL[[#This Row],[elapsed]]</f>
        <v>1790816633536</v>
      </c>
      <c r="U941" s="61">
        <f>(tblJTL[[#This Row],[timeStamp]]-'17_分析サンプル'!$E$18)/1000</f>
        <v>233.15</v>
      </c>
      <c r="V941" s="57">
        <f>INT(tblJTL[[#This Row],[経過秒]]/60)</f>
        <v>3</v>
      </c>
      <c r="W941" s="57">
        <f>IF(OR(tblJTL[[#This Row],[success]]=FALSE,tblJTL[[#This Row],[success]]="false"),1,0)</f>
        <v>0</v>
      </c>
      <c r="X941" s="57">
        <f>IF(AND(tblJTL[[#This Row],[経過秒]]&gt;='17_分析サンプル'!$E$11,tblJTL[[#This Row],[経過秒]]&lt;'17_分析サンプル'!$E$12),1,0)</f>
        <v>1</v>
      </c>
    </row>
    <row r="942" spans="2:24" ht="14.4" x14ac:dyDescent="0.3">
      <c r="B942" s="57">
        <v>1790816633424</v>
      </c>
      <c r="C942" s="58">
        <v>151</v>
      </c>
      <c r="D942" s="59" t="s">
        <v>1677</v>
      </c>
      <c r="E942" s="59" t="s">
        <v>3579</v>
      </c>
      <c r="F942" s="59" t="s">
        <v>3580</v>
      </c>
      <c r="G942" s="59" t="s">
        <v>3587</v>
      </c>
      <c r="H942" s="59" t="s">
        <v>2281</v>
      </c>
      <c r="I942" s="59" t="b">
        <v>1</v>
      </c>
      <c r="J942" s="59"/>
      <c r="K942" s="58">
        <v>419</v>
      </c>
      <c r="L942" s="58">
        <v>1478</v>
      </c>
      <c r="M942" s="59">
        <v>10</v>
      </c>
      <c r="N942" s="59">
        <v>10</v>
      </c>
      <c r="O942" s="59" t="s">
        <v>3581</v>
      </c>
      <c r="P942" s="58">
        <v>148</v>
      </c>
      <c r="Q942" s="59">
        <v>0</v>
      </c>
      <c r="R942" s="59">
        <v>0</v>
      </c>
      <c r="S942" s="60">
        <f>tblJTL[[#This Row],[timeStamp]]/86400000+DATE(1970,1,1)+TIME(9,0,0)</f>
        <v>46296.419368333329</v>
      </c>
      <c r="T942" s="57">
        <f>tblJTL[[#This Row],[timeStamp]]+tblJTL[[#This Row],[elapsed]]</f>
        <v>1790816633575</v>
      </c>
      <c r="U942" s="61">
        <f>(tblJTL[[#This Row],[timeStamp]]-'17_分析サンプル'!$E$18)/1000</f>
        <v>233.244</v>
      </c>
      <c r="V942" s="57">
        <f>INT(tblJTL[[#This Row],[経過秒]]/60)</f>
        <v>3</v>
      </c>
      <c r="W942" s="57">
        <f>IF(OR(tblJTL[[#This Row],[success]]=FALSE,tblJTL[[#This Row],[success]]="false"),1,0)</f>
        <v>0</v>
      </c>
      <c r="X942" s="57">
        <f>IF(AND(tblJTL[[#This Row],[経過秒]]&gt;='17_分析サンプル'!$E$11,tblJTL[[#This Row],[経過秒]]&lt;'17_分析サンプル'!$E$12),1,0)</f>
        <v>1</v>
      </c>
    </row>
    <row r="943" spans="2:24" ht="14.4" x14ac:dyDescent="0.3">
      <c r="B943" s="57">
        <v>1790816633659</v>
      </c>
      <c r="C943" s="58">
        <v>210</v>
      </c>
      <c r="D943" s="59" t="s">
        <v>1677</v>
      </c>
      <c r="E943" s="59" t="s">
        <v>3579</v>
      </c>
      <c r="F943" s="59" t="s">
        <v>3580</v>
      </c>
      <c r="G943" s="59" t="s">
        <v>3586</v>
      </c>
      <c r="H943" s="59" t="s">
        <v>2281</v>
      </c>
      <c r="I943" s="59" t="b">
        <v>1</v>
      </c>
      <c r="J943" s="59"/>
      <c r="K943" s="58">
        <v>428</v>
      </c>
      <c r="L943" s="58">
        <v>1478</v>
      </c>
      <c r="M943" s="59">
        <v>10</v>
      </c>
      <c r="N943" s="59">
        <v>10</v>
      </c>
      <c r="O943" s="59" t="s">
        <v>3581</v>
      </c>
      <c r="P943" s="58">
        <v>205</v>
      </c>
      <c r="Q943" s="59">
        <v>0</v>
      </c>
      <c r="R943" s="59">
        <v>0</v>
      </c>
      <c r="S943" s="60">
        <f>tblJTL[[#This Row],[timeStamp]]/86400000+DATE(1970,1,1)+TIME(9,0,0)</f>
        <v>46296.419371053242</v>
      </c>
      <c r="T943" s="57">
        <f>tblJTL[[#This Row],[timeStamp]]+tblJTL[[#This Row],[elapsed]]</f>
        <v>1790816633869</v>
      </c>
      <c r="U943" s="61">
        <f>(tblJTL[[#This Row],[timeStamp]]-'17_分析サンプル'!$E$18)/1000</f>
        <v>233.47900000000001</v>
      </c>
      <c r="V943" s="57">
        <f>INT(tblJTL[[#This Row],[経過秒]]/60)</f>
        <v>3</v>
      </c>
      <c r="W943" s="57">
        <f>IF(OR(tblJTL[[#This Row],[success]]=FALSE,tblJTL[[#This Row],[success]]="false"),1,0)</f>
        <v>0</v>
      </c>
      <c r="X943" s="57">
        <f>IF(AND(tblJTL[[#This Row],[経過秒]]&gt;='17_分析サンプル'!$E$11,tblJTL[[#This Row],[経過秒]]&lt;'17_分析サンプル'!$E$12),1,0)</f>
        <v>1</v>
      </c>
    </row>
    <row r="944" spans="2:24" ht="14.4" x14ac:dyDescent="0.3">
      <c r="B944" s="57">
        <v>1790816633992</v>
      </c>
      <c r="C944" s="58">
        <v>152</v>
      </c>
      <c r="D944" s="59" t="s">
        <v>1658</v>
      </c>
      <c r="E944" s="59" t="s">
        <v>1577</v>
      </c>
      <c r="F944" s="59" t="s">
        <v>2275</v>
      </c>
      <c r="G944" s="59" t="s">
        <v>3582</v>
      </c>
      <c r="H944" s="59" t="s">
        <v>2281</v>
      </c>
      <c r="I944" s="59" t="b">
        <v>1</v>
      </c>
      <c r="J944" s="59"/>
      <c r="K944" s="58">
        <v>1866</v>
      </c>
      <c r="L944" s="58">
        <v>1342</v>
      </c>
      <c r="M944" s="59">
        <v>10</v>
      </c>
      <c r="N944" s="59">
        <v>10</v>
      </c>
      <c r="O944" s="59" t="s">
        <v>3578</v>
      </c>
      <c r="P944" s="58">
        <v>145</v>
      </c>
      <c r="Q944" s="59">
        <v>0</v>
      </c>
      <c r="R944" s="59">
        <v>0</v>
      </c>
      <c r="S944" s="60">
        <f>tblJTL[[#This Row],[timeStamp]]/86400000+DATE(1970,1,1)+TIME(9,0,0)</f>
        <v>46296.419374907404</v>
      </c>
      <c r="T944" s="57">
        <f>tblJTL[[#This Row],[timeStamp]]+tblJTL[[#This Row],[elapsed]]</f>
        <v>1790816634144</v>
      </c>
      <c r="U944" s="61">
        <f>(tblJTL[[#This Row],[timeStamp]]-'17_分析サンプル'!$E$18)/1000</f>
        <v>233.81200000000001</v>
      </c>
      <c r="V944" s="57">
        <f>INT(tblJTL[[#This Row],[経過秒]]/60)</f>
        <v>3</v>
      </c>
      <c r="W944" s="57">
        <f>IF(OR(tblJTL[[#This Row],[success]]=FALSE,tblJTL[[#This Row],[success]]="false"),1,0)</f>
        <v>0</v>
      </c>
      <c r="X944" s="57">
        <f>IF(AND(tblJTL[[#This Row],[経過秒]]&gt;='17_分析サンプル'!$E$11,tblJTL[[#This Row],[経過秒]]&lt;'17_分析サンプル'!$E$12),1,0)</f>
        <v>1</v>
      </c>
    </row>
    <row r="945" spans="2:24" ht="14.4" x14ac:dyDescent="0.3">
      <c r="B945" s="57">
        <v>1790816634153</v>
      </c>
      <c r="C945" s="58">
        <v>75</v>
      </c>
      <c r="D945" s="59" t="s">
        <v>1658</v>
      </c>
      <c r="E945" s="59" t="s">
        <v>1577</v>
      </c>
      <c r="F945" s="59" t="s">
        <v>2275</v>
      </c>
      <c r="G945" s="59" t="s">
        <v>3584</v>
      </c>
      <c r="H945" s="59" t="s">
        <v>2281</v>
      </c>
      <c r="I945" s="59" t="b">
        <v>1</v>
      </c>
      <c r="J945" s="59"/>
      <c r="K945" s="58">
        <v>1828</v>
      </c>
      <c r="L945" s="58">
        <v>1342</v>
      </c>
      <c r="M945" s="59">
        <v>10</v>
      </c>
      <c r="N945" s="59">
        <v>10</v>
      </c>
      <c r="O945" s="59" t="s">
        <v>3578</v>
      </c>
      <c r="P945" s="58">
        <v>67</v>
      </c>
      <c r="Q945" s="59">
        <v>0</v>
      </c>
      <c r="R945" s="59">
        <v>0</v>
      </c>
      <c r="S945" s="60">
        <f>tblJTL[[#This Row],[timeStamp]]/86400000+DATE(1970,1,1)+TIME(9,0,0)</f>
        <v>46296.419376770835</v>
      </c>
      <c r="T945" s="57">
        <f>tblJTL[[#This Row],[timeStamp]]+tblJTL[[#This Row],[elapsed]]</f>
        <v>1790816634228</v>
      </c>
      <c r="U945" s="61">
        <f>(tblJTL[[#This Row],[timeStamp]]-'17_分析サンプル'!$E$18)/1000</f>
        <v>233.97300000000001</v>
      </c>
      <c r="V945" s="57">
        <f>INT(tblJTL[[#This Row],[経過秒]]/60)</f>
        <v>3</v>
      </c>
      <c r="W945" s="57">
        <f>IF(OR(tblJTL[[#This Row],[success]]=FALSE,tblJTL[[#This Row],[success]]="false"),1,0)</f>
        <v>0</v>
      </c>
      <c r="X945" s="57">
        <f>IF(AND(tblJTL[[#This Row],[経過秒]]&gt;='17_分析サンプル'!$E$11,tblJTL[[#This Row],[経過秒]]&lt;'17_分析サンプル'!$E$12),1,0)</f>
        <v>1</v>
      </c>
    </row>
    <row r="946" spans="2:24" ht="14.4" x14ac:dyDescent="0.3">
      <c r="B946" s="57">
        <v>1790816635052</v>
      </c>
      <c r="C946" s="58">
        <v>81</v>
      </c>
      <c r="D946" s="59" t="s">
        <v>1658</v>
      </c>
      <c r="E946" s="59" t="s">
        <v>1577</v>
      </c>
      <c r="F946" s="59" t="s">
        <v>2275</v>
      </c>
      <c r="G946" s="59" t="s">
        <v>3577</v>
      </c>
      <c r="H946" s="59" t="s">
        <v>2281</v>
      </c>
      <c r="I946" s="59" t="b">
        <v>1</v>
      </c>
      <c r="J946" s="59"/>
      <c r="K946" s="58">
        <v>1820</v>
      </c>
      <c r="L946" s="58">
        <v>1342</v>
      </c>
      <c r="M946" s="59">
        <v>10</v>
      </c>
      <c r="N946" s="59">
        <v>10</v>
      </c>
      <c r="O946" s="59" t="s">
        <v>3578</v>
      </c>
      <c r="P946" s="58">
        <v>75</v>
      </c>
      <c r="Q946" s="59">
        <v>0</v>
      </c>
      <c r="R946" s="59">
        <v>0</v>
      </c>
      <c r="S946" s="60">
        <f>tblJTL[[#This Row],[timeStamp]]/86400000+DATE(1970,1,1)+TIME(9,0,0)</f>
        <v>46296.419387175927</v>
      </c>
      <c r="T946" s="57">
        <f>tblJTL[[#This Row],[timeStamp]]+tblJTL[[#This Row],[elapsed]]</f>
        <v>1790816635133</v>
      </c>
      <c r="U946" s="61">
        <f>(tblJTL[[#This Row],[timeStamp]]-'17_分析サンプル'!$E$18)/1000</f>
        <v>234.87200000000001</v>
      </c>
      <c r="V946" s="57">
        <f>INT(tblJTL[[#This Row],[経過秒]]/60)</f>
        <v>3</v>
      </c>
      <c r="W946" s="57">
        <f>IF(OR(tblJTL[[#This Row],[success]]=FALSE,tblJTL[[#This Row],[success]]="false"),1,0)</f>
        <v>0</v>
      </c>
      <c r="X946" s="57">
        <f>IF(AND(tblJTL[[#This Row],[経過秒]]&gt;='17_分析サンプル'!$E$11,tblJTL[[#This Row],[経過秒]]&lt;'17_分析サンプル'!$E$12),1,0)</f>
        <v>1</v>
      </c>
    </row>
    <row r="947" spans="2:24" ht="14.4" x14ac:dyDescent="0.3">
      <c r="B947" s="57">
        <v>1790816635215</v>
      </c>
      <c r="C947" s="58">
        <v>74</v>
      </c>
      <c r="D947" s="59" t="s">
        <v>1658</v>
      </c>
      <c r="E947" s="59" t="s">
        <v>1577</v>
      </c>
      <c r="F947" s="59" t="s">
        <v>2275</v>
      </c>
      <c r="G947" s="59" t="s">
        <v>3587</v>
      </c>
      <c r="H947" s="59" t="s">
        <v>2281</v>
      </c>
      <c r="I947" s="59" t="b">
        <v>1</v>
      </c>
      <c r="J947" s="59"/>
      <c r="K947" s="58">
        <v>1873</v>
      </c>
      <c r="L947" s="58">
        <v>1342</v>
      </c>
      <c r="M947" s="59">
        <v>10</v>
      </c>
      <c r="N947" s="59">
        <v>10</v>
      </c>
      <c r="O947" s="59" t="s">
        <v>3578</v>
      </c>
      <c r="P947" s="58">
        <v>67</v>
      </c>
      <c r="Q947" s="59">
        <v>0</v>
      </c>
      <c r="R947" s="59">
        <v>0</v>
      </c>
      <c r="S947" s="60">
        <f>tblJTL[[#This Row],[timeStamp]]/86400000+DATE(1970,1,1)+TIME(9,0,0)</f>
        <v>46296.419389062503</v>
      </c>
      <c r="T947" s="57">
        <f>tblJTL[[#This Row],[timeStamp]]+tblJTL[[#This Row],[elapsed]]</f>
        <v>1790816635289</v>
      </c>
      <c r="U947" s="61">
        <f>(tblJTL[[#This Row],[timeStamp]]-'17_分析サンプル'!$E$18)/1000</f>
        <v>235.035</v>
      </c>
      <c r="V947" s="57">
        <f>INT(tblJTL[[#This Row],[経過秒]]/60)</f>
        <v>3</v>
      </c>
      <c r="W947" s="57">
        <f>IF(OR(tblJTL[[#This Row],[success]]=FALSE,tblJTL[[#This Row],[success]]="false"),1,0)</f>
        <v>0</v>
      </c>
      <c r="X947" s="57">
        <f>IF(AND(tblJTL[[#This Row],[経過秒]]&gt;='17_分析サンプル'!$E$11,tblJTL[[#This Row],[経過秒]]&lt;'17_分析サンプル'!$E$12),1,0)</f>
        <v>1</v>
      </c>
    </row>
    <row r="948" spans="2:24" ht="14.4" x14ac:dyDescent="0.3">
      <c r="B948" s="57">
        <v>1790816635155</v>
      </c>
      <c r="C948" s="58">
        <v>153</v>
      </c>
      <c r="D948" s="59" t="s">
        <v>1677</v>
      </c>
      <c r="E948" s="59" t="s">
        <v>3579</v>
      </c>
      <c r="F948" s="59" t="s">
        <v>3580</v>
      </c>
      <c r="G948" s="59" t="s">
        <v>3589</v>
      </c>
      <c r="H948" s="59" t="s">
        <v>2281</v>
      </c>
      <c r="I948" s="59" t="b">
        <v>1</v>
      </c>
      <c r="J948" s="59"/>
      <c r="K948" s="58">
        <v>426</v>
      </c>
      <c r="L948" s="58">
        <v>1478</v>
      </c>
      <c r="M948" s="59">
        <v>10</v>
      </c>
      <c r="N948" s="59">
        <v>10</v>
      </c>
      <c r="O948" s="59" t="s">
        <v>3581</v>
      </c>
      <c r="P948" s="58">
        <v>148</v>
      </c>
      <c r="Q948" s="59">
        <v>0</v>
      </c>
      <c r="R948" s="59">
        <v>0</v>
      </c>
      <c r="S948" s="60">
        <f>tblJTL[[#This Row],[timeStamp]]/86400000+DATE(1970,1,1)+TIME(9,0,0)</f>
        <v>46296.419388368056</v>
      </c>
      <c r="T948" s="57">
        <f>tblJTL[[#This Row],[timeStamp]]+tblJTL[[#This Row],[elapsed]]</f>
        <v>1790816635308</v>
      </c>
      <c r="U948" s="61">
        <f>(tblJTL[[#This Row],[timeStamp]]-'17_分析サンプル'!$E$18)/1000</f>
        <v>234.97499999999999</v>
      </c>
      <c r="V948" s="57">
        <f>INT(tblJTL[[#This Row],[経過秒]]/60)</f>
        <v>3</v>
      </c>
      <c r="W948" s="57">
        <f>IF(OR(tblJTL[[#This Row],[success]]=FALSE,tblJTL[[#This Row],[success]]="false"),1,0)</f>
        <v>0</v>
      </c>
      <c r="X948" s="57">
        <f>IF(AND(tblJTL[[#This Row],[経過秒]]&gt;='17_分析サンプル'!$E$11,tblJTL[[#This Row],[経過秒]]&lt;'17_分析サンプル'!$E$12),1,0)</f>
        <v>1</v>
      </c>
    </row>
    <row r="949" spans="2:24" ht="14.4" x14ac:dyDescent="0.3">
      <c r="B949" s="57">
        <v>1790816635126</v>
      </c>
      <c r="C949" s="58">
        <v>390</v>
      </c>
      <c r="D949" s="59" t="s">
        <v>1677</v>
      </c>
      <c r="E949" s="59" t="s">
        <v>3579</v>
      </c>
      <c r="F949" s="59" t="s">
        <v>3580</v>
      </c>
      <c r="G949" s="59" t="s">
        <v>3583</v>
      </c>
      <c r="H949" s="59" t="s">
        <v>2281</v>
      </c>
      <c r="I949" s="59" t="b">
        <v>1</v>
      </c>
      <c r="J949" s="59"/>
      <c r="K949" s="58">
        <v>439</v>
      </c>
      <c r="L949" s="58">
        <v>1478</v>
      </c>
      <c r="M949" s="59">
        <v>10</v>
      </c>
      <c r="N949" s="59">
        <v>10</v>
      </c>
      <c r="O949" s="59" t="s">
        <v>3581</v>
      </c>
      <c r="P949" s="58">
        <v>382</v>
      </c>
      <c r="Q949" s="59">
        <v>0</v>
      </c>
      <c r="R949" s="59">
        <v>0</v>
      </c>
      <c r="S949" s="60">
        <f>tblJTL[[#This Row],[timeStamp]]/86400000+DATE(1970,1,1)+TIME(9,0,0)</f>
        <v>46296.419388032409</v>
      </c>
      <c r="T949" s="57">
        <f>tblJTL[[#This Row],[timeStamp]]+tblJTL[[#This Row],[elapsed]]</f>
        <v>1790816635516</v>
      </c>
      <c r="U949" s="61">
        <f>(tblJTL[[#This Row],[timeStamp]]-'17_分析サンプル'!$E$18)/1000</f>
        <v>234.946</v>
      </c>
      <c r="V949" s="57">
        <f>INT(tblJTL[[#This Row],[経過秒]]/60)</f>
        <v>3</v>
      </c>
      <c r="W949" s="57">
        <f>IF(OR(tblJTL[[#This Row],[success]]=FALSE,tblJTL[[#This Row],[success]]="false"),1,0)</f>
        <v>0</v>
      </c>
      <c r="X949" s="57">
        <f>IF(AND(tblJTL[[#This Row],[経過秒]]&gt;='17_分析サンプル'!$E$11,tblJTL[[#This Row],[経過秒]]&lt;'17_分析サンプル'!$E$12),1,0)</f>
        <v>1</v>
      </c>
    </row>
    <row r="950" spans="2:24" ht="14.4" x14ac:dyDescent="0.3">
      <c r="B950" s="57">
        <v>1790816635371</v>
      </c>
      <c r="C950" s="58">
        <v>283</v>
      </c>
      <c r="D950" s="59" t="s">
        <v>1677</v>
      </c>
      <c r="E950" s="59" t="s">
        <v>3579</v>
      </c>
      <c r="F950" s="59" t="s">
        <v>3580</v>
      </c>
      <c r="G950" s="59" t="s">
        <v>2278</v>
      </c>
      <c r="H950" s="59" t="s">
        <v>2281</v>
      </c>
      <c r="I950" s="59" t="b">
        <v>1</v>
      </c>
      <c r="J950" s="59"/>
      <c r="K950" s="58">
        <v>422</v>
      </c>
      <c r="L950" s="58">
        <v>1478</v>
      </c>
      <c r="M950" s="59">
        <v>10</v>
      </c>
      <c r="N950" s="59">
        <v>10</v>
      </c>
      <c r="O950" s="59" t="s">
        <v>3581</v>
      </c>
      <c r="P950" s="58">
        <v>281</v>
      </c>
      <c r="Q950" s="59">
        <v>0</v>
      </c>
      <c r="R950" s="59">
        <v>0</v>
      </c>
      <c r="S950" s="60">
        <f>tblJTL[[#This Row],[timeStamp]]/86400000+DATE(1970,1,1)+TIME(9,0,0)</f>
        <v>46296.419390868061</v>
      </c>
      <c r="T950" s="57">
        <f>tblJTL[[#This Row],[timeStamp]]+tblJTL[[#This Row],[elapsed]]</f>
        <v>1790816635654</v>
      </c>
      <c r="U950" s="61">
        <f>(tblJTL[[#This Row],[timeStamp]]-'17_分析サンプル'!$E$18)/1000</f>
        <v>235.191</v>
      </c>
      <c r="V950" s="57">
        <f>INT(tblJTL[[#This Row],[経過秒]]/60)</f>
        <v>3</v>
      </c>
      <c r="W950" s="57">
        <f>IF(OR(tblJTL[[#This Row],[success]]=FALSE,tblJTL[[#This Row],[success]]="false"),1,0)</f>
        <v>0</v>
      </c>
      <c r="X950" s="57">
        <f>IF(AND(tblJTL[[#This Row],[経過秒]]&gt;='17_分析サンプル'!$E$11,tblJTL[[#This Row],[経過秒]]&lt;'17_分析サンプル'!$E$12),1,0)</f>
        <v>1</v>
      </c>
    </row>
    <row r="951" spans="2:24" ht="14.4" x14ac:dyDescent="0.3">
      <c r="B951" s="57">
        <v>1790816635720</v>
      </c>
      <c r="C951" s="58">
        <v>202</v>
      </c>
      <c r="D951" s="59" t="s">
        <v>1677</v>
      </c>
      <c r="E951" s="59" t="s">
        <v>3579</v>
      </c>
      <c r="F951" s="59" t="s">
        <v>3580</v>
      </c>
      <c r="G951" s="59" t="s">
        <v>3585</v>
      </c>
      <c r="H951" s="59" t="s">
        <v>2281</v>
      </c>
      <c r="I951" s="59" t="b">
        <v>1</v>
      </c>
      <c r="J951" s="59"/>
      <c r="K951" s="58">
        <v>440</v>
      </c>
      <c r="L951" s="58">
        <v>1478</v>
      </c>
      <c r="M951" s="59">
        <v>10</v>
      </c>
      <c r="N951" s="59">
        <v>10</v>
      </c>
      <c r="O951" s="59" t="s">
        <v>3581</v>
      </c>
      <c r="P951" s="58">
        <v>194</v>
      </c>
      <c r="Q951" s="59">
        <v>0</v>
      </c>
      <c r="R951" s="59">
        <v>0</v>
      </c>
      <c r="S951" s="60">
        <f>tblJTL[[#This Row],[timeStamp]]/86400000+DATE(1970,1,1)+TIME(9,0,0)</f>
        <v>46296.419394907411</v>
      </c>
      <c r="T951" s="57">
        <f>tblJTL[[#This Row],[timeStamp]]+tblJTL[[#This Row],[elapsed]]</f>
        <v>1790816635922</v>
      </c>
      <c r="U951" s="61">
        <f>(tblJTL[[#This Row],[timeStamp]]-'17_分析サンプル'!$E$18)/1000</f>
        <v>235.54</v>
      </c>
      <c r="V951" s="57">
        <f>INT(tblJTL[[#This Row],[経過秒]]/60)</f>
        <v>3</v>
      </c>
      <c r="W951" s="57">
        <f>IF(OR(tblJTL[[#This Row],[success]]=FALSE,tblJTL[[#This Row],[success]]="false"),1,0)</f>
        <v>0</v>
      </c>
      <c r="X951" s="57">
        <f>IF(AND(tblJTL[[#This Row],[経過秒]]&gt;='17_分析サンプル'!$E$11,tblJTL[[#This Row],[経過秒]]&lt;'17_分析サンプル'!$E$12),1,0)</f>
        <v>1</v>
      </c>
    </row>
    <row r="952" spans="2:24" ht="14.4" x14ac:dyDescent="0.3">
      <c r="B952" s="57">
        <v>1790816636013</v>
      </c>
      <c r="C952" s="58">
        <v>268</v>
      </c>
      <c r="D952" s="59" t="s">
        <v>1677</v>
      </c>
      <c r="E952" s="59" t="s">
        <v>3579</v>
      </c>
      <c r="F952" s="59" t="s">
        <v>3580</v>
      </c>
      <c r="G952" s="59" t="s">
        <v>3588</v>
      </c>
      <c r="H952" s="59" t="s">
        <v>2281</v>
      </c>
      <c r="I952" s="59" t="b">
        <v>1</v>
      </c>
      <c r="J952" s="59"/>
      <c r="K952" s="58">
        <v>439</v>
      </c>
      <c r="L952" s="58">
        <v>1478</v>
      </c>
      <c r="M952" s="59">
        <v>10</v>
      </c>
      <c r="N952" s="59">
        <v>10</v>
      </c>
      <c r="O952" s="59" t="s">
        <v>3581</v>
      </c>
      <c r="P952" s="58">
        <v>260</v>
      </c>
      <c r="Q952" s="59">
        <v>0</v>
      </c>
      <c r="R952" s="59">
        <v>0</v>
      </c>
      <c r="S952" s="60">
        <f>tblJTL[[#This Row],[timeStamp]]/86400000+DATE(1970,1,1)+TIME(9,0,0)</f>
        <v>46296.419398298611</v>
      </c>
      <c r="T952" s="57">
        <f>tblJTL[[#This Row],[timeStamp]]+tblJTL[[#This Row],[elapsed]]</f>
        <v>1790816636281</v>
      </c>
      <c r="U952" s="61">
        <f>(tblJTL[[#This Row],[timeStamp]]-'17_分析サンプル'!$E$18)/1000</f>
        <v>235.833</v>
      </c>
      <c r="V952" s="57">
        <f>INT(tblJTL[[#This Row],[経過秒]]/60)</f>
        <v>3</v>
      </c>
      <c r="W952" s="57">
        <f>IF(OR(tblJTL[[#This Row],[success]]=FALSE,tblJTL[[#This Row],[success]]="false"),1,0)</f>
        <v>0</v>
      </c>
      <c r="X952" s="57">
        <f>IF(AND(tblJTL[[#This Row],[経過秒]]&gt;='17_分析サンプル'!$E$11,tblJTL[[#This Row],[経過秒]]&lt;'17_分析サンプル'!$E$12),1,0)</f>
        <v>1</v>
      </c>
    </row>
    <row r="953" spans="2:24" ht="14.4" x14ac:dyDescent="0.3">
      <c r="B953" s="57">
        <v>1790816636410</v>
      </c>
      <c r="C953" s="58">
        <v>156</v>
      </c>
      <c r="D953" s="59" t="s">
        <v>1658</v>
      </c>
      <c r="E953" s="59" t="s">
        <v>1577</v>
      </c>
      <c r="F953" s="59" t="s">
        <v>2275</v>
      </c>
      <c r="G953" s="59" t="s">
        <v>3589</v>
      </c>
      <c r="H953" s="59" t="s">
        <v>2281</v>
      </c>
      <c r="I953" s="59" t="b">
        <v>1</v>
      </c>
      <c r="J953" s="59"/>
      <c r="K953" s="58">
        <v>1849</v>
      </c>
      <c r="L953" s="58">
        <v>1342</v>
      </c>
      <c r="M953" s="59">
        <v>10</v>
      </c>
      <c r="N953" s="59">
        <v>10</v>
      </c>
      <c r="O953" s="59" t="s">
        <v>3578</v>
      </c>
      <c r="P953" s="58">
        <v>154</v>
      </c>
      <c r="Q953" s="59">
        <v>0</v>
      </c>
      <c r="R953" s="59">
        <v>0</v>
      </c>
      <c r="S953" s="60">
        <f>tblJTL[[#This Row],[timeStamp]]/86400000+DATE(1970,1,1)+TIME(9,0,0)</f>
        <v>46296.419402893516</v>
      </c>
      <c r="T953" s="57">
        <f>tblJTL[[#This Row],[timeStamp]]+tblJTL[[#This Row],[elapsed]]</f>
        <v>1790816636566</v>
      </c>
      <c r="U953" s="61">
        <f>(tblJTL[[#This Row],[timeStamp]]-'17_分析サンプル'!$E$18)/1000</f>
        <v>236.23</v>
      </c>
      <c r="V953" s="57">
        <f>INT(tblJTL[[#This Row],[経過秒]]/60)</f>
        <v>3</v>
      </c>
      <c r="W953" s="57">
        <f>IF(OR(tblJTL[[#This Row],[success]]=FALSE,tblJTL[[#This Row],[success]]="false"),1,0)</f>
        <v>0</v>
      </c>
      <c r="X953" s="57">
        <f>IF(AND(tblJTL[[#This Row],[経過秒]]&gt;='17_分析サンプル'!$E$11,tblJTL[[#This Row],[経過秒]]&lt;'17_分析サンプル'!$E$12),1,0)</f>
        <v>1</v>
      </c>
    </row>
    <row r="954" spans="2:24" ht="14.4" x14ac:dyDescent="0.3">
      <c r="B954" s="57">
        <v>1790816636298</v>
      </c>
      <c r="C954" s="58">
        <v>324</v>
      </c>
      <c r="D954" s="59" t="s">
        <v>1677</v>
      </c>
      <c r="E954" s="59" t="s">
        <v>3579</v>
      </c>
      <c r="F954" s="59" t="s">
        <v>3580</v>
      </c>
      <c r="G954" s="59" t="s">
        <v>3587</v>
      </c>
      <c r="H954" s="59" t="s">
        <v>2281</v>
      </c>
      <c r="I954" s="59" t="b">
        <v>1</v>
      </c>
      <c r="J954" s="59"/>
      <c r="K954" s="58">
        <v>415</v>
      </c>
      <c r="L954" s="58">
        <v>1478</v>
      </c>
      <c r="M954" s="59">
        <v>10</v>
      </c>
      <c r="N954" s="59">
        <v>10</v>
      </c>
      <c r="O954" s="59" t="s">
        <v>3581</v>
      </c>
      <c r="P954" s="58">
        <v>321</v>
      </c>
      <c r="Q954" s="59">
        <v>0</v>
      </c>
      <c r="R954" s="59">
        <v>0</v>
      </c>
      <c r="S954" s="60">
        <f>tblJTL[[#This Row],[timeStamp]]/86400000+DATE(1970,1,1)+TIME(9,0,0)</f>
        <v>46296.419401597217</v>
      </c>
      <c r="T954" s="57">
        <f>tblJTL[[#This Row],[timeStamp]]+tblJTL[[#This Row],[elapsed]]</f>
        <v>1790816636622</v>
      </c>
      <c r="U954" s="61">
        <f>(tblJTL[[#This Row],[timeStamp]]-'17_分析サンプル'!$E$18)/1000</f>
        <v>236.11799999999999</v>
      </c>
      <c r="V954" s="57">
        <f>INT(tblJTL[[#This Row],[経過秒]]/60)</f>
        <v>3</v>
      </c>
      <c r="W954" s="57">
        <f>IF(OR(tblJTL[[#This Row],[success]]=FALSE,tblJTL[[#This Row],[success]]="false"),1,0)</f>
        <v>0</v>
      </c>
      <c r="X954" s="57">
        <f>IF(AND(tblJTL[[#This Row],[経過秒]]&gt;='17_分析サンプル'!$E$11,tblJTL[[#This Row],[経過秒]]&lt;'17_分析サンプル'!$E$12),1,0)</f>
        <v>1</v>
      </c>
    </row>
    <row r="955" spans="2:24" ht="14.4" x14ac:dyDescent="0.3">
      <c r="B955" s="57">
        <v>1790816636539</v>
      </c>
      <c r="C955" s="58">
        <v>175</v>
      </c>
      <c r="D955" s="59" t="s">
        <v>1677</v>
      </c>
      <c r="E955" s="59" t="s">
        <v>3579</v>
      </c>
      <c r="F955" s="59" t="s">
        <v>3580</v>
      </c>
      <c r="G955" s="59" t="s">
        <v>3582</v>
      </c>
      <c r="H955" s="59" t="s">
        <v>2281</v>
      </c>
      <c r="I955" s="59" t="b">
        <v>1</v>
      </c>
      <c r="J955" s="59"/>
      <c r="K955" s="58">
        <v>411</v>
      </c>
      <c r="L955" s="58">
        <v>1478</v>
      </c>
      <c r="M955" s="59">
        <v>10</v>
      </c>
      <c r="N955" s="59">
        <v>10</v>
      </c>
      <c r="O955" s="59" t="s">
        <v>3581</v>
      </c>
      <c r="P955" s="58">
        <v>170</v>
      </c>
      <c r="Q955" s="59">
        <v>0</v>
      </c>
      <c r="R955" s="59">
        <v>0</v>
      </c>
      <c r="S955" s="60">
        <f>tblJTL[[#This Row],[timeStamp]]/86400000+DATE(1970,1,1)+TIME(9,0,0)</f>
        <v>46296.419404386572</v>
      </c>
      <c r="T955" s="57">
        <f>tblJTL[[#This Row],[timeStamp]]+tblJTL[[#This Row],[elapsed]]</f>
        <v>1790816636714</v>
      </c>
      <c r="U955" s="61">
        <f>(tblJTL[[#This Row],[timeStamp]]-'17_分析サンプル'!$E$18)/1000</f>
        <v>236.35900000000001</v>
      </c>
      <c r="V955" s="57">
        <f>INT(tblJTL[[#This Row],[経過秒]]/60)</f>
        <v>3</v>
      </c>
      <c r="W955" s="57">
        <f>IF(OR(tblJTL[[#This Row],[success]]=FALSE,tblJTL[[#This Row],[success]]="false"),1,0)</f>
        <v>0</v>
      </c>
      <c r="X955" s="57">
        <f>IF(AND(tblJTL[[#This Row],[経過秒]]&gt;='17_分析サンプル'!$E$11,tblJTL[[#This Row],[経過秒]]&lt;'17_分析サンプル'!$E$12),1,0)</f>
        <v>1</v>
      </c>
    </row>
    <row r="956" spans="2:24" ht="14.4" x14ac:dyDescent="0.3">
      <c r="B956" s="57">
        <v>1790816636661</v>
      </c>
      <c r="C956" s="58">
        <v>145</v>
      </c>
      <c r="D956" s="59" t="s">
        <v>1658</v>
      </c>
      <c r="E956" s="59" t="s">
        <v>1577</v>
      </c>
      <c r="F956" s="59" t="s">
        <v>2275</v>
      </c>
      <c r="G956" s="59" t="s">
        <v>3586</v>
      </c>
      <c r="H956" s="59" t="s">
        <v>2281</v>
      </c>
      <c r="I956" s="59" t="b">
        <v>1</v>
      </c>
      <c r="J956" s="59"/>
      <c r="K956" s="58">
        <v>1895</v>
      </c>
      <c r="L956" s="58">
        <v>1342</v>
      </c>
      <c r="M956" s="59">
        <v>10</v>
      </c>
      <c r="N956" s="59">
        <v>10</v>
      </c>
      <c r="O956" s="59" t="s">
        <v>3578</v>
      </c>
      <c r="P956" s="58">
        <v>143</v>
      </c>
      <c r="Q956" s="59">
        <v>0</v>
      </c>
      <c r="R956" s="59">
        <v>0</v>
      </c>
      <c r="S956" s="60">
        <f>tblJTL[[#This Row],[timeStamp]]/86400000+DATE(1970,1,1)+TIME(9,0,0)</f>
        <v>46296.41940579861</v>
      </c>
      <c r="T956" s="57">
        <f>tblJTL[[#This Row],[timeStamp]]+tblJTL[[#This Row],[elapsed]]</f>
        <v>1790816636806</v>
      </c>
      <c r="U956" s="61">
        <f>(tblJTL[[#This Row],[timeStamp]]-'17_分析サンプル'!$E$18)/1000</f>
        <v>236.48099999999999</v>
      </c>
      <c r="V956" s="57">
        <f>INT(tblJTL[[#This Row],[経過秒]]/60)</f>
        <v>3</v>
      </c>
      <c r="W956" s="57">
        <f>IF(OR(tblJTL[[#This Row],[success]]=FALSE,tblJTL[[#This Row],[success]]="false"),1,0)</f>
        <v>0</v>
      </c>
      <c r="X956" s="57">
        <f>IF(AND(tblJTL[[#This Row],[経過秒]]&gt;='17_分析サンプル'!$E$11,tblJTL[[#This Row],[経過秒]]&lt;'17_分析サンプル'!$E$12),1,0)</f>
        <v>1</v>
      </c>
    </row>
    <row r="957" spans="2:24" ht="14.4" x14ac:dyDescent="0.3">
      <c r="B957" s="57">
        <v>1790816636779</v>
      </c>
      <c r="C957" s="58">
        <v>153</v>
      </c>
      <c r="D957" s="59" t="s">
        <v>1677</v>
      </c>
      <c r="E957" s="59" t="s">
        <v>3579</v>
      </c>
      <c r="F957" s="59" t="s">
        <v>3580</v>
      </c>
      <c r="G957" s="59" t="s">
        <v>3584</v>
      </c>
      <c r="H957" s="59" t="s">
        <v>2281</v>
      </c>
      <c r="I957" s="59" t="b">
        <v>1</v>
      </c>
      <c r="J957" s="59"/>
      <c r="K957" s="58">
        <v>410</v>
      </c>
      <c r="L957" s="58">
        <v>1478</v>
      </c>
      <c r="M957" s="59">
        <v>10</v>
      </c>
      <c r="N957" s="59">
        <v>10</v>
      </c>
      <c r="O957" s="59" t="s">
        <v>3581</v>
      </c>
      <c r="P957" s="58">
        <v>150</v>
      </c>
      <c r="Q957" s="59">
        <v>0</v>
      </c>
      <c r="R957" s="59">
        <v>0</v>
      </c>
      <c r="S957" s="60">
        <f>tblJTL[[#This Row],[timeStamp]]/86400000+DATE(1970,1,1)+TIME(9,0,0)</f>
        <v>46296.419407164351</v>
      </c>
      <c r="T957" s="57">
        <f>tblJTL[[#This Row],[timeStamp]]+tblJTL[[#This Row],[elapsed]]</f>
        <v>1790816636932</v>
      </c>
      <c r="U957" s="61">
        <f>(tblJTL[[#This Row],[timeStamp]]-'17_分析サンプル'!$E$18)/1000</f>
        <v>236.59899999999999</v>
      </c>
      <c r="V957" s="57">
        <f>INT(tblJTL[[#This Row],[経過秒]]/60)</f>
        <v>3</v>
      </c>
      <c r="W957" s="57">
        <f>IF(OR(tblJTL[[#This Row],[success]]=FALSE,tblJTL[[#This Row],[success]]="false"),1,0)</f>
        <v>0</v>
      </c>
      <c r="X957" s="57">
        <f>IF(AND(tblJTL[[#This Row],[経過秒]]&gt;='17_分析サンプル'!$E$11,tblJTL[[#This Row],[経過秒]]&lt;'17_分析サンプル'!$E$12),1,0)</f>
        <v>1</v>
      </c>
    </row>
    <row r="958" spans="2:24" ht="14.4" x14ac:dyDescent="0.3">
      <c r="B958" s="57">
        <v>1790816637009</v>
      </c>
      <c r="C958" s="58">
        <v>200</v>
      </c>
      <c r="D958" s="59" t="s">
        <v>1658</v>
      </c>
      <c r="E958" s="59" t="s">
        <v>1577</v>
      </c>
      <c r="F958" s="59" t="s">
        <v>2275</v>
      </c>
      <c r="G958" s="59" t="s">
        <v>2278</v>
      </c>
      <c r="H958" s="59" t="s">
        <v>2281</v>
      </c>
      <c r="I958" s="59" t="b">
        <v>1</v>
      </c>
      <c r="J958" s="59"/>
      <c r="K958" s="58">
        <v>1849</v>
      </c>
      <c r="L958" s="58">
        <v>1342</v>
      </c>
      <c r="M958" s="59">
        <v>10</v>
      </c>
      <c r="N958" s="59">
        <v>10</v>
      </c>
      <c r="O958" s="59" t="s">
        <v>3578</v>
      </c>
      <c r="P958" s="58">
        <v>198</v>
      </c>
      <c r="Q958" s="59">
        <v>0</v>
      </c>
      <c r="R958" s="59">
        <v>0</v>
      </c>
      <c r="S958" s="60">
        <f>tblJTL[[#This Row],[timeStamp]]/86400000+DATE(1970,1,1)+TIME(9,0,0)</f>
        <v>46296.419409826391</v>
      </c>
      <c r="T958" s="57">
        <f>tblJTL[[#This Row],[timeStamp]]+tblJTL[[#This Row],[elapsed]]</f>
        <v>1790816637209</v>
      </c>
      <c r="U958" s="61">
        <f>(tblJTL[[#This Row],[timeStamp]]-'17_分析サンプル'!$E$18)/1000</f>
        <v>236.82900000000001</v>
      </c>
      <c r="V958" s="57">
        <f>INT(tblJTL[[#This Row],[経過秒]]/60)</f>
        <v>3</v>
      </c>
      <c r="W958" s="57">
        <f>IF(OR(tblJTL[[#This Row],[success]]=FALSE,tblJTL[[#This Row],[success]]="false"),1,0)</f>
        <v>0</v>
      </c>
      <c r="X958" s="57">
        <f>IF(AND(tblJTL[[#This Row],[経過秒]]&gt;='17_分析サンプル'!$E$11,tblJTL[[#This Row],[経過秒]]&lt;'17_分析サンプル'!$E$12),1,0)</f>
        <v>1</v>
      </c>
    </row>
    <row r="959" spans="2:24" ht="14.4" x14ac:dyDescent="0.3">
      <c r="B959" s="57">
        <v>1790816637181</v>
      </c>
      <c r="C959" s="58">
        <v>152</v>
      </c>
      <c r="D959" s="59" t="s">
        <v>1658</v>
      </c>
      <c r="E959" s="59" t="s">
        <v>1577</v>
      </c>
      <c r="F959" s="59" t="s">
        <v>2275</v>
      </c>
      <c r="G959" s="59" t="s">
        <v>3583</v>
      </c>
      <c r="H959" s="59" t="s">
        <v>2281</v>
      </c>
      <c r="I959" s="59" t="b">
        <v>1</v>
      </c>
      <c r="J959" s="59"/>
      <c r="K959" s="58">
        <v>1889</v>
      </c>
      <c r="L959" s="58">
        <v>1342</v>
      </c>
      <c r="M959" s="59">
        <v>10</v>
      </c>
      <c r="N959" s="59">
        <v>10</v>
      </c>
      <c r="O959" s="59" t="s">
        <v>3578</v>
      </c>
      <c r="P959" s="58">
        <v>145</v>
      </c>
      <c r="Q959" s="59">
        <v>0</v>
      </c>
      <c r="R959" s="59">
        <v>0</v>
      </c>
      <c r="S959" s="60">
        <f>tblJTL[[#This Row],[timeStamp]]/86400000+DATE(1970,1,1)+TIME(9,0,0)</f>
        <v>46296.419411817129</v>
      </c>
      <c r="T959" s="57">
        <f>tblJTL[[#This Row],[timeStamp]]+tblJTL[[#This Row],[elapsed]]</f>
        <v>1790816637333</v>
      </c>
      <c r="U959" s="61">
        <f>(tblJTL[[#This Row],[timeStamp]]-'17_分析サンプル'!$E$18)/1000</f>
        <v>237.001</v>
      </c>
      <c r="V959" s="57">
        <f>INT(tblJTL[[#This Row],[経過秒]]/60)</f>
        <v>3</v>
      </c>
      <c r="W959" s="57">
        <f>IF(OR(tblJTL[[#This Row],[success]]=FALSE,tblJTL[[#This Row],[success]]="false"),1,0)</f>
        <v>0</v>
      </c>
      <c r="X959" s="57">
        <f>IF(AND(tblJTL[[#This Row],[経過秒]]&gt;='17_分析サンプル'!$E$11,tblJTL[[#This Row],[経過秒]]&lt;'17_分析サンプル'!$E$12),1,0)</f>
        <v>1</v>
      </c>
    </row>
    <row r="960" spans="2:24" ht="14.4" x14ac:dyDescent="0.3">
      <c r="B960" s="57">
        <v>1790816637182</v>
      </c>
      <c r="C960" s="58">
        <v>153</v>
      </c>
      <c r="D960" s="59" t="s">
        <v>1677</v>
      </c>
      <c r="E960" s="59" t="s">
        <v>3579</v>
      </c>
      <c r="F960" s="59" t="s">
        <v>3580</v>
      </c>
      <c r="G960" s="59" t="s">
        <v>3577</v>
      </c>
      <c r="H960" s="59" t="s">
        <v>2281</v>
      </c>
      <c r="I960" s="59" t="b">
        <v>1</v>
      </c>
      <c r="J960" s="59"/>
      <c r="K960" s="58">
        <v>411</v>
      </c>
      <c r="L960" s="58">
        <v>1478</v>
      </c>
      <c r="M960" s="59">
        <v>10</v>
      </c>
      <c r="N960" s="59">
        <v>10</v>
      </c>
      <c r="O960" s="59" t="s">
        <v>3581</v>
      </c>
      <c r="P960" s="58">
        <v>147</v>
      </c>
      <c r="Q960" s="59">
        <v>0</v>
      </c>
      <c r="R960" s="59">
        <v>0</v>
      </c>
      <c r="S960" s="60">
        <f>tblJTL[[#This Row],[timeStamp]]/86400000+DATE(1970,1,1)+TIME(9,0,0)</f>
        <v>46296.419411828705</v>
      </c>
      <c r="T960" s="57">
        <f>tblJTL[[#This Row],[timeStamp]]+tblJTL[[#This Row],[elapsed]]</f>
        <v>1790816637335</v>
      </c>
      <c r="U960" s="61">
        <f>(tblJTL[[#This Row],[timeStamp]]-'17_分析サンプル'!$E$18)/1000</f>
        <v>237.00200000000001</v>
      </c>
      <c r="V960" s="57">
        <f>INT(tblJTL[[#This Row],[経過秒]]/60)</f>
        <v>3</v>
      </c>
      <c r="W960" s="57">
        <f>IF(OR(tblJTL[[#This Row],[success]]=FALSE,tblJTL[[#This Row],[success]]="false"),1,0)</f>
        <v>0</v>
      </c>
      <c r="X960" s="57">
        <f>IF(AND(tblJTL[[#This Row],[経過秒]]&gt;='17_分析サンプル'!$E$11,tblJTL[[#This Row],[経過秒]]&lt;'17_分析サンプル'!$E$12),1,0)</f>
        <v>1</v>
      </c>
    </row>
    <row r="961" spans="2:24" ht="14.4" x14ac:dyDescent="0.3">
      <c r="B961" s="57">
        <v>1790816637981</v>
      </c>
      <c r="C961" s="58">
        <v>121</v>
      </c>
      <c r="D961" s="59" t="s">
        <v>1658</v>
      </c>
      <c r="E961" s="59" t="s">
        <v>1577</v>
      </c>
      <c r="F961" s="59" t="s">
        <v>2275</v>
      </c>
      <c r="G961" s="59" t="s">
        <v>3585</v>
      </c>
      <c r="H961" s="59" t="s">
        <v>2281</v>
      </c>
      <c r="I961" s="59" t="b">
        <v>1</v>
      </c>
      <c r="J961" s="59"/>
      <c r="K961" s="58">
        <v>1889</v>
      </c>
      <c r="L961" s="58">
        <v>1342</v>
      </c>
      <c r="M961" s="59">
        <v>10</v>
      </c>
      <c r="N961" s="59">
        <v>10</v>
      </c>
      <c r="O961" s="59" t="s">
        <v>3578</v>
      </c>
      <c r="P961" s="58">
        <v>114</v>
      </c>
      <c r="Q961" s="59">
        <v>0</v>
      </c>
      <c r="R961" s="59">
        <v>0</v>
      </c>
      <c r="S961" s="60">
        <f>tblJTL[[#This Row],[timeStamp]]/86400000+DATE(1970,1,1)+TIME(9,0,0)</f>
        <v>46296.419421076389</v>
      </c>
      <c r="T961" s="57">
        <f>tblJTL[[#This Row],[timeStamp]]+tblJTL[[#This Row],[elapsed]]</f>
        <v>1790816638102</v>
      </c>
      <c r="U961" s="61">
        <f>(tblJTL[[#This Row],[timeStamp]]-'17_分析サンプル'!$E$18)/1000</f>
        <v>237.80099999999999</v>
      </c>
      <c r="V961" s="57">
        <f>INT(tblJTL[[#This Row],[経過秒]]/60)</f>
        <v>3</v>
      </c>
      <c r="W961" s="57">
        <f>IF(OR(tblJTL[[#This Row],[success]]=FALSE,tblJTL[[#This Row],[success]]="false"),1,0)</f>
        <v>0</v>
      </c>
      <c r="X961" s="57">
        <f>IF(AND(tblJTL[[#This Row],[経過秒]]&gt;='17_分析サンプル'!$E$11,tblJTL[[#This Row],[経過秒]]&lt;'17_分析サンプル'!$E$12),1,0)</f>
        <v>1</v>
      </c>
    </row>
    <row r="962" spans="2:24" ht="14.4" x14ac:dyDescent="0.3">
      <c r="B962" s="57">
        <v>1790816638455</v>
      </c>
      <c r="C962" s="58">
        <v>85</v>
      </c>
      <c r="D962" s="59" t="s">
        <v>1658</v>
      </c>
      <c r="E962" s="59" t="s">
        <v>1577</v>
      </c>
      <c r="F962" s="59" t="s">
        <v>2275</v>
      </c>
      <c r="G962" s="59" t="s">
        <v>3587</v>
      </c>
      <c r="H962" s="59" t="s">
        <v>2281</v>
      </c>
      <c r="I962" s="59" t="b">
        <v>1</v>
      </c>
      <c r="J962" s="59"/>
      <c r="K962" s="58">
        <v>1871</v>
      </c>
      <c r="L962" s="58">
        <v>1342</v>
      </c>
      <c r="M962" s="59">
        <v>10</v>
      </c>
      <c r="N962" s="59">
        <v>10</v>
      </c>
      <c r="O962" s="59" t="s">
        <v>3578</v>
      </c>
      <c r="P962" s="58">
        <v>78</v>
      </c>
      <c r="Q962" s="59">
        <v>0</v>
      </c>
      <c r="R962" s="59">
        <v>0</v>
      </c>
      <c r="S962" s="60">
        <f>tblJTL[[#This Row],[timeStamp]]/86400000+DATE(1970,1,1)+TIME(9,0,0)</f>
        <v>46296.419426562497</v>
      </c>
      <c r="T962" s="57">
        <f>tblJTL[[#This Row],[timeStamp]]+tblJTL[[#This Row],[elapsed]]</f>
        <v>1790816638540</v>
      </c>
      <c r="U962" s="61">
        <f>(tblJTL[[#This Row],[timeStamp]]-'17_分析サンプル'!$E$18)/1000</f>
        <v>238.27500000000001</v>
      </c>
      <c r="V962" s="57">
        <f>INT(tblJTL[[#This Row],[経過秒]]/60)</f>
        <v>3</v>
      </c>
      <c r="W962" s="57">
        <f>IF(OR(tblJTL[[#This Row],[success]]=FALSE,tblJTL[[#This Row],[success]]="false"),1,0)</f>
        <v>0</v>
      </c>
      <c r="X962" s="57">
        <f>IF(AND(tblJTL[[#This Row],[経過秒]]&gt;='17_分析サンプル'!$E$11,tblJTL[[#This Row],[経過秒]]&lt;'17_分析サンプル'!$E$12),1,0)</f>
        <v>1</v>
      </c>
    </row>
    <row r="963" spans="2:24" ht="14.4" x14ac:dyDescent="0.3">
      <c r="B963" s="57">
        <v>1790816638635</v>
      </c>
      <c r="C963" s="58">
        <v>265</v>
      </c>
      <c r="D963" s="59" t="s">
        <v>1677</v>
      </c>
      <c r="E963" s="59" t="s">
        <v>3579</v>
      </c>
      <c r="F963" s="59" t="s">
        <v>3580</v>
      </c>
      <c r="G963" s="59" t="s">
        <v>3583</v>
      </c>
      <c r="H963" s="59" t="s">
        <v>2281</v>
      </c>
      <c r="I963" s="59" t="b">
        <v>1</v>
      </c>
      <c r="J963" s="59"/>
      <c r="K963" s="58">
        <v>440</v>
      </c>
      <c r="L963" s="58">
        <v>1478</v>
      </c>
      <c r="M963" s="59">
        <v>10</v>
      </c>
      <c r="N963" s="59">
        <v>10</v>
      </c>
      <c r="O963" s="59" t="s">
        <v>3581</v>
      </c>
      <c r="P963" s="58">
        <v>257</v>
      </c>
      <c r="Q963" s="59">
        <v>0</v>
      </c>
      <c r="R963" s="59">
        <v>0</v>
      </c>
      <c r="S963" s="60">
        <f>tblJTL[[#This Row],[timeStamp]]/86400000+DATE(1970,1,1)+TIME(9,0,0)</f>
        <v>46296.419428645837</v>
      </c>
      <c r="T963" s="57">
        <f>tblJTL[[#This Row],[timeStamp]]+tblJTL[[#This Row],[elapsed]]</f>
        <v>1790816638900</v>
      </c>
      <c r="U963" s="61">
        <f>(tblJTL[[#This Row],[timeStamp]]-'17_分析サンプル'!$E$18)/1000</f>
        <v>238.45500000000001</v>
      </c>
      <c r="V963" s="57">
        <f>INT(tblJTL[[#This Row],[経過秒]]/60)</f>
        <v>3</v>
      </c>
      <c r="W963" s="57">
        <f>IF(OR(tblJTL[[#This Row],[success]]=FALSE,tblJTL[[#This Row],[success]]="false"),1,0)</f>
        <v>0</v>
      </c>
      <c r="X963" s="57">
        <f>IF(AND(tblJTL[[#This Row],[経過秒]]&gt;='17_分析サンプル'!$E$11,tblJTL[[#This Row],[経過秒]]&lt;'17_分析サンプル'!$E$12),1,0)</f>
        <v>1</v>
      </c>
    </row>
    <row r="964" spans="2:24" ht="14.4" x14ac:dyDescent="0.3">
      <c r="B964" s="57">
        <v>1790816638962</v>
      </c>
      <c r="C964" s="58">
        <v>267</v>
      </c>
      <c r="D964" s="59" t="s">
        <v>1677</v>
      </c>
      <c r="E964" s="59" t="s">
        <v>3579</v>
      </c>
      <c r="F964" s="59" t="s">
        <v>3580</v>
      </c>
      <c r="G964" s="59" t="s">
        <v>3589</v>
      </c>
      <c r="H964" s="59" t="s">
        <v>2281</v>
      </c>
      <c r="I964" s="59" t="b">
        <v>1</v>
      </c>
      <c r="J964" s="59"/>
      <c r="K964" s="58">
        <v>419</v>
      </c>
      <c r="L964" s="58">
        <v>1478</v>
      </c>
      <c r="M964" s="59">
        <v>10</v>
      </c>
      <c r="N964" s="59">
        <v>10</v>
      </c>
      <c r="O964" s="59" t="s">
        <v>3581</v>
      </c>
      <c r="P964" s="58">
        <v>265</v>
      </c>
      <c r="Q964" s="59">
        <v>0</v>
      </c>
      <c r="R964" s="59">
        <v>0</v>
      </c>
      <c r="S964" s="60">
        <f>tblJTL[[#This Row],[timeStamp]]/86400000+DATE(1970,1,1)+TIME(9,0,0)</f>
        <v>46296.419432430557</v>
      </c>
      <c r="T964" s="57">
        <f>tblJTL[[#This Row],[timeStamp]]+tblJTL[[#This Row],[elapsed]]</f>
        <v>1790816639229</v>
      </c>
      <c r="U964" s="61">
        <f>(tblJTL[[#This Row],[timeStamp]]-'17_分析サンプル'!$E$18)/1000</f>
        <v>238.78200000000001</v>
      </c>
      <c r="V964" s="57">
        <f>INT(tblJTL[[#This Row],[経過秒]]/60)</f>
        <v>3</v>
      </c>
      <c r="W964" s="57">
        <f>IF(OR(tblJTL[[#This Row],[success]]=FALSE,tblJTL[[#This Row],[success]]="false"),1,0)</f>
        <v>0</v>
      </c>
      <c r="X964" s="57">
        <f>IF(AND(tblJTL[[#This Row],[経過秒]]&gt;='17_分析サンプル'!$E$11,tblJTL[[#This Row],[経過秒]]&lt;'17_分析サンプル'!$E$12),1,0)</f>
        <v>1</v>
      </c>
    </row>
    <row r="965" spans="2:24" ht="14.4" x14ac:dyDescent="0.3">
      <c r="B965" s="57">
        <v>1790816639031</v>
      </c>
      <c r="C965" s="58">
        <v>201</v>
      </c>
      <c r="D965" s="59" t="s">
        <v>1658</v>
      </c>
      <c r="E965" s="59" t="s">
        <v>1577</v>
      </c>
      <c r="F965" s="59" t="s">
        <v>2275</v>
      </c>
      <c r="G965" s="59" t="s">
        <v>3588</v>
      </c>
      <c r="H965" s="59" t="s">
        <v>2281</v>
      </c>
      <c r="I965" s="59" t="b">
        <v>1</v>
      </c>
      <c r="J965" s="59"/>
      <c r="K965" s="58">
        <v>1893</v>
      </c>
      <c r="L965" s="58">
        <v>1342</v>
      </c>
      <c r="M965" s="59">
        <v>10</v>
      </c>
      <c r="N965" s="59">
        <v>10</v>
      </c>
      <c r="O965" s="59" t="s">
        <v>3578</v>
      </c>
      <c r="P965" s="58">
        <v>196</v>
      </c>
      <c r="Q965" s="59">
        <v>0</v>
      </c>
      <c r="R965" s="59">
        <v>0</v>
      </c>
      <c r="S965" s="60">
        <f>tblJTL[[#This Row],[timeStamp]]/86400000+DATE(1970,1,1)+TIME(9,0,0)</f>
        <v>46296.419433229166</v>
      </c>
      <c r="T965" s="57">
        <f>tblJTL[[#This Row],[timeStamp]]+tblJTL[[#This Row],[elapsed]]</f>
        <v>1790816639232</v>
      </c>
      <c r="U965" s="61">
        <f>(tblJTL[[#This Row],[timeStamp]]-'17_分析サンプル'!$E$18)/1000</f>
        <v>238.851</v>
      </c>
      <c r="V965" s="57">
        <f>INT(tblJTL[[#This Row],[経過秒]]/60)</f>
        <v>3</v>
      </c>
      <c r="W965" s="57">
        <f>IF(OR(tblJTL[[#This Row],[success]]=FALSE,tblJTL[[#This Row],[success]]="false"),1,0)</f>
        <v>0</v>
      </c>
      <c r="X965" s="57">
        <f>IF(AND(tblJTL[[#This Row],[経過秒]]&gt;='17_分析サンプル'!$E$11,tblJTL[[#This Row],[経過秒]]&lt;'17_分析サンプル'!$E$12),1,0)</f>
        <v>1</v>
      </c>
    </row>
    <row r="966" spans="2:24" ht="14.4" x14ac:dyDescent="0.3">
      <c r="B966" s="57">
        <v>1790816639168</v>
      </c>
      <c r="C966" s="58">
        <v>205</v>
      </c>
      <c r="D966" s="59" t="s">
        <v>1677</v>
      </c>
      <c r="E966" s="59" t="s">
        <v>3579</v>
      </c>
      <c r="F966" s="59" t="s">
        <v>3580</v>
      </c>
      <c r="G966" s="59" t="s">
        <v>3586</v>
      </c>
      <c r="H966" s="59" t="s">
        <v>2281</v>
      </c>
      <c r="I966" s="59" t="b">
        <v>1</v>
      </c>
      <c r="J966" s="59"/>
      <c r="K966" s="58">
        <v>422</v>
      </c>
      <c r="L966" s="58">
        <v>1478</v>
      </c>
      <c r="M966" s="59">
        <v>10</v>
      </c>
      <c r="N966" s="59">
        <v>10</v>
      </c>
      <c r="O966" s="59" t="s">
        <v>3581</v>
      </c>
      <c r="P966" s="58">
        <v>201</v>
      </c>
      <c r="Q966" s="59">
        <v>0</v>
      </c>
      <c r="R966" s="59">
        <v>0</v>
      </c>
      <c r="S966" s="60">
        <f>tblJTL[[#This Row],[timeStamp]]/86400000+DATE(1970,1,1)+TIME(9,0,0)</f>
        <v>46296.419434814816</v>
      </c>
      <c r="T966" s="57">
        <f>tblJTL[[#This Row],[timeStamp]]+tblJTL[[#This Row],[elapsed]]</f>
        <v>1790816639373</v>
      </c>
      <c r="U966" s="61">
        <f>(tblJTL[[#This Row],[timeStamp]]-'17_分析サンプル'!$E$18)/1000</f>
        <v>238.988</v>
      </c>
      <c r="V966" s="57">
        <f>INT(tblJTL[[#This Row],[経過秒]]/60)</f>
        <v>3</v>
      </c>
      <c r="W966" s="57">
        <f>IF(OR(tblJTL[[#This Row],[success]]=FALSE,tblJTL[[#This Row],[success]]="false"),1,0)</f>
        <v>0</v>
      </c>
      <c r="X966" s="57">
        <f>IF(AND(tblJTL[[#This Row],[経過秒]]&gt;='17_分析サンプル'!$E$11,tblJTL[[#This Row],[経過秒]]&lt;'17_分析サンプル'!$E$12),1,0)</f>
        <v>1</v>
      </c>
    </row>
    <row r="967" spans="2:24" ht="14.4" x14ac:dyDescent="0.3">
      <c r="B967" s="57">
        <v>1790816639358</v>
      </c>
      <c r="C967" s="58">
        <v>144</v>
      </c>
      <c r="D967" s="59" t="s">
        <v>1658</v>
      </c>
      <c r="E967" s="59" t="s">
        <v>1577</v>
      </c>
      <c r="F967" s="59" t="s">
        <v>2275</v>
      </c>
      <c r="G967" s="59" t="s">
        <v>3582</v>
      </c>
      <c r="H967" s="59" t="s">
        <v>2281</v>
      </c>
      <c r="I967" s="59" t="b">
        <v>1</v>
      </c>
      <c r="J967" s="59"/>
      <c r="K967" s="58">
        <v>1896</v>
      </c>
      <c r="L967" s="58">
        <v>1342</v>
      </c>
      <c r="M967" s="59">
        <v>10</v>
      </c>
      <c r="N967" s="59">
        <v>10</v>
      </c>
      <c r="O967" s="59" t="s">
        <v>3578</v>
      </c>
      <c r="P967" s="58">
        <v>138</v>
      </c>
      <c r="Q967" s="59">
        <v>0</v>
      </c>
      <c r="R967" s="59">
        <v>0</v>
      </c>
      <c r="S967" s="60">
        <f>tblJTL[[#This Row],[timeStamp]]/86400000+DATE(1970,1,1)+TIME(9,0,0)</f>
        <v>46296.419437013887</v>
      </c>
      <c r="T967" s="57">
        <f>tblJTL[[#This Row],[timeStamp]]+tblJTL[[#This Row],[elapsed]]</f>
        <v>1790816639502</v>
      </c>
      <c r="U967" s="61">
        <f>(tblJTL[[#This Row],[timeStamp]]-'17_分析サンプル'!$E$18)/1000</f>
        <v>239.178</v>
      </c>
      <c r="V967" s="57">
        <f>INT(tblJTL[[#This Row],[経過秒]]/60)</f>
        <v>3</v>
      </c>
      <c r="W967" s="57">
        <f>IF(OR(tblJTL[[#This Row],[success]]=FALSE,tblJTL[[#This Row],[success]]="false"),1,0)</f>
        <v>0</v>
      </c>
      <c r="X967" s="57">
        <f>IF(AND(tblJTL[[#This Row],[経過秒]]&gt;='17_分析サンプル'!$E$11,tblJTL[[#This Row],[経過秒]]&lt;'17_分析サンプル'!$E$12),1,0)</f>
        <v>1</v>
      </c>
    </row>
    <row r="968" spans="2:24" ht="14.4" x14ac:dyDescent="0.3">
      <c r="B968" s="57">
        <v>1790816639450</v>
      </c>
      <c r="C968" s="58">
        <v>277</v>
      </c>
      <c r="D968" s="59" t="s">
        <v>1677</v>
      </c>
      <c r="E968" s="59" t="s">
        <v>3579</v>
      </c>
      <c r="F968" s="59" t="s">
        <v>3580</v>
      </c>
      <c r="G968" s="59" t="s">
        <v>3585</v>
      </c>
      <c r="H968" s="59" t="s">
        <v>2281</v>
      </c>
      <c r="I968" s="59" t="b">
        <v>1</v>
      </c>
      <c r="J968" s="59"/>
      <c r="K968" s="58">
        <v>416</v>
      </c>
      <c r="L968" s="58">
        <v>1478</v>
      </c>
      <c r="M968" s="59">
        <v>10</v>
      </c>
      <c r="N968" s="59">
        <v>10</v>
      </c>
      <c r="O968" s="59" t="s">
        <v>3581</v>
      </c>
      <c r="P968" s="58">
        <v>269</v>
      </c>
      <c r="Q968" s="59">
        <v>0</v>
      </c>
      <c r="R968" s="59">
        <v>0</v>
      </c>
      <c r="S968" s="60">
        <f>tblJTL[[#This Row],[timeStamp]]/86400000+DATE(1970,1,1)+TIME(9,0,0)</f>
        <v>46296.419438078708</v>
      </c>
      <c r="T968" s="57">
        <f>tblJTL[[#This Row],[timeStamp]]+tblJTL[[#This Row],[elapsed]]</f>
        <v>1790816639727</v>
      </c>
      <c r="U968" s="61">
        <f>(tblJTL[[#This Row],[timeStamp]]-'17_分析サンプル'!$E$18)/1000</f>
        <v>239.27</v>
      </c>
      <c r="V968" s="57">
        <f>INT(tblJTL[[#This Row],[経過秒]]/60)</f>
        <v>3</v>
      </c>
      <c r="W968" s="57">
        <f>IF(OR(tblJTL[[#This Row],[success]]=FALSE,tblJTL[[#This Row],[success]]="false"),1,0)</f>
        <v>0</v>
      </c>
      <c r="X968" s="57">
        <f>IF(AND(tblJTL[[#This Row],[経過秒]]&gt;='17_分析サンプル'!$E$11,tblJTL[[#This Row],[経過秒]]&lt;'17_分析サンプル'!$E$12),1,0)</f>
        <v>1</v>
      </c>
    </row>
    <row r="969" spans="2:24" ht="14.4" x14ac:dyDescent="0.3">
      <c r="B969" s="57">
        <v>1790816639787</v>
      </c>
      <c r="C969" s="58">
        <v>90</v>
      </c>
      <c r="D969" s="59" t="s">
        <v>1658</v>
      </c>
      <c r="E969" s="59" t="s">
        <v>1577</v>
      </c>
      <c r="F969" s="59" t="s">
        <v>2275</v>
      </c>
      <c r="G969" s="59" t="s">
        <v>3584</v>
      </c>
      <c r="H969" s="59" t="s">
        <v>2281</v>
      </c>
      <c r="I969" s="59" t="b">
        <v>1</v>
      </c>
      <c r="J969" s="59"/>
      <c r="K969" s="58">
        <v>1889</v>
      </c>
      <c r="L969" s="58">
        <v>1342</v>
      </c>
      <c r="M969" s="59">
        <v>10</v>
      </c>
      <c r="N969" s="59">
        <v>10</v>
      </c>
      <c r="O969" s="59" t="s">
        <v>3578</v>
      </c>
      <c r="P969" s="58">
        <v>84</v>
      </c>
      <c r="Q969" s="59">
        <v>0</v>
      </c>
      <c r="R969" s="59">
        <v>0</v>
      </c>
      <c r="S969" s="60">
        <f>tblJTL[[#This Row],[timeStamp]]/86400000+DATE(1970,1,1)+TIME(9,0,0)</f>
        <v>46296.419441979167</v>
      </c>
      <c r="T969" s="57">
        <f>tblJTL[[#This Row],[timeStamp]]+tblJTL[[#This Row],[elapsed]]</f>
        <v>1790816639877</v>
      </c>
      <c r="U969" s="61">
        <f>(tblJTL[[#This Row],[timeStamp]]-'17_分析サンプル'!$E$18)/1000</f>
        <v>239.607</v>
      </c>
      <c r="V969" s="57">
        <f>INT(tblJTL[[#This Row],[経過秒]]/60)</f>
        <v>3</v>
      </c>
      <c r="W969" s="57">
        <f>IF(OR(tblJTL[[#This Row],[success]]=FALSE,tblJTL[[#This Row],[success]]="false"),1,0)</f>
        <v>0</v>
      </c>
      <c r="X969" s="57">
        <f>IF(AND(tblJTL[[#This Row],[経過秒]]&gt;='17_分析サンプル'!$E$11,tblJTL[[#This Row],[経過秒]]&lt;'17_分析サンプル'!$E$12),1,0)</f>
        <v>1</v>
      </c>
    </row>
    <row r="970" spans="2:24" ht="14.4" x14ac:dyDescent="0.3">
      <c r="B970" s="57">
        <v>1790816640084</v>
      </c>
      <c r="C970" s="58">
        <v>88</v>
      </c>
      <c r="D970" s="59" t="s">
        <v>1658</v>
      </c>
      <c r="E970" s="59" t="s">
        <v>1577</v>
      </c>
      <c r="F970" s="59" t="s">
        <v>2275</v>
      </c>
      <c r="G970" s="59" t="s">
        <v>3583</v>
      </c>
      <c r="H970" s="59" t="s">
        <v>2281</v>
      </c>
      <c r="I970" s="59" t="b">
        <v>1</v>
      </c>
      <c r="J970" s="59"/>
      <c r="K970" s="58">
        <v>1891</v>
      </c>
      <c r="L970" s="58">
        <v>1342</v>
      </c>
      <c r="M970" s="59">
        <v>10</v>
      </c>
      <c r="N970" s="59">
        <v>10</v>
      </c>
      <c r="O970" s="59" t="s">
        <v>3578</v>
      </c>
      <c r="P970" s="58">
        <v>80</v>
      </c>
      <c r="Q970" s="59">
        <v>0</v>
      </c>
      <c r="R970" s="59">
        <v>0</v>
      </c>
      <c r="S970" s="60">
        <f>tblJTL[[#This Row],[timeStamp]]/86400000+DATE(1970,1,1)+TIME(9,0,0)</f>
        <v>46296.419445416672</v>
      </c>
      <c r="T970" s="57">
        <f>tblJTL[[#This Row],[timeStamp]]+tblJTL[[#This Row],[elapsed]]</f>
        <v>1790816640172</v>
      </c>
      <c r="U970" s="61">
        <f>(tblJTL[[#This Row],[timeStamp]]-'17_分析サンプル'!$E$18)/1000</f>
        <v>239.904</v>
      </c>
      <c r="V970" s="57">
        <f>INT(tblJTL[[#This Row],[経過秒]]/60)</f>
        <v>3</v>
      </c>
      <c r="W970" s="57">
        <f>IF(OR(tblJTL[[#This Row],[success]]=FALSE,tblJTL[[#This Row],[success]]="false"),1,0)</f>
        <v>0</v>
      </c>
      <c r="X970" s="57">
        <f>IF(AND(tblJTL[[#This Row],[経過秒]]&gt;='17_分析サンプル'!$E$11,tblJTL[[#This Row],[経過秒]]&lt;'17_分析サンプル'!$E$12),1,0)</f>
        <v>1</v>
      </c>
    </row>
    <row r="971" spans="2:24" ht="14.4" x14ac:dyDescent="0.3">
      <c r="B971" s="57">
        <v>1790816639780</v>
      </c>
      <c r="C971" s="58">
        <v>429</v>
      </c>
      <c r="D971" s="59" t="s">
        <v>1677</v>
      </c>
      <c r="E971" s="59" t="s">
        <v>3579</v>
      </c>
      <c r="F971" s="59" t="s">
        <v>3580</v>
      </c>
      <c r="G971" s="59" t="s">
        <v>2278</v>
      </c>
      <c r="H971" s="59" t="s">
        <v>2281</v>
      </c>
      <c r="I971" s="59" t="b">
        <v>1</v>
      </c>
      <c r="J971" s="59"/>
      <c r="K971" s="58">
        <v>433</v>
      </c>
      <c r="L971" s="58">
        <v>1478</v>
      </c>
      <c r="M971" s="59">
        <v>10</v>
      </c>
      <c r="N971" s="59">
        <v>10</v>
      </c>
      <c r="O971" s="59" t="s">
        <v>3581</v>
      </c>
      <c r="P971" s="58">
        <v>426</v>
      </c>
      <c r="Q971" s="59">
        <v>0</v>
      </c>
      <c r="R971" s="59">
        <v>0</v>
      </c>
      <c r="S971" s="60">
        <f>tblJTL[[#This Row],[timeStamp]]/86400000+DATE(1970,1,1)+TIME(9,0,0)</f>
        <v>46296.41944189815</v>
      </c>
      <c r="T971" s="57">
        <f>tblJTL[[#This Row],[timeStamp]]+tblJTL[[#This Row],[elapsed]]</f>
        <v>1790816640209</v>
      </c>
      <c r="U971" s="61">
        <f>(tblJTL[[#This Row],[timeStamp]]-'17_分析サンプル'!$E$18)/1000</f>
        <v>239.6</v>
      </c>
      <c r="V971" s="57">
        <f>INT(tblJTL[[#This Row],[経過秒]]/60)</f>
        <v>3</v>
      </c>
      <c r="W971" s="57">
        <f>IF(OR(tblJTL[[#This Row],[success]]=FALSE,tblJTL[[#This Row],[success]]="false"),1,0)</f>
        <v>0</v>
      </c>
      <c r="X971" s="57">
        <f>IF(AND(tblJTL[[#This Row],[経過秒]]&gt;='17_分析サンプル'!$E$11,tblJTL[[#This Row],[経過秒]]&lt;'17_分析サンプル'!$E$12),1,0)</f>
        <v>1</v>
      </c>
    </row>
    <row r="972" spans="2:24" ht="14.4" x14ac:dyDescent="0.3">
      <c r="B972" s="57">
        <v>1790816640059</v>
      </c>
      <c r="C972" s="58">
        <v>157</v>
      </c>
      <c r="D972" s="59" t="s">
        <v>1658</v>
      </c>
      <c r="E972" s="59" t="s">
        <v>1577</v>
      </c>
      <c r="F972" s="59" t="s">
        <v>2275</v>
      </c>
      <c r="G972" s="59" t="s">
        <v>3577</v>
      </c>
      <c r="H972" s="59" t="s">
        <v>2281</v>
      </c>
      <c r="I972" s="59" t="b">
        <v>1</v>
      </c>
      <c r="J972" s="59"/>
      <c r="K972" s="58">
        <v>1862</v>
      </c>
      <c r="L972" s="58">
        <v>1342</v>
      </c>
      <c r="M972" s="59">
        <v>10</v>
      </c>
      <c r="N972" s="59">
        <v>10</v>
      </c>
      <c r="O972" s="59" t="s">
        <v>3578</v>
      </c>
      <c r="P972" s="58">
        <v>150</v>
      </c>
      <c r="Q972" s="59">
        <v>0</v>
      </c>
      <c r="R972" s="59">
        <v>0</v>
      </c>
      <c r="S972" s="60">
        <f>tblJTL[[#This Row],[timeStamp]]/86400000+DATE(1970,1,1)+TIME(9,0,0)</f>
        <v>46296.419445127314</v>
      </c>
      <c r="T972" s="57">
        <f>tblJTL[[#This Row],[timeStamp]]+tblJTL[[#This Row],[elapsed]]</f>
        <v>1790816640216</v>
      </c>
      <c r="U972" s="61">
        <f>(tblJTL[[#This Row],[timeStamp]]-'17_分析サンプル'!$E$18)/1000</f>
        <v>239.87899999999999</v>
      </c>
      <c r="V972" s="57">
        <f>INT(tblJTL[[#This Row],[経過秒]]/60)</f>
        <v>3</v>
      </c>
      <c r="W972" s="57">
        <f>IF(OR(tblJTL[[#This Row],[success]]=FALSE,tblJTL[[#This Row],[success]]="false"),1,0)</f>
        <v>0</v>
      </c>
      <c r="X972" s="57">
        <f>IF(AND(tblJTL[[#This Row],[経過秒]]&gt;='17_分析サンプル'!$E$11,tblJTL[[#This Row],[経過秒]]&lt;'17_分析サンプル'!$E$12),1,0)</f>
        <v>1</v>
      </c>
    </row>
    <row r="973" spans="2:24" ht="14.4" x14ac:dyDescent="0.3">
      <c r="B973" s="57">
        <v>1790816640600</v>
      </c>
      <c r="C973" s="58">
        <v>223</v>
      </c>
      <c r="D973" s="59" t="s">
        <v>1677</v>
      </c>
      <c r="E973" s="59" t="s">
        <v>3579</v>
      </c>
      <c r="F973" s="59" t="s">
        <v>3580</v>
      </c>
      <c r="G973" s="59" t="s">
        <v>3587</v>
      </c>
      <c r="H973" s="59" t="s">
        <v>2281</v>
      </c>
      <c r="I973" s="59" t="b">
        <v>1</v>
      </c>
      <c r="J973" s="59"/>
      <c r="K973" s="58">
        <v>427</v>
      </c>
      <c r="L973" s="58">
        <v>1478</v>
      </c>
      <c r="M973" s="59">
        <v>10</v>
      </c>
      <c r="N973" s="59">
        <v>10</v>
      </c>
      <c r="O973" s="59" t="s">
        <v>3581</v>
      </c>
      <c r="P973" s="58">
        <v>217</v>
      </c>
      <c r="Q973" s="59">
        <v>0</v>
      </c>
      <c r="R973" s="59">
        <v>0</v>
      </c>
      <c r="S973" s="60">
        <f>tblJTL[[#This Row],[timeStamp]]/86400000+DATE(1970,1,1)+TIME(9,0,0)</f>
        <v>46296.419451388894</v>
      </c>
      <c r="T973" s="57">
        <f>tblJTL[[#This Row],[timeStamp]]+tblJTL[[#This Row],[elapsed]]</f>
        <v>1790816640823</v>
      </c>
      <c r="U973" s="61">
        <f>(tblJTL[[#This Row],[timeStamp]]-'17_分析サンプル'!$E$18)/1000</f>
        <v>240.42</v>
      </c>
      <c r="V973" s="57">
        <f>INT(tblJTL[[#This Row],[経過秒]]/60)</f>
        <v>4</v>
      </c>
      <c r="W973" s="57">
        <f>IF(OR(tblJTL[[#This Row],[success]]=FALSE,tblJTL[[#This Row],[success]]="false"),1,0)</f>
        <v>0</v>
      </c>
      <c r="X973" s="57">
        <f>IF(AND(tblJTL[[#This Row],[経過秒]]&gt;='17_分析サンプル'!$E$11,tblJTL[[#This Row],[経過秒]]&lt;'17_分析サンプル'!$E$12),1,0)</f>
        <v>1</v>
      </c>
    </row>
    <row r="974" spans="2:24" ht="14.4" x14ac:dyDescent="0.3">
      <c r="B974" s="57">
        <v>1790816640765</v>
      </c>
      <c r="C974" s="58">
        <v>149</v>
      </c>
      <c r="D974" s="59" t="s">
        <v>1677</v>
      </c>
      <c r="E974" s="59" t="s">
        <v>3579</v>
      </c>
      <c r="F974" s="59" t="s">
        <v>3580</v>
      </c>
      <c r="G974" s="59" t="s">
        <v>3582</v>
      </c>
      <c r="H974" s="59" t="s">
        <v>2281</v>
      </c>
      <c r="I974" s="59" t="b">
        <v>1</v>
      </c>
      <c r="J974" s="59"/>
      <c r="K974" s="58">
        <v>427</v>
      </c>
      <c r="L974" s="58">
        <v>1478</v>
      </c>
      <c r="M974" s="59">
        <v>10</v>
      </c>
      <c r="N974" s="59">
        <v>10</v>
      </c>
      <c r="O974" s="59" t="s">
        <v>3581</v>
      </c>
      <c r="P974" s="58">
        <v>143</v>
      </c>
      <c r="Q974" s="59">
        <v>0</v>
      </c>
      <c r="R974" s="59">
        <v>0</v>
      </c>
      <c r="S974" s="60">
        <f>tblJTL[[#This Row],[timeStamp]]/86400000+DATE(1970,1,1)+TIME(9,0,0)</f>
        <v>46296.419453298615</v>
      </c>
      <c r="T974" s="57">
        <f>tblJTL[[#This Row],[timeStamp]]+tblJTL[[#This Row],[elapsed]]</f>
        <v>1790816640914</v>
      </c>
      <c r="U974" s="61">
        <f>(tblJTL[[#This Row],[timeStamp]]-'17_分析サンプル'!$E$18)/1000</f>
        <v>240.58500000000001</v>
      </c>
      <c r="V974" s="57">
        <f>INT(tblJTL[[#This Row],[経過秒]]/60)</f>
        <v>4</v>
      </c>
      <c r="W974" s="57">
        <f>IF(OR(tblJTL[[#This Row],[success]]=FALSE,tblJTL[[#This Row],[success]]="false"),1,0)</f>
        <v>0</v>
      </c>
      <c r="X974" s="57">
        <f>IF(AND(tblJTL[[#This Row],[経過秒]]&gt;='17_分析サンプル'!$E$11,tblJTL[[#This Row],[経過秒]]&lt;'17_分析サンプル'!$E$12),1,0)</f>
        <v>1</v>
      </c>
    </row>
    <row r="975" spans="2:24" ht="14.4" x14ac:dyDescent="0.3">
      <c r="B975" s="57">
        <v>1790816640960</v>
      </c>
      <c r="C975" s="58">
        <v>125</v>
      </c>
      <c r="D975" s="59" t="s">
        <v>1658</v>
      </c>
      <c r="E975" s="59" t="s">
        <v>1577</v>
      </c>
      <c r="F975" s="59" t="s">
        <v>2275</v>
      </c>
      <c r="G975" s="59" t="s">
        <v>3585</v>
      </c>
      <c r="H975" s="59" t="s">
        <v>2281</v>
      </c>
      <c r="I975" s="59" t="b">
        <v>1</v>
      </c>
      <c r="J975" s="59"/>
      <c r="K975" s="58">
        <v>1849</v>
      </c>
      <c r="L975" s="58">
        <v>1342</v>
      </c>
      <c r="M975" s="59">
        <v>10</v>
      </c>
      <c r="N975" s="59">
        <v>10</v>
      </c>
      <c r="O975" s="59" t="s">
        <v>3578</v>
      </c>
      <c r="P975" s="58">
        <v>118</v>
      </c>
      <c r="Q975" s="59">
        <v>0</v>
      </c>
      <c r="R975" s="59">
        <v>0</v>
      </c>
      <c r="S975" s="60">
        <f>tblJTL[[#This Row],[timeStamp]]/86400000+DATE(1970,1,1)+TIME(9,0,0)</f>
        <v>46296.419455555559</v>
      </c>
      <c r="T975" s="57">
        <f>tblJTL[[#This Row],[timeStamp]]+tblJTL[[#This Row],[elapsed]]</f>
        <v>1790816641085</v>
      </c>
      <c r="U975" s="61">
        <f>(tblJTL[[#This Row],[timeStamp]]-'17_分析サンプル'!$E$18)/1000</f>
        <v>240.78</v>
      </c>
      <c r="V975" s="57">
        <f>INT(tblJTL[[#This Row],[経過秒]]/60)</f>
        <v>4</v>
      </c>
      <c r="W975" s="57">
        <f>IF(OR(tblJTL[[#This Row],[success]]=FALSE,tblJTL[[#This Row],[success]]="false"),1,0)</f>
        <v>0</v>
      </c>
      <c r="X975" s="57">
        <f>IF(AND(tblJTL[[#This Row],[経過秒]]&gt;='17_分析サンプル'!$E$11,tblJTL[[#This Row],[経過秒]]&lt;'17_分析サンプル'!$E$12),1,0)</f>
        <v>1</v>
      </c>
    </row>
    <row r="976" spans="2:24" ht="14.4" x14ac:dyDescent="0.3">
      <c r="B976" s="57">
        <v>1790816640966</v>
      </c>
      <c r="C976" s="58">
        <v>125</v>
      </c>
      <c r="D976" s="59" t="s">
        <v>1658</v>
      </c>
      <c r="E976" s="59" t="s">
        <v>1577</v>
      </c>
      <c r="F976" s="59" t="s">
        <v>2275</v>
      </c>
      <c r="G976" s="59" t="s">
        <v>3586</v>
      </c>
      <c r="H976" s="59" t="s">
        <v>2281</v>
      </c>
      <c r="I976" s="59" t="b">
        <v>1</v>
      </c>
      <c r="J976" s="59"/>
      <c r="K976" s="58">
        <v>1842</v>
      </c>
      <c r="L976" s="58">
        <v>1342</v>
      </c>
      <c r="M976" s="59">
        <v>10</v>
      </c>
      <c r="N976" s="59">
        <v>10</v>
      </c>
      <c r="O976" s="59" t="s">
        <v>3578</v>
      </c>
      <c r="P976" s="58">
        <v>118</v>
      </c>
      <c r="Q976" s="59">
        <v>0</v>
      </c>
      <c r="R976" s="59">
        <v>0</v>
      </c>
      <c r="S976" s="60">
        <f>tblJTL[[#This Row],[timeStamp]]/86400000+DATE(1970,1,1)+TIME(9,0,0)</f>
        <v>46296.419455625</v>
      </c>
      <c r="T976" s="57">
        <f>tblJTL[[#This Row],[timeStamp]]+tblJTL[[#This Row],[elapsed]]</f>
        <v>1790816641091</v>
      </c>
      <c r="U976" s="61">
        <f>(tblJTL[[#This Row],[timeStamp]]-'17_分析サンプル'!$E$18)/1000</f>
        <v>240.786</v>
      </c>
      <c r="V976" s="57">
        <f>INT(tblJTL[[#This Row],[経過秒]]/60)</f>
        <v>4</v>
      </c>
      <c r="W976" s="57">
        <f>IF(OR(tblJTL[[#This Row],[success]]=FALSE,tblJTL[[#This Row],[success]]="false"),1,0)</f>
        <v>0</v>
      </c>
      <c r="X976" s="57">
        <f>IF(AND(tblJTL[[#This Row],[経過秒]]&gt;='17_分析サンプル'!$E$11,tblJTL[[#This Row],[経過秒]]&lt;'17_分析サンプル'!$E$12),1,0)</f>
        <v>1</v>
      </c>
    </row>
    <row r="977" spans="2:24" ht="14.4" x14ac:dyDescent="0.3">
      <c r="B977" s="57">
        <v>1790816641165</v>
      </c>
      <c r="C977" s="58">
        <v>210</v>
      </c>
      <c r="D977" s="59" t="s">
        <v>1658</v>
      </c>
      <c r="E977" s="59" t="s">
        <v>1577</v>
      </c>
      <c r="F977" s="59" t="s">
        <v>2275</v>
      </c>
      <c r="G977" s="59" t="s">
        <v>3589</v>
      </c>
      <c r="H977" s="59" t="s">
        <v>2281</v>
      </c>
      <c r="I977" s="59" t="b">
        <v>1</v>
      </c>
      <c r="J977" s="59"/>
      <c r="K977" s="58">
        <v>1857</v>
      </c>
      <c r="L977" s="58">
        <v>1342</v>
      </c>
      <c r="M977" s="59">
        <v>10</v>
      </c>
      <c r="N977" s="59">
        <v>10</v>
      </c>
      <c r="O977" s="59" t="s">
        <v>3578</v>
      </c>
      <c r="P977" s="58">
        <v>205</v>
      </c>
      <c r="Q977" s="59">
        <v>0</v>
      </c>
      <c r="R977" s="59">
        <v>67</v>
      </c>
      <c r="S977" s="60">
        <f>tblJTL[[#This Row],[timeStamp]]/86400000+DATE(1970,1,1)+TIME(9,0,0)</f>
        <v>46296.419457928241</v>
      </c>
      <c r="T977" s="57">
        <f>tblJTL[[#This Row],[timeStamp]]+tblJTL[[#This Row],[elapsed]]</f>
        <v>1790816641375</v>
      </c>
      <c r="U977" s="61">
        <f>(tblJTL[[#This Row],[timeStamp]]-'17_分析サンプル'!$E$18)/1000</f>
        <v>240.98500000000001</v>
      </c>
      <c r="V977" s="57">
        <f>INT(tblJTL[[#This Row],[経過秒]]/60)</f>
        <v>4</v>
      </c>
      <c r="W977" s="57">
        <f>IF(OR(tblJTL[[#This Row],[success]]=FALSE,tblJTL[[#This Row],[success]]="false"),1,0)</f>
        <v>0</v>
      </c>
      <c r="X977" s="57">
        <f>IF(AND(tblJTL[[#This Row],[経過秒]]&gt;='17_分析サンプル'!$E$11,tblJTL[[#This Row],[経過秒]]&lt;'17_分析サンプル'!$E$12),1,0)</f>
        <v>1</v>
      </c>
    </row>
    <row r="978" spans="2:24" ht="14.4" x14ac:dyDescent="0.3">
      <c r="B978" s="57">
        <v>1790816641487</v>
      </c>
      <c r="C978" s="58">
        <v>251</v>
      </c>
      <c r="D978" s="59" t="s">
        <v>1677</v>
      </c>
      <c r="E978" s="59" t="s">
        <v>3579</v>
      </c>
      <c r="F978" s="59" t="s">
        <v>3580</v>
      </c>
      <c r="G978" s="59" t="s">
        <v>3577</v>
      </c>
      <c r="H978" s="59" t="s">
        <v>2281</v>
      </c>
      <c r="I978" s="59" t="b">
        <v>1</v>
      </c>
      <c r="J978" s="59"/>
      <c r="K978" s="58">
        <v>423</v>
      </c>
      <c r="L978" s="58">
        <v>1478</v>
      </c>
      <c r="M978" s="59">
        <v>10</v>
      </c>
      <c r="N978" s="59">
        <v>10</v>
      </c>
      <c r="O978" s="59" t="s">
        <v>3581</v>
      </c>
      <c r="P978" s="58">
        <v>249</v>
      </c>
      <c r="Q978" s="59">
        <v>0</v>
      </c>
      <c r="R978" s="59">
        <v>0</v>
      </c>
      <c r="S978" s="60">
        <f>tblJTL[[#This Row],[timeStamp]]/86400000+DATE(1970,1,1)+TIME(9,0,0)</f>
        <v>46296.419461655096</v>
      </c>
      <c r="T978" s="57">
        <f>tblJTL[[#This Row],[timeStamp]]+tblJTL[[#This Row],[elapsed]]</f>
        <v>1790816641738</v>
      </c>
      <c r="U978" s="61">
        <f>(tblJTL[[#This Row],[timeStamp]]-'17_分析サンプル'!$E$18)/1000</f>
        <v>241.30699999999999</v>
      </c>
      <c r="V978" s="57">
        <f>INT(tblJTL[[#This Row],[経過秒]]/60)</f>
        <v>4</v>
      </c>
      <c r="W978" s="57">
        <f>IF(OR(tblJTL[[#This Row],[success]]=FALSE,tblJTL[[#This Row],[success]]="false"),1,0)</f>
        <v>0</v>
      </c>
      <c r="X978" s="57">
        <f>IF(AND(tblJTL[[#This Row],[経過秒]]&gt;='17_分析サンプル'!$E$11,tblJTL[[#This Row],[経過秒]]&lt;'17_分析サンプル'!$E$12),1,0)</f>
        <v>1</v>
      </c>
    </row>
    <row r="979" spans="2:24" ht="14.4" x14ac:dyDescent="0.3">
      <c r="B979" s="57">
        <v>1790816641556</v>
      </c>
      <c r="C979" s="58">
        <v>193</v>
      </c>
      <c r="D979" s="59" t="s">
        <v>1658</v>
      </c>
      <c r="E979" s="59" t="s">
        <v>1577</v>
      </c>
      <c r="F979" s="59" t="s">
        <v>2275</v>
      </c>
      <c r="G979" s="59" t="s">
        <v>2278</v>
      </c>
      <c r="H979" s="59" t="s">
        <v>2281</v>
      </c>
      <c r="I979" s="59" t="b">
        <v>1</v>
      </c>
      <c r="J979" s="59"/>
      <c r="K979" s="58">
        <v>1832</v>
      </c>
      <c r="L979" s="58">
        <v>1342</v>
      </c>
      <c r="M979" s="59">
        <v>10</v>
      </c>
      <c r="N979" s="59">
        <v>10</v>
      </c>
      <c r="O979" s="59" t="s">
        <v>3578</v>
      </c>
      <c r="P979" s="58">
        <v>187</v>
      </c>
      <c r="Q979" s="59">
        <v>0</v>
      </c>
      <c r="R979" s="59">
        <v>0</v>
      </c>
      <c r="S979" s="60">
        <f>tblJTL[[#This Row],[timeStamp]]/86400000+DATE(1970,1,1)+TIME(9,0,0)</f>
        <v>46296.419462453705</v>
      </c>
      <c r="T979" s="57">
        <f>tblJTL[[#This Row],[timeStamp]]+tblJTL[[#This Row],[elapsed]]</f>
        <v>1790816641749</v>
      </c>
      <c r="U979" s="61">
        <f>(tblJTL[[#This Row],[timeStamp]]-'17_分析サンプル'!$E$18)/1000</f>
        <v>241.376</v>
      </c>
      <c r="V979" s="57">
        <f>INT(tblJTL[[#This Row],[経過秒]]/60)</f>
        <v>4</v>
      </c>
      <c r="W979" s="57">
        <f>IF(OR(tblJTL[[#This Row],[success]]=FALSE,tblJTL[[#This Row],[success]]="false"),1,0)</f>
        <v>0</v>
      </c>
      <c r="X979" s="57">
        <f>IF(AND(tblJTL[[#This Row],[経過秒]]&gt;='17_分析サンプル'!$E$11,tblJTL[[#This Row],[経過秒]]&lt;'17_分析サンプル'!$E$12),1,0)</f>
        <v>1</v>
      </c>
    </row>
    <row r="980" spans="2:24" ht="14.4" x14ac:dyDescent="0.3">
      <c r="B980" s="57">
        <v>1790816641688</v>
      </c>
      <c r="C980" s="58">
        <v>241</v>
      </c>
      <c r="D980" s="59" t="s">
        <v>1677</v>
      </c>
      <c r="E980" s="59" t="s">
        <v>3579</v>
      </c>
      <c r="F980" s="59" t="s">
        <v>3580</v>
      </c>
      <c r="G980" s="59" t="s">
        <v>3583</v>
      </c>
      <c r="H980" s="59" t="s">
        <v>2281</v>
      </c>
      <c r="I980" s="59" t="b">
        <v>1</v>
      </c>
      <c r="J980" s="59"/>
      <c r="K980" s="58">
        <v>430</v>
      </c>
      <c r="L980" s="58">
        <v>1478</v>
      </c>
      <c r="M980" s="59">
        <v>10</v>
      </c>
      <c r="N980" s="59">
        <v>10</v>
      </c>
      <c r="O980" s="59" t="s">
        <v>3581</v>
      </c>
      <c r="P980" s="58">
        <v>234</v>
      </c>
      <c r="Q980" s="59">
        <v>0</v>
      </c>
      <c r="R980" s="59">
        <v>0</v>
      </c>
      <c r="S980" s="60">
        <f>tblJTL[[#This Row],[timeStamp]]/86400000+DATE(1970,1,1)+TIME(9,0,0)</f>
        <v>46296.419463981481</v>
      </c>
      <c r="T980" s="57">
        <f>tblJTL[[#This Row],[timeStamp]]+tblJTL[[#This Row],[elapsed]]</f>
        <v>1790816641929</v>
      </c>
      <c r="U980" s="61">
        <f>(tblJTL[[#This Row],[timeStamp]]-'17_分析サンプル'!$E$18)/1000</f>
        <v>241.50800000000001</v>
      </c>
      <c r="V980" s="57">
        <f>INT(tblJTL[[#This Row],[経過秒]]/60)</f>
        <v>4</v>
      </c>
      <c r="W980" s="57">
        <f>IF(OR(tblJTL[[#This Row],[success]]=FALSE,tblJTL[[#This Row],[success]]="false"),1,0)</f>
        <v>0</v>
      </c>
      <c r="X980" s="57">
        <f>IF(AND(tblJTL[[#This Row],[経過秒]]&gt;='17_分析サンプル'!$E$11,tblJTL[[#This Row],[経過秒]]&lt;'17_分析サンプル'!$E$12),1,0)</f>
        <v>1</v>
      </c>
    </row>
    <row r="981" spans="2:24" ht="14.4" x14ac:dyDescent="0.3">
      <c r="B981" s="57">
        <v>1790816642037</v>
      </c>
      <c r="C981" s="58">
        <v>300</v>
      </c>
      <c r="D981" s="59" t="s">
        <v>1677</v>
      </c>
      <c r="E981" s="59" t="s">
        <v>3579</v>
      </c>
      <c r="F981" s="59" t="s">
        <v>3580</v>
      </c>
      <c r="G981" s="59" t="s">
        <v>3588</v>
      </c>
      <c r="H981" s="59" t="s">
        <v>2281</v>
      </c>
      <c r="I981" s="59" t="b">
        <v>1</v>
      </c>
      <c r="J981" s="59"/>
      <c r="K981" s="58">
        <v>413</v>
      </c>
      <c r="L981" s="58">
        <v>1478</v>
      </c>
      <c r="M981" s="59">
        <v>10</v>
      </c>
      <c r="N981" s="59">
        <v>10</v>
      </c>
      <c r="O981" s="59" t="s">
        <v>3581</v>
      </c>
      <c r="P981" s="58">
        <v>297</v>
      </c>
      <c r="Q981" s="59">
        <v>0</v>
      </c>
      <c r="R981" s="59">
        <v>0</v>
      </c>
      <c r="S981" s="60">
        <f>tblJTL[[#This Row],[timeStamp]]/86400000+DATE(1970,1,1)+TIME(9,0,0)</f>
        <v>46296.419468020831</v>
      </c>
      <c r="T981" s="57">
        <f>tblJTL[[#This Row],[timeStamp]]+tblJTL[[#This Row],[elapsed]]</f>
        <v>1790816642337</v>
      </c>
      <c r="U981" s="61">
        <f>(tblJTL[[#This Row],[timeStamp]]-'17_分析サンプル'!$E$18)/1000</f>
        <v>241.857</v>
      </c>
      <c r="V981" s="57">
        <f>INT(tblJTL[[#This Row],[経過秒]]/60)</f>
        <v>4</v>
      </c>
      <c r="W981" s="57">
        <f>IF(OR(tblJTL[[#This Row],[success]]=FALSE,tblJTL[[#This Row],[success]]="false"),1,0)</f>
        <v>0</v>
      </c>
      <c r="X981" s="57">
        <f>IF(AND(tblJTL[[#This Row],[経過秒]]&gt;='17_分析サンプル'!$E$11,tblJTL[[#This Row],[経過秒]]&lt;'17_分析サンプル'!$E$12),1,0)</f>
        <v>1</v>
      </c>
    </row>
    <row r="982" spans="2:24" ht="14.4" x14ac:dyDescent="0.3">
      <c r="B982" s="57">
        <v>1790816642498</v>
      </c>
      <c r="C982" s="58">
        <v>260</v>
      </c>
      <c r="D982" s="59" t="s">
        <v>1677</v>
      </c>
      <c r="E982" s="59" t="s">
        <v>3579</v>
      </c>
      <c r="F982" s="59" t="s">
        <v>3580</v>
      </c>
      <c r="G982" s="59" t="s">
        <v>3584</v>
      </c>
      <c r="H982" s="59" t="s">
        <v>2281</v>
      </c>
      <c r="I982" s="59" t="b">
        <v>1</v>
      </c>
      <c r="J982" s="59"/>
      <c r="K982" s="58">
        <v>437</v>
      </c>
      <c r="L982" s="58">
        <v>1478</v>
      </c>
      <c r="M982" s="59">
        <v>10</v>
      </c>
      <c r="N982" s="59">
        <v>10</v>
      </c>
      <c r="O982" s="59" t="s">
        <v>3581</v>
      </c>
      <c r="P982" s="58">
        <v>255</v>
      </c>
      <c r="Q982" s="59">
        <v>0</v>
      </c>
      <c r="R982" s="59">
        <v>0</v>
      </c>
      <c r="S982" s="60">
        <f>tblJTL[[#This Row],[timeStamp]]/86400000+DATE(1970,1,1)+TIME(9,0,0)</f>
        <v>46296.41947335648</v>
      </c>
      <c r="T982" s="57">
        <f>tblJTL[[#This Row],[timeStamp]]+tblJTL[[#This Row],[elapsed]]</f>
        <v>1790816642758</v>
      </c>
      <c r="U982" s="61">
        <f>(tblJTL[[#This Row],[timeStamp]]-'17_分析サンプル'!$E$18)/1000</f>
        <v>242.31800000000001</v>
      </c>
      <c r="V982" s="57">
        <f>INT(tblJTL[[#This Row],[経過秒]]/60)</f>
        <v>4</v>
      </c>
      <c r="W982" s="57">
        <f>IF(OR(tblJTL[[#This Row],[success]]=FALSE,tblJTL[[#This Row],[success]]="false"),1,0)</f>
        <v>0</v>
      </c>
      <c r="X982" s="57">
        <f>IF(AND(tblJTL[[#This Row],[経過秒]]&gt;='17_分析サンプル'!$E$11,tblJTL[[#This Row],[経過秒]]&lt;'17_分析サンプル'!$E$12),1,0)</f>
        <v>1</v>
      </c>
    </row>
    <row r="983" spans="2:24" ht="14.4" x14ac:dyDescent="0.3">
      <c r="B983" s="57">
        <v>1790816642581</v>
      </c>
      <c r="C983" s="58">
        <v>213</v>
      </c>
      <c r="D983" s="59" t="s">
        <v>1677</v>
      </c>
      <c r="E983" s="59" t="s">
        <v>3579</v>
      </c>
      <c r="F983" s="59" t="s">
        <v>3580</v>
      </c>
      <c r="G983" s="59" t="s">
        <v>3585</v>
      </c>
      <c r="H983" s="59" t="s">
        <v>2281</v>
      </c>
      <c r="I983" s="59" t="b">
        <v>1</v>
      </c>
      <c r="J983" s="59"/>
      <c r="K983" s="58">
        <v>430</v>
      </c>
      <c r="L983" s="58">
        <v>1478</v>
      </c>
      <c r="M983" s="59">
        <v>10</v>
      </c>
      <c r="N983" s="59">
        <v>10</v>
      </c>
      <c r="O983" s="59" t="s">
        <v>3581</v>
      </c>
      <c r="P983" s="58">
        <v>211</v>
      </c>
      <c r="Q983" s="59">
        <v>0</v>
      </c>
      <c r="R983" s="59">
        <v>0</v>
      </c>
      <c r="S983" s="60">
        <f>tblJTL[[#This Row],[timeStamp]]/86400000+DATE(1970,1,1)+TIME(9,0,0)</f>
        <v>46296.419474317125</v>
      </c>
      <c r="T983" s="57">
        <f>tblJTL[[#This Row],[timeStamp]]+tblJTL[[#This Row],[elapsed]]</f>
        <v>1790816642794</v>
      </c>
      <c r="U983" s="61">
        <f>(tblJTL[[#This Row],[timeStamp]]-'17_分析サンプル'!$E$18)/1000</f>
        <v>242.40100000000001</v>
      </c>
      <c r="V983" s="57">
        <f>INT(tblJTL[[#This Row],[経過秒]]/60)</f>
        <v>4</v>
      </c>
      <c r="W983" s="57">
        <f>IF(OR(tblJTL[[#This Row],[success]]=FALSE,tblJTL[[#This Row],[success]]="false"),1,0)</f>
        <v>0</v>
      </c>
      <c r="X983" s="57">
        <f>IF(AND(tblJTL[[#This Row],[経過秒]]&gt;='17_分析サンプル'!$E$11,tblJTL[[#This Row],[経過秒]]&lt;'17_分析サンプル'!$E$12),1,0)</f>
        <v>1</v>
      </c>
    </row>
    <row r="984" spans="2:24" ht="14.4" x14ac:dyDescent="0.3">
      <c r="B984" s="57">
        <v>1790816642543</v>
      </c>
      <c r="C984" s="58">
        <v>260</v>
      </c>
      <c r="D984" s="59" t="s">
        <v>1677</v>
      </c>
      <c r="E984" s="59" t="s">
        <v>3579</v>
      </c>
      <c r="F984" s="59" t="s">
        <v>3580</v>
      </c>
      <c r="G984" s="59" t="s">
        <v>3586</v>
      </c>
      <c r="H984" s="59" t="s">
        <v>2281</v>
      </c>
      <c r="I984" s="59" t="b">
        <v>1</v>
      </c>
      <c r="J984" s="59"/>
      <c r="K984" s="58">
        <v>411</v>
      </c>
      <c r="L984" s="58">
        <v>1478</v>
      </c>
      <c r="M984" s="59">
        <v>10</v>
      </c>
      <c r="N984" s="59">
        <v>10</v>
      </c>
      <c r="O984" s="59" t="s">
        <v>3581</v>
      </c>
      <c r="P984" s="58">
        <v>253</v>
      </c>
      <c r="Q984" s="59">
        <v>0</v>
      </c>
      <c r="R984" s="59">
        <v>0</v>
      </c>
      <c r="S984" s="60">
        <f>tblJTL[[#This Row],[timeStamp]]/86400000+DATE(1970,1,1)+TIME(9,0,0)</f>
        <v>46296.419473877315</v>
      </c>
      <c r="T984" s="57">
        <f>tblJTL[[#This Row],[timeStamp]]+tblJTL[[#This Row],[elapsed]]</f>
        <v>1790816642803</v>
      </c>
      <c r="U984" s="61">
        <f>(tblJTL[[#This Row],[timeStamp]]-'17_分析サンプル'!$E$18)/1000</f>
        <v>242.363</v>
      </c>
      <c r="V984" s="57">
        <f>INT(tblJTL[[#This Row],[経過秒]]/60)</f>
        <v>4</v>
      </c>
      <c r="W984" s="57">
        <f>IF(OR(tblJTL[[#This Row],[success]]=FALSE,tblJTL[[#This Row],[success]]="false"),1,0)</f>
        <v>0</v>
      </c>
      <c r="X984" s="57">
        <f>IF(AND(tblJTL[[#This Row],[経過秒]]&gt;='17_分析サンプル'!$E$11,tblJTL[[#This Row],[経過秒]]&lt;'17_分析サンプル'!$E$12),1,0)</f>
        <v>1</v>
      </c>
    </row>
    <row r="985" spans="2:24" ht="14.4" x14ac:dyDescent="0.3">
      <c r="B985" s="57">
        <v>1790816642838</v>
      </c>
      <c r="C985" s="58">
        <v>148</v>
      </c>
      <c r="D985" s="59" t="s">
        <v>1658</v>
      </c>
      <c r="E985" s="59" t="s">
        <v>1577</v>
      </c>
      <c r="F985" s="59" t="s">
        <v>2275</v>
      </c>
      <c r="G985" s="59" t="s">
        <v>3587</v>
      </c>
      <c r="H985" s="59" t="s">
        <v>2281</v>
      </c>
      <c r="I985" s="59" t="b">
        <v>1</v>
      </c>
      <c r="J985" s="59"/>
      <c r="K985" s="58">
        <v>1856</v>
      </c>
      <c r="L985" s="58">
        <v>1342</v>
      </c>
      <c r="M985" s="59">
        <v>10</v>
      </c>
      <c r="N985" s="59">
        <v>10</v>
      </c>
      <c r="O985" s="59" t="s">
        <v>3578</v>
      </c>
      <c r="P985" s="58">
        <v>146</v>
      </c>
      <c r="Q985" s="59">
        <v>0</v>
      </c>
      <c r="R985" s="59">
        <v>0</v>
      </c>
      <c r="S985" s="60">
        <f>tblJTL[[#This Row],[timeStamp]]/86400000+DATE(1970,1,1)+TIME(9,0,0)</f>
        <v>46296.419477291667</v>
      </c>
      <c r="T985" s="57">
        <f>tblJTL[[#This Row],[timeStamp]]+tblJTL[[#This Row],[elapsed]]</f>
        <v>1790816642986</v>
      </c>
      <c r="U985" s="61">
        <f>(tblJTL[[#This Row],[timeStamp]]-'17_分析サンプル'!$E$18)/1000</f>
        <v>242.65799999999999</v>
      </c>
      <c r="V985" s="57">
        <f>INT(tblJTL[[#This Row],[経過秒]]/60)</f>
        <v>4</v>
      </c>
      <c r="W985" s="57">
        <f>IF(OR(tblJTL[[#This Row],[success]]=FALSE,tblJTL[[#This Row],[success]]="false"),1,0)</f>
        <v>0</v>
      </c>
      <c r="X985" s="57">
        <f>IF(AND(tblJTL[[#This Row],[経過秒]]&gt;='17_分析サンプル'!$E$11,tblJTL[[#This Row],[経過秒]]&lt;'17_分析サンプル'!$E$12),1,0)</f>
        <v>1</v>
      </c>
    </row>
    <row r="986" spans="2:24" ht="14.4" x14ac:dyDescent="0.3">
      <c r="B986" s="57">
        <v>1790816643098</v>
      </c>
      <c r="C986" s="58">
        <v>354</v>
      </c>
      <c r="D986" s="59" t="s">
        <v>1677</v>
      </c>
      <c r="E986" s="59" t="s">
        <v>3579</v>
      </c>
      <c r="F986" s="59" t="s">
        <v>3580</v>
      </c>
      <c r="G986" s="59" t="s">
        <v>2278</v>
      </c>
      <c r="H986" s="59" t="s">
        <v>2281</v>
      </c>
      <c r="I986" s="59" t="b">
        <v>1</v>
      </c>
      <c r="J986" s="59"/>
      <c r="K986" s="58">
        <v>440</v>
      </c>
      <c r="L986" s="58">
        <v>1478</v>
      </c>
      <c r="M986" s="59">
        <v>10</v>
      </c>
      <c r="N986" s="59">
        <v>10</v>
      </c>
      <c r="O986" s="59" t="s">
        <v>3581</v>
      </c>
      <c r="P986" s="58">
        <v>352</v>
      </c>
      <c r="Q986" s="59">
        <v>0</v>
      </c>
      <c r="R986" s="59">
        <v>0</v>
      </c>
      <c r="S986" s="60">
        <f>tblJTL[[#This Row],[timeStamp]]/86400000+DATE(1970,1,1)+TIME(9,0,0)</f>
        <v>46296.41948030093</v>
      </c>
      <c r="T986" s="57">
        <f>tblJTL[[#This Row],[timeStamp]]+tblJTL[[#This Row],[elapsed]]</f>
        <v>1790816643452</v>
      </c>
      <c r="U986" s="61">
        <f>(tblJTL[[#This Row],[timeStamp]]-'17_分析サンプル'!$E$18)/1000</f>
        <v>242.91800000000001</v>
      </c>
      <c r="V986" s="57">
        <f>INT(tblJTL[[#This Row],[経過秒]]/60)</f>
        <v>4</v>
      </c>
      <c r="W986" s="57">
        <f>IF(OR(tblJTL[[#This Row],[success]]=FALSE,tblJTL[[#This Row],[success]]="false"),1,0)</f>
        <v>0</v>
      </c>
      <c r="X986" s="57">
        <f>IF(AND(tblJTL[[#This Row],[経過秒]]&gt;='17_分析サンプル'!$E$11,tblJTL[[#This Row],[経過秒]]&lt;'17_分析サンプル'!$E$12),1,0)</f>
        <v>1</v>
      </c>
    </row>
    <row r="987" spans="2:24" ht="14.4" x14ac:dyDescent="0.3">
      <c r="B987" s="57">
        <v>1790816643364</v>
      </c>
      <c r="C987" s="58">
        <v>124</v>
      </c>
      <c r="D987" s="59" t="s">
        <v>1658</v>
      </c>
      <c r="E987" s="59" t="s">
        <v>1577</v>
      </c>
      <c r="F987" s="59" t="s">
        <v>2275</v>
      </c>
      <c r="G987" s="59" t="s">
        <v>3582</v>
      </c>
      <c r="H987" s="59" t="s">
        <v>2281</v>
      </c>
      <c r="I987" s="59" t="b">
        <v>1</v>
      </c>
      <c r="J987" s="59"/>
      <c r="K987" s="58">
        <v>1849</v>
      </c>
      <c r="L987" s="58">
        <v>1342</v>
      </c>
      <c r="M987" s="59">
        <v>10</v>
      </c>
      <c r="N987" s="59">
        <v>10</v>
      </c>
      <c r="O987" s="59" t="s">
        <v>3578</v>
      </c>
      <c r="P987" s="58">
        <v>120</v>
      </c>
      <c r="Q987" s="59">
        <v>0</v>
      </c>
      <c r="R987" s="59">
        <v>0</v>
      </c>
      <c r="S987" s="60">
        <f>tblJTL[[#This Row],[timeStamp]]/86400000+DATE(1970,1,1)+TIME(9,0,0)</f>
        <v>46296.419483379628</v>
      </c>
      <c r="T987" s="57">
        <f>tblJTL[[#This Row],[timeStamp]]+tblJTL[[#This Row],[elapsed]]</f>
        <v>1790816643488</v>
      </c>
      <c r="U987" s="61">
        <f>(tblJTL[[#This Row],[timeStamp]]-'17_分析サンプル'!$E$18)/1000</f>
        <v>243.184</v>
      </c>
      <c r="V987" s="57">
        <f>INT(tblJTL[[#This Row],[経過秒]]/60)</f>
        <v>4</v>
      </c>
      <c r="W987" s="57">
        <f>IF(OR(tblJTL[[#This Row],[success]]=FALSE,tblJTL[[#This Row],[success]]="false"),1,0)</f>
        <v>0</v>
      </c>
      <c r="X987" s="57">
        <f>IF(AND(tblJTL[[#This Row],[経過秒]]&gt;='17_分析サンプル'!$E$11,tblJTL[[#This Row],[経過秒]]&lt;'17_分析サンプル'!$E$12),1,0)</f>
        <v>1</v>
      </c>
    </row>
    <row r="988" spans="2:24" ht="14.4" x14ac:dyDescent="0.3">
      <c r="B988" s="57">
        <v>1790816643407</v>
      </c>
      <c r="C988" s="58">
        <v>136</v>
      </c>
      <c r="D988" s="59" t="s">
        <v>1658</v>
      </c>
      <c r="E988" s="59" t="s">
        <v>1577</v>
      </c>
      <c r="F988" s="59" t="s">
        <v>2275</v>
      </c>
      <c r="G988" s="59" t="s">
        <v>3577</v>
      </c>
      <c r="H988" s="59" t="s">
        <v>2281</v>
      </c>
      <c r="I988" s="59" t="b">
        <v>1</v>
      </c>
      <c r="J988" s="59"/>
      <c r="K988" s="58">
        <v>1866</v>
      </c>
      <c r="L988" s="58">
        <v>1342</v>
      </c>
      <c r="M988" s="59">
        <v>10</v>
      </c>
      <c r="N988" s="59">
        <v>10</v>
      </c>
      <c r="O988" s="59" t="s">
        <v>3578</v>
      </c>
      <c r="P988" s="58">
        <v>128</v>
      </c>
      <c r="Q988" s="59">
        <v>0</v>
      </c>
      <c r="R988" s="59">
        <v>0</v>
      </c>
      <c r="S988" s="60">
        <f>tblJTL[[#This Row],[timeStamp]]/86400000+DATE(1970,1,1)+TIME(9,0,0)</f>
        <v>46296.419483877311</v>
      </c>
      <c r="T988" s="57">
        <f>tblJTL[[#This Row],[timeStamp]]+tblJTL[[#This Row],[elapsed]]</f>
        <v>1790816643543</v>
      </c>
      <c r="U988" s="61">
        <f>(tblJTL[[#This Row],[timeStamp]]-'17_分析サンプル'!$E$18)/1000</f>
        <v>243.227</v>
      </c>
      <c r="V988" s="57">
        <f>INT(tblJTL[[#This Row],[経過秒]]/60)</f>
        <v>4</v>
      </c>
      <c r="W988" s="57">
        <f>IF(OR(tblJTL[[#This Row],[success]]=FALSE,tblJTL[[#This Row],[success]]="false"),1,0)</f>
        <v>0</v>
      </c>
      <c r="X988" s="57">
        <f>IF(AND(tblJTL[[#This Row],[経過秒]]&gt;='17_分析サンプル'!$E$11,tblJTL[[#This Row],[経過秒]]&lt;'17_分析サンプル'!$E$12),1,0)</f>
        <v>1</v>
      </c>
    </row>
    <row r="989" spans="2:24" ht="14.4" x14ac:dyDescent="0.3">
      <c r="B989" s="57">
        <v>1790816643236</v>
      </c>
      <c r="C989" s="58">
        <v>578</v>
      </c>
      <c r="D989" s="59" t="s">
        <v>1677</v>
      </c>
      <c r="E989" s="59" t="s">
        <v>3579</v>
      </c>
      <c r="F989" s="59" t="s">
        <v>3580</v>
      </c>
      <c r="G989" s="59" t="s">
        <v>3589</v>
      </c>
      <c r="H989" s="59" t="s">
        <v>2281</v>
      </c>
      <c r="I989" s="59" t="b">
        <v>1</v>
      </c>
      <c r="J989" s="59"/>
      <c r="K989" s="58">
        <v>415</v>
      </c>
      <c r="L989" s="58">
        <v>1478</v>
      </c>
      <c r="M989" s="59">
        <v>10</v>
      </c>
      <c r="N989" s="59">
        <v>10</v>
      </c>
      <c r="O989" s="59" t="s">
        <v>3581</v>
      </c>
      <c r="P989" s="58">
        <v>576</v>
      </c>
      <c r="Q989" s="59">
        <v>0</v>
      </c>
      <c r="R989" s="59">
        <v>0</v>
      </c>
      <c r="S989" s="60">
        <f>tblJTL[[#This Row],[timeStamp]]/86400000+DATE(1970,1,1)+TIME(9,0,0)</f>
        <v>46296.419481898149</v>
      </c>
      <c r="T989" s="57">
        <f>tblJTL[[#This Row],[timeStamp]]+tblJTL[[#This Row],[elapsed]]</f>
        <v>1790816643814</v>
      </c>
      <c r="U989" s="61">
        <f>(tblJTL[[#This Row],[timeStamp]]-'17_分析サンプル'!$E$18)/1000</f>
        <v>243.05600000000001</v>
      </c>
      <c r="V989" s="57">
        <f>INT(tblJTL[[#This Row],[経過秒]]/60)</f>
        <v>4</v>
      </c>
      <c r="W989" s="57">
        <f>IF(OR(tblJTL[[#This Row],[success]]=FALSE,tblJTL[[#This Row],[success]]="false"),1,0)</f>
        <v>0</v>
      </c>
      <c r="X989" s="57">
        <f>IF(AND(tblJTL[[#This Row],[経過秒]]&gt;='17_分析サンプル'!$E$11,tblJTL[[#This Row],[経過秒]]&lt;'17_分析サンプル'!$E$12),1,0)</f>
        <v>1</v>
      </c>
    </row>
    <row r="990" spans="2:24" ht="14.4" x14ac:dyDescent="0.3">
      <c r="B990" s="57">
        <v>1790816643691</v>
      </c>
      <c r="C990" s="58">
        <v>158</v>
      </c>
      <c r="D990" s="59" t="s">
        <v>1658</v>
      </c>
      <c r="E990" s="59" t="s">
        <v>1577</v>
      </c>
      <c r="F990" s="59" t="s">
        <v>2275</v>
      </c>
      <c r="G990" s="59" t="s">
        <v>3588</v>
      </c>
      <c r="H990" s="59" t="s">
        <v>2281</v>
      </c>
      <c r="I990" s="59" t="b">
        <v>1</v>
      </c>
      <c r="J990" s="59"/>
      <c r="K990" s="58">
        <v>1889</v>
      </c>
      <c r="L990" s="58">
        <v>1342</v>
      </c>
      <c r="M990" s="59">
        <v>10</v>
      </c>
      <c r="N990" s="59">
        <v>10</v>
      </c>
      <c r="O990" s="59" t="s">
        <v>3578</v>
      </c>
      <c r="P990" s="58">
        <v>151</v>
      </c>
      <c r="Q990" s="59">
        <v>0</v>
      </c>
      <c r="R990" s="59">
        <v>0</v>
      </c>
      <c r="S990" s="60">
        <f>tblJTL[[#This Row],[timeStamp]]/86400000+DATE(1970,1,1)+TIME(9,0,0)</f>
        <v>46296.419487164356</v>
      </c>
      <c r="T990" s="57">
        <f>tblJTL[[#This Row],[timeStamp]]+tblJTL[[#This Row],[elapsed]]</f>
        <v>1790816643849</v>
      </c>
      <c r="U990" s="61">
        <f>(tblJTL[[#This Row],[timeStamp]]-'17_分析サンプル'!$E$18)/1000</f>
        <v>243.511</v>
      </c>
      <c r="V990" s="57">
        <f>INT(tblJTL[[#This Row],[経過秒]]/60)</f>
        <v>4</v>
      </c>
      <c r="W990" s="57">
        <f>IF(OR(tblJTL[[#This Row],[success]]=FALSE,tblJTL[[#This Row],[success]]="false"),1,0)</f>
        <v>0</v>
      </c>
      <c r="X990" s="57">
        <f>IF(AND(tblJTL[[#This Row],[経過秒]]&gt;='17_分析サンプル'!$E$11,tblJTL[[#This Row],[経過秒]]&lt;'17_分析サンプル'!$E$12),1,0)</f>
        <v>1</v>
      </c>
    </row>
    <row r="991" spans="2:24" ht="14.4" x14ac:dyDescent="0.3">
      <c r="B991" s="57">
        <v>1790816644457</v>
      </c>
      <c r="C991" s="58">
        <v>116</v>
      </c>
      <c r="D991" s="59" t="s">
        <v>1658</v>
      </c>
      <c r="E991" s="59" t="s">
        <v>1577</v>
      </c>
      <c r="F991" s="59" t="s">
        <v>2275</v>
      </c>
      <c r="G991" s="59" t="s">
        <v>3584</v>
      </c>
      <c r="H991" s="59" t="s">
        <v>2281</v>
      </c>
      <c r="I991" s="59" t="b">
        <v>1</v>
      </c>
      <c r="J991" s="59"/>
      <c r="K991" s="58">
        <v>1888</v>
      </c>
      <c r="L991" s="58">
        <v>1342</v>
      </c>
      <c r="M991" s="59">
        <v>10</v>
      </c>
      <c r="N991" s="59">
        <v>10</v>
      </c>
      <c r="O991" s="59" t="s">
        <v>3578</v>
      </c>
      <c r="P991" s="58">
        <v>112</v>
      </c>
      <c r="Q991" s="59">
        <v>0</v>
      </c>
      <c r="R991" s="59">
        <v>0</v>
      </c>
      <c r="S991" s="60">
        <f>tblJTL[[#This Row],[timeStamp]]/86400000+DATE(1970,1,1)+TIME(9,0,0)</f>
        <v>46296.419496030096</v>
      </c>
      <c r="T991" s="57">
        <f>tblJTL[[#This Row],[timeStamp]]+tblJTL[[#This Row],[elapsed]]</f>
        <v>1790816644573</v>
      </c>
      <c r="U991" s="61">
        <f>(tblJTL[[#This Row],[timeStamp]]-'17_分析サンプル'!$E$18)/1000</f>
        <v>244.27699999999999</v>
      </c>
      <c r="V991" s="57">
        <f>INT(tblJTL[[#This Row],[経過秒]]/60)</f>
        <v>4</v>
      </c>
      <c r="W991" s="57">
        <f>IF(OR(tblJTL[[#This Row],[success]]=FALSE,tblJTL[[#This Row],[success]]="false"),1,0)</f>
        <v>0</v>
      </c>
      <c r="X991" s="57">
        <f>IF(AND(tblJTL[[#This Row],[経過秒]]&gt;='17_分析サンプル'!$E$11,tblJTL[[#This Row],[経過秒]]&lt;'17_分析サンプル'!$E$12),1,0)</f>
        <v>1</v>
      </c>
    </row>
    <row r="992" spans="2:24" ht="14.4" x14ac:dyDescent="0.3">
      <c r="B992" s="57">
        <v>1790816644583</v>
      </c>
      <c r="C992" s="58">
        <v>165</v>
      </c>
      <c r="D992" s="59" t="s">
        <v>1658</v>
      </c>
      <c r="E992" s="59" t="s">
        <v>1577</v>
      </c>
      <c r="F992" s="59" t="s">
        <v>2275</v>
      </c>
      <c r="G992" s="59" t="s">
        <v>3583</v>
      </c>
      <c r="H992" s="59" t="s">
        <v>2281</v>
      </c>
      <c r="I992" s="59" t="b">
        <v>1</v>
      </c>
      <c r="J992" s="59"/>
      <c r="K992" s="58">
        <v>1886</v>
      </c>
      <c r="L992" s="58">
        <v>1342</v>
      </c>
      <c r="M992" s="59">
        <v>10</v>
      </c>
      <c r="N992" s="59">
        <v>10</v>
      </c>
      <c r="O992" s="59" t="s">
        <v>3578</v>
      </c>
      <c r="P992" s="58">
        <v>158</v>
      </c>
      <c r="Q992" s="59">
        <v>0</v>
      </c>
      <c r="R992" s="59">
        <v>0</v>
      </c>
      <c r="S992" s="60">
        <f>tblJTL[[#This Row],[timeStamp]]/86400000+DATE(1970,1,1)+TIME(9,0,0)</f>
        <v>46296.41949748843</v>
      </c>
      <c r="T992" s="57">
        <f>tblJTL[[#This Row],[timeStamp]]+tblJTL[[#This Row],[elapsed]]</f>
        <v>1790816644748</v>
      </c>
      <c r="U992" s="61">
        <f>(tblJTL[[#This Row],[timeStamp]]-'17_分析サンプル'!$E$18)/1000</f>
        <v>244.40299999999999</v>
      </c>
      <c r="V992" s="57">
        <f>INT(tblJTL[[#This Row],[経過秒]]/60)</f>
        <v>4</v>
      </c>
      <c r="W992" s="57">
        <f>IF(OR(tblJTL[[#This Row],[success]]=FALSE,tblJTL[[#This Row],[success]]="false"),1,0)</f>
        <v>0</v>
      </c>
      <c r="X992" s="57">
        <f>IF(AND(tblJTL[[#This Row],[経過秒]]&gt;='17_分析サンプル'!$E$11,tblJTL[[#This Row],[経過秒]]&lt;'17_分析サンプル'!$E$12),1,0)</f>
        <v>1</v>
      </c>
    </row>
    <row r="993" spans="2:24" ht="14.4" x14ac:dyDescent="0.3">
      <c r="B993" s="57">
        <v>1790816644701</v>
      </c>
      <c r="C993" s="58">
        <v>235</v>
      </c>
      <c r="D993" s="59" t="s">
        <v>1677</v>
      </c>
      <c r="E993" s="59" t="s">
        <v>3579</v>
      </c>
      <c r="F993" s="59" t="s">
        <v>3580</v>
      </c>
      <c r="G993" s="59" t="s">
        <v>3582</v>
      </c>
      <c r="H993" s="59" t="s">
        <v>2281</v>
      </c>
      <c r="I993" s="59" t="b">
        <v>1</v>
      </c>
      <c r="J993" s="59"/>
      <c r="K993" s="58">
        <v>422</v>
      </c>
      <c r="L993" s="58">
        <v>1478</v>
      </c>
      <c r="M993" s="59">
        <v>10</v>
      </c>
      <c r="N993" s="59">
        <v>10</v>
      </c>
      <c r="O993" s="59" t="s">
        <v>3581</v>
      </c>
      <c r="P993" s="58">
        <v>232</v>
      </c>
      <c r="Q993" s="59">
        <v>0</v>
      </c>
      <c r="R993" s="59">
        <v>0</v>
      </c>
      <c r="S993" s="60">
        <f>tblJTL[[#This Row],[timeStamp]]/86400000+DATE(1970,1,1)+TIME(9,0,0)</f>
        <v>46296.419498854171</v>
      </c>
      <c r="T993" s="57">
        <f>tblJTL[[#This Row],[timeStamp]]+tblJTL[[#This Row],[elapsed]]</f>
        <v>1790816644936</v>
      </c>
      <c r="U993" s="61">
        <f>(tblJTL[[#This Row],[timeStamp]]-'17_分析サンプル'!$E$18)/1000</f>
        <v>244.52099999999999</v>
      </c>
      <c r="V993" s="57">
        <f>INT(tblJTL[[#This Row],[経過秒]]/60)</f>
        <v>4</v>
      </c>
      <c r="W993" s="57">
        <f>IF(OR(tblJTL[[#This Row],[success]]=FALSE,tblJTL[[#This Row],[success]]="false"),1,0)</f>
        <v>0</v>
      </c>
      <c r="X993" s="57">
        <f>IF(AND(tblJTL[[#This Row],[経過秒]]&gt;='17_分析サンプル'!$E$11,tblJTL[[#This Row],[経過秒]]&lt;'17_分析サンプル'!$E$12),1,0)</f>
        <v>1</v>
      </c>
    </row>
    <row r="994" spans="2:24" ht="14.4" x14ac:dyDescent="0.3">
      <c r="B994" s="57">
        <v>1790816644914</v>
      </c>
      <c r="C994" s="58">
        <v>107</v>
      </c>
      <c r="D994" s="59" t="s">
        <v>1658</v>
      </c>
      <c r="E994" s="59" t="s">
        <v>1577</v>
      </c>
      <c r="F994" s="59" t="s">
        <v>2275</v>
      </c>
      <c r="G994" s="59" t="s">
        <v>3589</v>
      </c>
      <c r="H994" s="59" t="s">
        <v>2281</v>
      </c>
      <c r="I994" s="59" t="b">
        <v>1</v>
      </c>
      <c r="J994" s="59"/>
      <c r="K994" s="58">
        <v>1887</v>
      </c>
      <c r="L994" s="58">
        <v>1342</v>
      </c>
      <c r="M994" s="59">
        <v>10</v>
      </c>
      <c r="N994" s="59">
        <v>10</v>
      </c>
      <c r="O994" s="59" t="s">
        <v>3578</v>
      </c>
      <c r="P994" s="58">
        <v>100</v>
      </c>
      <c r="Q994" s="59">
        <v>0</v>
      </c>
      <c r="R994" s="59">
        <v>0</v>
      </c>
      <c r="S994" s="60">
        <f>tblJTL[[#This Row],[timeStamp]]/86400000+DATE(1970,1,1)+TIME(9,0,0)</f>
        <v>46296.41950131944</v>
      </c>
      <c r="T994" s="57">
        <f>tblJTL[[#This Row],[timeStamp]]+tblJTL[[#This Row],[elapsed]]</f>
        <v>1790816645021</v>
      </c>
      <c r="U994" s="61">
        <f>(tblJTL[[#This Row],[timeStamp]]-'17_分析サンプル'!$E$18)/1000</f>
        <v>244.73400000000001</v>
      </c>
      <c r="V994" s="57">
        <f>INT(tblJTL[[#This Row],[経過秒]]/60)</f>
        <v>4</v>
      </c>
      <c r="W994" s="57">
        <f>IF(OR(tblJTL[[#This Row],[success]]=FALSE,tblJTL[[#This Row],[success]]="false"),1,0)</f>
        <v>0</v>
      </c>
      <c r="X994" s="57">
        <f>IF(AND(tblJTL[[#This Row],[経過秒]]&gt;='17_分析サンプル'!$E$11,tblJTL[[#This Row],[経過秒]]&lt;'17_分析サンプル'!$E$12),1,0)</f>
        <v>1</v>
      </c>
    </row>
    <row r="995" spans="2:24" ht="14.4" x14ac:dyDescent="0.3">
      <c r="B995" s="57">
        <v>1790816644934</v>
      </c>
      <c r="C995" s="58">
        <v>108</v>
      </c>
      <c r="D995" s="59" t="s">
        <v>1658</v>
      </c>
      <c r="E995" s="59" t="s">
        <v>1577</v>
      </c>
      <c r="F995" s="59" t="s">
        <v>2275</v>
      </c>
      <c r="G995" s="59" t="s">
        <v>3586</v>
      </c>
      <c r="H995" s="59" t="s">
        <v>2281</v>
      </c>
      <c r="I995" s="59" t="b">
        <v>1</v>
      </c>
      <c r="J995" s="59"/>
      <c r="K995" s="58">
        <v>1820</v>
      </c>
      <c r="L995" s="58">
        <v>1342</v>
      </c>
      <c r="M995" s="59">
        <v>10</v>
      </c>
      <c r="N995" s="59">
        <v>10</v>
      </c>
      <c r="O995" s="59" t="s">
        <v>3578</v>
      </c>
      <c r="P995" s="58">
        <v>106</v>
      </c>
      <c r="Q995" s="59">
        <v>0</v>
      </c>
      <c r="R995" s="59">
        <v>0</v>
      </c>
      <c r="S995" s="60">
        <f>tblJTL[[#This Row],[timeStamp]]/86400000+DATE(1970,1,1)+TIME(9,0,0)</f>
        <v>46296.419501550925</v>
      </c>
      <c r="T995" s="57">
        <f>tblJTL[[#This Row],[timeStamp]]+tblJTL[[#This Row],[elapsed]]</f>
        <v>1790816645042</v>
      </c>
      <c r="U995" s="61">
        <f>(tblJTL[[#This Row],[timeStamp]]-'17_分析サンプル'!$E$18)/1000</f>
        <v>244.75399999999999</v>
      </c>
      <c r="V995" s="57">
        <f>INT(tblJTL[[#This Row],[経過秒]]/60)</f>
        <v>4</v>
      </c>
      <c r="W995" s="57">
        <f>IF(OR(tblJTL[[#This Row],[success]]=FALSE,tblJTL[[#This Row],[success]]="false"),1,0)</f>
        <v>0</v>
      </c>
      <c r="X995" s="57">
        <f>IF(AND(tblJTL[[#This Row],[経過秒]]&gt;='17_分析サンプル'!$E$11,tblJTL[[#This Row],[経過秒]]&lt;'17_分析サンプル'!$E$12),1,0)</f>
        <v>1</v>
      </c>
    </row>
    <row r="996" spans="2:24" ht="14.4" x14ac:dyDescent="0.3">
      <c r="B996" s="57">
        <v>1790816644724</v>
      </c>
      <c r="C996" s="58">
        <v>326</v>
      </c>
      <c r="D996" s="59" t="s">
        <v>1677</v>
      </c>
      <c r="E996" s="59" t="s">
        <v>3579</v>
      </c>
      <c r="F996" s="59" t="s">
        <v>3580</v>
      </c>
      <c r="G996" s="59" t="s">
        <v>3577</v>
      </c>
      <c r="H996" s="59" t="s">
        <v>2281</v>
      </c>
      <c r="I996" s="59" t="b">
        <v>1</v>
      </c>
      <c r="J996" s="59"/>
      <c r="K996" s="58">
        <v>432</v>
      </c>
      <c r="L996" s="58">
        <v>1478</v>
      </c>
      <c r="M996" s="59">
        <v>10</v>
      </c>
      <c r="N996" s="59">
        <v>10</v>
      </c>
      <c r="O996" s="59" t="s">
        <v>3581</v>
      </c>
      <c r="P996" s="58">
        <v>320</v>
      </c>
      <c r="Q996" s="59">
        <v>0</v>
      </c>
      <c r="R996" s="59">
        <v>69</v>
      </c>
      <c r="S996" s="60">
        <f>tblJTL[[#This Row],[timeStamp]]/86400000+DATE(1970,1,1)+TIME(9,0,0)</f>
        <v>46296.419499120369</v>
      </c>
      <c r="T996" s="57">
        <f>tblJTL[[#This Row],[timeStamp]]+tblJTL[[#This Row],[elapsed]]</f>
        <v>1790816645050</v>
      </c>
      <c r="U996" s="61">
        <f>(tblJTL[[#This Row],[timeStamp]]-'17_分析サンプル'!$E$18)/1000</f>
        <v>244.54400000000001</v>
      </c>
      <c r="V996" s="57">
        <f>INT(tblJTL[[#This Row],[経過秒]]/60)</f>
        <v>4</v>
      </c>
      <c r="W996" s="57">
        <f>IF(OR(tblJTL[[#This Row],[success]]=FALSE,tblJTL[[#This Row],[success]]="false"),1,0)</f>
        <v>0</v>
      </c>
      <c r="X996" s="57">
        <f>IF(AND(tblJTL[[#This Row],[経過秒]]&gt;='17_分析サンプル'!$E$11,tblJTL[[#This Row],[経過秒]]&lt;'17_分析サンプル'!$E$12),1,0)</f>
        <v>1</v>
      </c>
    </row>
    <row r="997" spans="2:24" ht="14.4" x14ac:dyDescent="0.3">
      <c r="B997" s="57">
        <v>1790816644985</v>
      </c>
      <c r="C997" s="58">
        <v>230</v>
      </c>
      <c r="D997" s="59" t="s">
        <v>1677</v>
      </c>
      <c r="E997" s="59" t="s">
        <v>3579</v>
      </c>
      <c r="F997" s="59" t="s">
        <v>3580</v>
      </c>
      <c r="G997" s="59" t="s">
        <v>3587</v>
      </c>
      <c r="H997" s="59" t="s">
        <v>2281</v>
      </c>
      <c r="I997" s="59" t="b">
        <v>1</v>
      </c>
      <c r="J997" s="59"/>
      <c r="K997" s="58">
        <v>423</v>
      </c>
      <c r="L997" s="58">
        <v>1478</v>
      </c>
      <c r="M997" s="59">
        <v>10</v>
      </c>
      <c r="N997" s="59">
        <v>10</v>
      </c>
      <c r="O997" s="59" t="s">
        <v>3581</v>
      </c>
      <c r="P997" s="58">
        <v>225</v>
      </c>
      <c r="Q997" s="59">
        <v>0</v>
      </c>
      <c r="R997" s="59">
        <v>0</v>
      </c>
      <c r="S997" s="60">
        <f>tblJTL[[#This Row],[timeStamp]]/86400000+DATE(1970,1,1)+TIME(9,0,0)</f>
        <v>46296.419502141202</v>
      </c>
      <c r="T997" s="57">
        <f>tblJTL[[#This Row],[timeStamp]]+tblJTL[[#This Row],[elapsed]]</f>
        <v>1790816645215</v>
      </c>
      <c r="U997" s="61">
        <f>(tblJTL[[#This Row],[timeStamp]]-'17_分析サンプル'!$E$18)/1000</f>
        <v>244.80500000000001</v>
      </c>
      <c r="V997" s="57">
        <f>INT(tblJTL[[#This Row],[経過秒]]/60)</f>
        <v>4</v>
      </c>
      <c r="W997" s="57">
        <f>IF(OR(tblJTL[[#This Row],[success]]=FALSE,tblJTL[[#This Row],[success]]="false"),1,0)</f>
        <v>0</v>
      </c>
      <c r="X997" s="57">
        <f>IF(AND(tblJTL[[#This Row],[経過秒]]&gt;='17_分析サンプル'!$E$11,tblJTL[[#This Row],[経過秒]]&lt;'17_分析サンプル'!$E$12),1,0)</f>
        <v>1</v>
      </c>
    </row>
    <row r="998" spans="2:24" ht="14.4" x14ac:dyDescent="0.3">
      <c r="B998" s="57">
        <v>1790816645388</v>
      </c>
      <c r="C998" s="58">
        <v>247</v>
      </c>
      <c r="D998" s="59" t="s">
        <v>1677</v>
      </c>
      <c r="E998" s="59" t="s">
        <v>3579</v>
      </c>
      <c r="F998" s="59" t="s">
        <v>3580</v>
      </c>
      <c r="G998" s="59" t="s">
        <v>3588</v>
      </c>
      <c r="H998" s="59" t="s">
        <v>2281</v>
      </c>
      <c r="I998" s="59" t="b">
        <v>1</v>
      </c>
      <c r="J998" s="59"/>
      <c r="K998" s="58">
        <v>424</v>
      </c>
      <c r="L998" s="58">
        <v>1478</v>
      </c>
      <c r="M998" s="59">
        <v>10</v>
      </c>
      <c r="N998" s="59">
        <v>10</v>
      </c>
      <c r="O998" s="59" t="s">
        <v>3581</v>
      </c>
      <c r="P998" s="58">
        <v>242</v>
      </c>
      <c r="Q998" s="59">
        <v>0</v>
      </c>
      <c r="R998" s="59">
        <v>0</v>
      </c>
      <c r="S998" s="60">
        <f>tblJTL[[#This Row],[timeStamp]]/86400000+DATE(1970,1,1)+TIME(9,0,0)</f>
        <v>46296.419506805556</v>
      </c>
      <c r="T998" s="57">
        <f>tblJTL[[#This Row],[timeStamp]]+tblJTL[[#This Row],[elapsed]]</f>
        <v>1790816645635</v>
      </c>
      <c r="U998" s="61">
        <f>(tblJTL[[#This Row],[timeStamp]]-'17_分析サンプル'!$E$18)/1000</f>
        <v>245.208</v>
      </c>
      <c r="V998" s="57">
        <f>INT(tblJTL[[#This Row],[経過秒]]/60)</f>
        <v>4</v>
      </c>
      <c r="W998" s="57">
        <f>IF(OR(tblJTL[[#This Row],[success]]=FALSE,tblJTL[[#This Row],[success]]="false"),1,0)</f>
        <v>0</v>
      </c>
      <c r="X998" s="57">
        <f>IF(AND(tblJTL[[#This Row],[経過秒]]&gt;='17_分析サンプル'!$E$11,tblJTL[[#This Row],[経過秒]]&lt;'17_分析サンプル'!$E$12),1,0)</f>
        <v>1</v>
      </c>
    </row>
    <row r="999" spans="2:24" ht="14.4" x14ac:dyDescent="0.3">
      <c r="B999" s="57">
        <v>1790816645592</v>
      </c>
      <c r="C999" s="58">
        <v>216</v>
      </c>
      <c r="D999" s="59" t="s">
        <v>1677</v>
      </c>
      <c r="E999" s="59" t="s">
        <v>3579</v>
      </c>
      <c r="F999" s="59" t="s">
        <v>3580</v>
      </c>
      <c r="G999" s="59" t="s">
        <v>3584</v>
      </c>
      <c r="H999" s="59" t="s">
        <v>2281</v>
      </c>
      <c r="I999" s="59" t="b">
        <v>1</v>
      </c>
      <c r="J999" s="59"/>
      <c r="K999" s="58">
        <v>435</v>
      </c>
      <c r="L999" s="58">
        <v>1478</v>
      </c>
      <c r="M999" s="59">
        <v>10</v>
      </c>
      <c r="N999" s="59">
        <v>10</v>
      </c>
      <c r="O999" s="59" t="s">
        <v>3581</v>
      </c>
      <c r="P999" s="58">
        <v>211</v>
      </c>
      <c r="Q999" s="59">
        <v>0</v>
      </c>
      <c r="R999" s="59">
        <v>0</v>
      </c>
      <c r="S999" s="60">
        <f>tblJTL[[#This Row],[timeStamp]]/86400000+DATE(1970,1,1)+TIME(9,0,0)</f>
        <v>46296.419509166662</v>
      </c>
      <c r="T999" s="57">
        <f>tblJTL[[#This Row],[timeStamp]]+tblJTL[[#This Row],[elapsed]]</f>
        <v>1790816645808</v>
      </c>
      <c r="U999" s="61">
        <f>(tblJTL[[#This Row],[timeStamp]]-'17_分析サンプル'!$E$18)/1000</f>
        <v>245.41200000000001</v>
      </c>
      <c r="V999" s="57">
        <f>INT(tblJTL[[#This Row],[経過秒]]/60)</f>
        <v>4</v>
      </c>
      <c r="W999" s="57">
        <f>IF(OR(tblJTL[[#This Row],[success]]=FALSE,tblJTL[[#This Row],[success]]="false"),1,0)</f>
        <v>0</v>
      </c>
      <c r="X999" s="57">
        <f>IF(AND(tblJTL[[#This Row],[経過秒]]&gt;='17_分析サンプル'!$E$11,tblJTL[[#This Row],[経過秒]]&lt;'17_分析サンプル'!$E$12),1,0)</f>
        <v>1</v>
      </c>
    </row>
    <row r="1000" spans="2:24" ht="14.4" x14ac:dyDescent="0.3">
      <c r="B1000" s="57">
        <v>1790816645730</v>
      </c>
      <c r="C1000" s="58">
        <v>169</v>
      </c>
      <c r="D1000" s="59" t="s">
        <v>1658</v>
      </c>
      <c r="E1000" s="59" t="s">
        <v>1577</v>
      </c>
      <c r="F1000" s="59" t="s">
        <v>2275</v>
      </c>
      <c r="G1000" s="59" t="s">
        <v>2278</v>
      </c>
      <c r="H1000" s="59" t="s">
        <v>2281</v>
      </c>
      <c r="I1000" s="59" t="b">
        <v>1</v>
      </c>
      <c r="J1000" s="59"/>
      <c r="K1000" s="58">
        <v>1824</v>
      </c>
      <c r="L1000" s="58">
        <v>1342</v>
      </c>
      <c r="M1000" s="59">
        <v>10</v>
      </c>
      <c r="N1000" s="59">
        <v>10</v>
      </c>
      <c r="O1000" s="59" t="s">
        <v>3578</v>
      </c>
      <c r="P1000" s="58">
        <v>162</v>
      </c>
      <c r="Q1000" s="59">
        <v>0</v>
      </c>
      <c r="R1000" s="59">
        <v>0</v>
      </c>
      <c r="S1000" s="60">
        <f>tblJTL[[#This Row],[timeStamp]]/86400000+DATE(1970,1,1)+TIME(9,0,0)</f>
        <v>46296.419510763888</v>
      </c>
      <c r="T1000" s="57">
        <f>tblJTL[[#This Row],[timeStamp]]+tblJTL[[#This Row],[elapsed]]</f>
        <v>1790816645899</v>
      </c>
      <c r="U1000" s="61">
        <f>(tblJTL[[#This Row],[timeStamp]]-'17_分析サンプル'!$E$18)/1000</f>
        <v>245.55</v>
      </c>
      <c r="V1000" s="57">
        <f>INT(tblJTL[[#This Row],[経過秒]]/60)</f>
        <v>4</v>
      </c>
      <c r="W1000" s="57">
        <f>IF(OR(tblJTL[[#This Row],[success]]=FALSE,tblJTL[[#This Row],[success]]="false"),1,0)</f>
        <v>0</v>
      </c>
      <c r="X1000" s="57">
        <f>IF(AND(tblJTL[[#This Row],[経過秒]]&gt;='17_分析サンプル'!$E$11,tblJTL[[#This Row],[経過秒]]&lt;'17_分析サンプル'!$E$12),1,0)</f>
        <v>1</v>
      </c>
    </row>
    <row r="1001" spans="2:24" ht="14.4" x14ac:dyDescent="0.3">
      <c r="B1001" s="57">
        <v>1790816645792</v>
      </c>
      <c r="C1001" s="58">
        <v>136</v>
      </c>
      <c r="D1001" s="59" t="s">
        <v>1658</v>
      </c>
      <c r="E1001" s="59" t="s">
        <v>1577</v>
      </c>
      <c r="F1001" s="59" t="s">
        <v>2275</v>
      </c>
      <c r="G1001" s="59" t="s">
        <v>3585</v>
      </c>
      <c r="H1001" s="59" t="s">
        <v>2281</v>
      </c>
      <c r="I1001" s="59" t="b">
        <v>1</v>
      </c>
      <c r="J1001" s="59"/>
      <c r="K1001" s="58">
        <v>1882</v>
      </c>
      <c r="L1001" s="58">
        <v>1342</v>
      </c>
      <c r="M1001" s="59">
        <v>10</v>
      </c>
      <c r="N1001" s="59">
        <v>10</v>
      </c>
      <c r="O1001" s="59" t="s">
        <v>3578</v>
      </c>
      <c r="P1001" s="58">
        <v>134</v>
      </c>
      <c r="Q1001" s="59">
        <v>0</v>
      </c>
      <c r="R1001" s="59">
        <v>0</v>
      </c>
      <c r="S1001" s="60">
        <f>tblJTL[[#This Row],[timeStamp]]/86400000+DATE(1970,1,1)+TIME(9,0,0)</f>
        <v>46296.419511481479</v>
      </c>
      <c r="T1001" s="57">
        <f>tblJTL[[#This Row],[timeStamp]]+tblJTL[[#This Row],[elapsed]]</f>
        <v>1790816645928</v>
      </c>
      <c r="U1001" s="61">
        <f>(tblJTL[[#This Row],[timeStamp]]-'17_分析サンプル'!$E$18)/1000</f>
        <v>245.61199999999999</v>
      </c>
      <c r="V1001" s="57">
        <f>INT(tblJTL[[#This Row],[経過秒]]/60)</f>
        <v>4</v>
      </c>
      <c r="W1001" s="57">
        <f>IF(OR(tblJTL[[#This Row],[success]]=FALSE,tblJTL[[#This Row],[success]]="false"),1,0)</f>
        <v>0</v>
      </c>
      <c r="X1001" s="57">
        <f>IF(AND(tblJTL[[#This Row],[経過秒]]&gt;='17_分析サンプル'!$E$11,tblJTL[[#This Row],[経過秒]]&lt;'17_分析サンプル'!$E$12),1,0)</f>
        <v>1</v>
      </c>
    </row>
    <row r="1002" spans="2:24" ht="14.4" x14ac:dyDescent="0.3">
      <c r="B1002" s="57">
        <v>1790816646147</v>
      </c>
      <c r="C1002" s="58">
        <v>167</v>
      </c>
      <c r="D1002" s="59" t="s">
        <v>1677</v>
      </c>
      <c r="E1002" s="59" t="s">
        <v>3579</v>
      </c>
      <c r="F1002" s="59" t="s">
        <v>3580</v>
      </c>
      <c r="G1002" s="59" t="s">
        <v>3586</v>
      </c>
      <c r="H1002" s="59" t="s">
        <v>2281</v>
      </c>
      <c r="I1002" s="59" t="b">
        <v>1</v>
      </c>
      <c r="J1002" s="59"/>
      <c r="K1002" s="58">
        <v>432</v>
      </c>
      <c r="L1002" s="58">
        <v>1478</v>
      </c>
      <c r="M1002" s="59">
        <v>10</v>
      </c>
      <c r="N1002" s="59">
        <v>10</v>
      </c>
      <c r="O1002" s="59" t="s">
        <v>3581</v>
      </c>
      <c r="P1002" s="58">
        <v>165</v>
      </c>
      <c r="Q1002" s="59">
        <v>0</v>
      </c>
      <c r="R1002" s="59">
        <v>0</v>
      </c>
      <c r="S1002" s="60">
        <f>tblJTL[[#This Row],[timeStamp]]/86400000+DATE(1970,1,1)+TIME(9,0,0)</f>
        <v>46296.419515590278</v>
      </c>
      <c r="T1002" s="57">
        <f>tblJTL[[#This Row],[timeStamp]]+tblJTL[[#This Row],[elapsed]]</f>
        <v>1790816646314</v>
      </c>
      <c r="U1002" s="61">
        <f>(tblJTL[[#This Row],[timeStamp]]-'17_分析サンプル'!$E$18)/1000</f>
        <v>245.96700000000001</v>
      </c>
      <c r="V1002" s="57">
        <f>INT(tblJTL[[#This Row],[経過秒]]/60)</f>
        <v>4</v>
      </c>
      <c r="W1002" s="57">
        <f>IF(OR(tblJTL[[#This Row],[success]]=FALSE,tblJTL[[#This Row],[success]]="false"),1,0)</f>
        <v>0</v>
      </c>
      <c r="X1002" s="57">
        <f>IF(AND(tblJTL[[#This Row],[経過秒]]&gt;='17_分析サンプル'!$E$11,tblJTL[[#This Row],[経過秒]]&lt;'17_分析サンプル'!$E$12),1,0)</f>
        <v>1</v>
      </c>
    </row>
    <row r="1003" spans="2:24" ht="14.4" x14ac:dyDescent="0.3">
      <c r="B1003" s="57">
        <v>1790816646151</v>
      </c>
      <c r="C1003" s="58">
        <v>210</v>
      </c>
      <c r="D1003" s="59" t="s">
        <v>1677</v>
      </c>
      <c r="E1003" s="59" t="s">
        <v>3579</v>
      </c>
      <c r="F1003" s="59" t="s">
        <v>3580</v>
      </c>
      <c r="G1003" s="59" t="s">
        <v>3589</v>
      </c>
      <c r="H1003" s="59" t="s">
        <v>2281</v>
      </c>
      <c r="I1003" s="59" t="b">
        <v>1</v>
      </c>
      <c r="J1003" s="59"/>
      <c r="K1003" s="58">
        <v>421</v>
      </c>
      <c r="L1003" s="58">
        <v>1478</v>
      </c>
      <c r="M1003" s="59">
        <v>10</v>
      </c>
      <c r="N1003" s="59">
        <v>10</v>
      </c>
      <c r="O1003" s="59" t="s">
        <v>3581</v>
      </c>
      <c r="P1003" s="58">
        <v>208</v>
      </c>
      <c r="Q1003" s="59">
        <v>0</v>
      </c>
      <c r="R1003" s="59">
        <v>0</v>
      </c>
      <c r="S1003" s="60">
        <f>tblJTL[[#This Row],[timeStamp]]/86400000+DATE(1970,1,1)+TIME(9,0,0)</f>
        <v>46296.419515636575</v>
      </c>
      <c r="T1003" s="57">
        <f>tblJTL[[#This Row],[timeStamp]]+tblJTL[[#This Row],[elapsed]]</f>
        <v>1790816646361</v>
      </c>
      <c r="U1003" s="61">
        <f>(tblJTL[[#This Row],[timeStamp]]-'17_分析サンプル'!$E$18)/1000</f>
        <v>245.971</v>
      </c>
      <c r="V1003" s="57">
        <f>INT(tblJTL[[#This Row],[経過秒]]/60)</f>
        <v>4</v>
      </c>
      <c r="W1003" s="57">
        <f>IF(OR(tblJTL[[#This Row],[success]]=FALSE,tblJTL[[#This Row],[success]]="false"),1,0)</f>
        <v>0</v>
      </c>
      <c r="X1003" s="57">
        <f>IF(AND(tblJTL[[#This Row],[経過秒]]&gt;='17_分析サンプル'!$E$11,tblJTL[[#This Row],[経過秒]]&lt;'17_分析サンプル'!$E$12),1,0)</f>
        <v>1</v>
      </c>
    </row>
    <row r="1004" spans="2:24" ht="14.4" x14ac:dyDescent="0.3">
      <c r="B1004" s="57">
        <v>1790816646376</v>
      </c>
      <c r="C1004" s="58">
        <v>151</v>
      </c>
      <c r="D1004" s="59" t="s">
        <v>1658</v>
      </c>
      <c r="E1004" s="59" t="s">
        <v>1577</v>
      </c>
      <c r="F1004" s="59" t="s">
        <v>2275</v>
      </c>
      <c r="G1004" s="59" t="s">
        <v>3582</v>
      </c>
      <c r="H1004" s="59" t="s">
        <v>2281</v>
      </c>
      <c r="I1004" s="59" t="b">
        <v>1</v>
      </c>
      <c r="J1004" s="59"/>
      <c r="K1004" s="58">
        <v>1836</v>
      </c>
      <c r="L1004" s="58">
        <v>1342</v>
      </c>
      <c r="M1004" s="59">
        <v>10</v>
      </c>
      <c r="N1004" s="59">
        <v>10</v>
      </c>
      <c r="O1004" s="59" t="s">
        <v>3578</v>
      </c>
      <c r="P1004" s="58">
        <v>149</v>
      </c>
      <c r="Q1004" s="59">
        <v>0</v>
      </c>
      <c r="R1004" s="59">
        <v>0</v>
      </c>
      <c r="S1004" s="60">
        <f>tblJTL[[#This Row],[timeStamp]]/86400000+DATE(1970,1,1)+TIME(9,0,0)</f>
        <v>46296.419518240742</v>
      </c>
      <c r="T1004" s="57">
        <f>tblJTL[[#This Row],[timeStamp]]+tblJTL[[#This Row],[elapsed]]</f>
        <v>1790816646527</v>
      </c>
      <c r="U1004" s="61">
        <f>(tblJTL[[#This Row],[timeStamp]]-'17_分析サンプル'!$E$18)/1000</f>
        <v>246.196</v>
      </c>
      <c r="V1004" s="57">
        <f>INT(tblJTL[[#This Row],[経過秒]]/60)</f>
        <v>4</v>
      </c>
      <c r="W1004" s="57">
        <f>IF(OR(tblJTL[[#This Row],[success]]=FALSE,tblJTL[[#This Row],[success]]="false"),1,0)</f>
        <v>0</v>
      </c>
      <c r="X1004" s="57">
        <f>IF(AND(tblJTL[[#This Row],[経過秒]]&gt;='17_分析サンプル'!$E$11,tblJTL[[#This Row],[経過秒]]&lt;'17_分析サンプル'!$E$12),1,0)</f>
        <v>1</v>
      </c>
    </row>
    <row r="1005" spans="2:24" ht="14.4" x14ac:dyDescent="0.3">
      <c r="B1005" s="57">
        <v>1790816646869</v>
      </c>
      <c r="C1005" s="58">
        <v>108</v>
      </c>
      <c r="D1005" s="59" t="s">
        <v>1658</v>
      </c>
      <c r="E1005" s="59" t="s">
        <v>1577</v>
      </c>
      <c r="F1005" s="59" t="s">
        <v>2275</v>
      </c>
      <c r="G1005" s="59" t="s">
        <v>3587</v>
      </c>
      <c r="H1005" s="59" t="s">
        <v>2281</v>
      </c>
      <c r="I1005" s="59" t="b">
        <v>1</v>
      </c>
      <c r="J1005" s="59"/>
      <c r="K1005" s="58">
        <v>1874</v>
      </c>
      <c r="L1005" s="58">
        <v>1342</v>
      </c>
      <c r="M1005" s="59">
        <v>10</v>
      </c>
      <c r="N1005" s="59">
        <v>10</v>
      </c>
      <c r="O1005" s="59" t="s">
        <v>3578</v>
      </c>
      <c r="P1005" s="58">
        <v>105</v>
      </c>
      <c r="Q1005" s="59">
        <v>0</v>
      </c>
      <c r="R1005" s="59">
        <v>0</v>
      </c>
      <c r="S1005" s="60">
        <f>tblJTL[[#This Row],[timeStamp]]/86400000+DATE(1970,1,1)+TIME(9,0,0)</f>
        <v>46296.419523946759</v>
      </c>
      <c r="T1005" s="57">
        <f>tblJTL[[#This Row],[timeStamp]]+tblJTL[[#This Row],[elapsed]]</f>
        <v>1790816646977</v>
      </c>
      <c r="U1005" s="61">
        <f>(tblJTL[[#This Row],[timeStamp]]-'17_分析サンプル'!$E$18)/1000</f>
        <v>246.68899999999999</v>
      </c>
      <c r="V1005" s="57">
        <f>INT(tblJTL[[#This Row],[経過秒]]/60)</f>
        <v>4</v>
      </c>
      <c r="W1005" s="57">
        <f>IF(OR(tblJTL[[#This Row],[success]]=FALSE,tblJTL[[#This Row],[success]]="false"),1,0)</f>
        <v>0</v>
      </c>
      <c r="X1005" s="57">
        <f>IF(AND(tblJTL[[#This Row],[経過秒]]&gt;='17_分析サンプル'!$E$11,tblJTL[[#This Row],[経過秒]]&lt;'17_分析サンプル'!$E$12),1,0)</f>
        <v>1</v>
      </c>
    </row>
    <row r="1006" spans="2:24" ht="14.4" x14ac:dyDescent="0.3">
      <c r="B1006" s="57">
        <v>1790816647152</v>
      </c>
      <c r="C1006" s="58">
        <v>95</v>
      </c>
      <c r="D1006" s="59" t="s">
        <v>1658</v>
      </c>
      <c r="E1006" s="59" t="s">
        <v>1577</v>
      </c>
      <c r="F1006" s="59" t="s">
        <v>2275</v>
      </c>
      <c r="G1006" s="59" t="s">
        <v>3577</v>
      </c>
      <c r="H1006" s="59" t="s">
        <v>2281</v>
      </c>
      <c r="I1006" s="59" t="b">
        <v>1</v>
      </c>
      <c r="J1006" s="59"/>
      <c r="K1006" s="58">
        <v>1892</v>
      </c>
      <c r="L1006" s="58">
        <v>1342</v>
      </c>
      <c r="M1006" s="59">
        <v>10</v>
      </c>
      <c r="N1006" s="59">
        <v>10</v>
      </c>
      <c r="O1006" s="59" t="s">
        <v>3578</v>
      </c>
      <c r="P1006" s="58">
        <v>90</v>
      </c>
      <c r="Q1006" s="59">
        <v>0</v>
      </c>
      <c r="R1006" s="59">
        <v>0</v>
      </c>
      <c r="S1006" s="60">
        <f>tblJTL[[#This Row],[timeStamp]]/86400000+DATE(1970,1,1)+TIME(9,0,0)</f>
        <v>46296.41952722222</v>
      </c>
      <c r="T1006" s="57">
        <f>tblJTL[[#This Row],[timeStamp]]+tblJTL[[#This Row],[elapsed]]</f>
        <v>1790816647247</v>
      </c>
      <c r="U1006" s="61">
        <f>(tblJTL[[#This Row],[timeStamp]]-'17_分析サンプル'!$E$18)/1000</f>
        <v>246.97200000000001</v>
      </c>
      <c r="V1006" s="57">
        <f>INT(tblJTL[[#This Row],[経過秒]]/60)</f>
        <v>4</v>
      </c>
      <c r="W1006" s="57">
        <f>IF(OR(tblJTL[[#This Row],[success]]=FALSE,tblJTL[[#This Row],[success]]="false"),1,0)</f>
        <v>0</v>
      </c>
      <c r="X1006" s="57">
        <f>IF(AND(tblJTL[[#This Row],[経過秒]]&gt;='17_分析サンプル'!$E$11,tblJTL[[#This Row],[経過秒]]&lt;'17_分析サンプル'!$E$12),1,0)</f>
        <v>1</v>
      </c>
    </row>
    <row r="1007" spans="2:24" ht="14.4" x14ac:dyDescent="0.3">
      <c r="B1007" s="57">
        <v>1790816647085</v>
      </c>
      <c r="C1007" s="58">
        <v>186</v>
      </c>
      <c r="D1007" s="59" t="s">
        <v>1677</v>
      </c>
      <c r="E1007" s="59" t="s">
        <v>3579</v>
      </c>
      <c r="F1007" s="59" t="s">
        <v>3580</v>
      </c>
      <c r="G1007" s="59" t="s">
        <v>2278</v>
      </c>
      <c r="H1007" s="59" t="s">
        <v>2281</v>
      </c>
      <c r="I1007" s="59" t="b">
        <v>1</v>
      </c>
      <c r="J1007" s="59"/>
      <c r="K1007" s="58">
        <v>417</v>
      </c>
      <c r="L1007" s="58">
        <v>1478</v>
      </c>
      <c r="M1007" s="59">
        <v>10</v>
      </c>
      <c r="N1007" s="59">
        <v>10</v>
      </c>
      <c r="O1007" s="59" t="s">
        <v>3581</v>
      </c>
      <c r="P1007" s="58">
        <v>184</v>
      </c>
      <c r="Q1007" s="59">
        <v>0</v>
      </c>
      <c r="R1007" s="59">
        <v>0</v>
      </c>
      <c r="S1007" s="60">
        <f>tblJTL[[#This Row],[timeStamp]]/86400000+DATE(1970,1,1)+TIME(9,0,0)</f>
        <v>46296.419526446756</v>
      </c>
      <c r="T1007" s="57">
        <f>tblJTL[[#This Row],[timeStamp]]+tblJTL[[#This Row],[elapsed]]</f>
        <v>1790816647271</v>
      </c>
      <c r="U1007" s="61">
        <f>(tblJTL[[#This Row],[timeStamp]]-'17_分析サンプル'!$E$18)/1000</f>
        <v>246.905</v>
      </c>
      <c r="V1007" s="57">
        <f>INT(tblJTL[[#This Row],[経過秒]]/60)</f>
        <v>4</v>
      </c>
      <c r="W1007" s="57">
        <f>IF(OR(tblJTL[[#This Row],[success]]=FALSE,tblJTL[[#This Row],[success]]="false"),1,0)</f>
        <v>0</v>
      </c>
      <c r="X1007" s="57">
        <f>IF(AND(tblJTL[[#This Row],[経過秒]]&gt;='17_分析サンプル'!$E$11,tblJTL[[#This Row],[経過秒]]&lt;'17_分析サンプル'!$E$12),1,0)</f>
        <v>1</v>
      </c>
    </row>
    <row r="1008" spans="2:24" ht="14.4" x14ac:dyDescent="0.3">
      <c r="B1008" s="57">
        <v>1790816647378</v>
      </c>
      <c r="C1008" s="58">
        <v>160</v>
      </c>
      <c r="D1008" s="59" t="s">
        <v>1658</v>
      </c>
      <c r="E1008" s="59" t="s">
        <v>1577</v>
      </c>
      <c r="F1008" s="59" t="s">
        <v>2275</v>
      </c>
      <c r="G1008" s="59" t="s">
        <v>3588</v>
      </c>
      <c r="H1008" s="59" t="s">
        <v>2281</v>
      </c>
      <c r="I1008" s="59" t="b">
        <v>1</v>
      </c>
      <c r="J1008" s="59"/>
      <c r="K1008" s="58">
        <v>1825</v>
      </c>
      <c r="L1008" s="58">
        <v>1342</v>
      </c>
      <c r="M1008" s="59">
        <v>10</v>
      </c>
      <c r="N1008" s="59">
        <v>10</v>
      </c>
      <c r="O1008" s="59" t="s">
        <v>3578</v>
      </c>
      <c r="P1008" s="58">
        <v>156</v>
      </c>
      <c r="Q1008" s="59">
        <v>0</v>
      </c>
      <c r="R1008" s="59">
        <v>0</v>
      </c>
      <c r="S1008" s="60">
        <f>tblJTL[[#This Row],[timeStamp]]/86400000+DATE(1970,1,1)+TIME(9,0,0)</f>
        <v>46296.419529837964</v>
      </c>
      <c r="T1008" s="57">
        <f>tblJTL[[#This Row],[timeStamp]]+tblJTL[[#This Row],[elapsed]]</f>
        <v>1790816647538</v>
      </c>
      <c r="U1008" s="61">
        <f>(tblJTL[[#This Row],[timeStamp]]-'17_分析サンプル'!$E$18)/1000</f>
        <v>247.19800000000001</v>
      </c>
      <c r="V1008" s="57">
        <f>INT(tblJTL[[#This Row],[経過秒]]/60)</f>
        <v>4</v>
      </c>
      <c r="W1008" s="57">
        <f>IF(OR(tblJTL[[#This Row],[success]]=FALSE,tblJTL[[#This Row],[success]]="false"),1,0)</f>
        <v>0</v>
      </c>
      <c r="X1008" s="57">
        <f>IF(AND(tblJTL[[#This Row],[経過秒]]&gt;='17_分析サンプル'!$E$11,tblJTL[[#This Row],[経過秒]]&lt;'17_分析サンプル'!$E$12),1,0)</f>
        <v>1</v>
      </c>
    </row>
    <row r="1009" spans="2:24" ht="14.4" x14ac:dyDescent="0.3">
      <c r="B1009" s="57">
        <v>1790816647304</v>
      </c>
      <c r="C1009" s="58">
        <v>384</v>
      </c>
      <c r="D1009" s="59" t="s">
        <v>1677</v>
      </c>
      <c r="E1009" s="59" t="s">
        <v>3579</v>
      </c>
      <c r="F1009" s="59" t="s">
        <v>3580</v>
      </c>
      <c r="G1009" s="59" t="s">
        <v>3583</v>
      </c>
      <c r="H1009" s="59" t="s">
        <v>2281</v>
      </c>
      <c r="I1009" s="59" t="b">
        <v>1</v>
      </c>
      <c r="J1009" s="59"/>
      <c r="K1009" s="58">
        <v>426</v>
      </c>
      <c r="L1009" s="58">
        <v>1478</v>
      </c>
      <c r="M1009" s="59">
        <v>10</v>
      </c>
      <c r="N1009" s="59">
        <v>10</v>
      </c>
      <c r="O1009" s="59" t="s">
        <v>3581</v>
      </c>
      <c r="P1009" s="58">
        <v>380</v>
      </c>
      <c r="Q1009" s="59">
        <v>0</v>
      </c>
      <c r="R1009" s="59">
        <v>0</v>
      </c>
      <c r="S1009" s="60">
        <f>tblJTL[[#This Row],[timeStamp]]/86400000+DATE(1970,1,1)+TIME(9,0,0)</f>
        <v>46296.419528981482</v>
      </c>
      <c r="T1009" s="57">
        <f>tblJTL[[#This Row],[timeStamp]]+tblJTL[[#This Row],[elapsed]]</f>
        <v>1790816647688</v>
      </c>
      <c r="U1009" s="61">
        <f>(tblJTL[[#This Row],[timeStamp]]-'17_分析サンプル'!$E$18)/1000</f>
        <v>247.124</v>
      </c>
      <c r="V1009" s="57">
        <f>INT(tblJTL[[#This Row],[経過秒]]/60)</f>
        <v>4</v>
      </c>
      <c r="W1009" s="57">
        <f>IF(OR(tblJTL[[#This Row],[success]]=FALSE,tblJTL[[#This Row],[success]]="false"),1,0)</f>
        <v>0</v>
      </c>
      <c r="X1009" s="57">
        <f>IF(AND(tblJTL[[#This Row],[経過秒]]&gt;='17_分析サンプル'!$E$11,tblJTL[[#This Row],[経過秒]]&lt;'17_分析サンプル'!$E$12),1,0)</f>
        <v>1</v>
      </c>
    </row>
    <row r="1010" spans="2:24" ht="14.4" x14ac:dyDescent="0.3">
      <c r="B1010" s="57">
        <v>1790816647853</v>
      </c>
      <c r="C1010" s="58">
        <v>138</v>
      </c>
      <c r="D1010" s="59" t="s">
        <v>1658</v>
      </c>
      <c r="E1010" s="59" t="s">
        <v>1577</v>
      </c>
      <c r="F1010" s="59" t="s">
        <v>2275</v>
      </c>
      <c r="G1010" s="59" t="s">
        <v>3584</v>
      </c>
      <c r="H1010" s="59" t="s">
        <v>2281</v>
      </c>
      <c r="I1010" s="59" t="b">
        <v>1</v>
      </c>
      <c r="J1010" s="59"/>
      <c r="K1010" s="58">
        <v>1836</v>
      </c>
      <c r="L1010" s="58">
        <v>1342</v>
      </c>
      <c r="M1010" s="59">
        <v>10</v>
      </c>
      <c r="N1010" s="59">
        <v>10</v>
      </c>
      <c r="O1010" s="59" t="s">
        <v>3578</v>
      </c>
      <c r="P1010" s="58">
        <v>133</v>
      </c>
      <c r="Q1010" s="59">
        <v>0</v>
      </c>
      <c r="R1010" s="59">
        <v>0</v>
      </c>
      <c r="S1010" s="60">
        <f>tblJTL[[#This Row],[timeStamp]]/86400000+DATE(1970,1,1)+TIME(9,0,0)</f>
        <v>46296.419535335648</v>
      </c>
      <c r="T1010" s="57">
        <f>tblJTL[[#This Row],[timeStamp]]+tblJTL[[#This Row],[elapsed]]</f>
        <v>1790816647991</v>
      </c>
      <c r="U1010" s="61">
        <f>(tblJTL[[#This Row],[timeStamp]]-'17_分析サンプル'!$E$18)/1000</f>
        <v>247.673</v>
      </c>
      <c r="V1010" s="57">
        <f>INT(tblJTL[[#This Row],[経過秒]]/60)</f>
        <v>4</v>
      </c>
      <c r="W1010" s="57">
        <f>IF(OR(tblJTL[[#This Row],[success]]=FALSE,tblJTL[[#This Row],[success]]="false"),1,0)</f>
        <v>0</v>
      </c>
      <c r="X1010" s="57">
        <f>IF(AND(tblJTL[[#This Row],[経過秒]]&gt;='17_分析サンプル'!$E$11,tblJTL[[#This Row],[経過秒]]&lt;'17_分析サンプル'!$E$12),1,0)</f>
        <v>1</v>
      </c>
    </row>
    <row r="1011" spans="2:24" ht="14.4" x14ac:dyDescent="0.3">
      <c r="B1011" s="57">
        <v>1790816648608</v>
      </c>
      <c r="C1011" s="58">
        <v>251</v>
      </c>
      <c r="D1011" s="59" t="s">
        <v>1677</v>
      </c>
      <c r="E1011" s="59" t="s">
        <v>3579</v>
      </c>
      <c r="F1011" s="59" t="s">
        <v>3580</v>
      </c>
      <c r="G1011" s="59" t="s">
        <v>3585</v>
      </c>
      <c r="H1011" s="59" t="s">
        <v>2281</v>
      </c>
      <c r="I1011" s="59" t="b">
        <v>1</v>
      </c>
      <c r="J1011" s="59"/>
      <c r="K1011" s="58">
        <v>413</v>
      </c>
      <c r="L1011" s="58">
        <v>1478</v>
      </c>
      <c r="M1011" s="59">
        <v>10</v>
      </c>
      <c r="N1011" s="59">
        <v>10</v>
      </c>
      <c r="O1011" s="59" t="s">
        <v>3581</v>
      </c>
      <c r="P1011" s="58">
        <v>244</v>
      </c>
      <c r="Q1011" s="59">
        <v>0</v>
      </c>
      <c r="R1011" s="59">
        <v>0</v>
      </c>
      <c r="S1011" s="60">
        <f>tblJTL[[#This Row],[timeStamp]]/86400000+DATE(1970,1,1)+TIME(9,0,0)</f>
        <v>46296.419544074073</v>
      </c>
      <c r="T1011" s="57">
        <f>tblJTL[[#This Row],[timeStamp]]+tblJTL[[#This Row],[elapsed]]</f>
        <v>1790816648859</v>
      </c>
      <c r="U1011" s="61">
        <f>(tblJTL[[#This Row],[timeStamp]]-'17_分析サンプル'!$E$18)/1000</f>
        <v>248.428</v>
      </c>
      <c r="V1011" s="57">
        <f>INT(tblJTL[[#This Row],[経過秒]]/60)</f>
        <v>4</v>
      </c>
      <c r="W1011" s="57">
        <f>IF(OR(tblJTL[[#This Row],[success]]=FALSE,tblJTL[[#This Row],[success]]="false"),1,0)</f>
        <v>0</v>
      </c>
      <c r="X1011" s="57">
        <f>IF(AND(tblJTL[[#This Row],[経過秒]]&gt;='17_分析サンプル'!$E$11,tblJTL[[#This Row],[経過秒]]&lt;'17_分析サンプル'!$E$12),1,0)</f>
        <v>1</v>
      </c>
    </row>
    <row r="1012" spans="2:24" ht="14.4" x14ac:dyDescent="0.3">
      <c r="B1012" s="57">
        <v>1790816648978</v>
      </c>
      <c r="C1012" s="58">
        <v>145</v>
      </c>
      <c r="D1012" s="59" t="s">
        <v>1658</v>
      </c>
      <c r="E1012" s="59" t="s">
        <v>1577</v>
      </c>
      <c r="F1012" s="59" t="s">
        <v>2275</v>
      </c>
      <c r="G1012" s="59" t="s">
        <v>3586</v>
      </c>
      <c r="H1012" s="59" t="s">
        <v>2281</v>
      </c>
      <c r="I1012" s="59" t="b">
        <v>1</v>
      </c>
      <c r="J1012" s="59"/>
      <c r="K1012" s="58">
        <v>1846</v>
      </c>
      <c r="L1012" s="58">
        <v>1342</v>
      </c>
      <c r="M1012" s="59">
        <v>10</v>
      </c>
      <c r="N1012" s="59">
        <v>10</v>
      </c>
      <c r="O1012" s="59" t="s">
        <v>3578</v>
      </c>
      <c r="P1012" s="58">
        <v>138</v>
      </c>
      <c r="Q1012" s="59">
        <v>0</v>
      </c>
      <c r="R1012" s="59">
        <v>0</v>
      </c>
      <c r="S1012" s="60">
        <f>tblJTL[[#This Row],[timeStamp]]/86400000+DATE(1970,1,1)+TIME(9,0,0)</f>
        <v>46296.419548356484</v>
      </c>
      <c r="T1012" s="57">
        <f>tblJTL[[#This Row],[timeStamp]]+tblJTL[[#This Row],[elapsed]]</f>
        <v>1790816649123</v>
      </c>
      <c r="U1012" s="61">
        <f>(tblJTL[[#This Row],[timeStamp]]-'17_分析サンプル'!$E$18)/1000</f>
        <v>248.798</v>
      </c>
      <c r="V1012" s="57">
        <f>INT(tblJTL[[#This Row],[経過秒]]/60)</f>
        <v>4</v>
      </c>
      <c r="W1012" s="57">
        <f>IF(OR(tblJTL[[#This Row],[success]]=FALSE,tblJTL[[#This Row],[success]]="false"),1,0)</f>
        <v>0</v>
      </c>
      <c r="X1012" s="57">
        <f>IF(AND(tblJTL[[#This Row],[経過秒]]&gt;='17_分析サンプル'!$E$11,tblJTL[[#This Row],[経過秒]]&lt;'17_分析サンプル'!$E$12),1,0)</f>
        <v>1</v>
      </c>
    </row>
    <row r="1013" spans="2:24" ht="14.4" x14ac:dyDescent="0.3">
      <c r="B1013" s="57">
        <v>1790816649099</v>
      </c>
      <c r="C1013" s="58">
        <v>254</v>
      </c>
      <c r="D1013" s="59" t="s">
        <v>1677</v>
      </c>
      <c r="E1013" s="59" t="s">
        <v>3579</v>
      </c>
      <c r="F1013" s="59" t="s">
        <v>3580</v>
      </c>
      <c r="G1013" s="59" t="s">
        <v>3587</v>
      </c>
      <c r="H1013" s="59" t="s">
        <v>2281</v>
      </c>
      <c r="I1013" s="59" t="b">
        <v>1</v>
      </c>
      <c r="J1013" s="59"/>
      <c r="K1013" s="58">
        <v>418</v>
      </c>
      <c r="L1013" s="58">
        <v>1478</v>
      </c>
      <c r="M1013" s="59">
        <v>10</v>
      </c>
      <c r="N1013" s="59">
        <v>10</v>
      </c>
      <c r="O1013" s="59" t="s">
        <v>3581</v>
      </c>
      <c r="P1013" s="58">
        <v>252</v>
      </c>
      <c r="Q1013" s="59">
        <v>0</v>
      </c>
      <c r="R1013" s="59">
        <v>0</v>
      </c>
      <c r="S1013" s="60">
        <f>tblJTL[[#This Row],[timeStamp]]/86400000+DATE(1970,1,1)+TIME(9,0,0)</f>
        <v>46296.419549756945</v>
      </c>
      <c r="T1013" s="57">
        <f>tblJTL[[#This Row],[timeStamp]]+tblJTL[[#This Row],[elapsed]]</f>
        <v>1790816649353</v>
      </c>
      <c r="U1013" s="61">
        <f>(tblJTL[[#This Row],[timeStamp]]-'17_分析サンプル'!$E$18)/1000</f>
        <v>248.91900000000001</v>
      </c>
      <c r="V1013" s="57">
        <f>INT(tblJTL[[#This Row],[経過秒]]/60)</f>
        <v>4</v>
      </c>
      <c r="W1013" s="57">
        <f>IF(OR(tblJTL[[#This Row],[success]]=FALSE,tblJTL[[#This Row],[success]]="false"),1,0)</f>
        <v>0</v>
      </c>
      <c r="X1013" s="57">
        <f>IF(AND(tblJTL[[#This Row],[経過秒]]&gt;='17_分析サンプル'!$E$11,tblJTL[[#This Row],[経過秒]]&lt;'17_分析サンプル'!$E$12),1,0)</f>
        <v>1</v>
      </c>
    </row>
    <row r="1014" spans="2:24" ht="14.4" x14ac:dyDescent="0.3">
      <c r="B1014" s="57">
        <v>1790816649152</v>
      </c>
      <c r="C1014" s="58">
        <v>218</v>
      </c>
      <c r="D1014" s="59" t="s">
        <v>1677</v>
      </c>
      <c r="E1014" s="59" t="s">
        <v>3579</v>
      </c>
      <c r="F1014" s="59" t="s">
        <v>3580</v>
      </c>
      <c r="G1014" s="59" t="s">
        <v>3577</v>
      </c>
      <c r="H1014" s="59" t="s">
        <v>2281</v>
      </c>
      <c r="I1014" s="59" t="b">
        <v>1</v>
      </c>
      <c r="J1014" s="59"/>
      <c r="K1014" s="58">
        <v>413</v>
      </c>
      <c r="L1014" s="58">
        <v>1478</v>
      </c>
      <c r="M1014" s="59">
        <v>10</v>
      </c>
      <c r="N1014" s="59">
        <v>10</v>
      </c>
      <c r="O1014" s="59" t="s">
        <v>3581</v>
      </c>
      <c r="P1014" s="58">
        <v>210</v>
      </c>
      <c r="Q1014" s="59">
        <v>0</v>
      </c>
      <c r="R1014" s="59">
        <v>0</v>
      </c>
      <c r="S1014" s="60">
        <f>tblJTL[[#This Row],[timeStamp]]/86400000+DATE(1970,1,1)+TIME(9,0,0)</f>
        <v>46296.419550370367</v>
      </c>
      <c r="T1014" s="57">
        <f>tblJTL[[#This Row],[timeStamp]]+tblJTL[[#This Row],[elapsed]]</f>
        <v>1790816649370</v>
      </c>
      <c r="U1014" s="61">
        <f>(tblJTL[[#This Row],[timeStamp]]-'17_分析サンプル'!$E$18)/1000</f>
        <v>248.97200000000001</v>
      </c>
      <c r="V1014" s="57">
        <f>INT(tblJTL[[#This Row],[経過秒]]/60)</f>
        <v>4</v>
      </c>
      <c r="W1014" s="57">
        <f>IF(OR(tblJTL[[#This Row],[success]]=FALSE,tblJTL[[#This Row],[success]]="false"),1,0)</f>
        <v>0</v>
      </c>
      <c r="X1014" s="57">
        <f>IF(AND(tblJTL[[#This Row],[経過秒]]&gt;='17_分析サンプル'!$E$11,tblJTL[[#This Row],[経過秒]]&lt;'17_分析サンプル'!$E$12),1,0)</f>
        <v>1</v>
      </c>
    </row>
    <row r="1015" spans="2:24" ht="14.4" x14ac:dyDescent="0.3">
      <c r="B1015" s="57">
        <v>1790816649228</v>
      </c>
      <c r="C1015" s="58">
        <v>153</v>
      </c>
      <c r="D1015" s="59" t="s">
        <v>1658</v>
      </c>
      <c r="E1015" s="59" t="s">
        <v>1577</v>
      </c>
      <c r="F1015" s="59" t="s">
        <v>2275</v>
      </c>
      <c r="G1015" s="59" t="s">
        <v>3589</v>
      </c>
      <c r="H1015" s="59" t="s">
        <v>2281</v>
      </c>
      <c r="I1015" s="59" t="b">
        <v>1</v>
      </c>
      <c r="J1015" s="59"/>
      <c r="K1015" s="58">
        <v>1849</v>
      </c>
      <c r="L1015" s="58">
        <v>1342</v>
      </c>
      <c r="M1015" s="59">
        <v>10</v>
      </c>
      <c r="N1015" s="59">
        <v>10</v>
      </c>
      <c r="O1015" s="59" t="s">
        <v>3578</v>
      </c>
      <c r="P1015" s="58">
        <v>145</v>
      </c>
      <c r="Q1015" s="59">
        <v>0</v>
      </c>
      <c r="R1015" s="59">
        <v>0</v>
      </c>
      <c r="S1015" s="60">
        <f>tblJTL[[#This Row],[timeStamp]]/86400000+DATE(1970,1,1)+TIME(9,0,0)</f>
        <v>46296.419551250001</v>
      </c>
      <c r="T1015" s="57">
        <f>tblJTL[[#This Row],[timeStamp]]+tblJTL[[#This Row],[elapsed]]</f>
        <v>1790816649381</v>
      </c>
      <c r="U1015" s="61">
        <f>(tblJTL[[#This Row],[timeStamp]]-'17_分析サンプル'!$E$18)/1000</f>
        <v>249.048</v>
      </c>
      <c r="V1015" s="57">
        <f>INT(tblJTL[[#This Row],[経過秒]]/60)</f>
        <v>4</v>
      </c>
      <c r="W1015" s="57">
        <f>IF(OR(tblJTL[[#This Row],[success]]=FALSE,tblJTL[[#This Row],[success]]="false"),1,0)</f>
        <v>0</v>
      </c>
      <c r="X1015" s="57">
        <f>IF(AND(tblJTL[[#This Row],[経過秒]]&gt;='17_分析サンプル'!$E$11,tblJTL[[#This Row],[経過秒]]&lt;'17_分析サンプル'!$E$12),1,0)</f>
        <v>1</v>
      </c>
    </row>
    <row r="1016" spans="2:24" ht="14.4" x14ac:dyDescent="0.3">
      <c r="B1016" s="57">
        <v>1790816649421</v>
      </c>
      <c r="C1016" s="58">
        <v>111</v>
      </c>
      <c r="D1016" s="59" t="s">
        <v>1658</v>
      </c>
      <c r="E1016" s="59" t="s">
        <v>1577</v>
      </c>
      <c r="F1016" s="59" t="s">
        <v>2275</v>
      </c>
      <c r="G1016" s="59" t="s">
        <v>3583</v>
      </c>
      <c r="H1016" s="59" t="s">
        <v>2281</v>
      </c>
      <c r="I1016" s="59" t="b">
        <v>1</v>
      </c>
      <c r="J1016" s="59"/>
      <c r="K1016" s="58">
        <v>1896</v>
      </c>
      <c r="L1016" s="58">
        <v>1342</v>
      </c>
      <c r="M1016" s="59">
        <v>10</v>
      </c>
      <c r="N1016" s="59">
        <v>10</v>
      </c>
      <c r="O1016" s="59" t="s">
        <v>3578</v>
      </c>
      <c r="P1016" s="58">
        <v>108</v>
      </c>
      <c r="Q1016" s="59">
        <v>0</v>
      </c>
      <c r="R1016" s="59">
        <v>0</v>
      </c>
      <c r="S1016" s="60">
        <f>tblJTL[[#This Row],[timeStamp]]/86400000+DATE(1970,1,1)+TIME(9,0,0)</f>
        <v>46296.419553483793</v>
      </c>
      <c r="T1016" s="57">
        <f>tblJTL[[#This Row],[timeStamp]]+tblJTL[[#This Row],[elapsed]]</f>
        <v>1790816649532</v>
      </c>
      <c r="U1016" s="61">
        <f>(tblJTL[[#This Row],[timeStamp]]-'17_分析サンプル'!$E$18)/1000</f>
        <v>249.24100000000001</v>
      </c>
      <c r="V1016" s="57">
        <f>INT(tblJTL[[#This Row],[経過秒]]/60)</f>
        <v>4</v>
      </c>
      <c r="W1016" s="57">
        <f>IF(OR(tblJTL[[#This Row],[success]]=FALSE,tblJTL[[#This Row],[success]]="false"),1,0)</f>
        <v>0</v>
      </c>
      <c r="X1016" s="57">
        <f>IF(AND(tblJTL[[#This Row],[経過秒]]&gt;='17_分析サンプル'!$E$11,tblJTL[[#This Row],[経過秒]]&lt;'17_分析サンプル'!$E$12),1,0)</f>
        <v>1</v>
      </c>
    </row>
    <row r="1017" spans="2:24" ht="14.4" x14ac:dyDescent="0.3">
      <c r="B1017" s="57">
        <v>1790816649430</v>
      </c>
      <c r="C1017" s="58">
        <v>230</v>
      </c>
      <c r="D1017" s="59" t="s">
        <v>1677</v>
      </c>
      <c r="E1017" s="59" t="s">
        <v>3579</v>
      </c>
      <c r="F1017" s="59" t="s">
        <v>3580</v>
      </c>
      <c r="G1017" s="59" t="s">
        <v>3582</v>
      </c>
      <c r="H1017" s="59" t="s">
        <v>2281</v>
      </c>
      <c r="I1017" s="59" t="b">
        <v>1</v>
      </c>
      <c r="J1017" s="59"/>
      <c r="K1017" s="58">
        <v>415</v>
      </c>
      <c r="L1017" s="58">
        <v>1478</v>
      </c>
      <c r="M1017" s="59">
        <v>10</v>
      </c>
      <c r="N1017" s="59">
        <v>10</v>
      </c>
      <c r="O1017" s="59" t="s">
        <v>3581</v>
      </c>
      <c r="P1017" s="58">
        <v>228</v>
      </c>
      <c r="Q1017" s="59">
        <v>0</v>
      </c>
      <c r="R1017" s="59">
        <v>0</v>
      </c>
      <c r="S1017" s="60">
        <f>tblJTL[[#This Row],[timeStamp]]/86400000+DATE(1970,1,1)+TIME(9,0,0)</f>
        <v>46296.419553587963</v>
      </c>
      <c r="T1017" s="57">
        <f>tblJTL[[#This Row],[timeStamp]]+tblJTL[[#This Row],[elapsed]]</f>
        <v>1790816649660</v>
      </c>
      <c r="U1017" s="61">
        <f>(tblJTL[[#This Row],[timeStamp]]-'17_分析サンプル'!$E$18)/1000</f>
        <v>249.25</v>
      </c>
      <c r="V1017" s="57">
        <f>INT(tblJTL[[#This Row],[経過秒]]/60)</f>
        <v>4</v>
      </c>
      <c r="W1017" s="57">
        <f>IF(OR(tblJTL[[#This Row],[success]]=FALSE,tblJTL[[#This Row],[success]]="false"),1,0)</f>
        <v>0</v>
      </c>
      <c r="X1017" s="57">
        <f>IF(AND(tblJTL[[#This Row],[経過秒]]&gt;='17_分析サンプル'!$E$11,tblJTL[[#This Row],[経過秒]]&lt;'17_分析サンプル'!$E$12),1,0)</f>
        <v>1</v>
      </c>
    </row>
    <row r="1018" spans="2:24" ht="14.4" x14ac:dyDescent="0.3">
      <c r="B1018" s="57">
        <v>1790816649631</v>
      </c>
      <c r="C1018" s="58">
        <v>199</v>
      </c>
      <c r="D1018" s="59" t="s">
        <v>1677</v>
      </c>
      <c r="E1018" s="59" t="s">
        <v>3579</v>
      </c>
      <c r="F1018" s="59" t="s">
        <v>3580</v>
      </c>
      <c r="G1018" s="59" t="s">
        <v>3588</v>
      </c>
      <c r="H1018" s="59" t="s">
        <v>2281</v>
      </c>
      <c r="I1018" s="59" t="b">
        <v>1</v>
      </c>
      <c r="J1018" s="59"/>
      <c r="K1018" s="58">
        <v>423</v>
      </c>
      <c r="L1018" s="58">
        <v>1478</v>
      </c>
      <c r="M1018" s="59">
        <v>10</v>
      </c>
      <c r="N1018" s="59">
        <v>10</v>
      </c>
      <c r="O1018" s="59" t="s">
        <v>3581</v>
      </c>
      <c r="P1018" s="58">
        <v>195</v>
      </c>
      <c r="Q1018" s="59">
        <v>0</v>
      </c>
      <c r="R1018" s="59">
        <v>0</v>
      </c>
      <c r="S1018" s="60">
        <f>tblJTL[[#This Row],[timeStamp]]/86400000+DATE(1970,1,1)+TIME(9,0,0)</f>
        <v>46296.419555914355</v>
      </c>
      <c r="T1018" s="57">
        <f>tblJTL[[#This Row],[timeStamp]]+tblJTL[[#This Row],[elapsed]]</f>
        <v>1790816649830</v>
      </c>
      <c r="U1018" s="61">
        <f>(tblJTL[[#This Row],[timeStamp]]-'17_分析サンプル'!$E$18)/1000</f>
        <v>249.45099999999999</v>
      </c>
      <c r="V1018" s="57">
        <f>INT(tblJTL[[#This Row],[経過秒]]/60)</f>
        <v>4</v>
      </c>
      <c r="W1018" s="57">
        <f>IF(OR(tblJTL[[#This Row],[success]]=FALSE,tblJTL[[#This Row],[success]]="false"),1,0)</f>
        <v>0</v>
      </c>
      <c r="X1018" s="57">
        <f>IF(AND(tblJTL[[#This Row],[経過秒]]&gt;='17_分析サンプル'!$E$11,tblJTL[[#This Row],[経過秒]]&lt;'17_分析サンプル'!$E$12),1,0)</f>
        <v>1</v>
      </c>
    </row>
    <row r="1019" spans="2:24" ht="14.4" x14ac:dyDescent="0.3">
      <c r="B1019" s="57">
        <v>1790816649933</v>
      </c>
      <c r="C1019" s="58">
        <v>210</v>
      </c>
      <c r="D1019" s="59" t="s">
        <v>1677</v>
      </c>
      <c r="E1019" s="59" t="s">
        <v>3579</v>
      </c>
      <c r="F1019" s="59" t="s">
        <v>3580</v>
      </c>
      <c r="G1019" s="59" t="s">
        <v>3584</v>
      </c>
      <c r="H1019" s="59" t="s">
        <v>2281</v>
      </c>
      <c r="I1019" s="59" t="b">
        <v>1</v>
      </c>
      <c r="J1019" s="59"/>
      <c r="K1019" s="58">
        <v>410</v>
      </c>
      <c r="L1019" s="58">
        <v>1478</v>
      </c>
      <c r="M1019" s="59">
        <v>10</v>
      </c>
      <c r="N1019" s="59">
        <v>10</v>
      </c>
      <c r="O1019" s="59" t="s">
        <v>3581</v>
      </c>
      <c r="P1019" s="58">
        <v>207</v>
      </c>
      <c r="Q1019" s="59">
        <v>0</v>
      </c>
      <c r="R1019" s="59">
        <v>0</v>
      </c>
      <c r="S1019" s="60">
        <f>tblJTL[[#This Row],[timeStamp]]/86400000+DATE(1970,1,1)+TIME(9,0,0)</f>
        <v>46296.419559409725</v>
      </c>
      <c r="T1019" s="57">
        <f>tblJTL[[#This Row],[timeStamp]]+tblJTL[[#This Row],[elapsed]]</f>
        <v>1790816650143</v>
      </c>
      <c r="U1019" s="61">
        <f>(tblJTL[[#This Row],[timeStamp]]-'17_分析サンプル'!$E$18)/1000</f>
        <v>249.75299999999999</v>
      </c>
      <c r="V1019" s="57">
        <f>INT(tblJTL[[#This Row],[経過秒]]/60)</f>
        <v>4</v>
      </c>
      <c r="W1019" s="57">
        <f>IF(OR(tblJTL[[#This Row],[success]]=FALSE,tblJTL[[#This Row],[success]]="false"),1,0)</f>
        <v>0</v>
      </c>
      <c r="X1019" s="57">
        <f>IF(AND(tblJTL[[#This Row],[経過秒]]&gt;='17_分析サンプル'!$E$11,tblJTL[[#This Row],[経過秒]]&lt;'17_分析サンプル'!$E$12),1,0)</f>
        <v>1</v>
      </c>
    </row>
    <row r="1020" spans="2:24" ht="14.4" x14ac:dyDescent="0.3">
      <c r="B1020" s="57">
        <v>1790816650075</v>
      </c>
      <c r="C1020" s="58">
        <v>119</v>
      </c>
      <c r="D1020" s="59" t="s">
        <v>1658</v>
      </c>
      <c r="E1020" s="59" t="s">
        <v>1577</v>
      </c>
      <c r="F1020" s="59" t="s">
        <v>2275</v>
      </c>
      <c r="G1020" s="59" t="s">
        <v>2278</v>
      </c>
      <c r="H1020" s="59" t="s">
        <v>2281</v>
      </c>
      <c r="I1020" s="59" t="b">
        <v>1</v>
      </c>
      <c r="J1020" s="59"/>
      <c r="K1020" s="58">
        <v>1889</v>
      </c>
      <c r="L1020" s="58">
        <v>1342</v>
      </c>
      <c r="M1020" s="59">
        <v>10</v>
      </c>
      <c r="N1020" s="59">
        <v>10</v>
      </c>
      <c r="O1020" s="59" t="s">
        <v>3578</v>
      </c>
      <c r="P1020" s="58">
        <v>112</v>
      </c>
      <c r="Q1020" s="59">
        <v>0</v>
      </c>
      <c r="R1020" s="59">
        <v>0</v>
      </c>
      <c r="S1020" s="60">
        <f>tblJTL[[#This Row],[timeStamp]]/86400000+DATE(1970,1,1)+TIME(9,0,0)</f>
        <v>46296.419561053241</v>
      </c>
      <c r="T1020" s="57">
        <f>tblJTL[[#This Row],[timeStamp]]+tblJTL[[#This Row],[elapsed]]</f>
        <v>1790816650194</v>
      </c>
      <c r="U1020" s="61">
        <f>(tblJTL[[#This Row],[timeStamp]]-'17_分析サンプル'!$E$18)/1000</f>
        <v>249.89500000000001</v>
      </c>
      <c r="V1020" s="57">
        <f>INT(tblJTL[[#This Row],[経過秒]]/60)</f>
        <v>4</v>
      </c>
      <c r="W1020" s="57">
        <f>IF(OR(tblJTL[[#This Row],[success]]=FALSE,tblJTL[[#This Row],[success]]="false"),1,0)</f>
        <v>0</v>
      </c>
      <c r="X1020" s="57">
        <f>IF(AND(tblJTL[[#This Row],[経過秒]]&gt;='17_分析サンプル'!$E$11,tblJTL[[#This Row],[経過秒]]&lt;'17_分析サンプル'!$E$12),1,0)</f>
        <v>1</v>
      </c>
    </row>
    <row r="1021" spans="2:24" ht="14.4" x14ac:dyDescent="0.3">
      <c r="B1021" s="57">
        <v>1790816650574</v>
      </c>
      <c r="C1021" s="58">
        <v>132</v>
      </c>
      <c r="D1021" s="59" t="s">
        <v>1658</v>
      </c>
      <c r="E1021" s="59" t="s">
        <v>1577</v>
      </c>
      <c r="F1021" s="59" t="s">
        <v>2275</v>
      </c>
      <c r="G1021" s="59" t="s">
        <v>3585</v>
      </c>
      <c r="H1021" s="59" t="s">
        <v>2281</v>
      </c>
      <c r="I1021" s="59" t="b">
        <v>1</v>
      </c>
      <c r="J1021" s="59"/>
      <c r="K1021" s="58">
        <v>1877</v>
      </c>
      <c r="L1021" s="58">
        <v>1342</v>
      </c>
      <c r="M1021" s="59">
        <v>10</v>
      </c>
      <c r="N1021" s="59">
        <v>10</v>
      </c>
      <c r="O1021" s="59" t="s">
        <v>3578</v>
      </c>
      <c r="P1021" s="58">
        <v>125</v>
      </c>
      <c r="Q1021" s="59">
        <v>0</v>
      </c>
      <c r="R1021" s="59">
        <v>0</v>
      </c>
      <c r="S1021" s="60">
        <f>tblJTL[[#This Row],[timeStamp]]/86400000+DATE(1970,1,1)+TIME(9,0,0)</f>
        <v>46296.419566828699</v>
      </c>
      <c r="T1021" s="57">
        <f>tblJTL[[#This Row],[timeStamp]]+tblJTL[[#This Row],[elapsed]]</f>
        <v>1790816650706</v>
      </c>
      <c r="U1021" s="61">
        <f>(tblJTL[[#This Row],[timeStamp]]-'17_分析サンプル'!$E$18)/1000</f>
        <v>250.39400000000001</v>
      </c>
      <c r="V1021" s="57">
        <f>INT(tblJTL[[#This Row],[経過秒]]/60)</f>
        <v>4</v>
      </c>
      <c r="W1021" s="57">
        <f>IF(OR(tblJTL[[#This Row],[success]]=FALSE,tblJTL[[#This Row],[success]]="false"),1,0)</f>
        <v>0</v>
      </c>
      <c r="X1021" s="57">
        <f>IF(AND(tblJTL[[#This Row],[経過秒]]&gt;='17_分析サンプル'!$E$11,tblJTL[[#This Row],[経過秒]]&lt;'17_分析サンプル'!$E$12),1,0)</f>
        <v>1</v>
      </c>
    </row>
    <row r="1022" spans="2:24" ht="14.4" x14ac:dyDescent="0.3">
      <c r="B1022" s="57">
        <v>1790816651561</v>
      </c>
      <c r="C1022" s="58">
        <v>143</v>
      </c>
      <c r="D1022" s="59" t="s">
        <v>1658</v>
      </c>
      <c r="E1022" s="59" t="s">
        <v>1577</v>
      </c>
      <c r="F1022" s="59" t="s">
        <v>2275</v>
      </c>
      <c r="G1022" s="59" t="s">
        <v>3577</v>
      </c>
      <c r="H1022" s="59" t="s">
        <v>2281</v>
      </c>
      <c r="I1022" s="59" t="b">
        <v>1</v>
      </c>
      <c r="J1022" s="59"/>
      <c r="K1022" s="58">
        <v>1834</v>
      </c>
      <c r="L1022" s="58">
        <v>1342</v>
      </c>
      <c r="M1022" s="59">
        <v>10</v>
      </c>
      <c r="N1022" s="59">
        <v>10</v>
      </c>
      <c r="O1022" s="59" t="s">
        <v>3578</v>
      </c>
      <c r="P1022" s="58">
        <v>137</v>
      </c>
      <c r="Q1022" s="59">
        <v>0</v>
      </c>
      <c r="R1022" s="59">
        <v>0</v>
      </c>
      <c r="S1022" s="60">
        <f>tblJTL[[#This Row],[timeStamp]]/86400000+DATE(1970,1,1)+TIME(9,0,0)</f>
        <v>46296.419578252317</v>
      </c>
      <c r="T1022" s="57">
        <f>tblJTL[[#This Row],[timeStamp]]+tblJTL[[#This Row],[elapsed]]</f>
        <v>1790816651704</v>
      </c>
      <c r="U1022" s="61">
        <f>(tblJTL[[#This Row],[timeStamp]]-'17_分析サンプル'!$E$18)/1000</f>
        <v>251.381</v>
      </c>
      <c r="V1022" s="57">
        <f>INT(tblJTL[[#This Row],[経過秒]]/60)</f>
        <v>4</v>
      </c>
      <c r="W1022" s="57">
        <f>IF(OR(tblJTL[[#This Row],[success]]=FALSE,tblJTL[[#This Row],[success]]="false"),1,0)</f>
        <v>0</v>
      </c>
      <c r="X1022" s="57">
        <f>IF(AND(tblJTL[[#This Row],[経過秒]]&gt;='17_分析サンプル'!$E$11,tblJTL[[#This Row],[経過秒]]&lt;'17_分析サンプル'!$E$12),1,0)</f>
        <v>1</v>
      </c>
    </row>
    <row r="1023" spans="2:24" ht="14.4" x14ac:dyDescent="0.3">
      <c r="B1023" s="57">
        <v>1790816651570</v>
      </c>
      <c r="C1023" s="58">
        <v>228</v>
      </c>
      <c r="D1023" s="59" t="s">
        <v>1658</v>
      </c>
      <c r="E1023" s="59" t="s">
        <v>1577</v>
      </c>
      <c r="F1023" s="59" t="s">
        <v>2275</v>
      </c>
      <c r="G1023" s="59" t="s">
        <v>3587</v>
      </c>
      <c r="H1023" s="59" t="s">
        <v>2281</v>
      </c>
      <c r="I1023" s="59" t="b">
        <v>1</v>
      </c>
      <c r="J1023" s="59"/>
      <c r="K1023" s="58">
        <v>1881</v>
      </c>
      <c r="L1023" s="58">
        <v>1342</v>
      </c>
      <c r="M1023" s="59">
        <v>10</v>
      </c>
      <c r="N1023" s="59">
        <v>10</v>
      </c>
      <c r="O1023" s="59" t="s">
        <v>3578</v>
      </c>
      <c r="P1023" s="58">
        <v>222</v>
      </c>
      <c r="Q1023" s="59">
        <v>0</v>
      </c>
      <c r="R1023" s="59">
        <v>0</v>
      </c>
      <c r="S1023" s="60">
        <f>tblJTL[[#This Row],[timeStamp]]/86400000+DATE(1970,1,1)+TIME(9,0,0)</f>
        <v>46296.419578356479</v>
      </c>
      <c r="T1023" s="57">
        <f>tblJTL[[#This Row],[timeStamp]]+tblJTL[[#This Row],[elapsed]]</f>
        <v>1790816651798</v>
      </c>
      <c r="U1023" s="61">
        <f>(tblJTL[[#This Row],[timeStamp]]-'17_分析サンプル'!$E$18)/1000</f>
        <v>251.39</v>
      </c>
      <c r="V1023" s="57">
        <f>INT(tblJTL[[#This Row],[経過秒]]/60)</f>
        <v>4</v>
      </c>
      <c r="W1023" s="57">
        <f>IF(OR(tblJTL[[#This Row],[success]]=FALSE,tblJTL[[#This Row],[success]]="false"),1,0)</f>
        <v>0</v>
      </c>
      <c r="X1023" s="57">
        <f>IF(AND(tblJTL[[#This Row],[経過秒]]&gt;='17_分析サンプル'!$E$11,tblJTL[[#This Row],[経過秒]]&lt;'17_分析サンプル'!$E$12),1,0)</f>
        <v>1</v>
      </c>
    </row>
    <row r="1024" spans="2:24" ht="14.4" x14ac:dyDescent="0.3">
      <c r="B1024" s="57">
        <v>1790816651238</v>
      </c>
      <c r="C1024" s="58">
        <v>697</v>
      </c>
      <c r="D1024" s="59" t="s">
        <v>1658</v>
      </c>
      <c r="E1024" s="59" t="s">
        <v>1577</v>
      </c>
      <c r="F1024" s="59" t="s">
        <v>2275</v>
      </c>
      <c r="G1024" s="59" t="s">
        <v>3582</v>
      </c>
      <c r="H1024" s="59" t="s">
        <v>2281</v>
      </c>
      <c r="I1024" s="59" t="b">
        <v>1</v>
      </c>
      <c r="J1024" s="59"/>
      <c r="K1024" s="58">
        <v>1897</v>
      </c>
      <c r="L1024" s="58">
        <v>1342</v>
      </c>
      <c r="M1024" s="59">
        <v>10</v>
      </c>
      <c r="N1024" s="59">
        <v>10</v>
      </c>
      <c r="O1024" s="59" t="s">
        <v>3578</v>
      </c>
      <c r="P1024" s="58">
        <v>689</v>
      </c>
      <c r="Q1024" s="59">
        <v>0</v>
      </c>
      <c r="R1024" s="59">
        <v>0</v>
      </c>
      <c r="S1024" s="60">
        <f>tblJTL[[#This Row],[timeStamp]]/86400000+DATE(1970,1,1)+TIME(9,0,0)</f>
        <v>46296.419574513886</v>
      </c>
      <c r="T1024" s="57">
        <f>tblJTL[[#This Row],[timeStamp]]+tblJTL[[#This Row],[elapsed]]</f>
        <v>1790816651935</v>
      </c>
      <c r="U1024" s="61">
        <f>(tblJTL[[#This Row],[timeStamp]]-'17_分析サンプル'!$E$18)/1000</f>
        <v>251.05799999999999</v>
      </c>
      <c r="V1024" s="57">
        <f>INT(tblJTL[[#This Row],[経過秒]]/60)</f>
        <v>4</v>
      </c>
      <c r="W1024" s="57">
        <f>IF(OR(tblJTL[[#This Row],[success]]=FALSE,tblJTL[[#This Row],[success]]="false"),1,0)</f>
        <v>0</v>
      </c>
      <c r="X1024" s="57">
        <f>IF(AND(tblJTL[[#This Row],[経過秒]]&gt;='17_分析サンプル'!$E$11,tblJTL[[#This Row],[経過秒]]&lt;'17_分析サンプル'!$E$12),1,0)</f>
        <v>1</v>
      </c>
    </row>
    <row r="1025" spans="2:24" ht="14.4" x14ac:dyDescent="0.3">
      <c r="B1025" s="57">
        <v>1790816651060</v>
      </c>
      <c r="C1025" s="58">
        <v>981</v>
      </c>
      <c r="D1025" s="59" t="s">
        <v>1677</v>
      </c>
      <c r="E1025" s="59" t="s">
        <v>3579</v>
      </c>
      <c r="F1025" s="59" t="s">
        <v>3580</v>
      </c>
      <c r="G1025" s="59" t="s">
        <v>3586</v>
      </c>
      <c r="H1025" s="59" t="s">
        <v>2281</v>
      </c>
      <c r="I1025" s="59" t="b">
        <v>1</v>
      </c>
      <c r="J1025" s="59"/>
      <c r="K1025" s="58">
        <v>427</v>
      </c>
      <c r="L1025" s="58">
        <v>1478</v>
      </c>
      <c r="M1025" s="59">
        <v>10</v>
      </c>
      <c r="N1025" s="59">
        <v>10</v>
      </c>
      <c r="O1025" s="59" t="s">
        <v>3581</v>
      </c>
      <c r="P1025" s="58">
        <v>979</v>
      </c>
      <c r="Q1025" s="59">
        <v>0</v>
      </c>
      <c r="R1025" s="59">
        <v>0</v>
      </c>
      <c r="S1025" s="60">
        <f>tblJTL[[#This Row],[timeStamp]]/86400000+DATE(1970,1,1)+TIME(9,0,0)</f>
        <v>46296.419572453698</v>
      </c>
      <c r="T1025" s="57">
        <f>tblJTL[[#This Row],[timeStamp]]+tblJTL[[#This Row],[elapsed]]</f>
        <v>1790816652041</v>
      </c>
      <c r="U1025" s="61">
        <f>(tblJTL[[#This Row],[timeStamp]]-'17_分析サンプル'!$E$18)/1000</f>
        <v>250.88</v>
      </c>
      <c r="V1025" s="57">
        <f>INT(tblJTL[[#This Row],[経過秒]]/60)</f>
        <v>4</v>
      </c>
      <c r="W1025" s="57">
        <f>IF(OR(tblJTL[[#This Row],[success]]=FALSE,tblJTL[[#This Row],[success]]="false"),1,0)</f>
        <v>0</v>
      </c>
      <c r="X1025" s="57">
        <f>IF(AND(tblJTL[[#This Row],[経過秒]]&gt;='17_分析サンプル'!$E$11,tblJTL[[#This Row],[経過秒]]&lt;'17_分析サンプル'!$E$12),1,0)</f>
        <v>1</v>
      </c>
    </row>
    <row r="1026" spans="2:24" ht="14.4" x14ac:dyDescent="0.3">
      <c r="B1026" s="57">
        <v>1790816652064</v>
      </c>
      <c r="C1026" s="58">
        <v>180</v>
      </c>
      <c r="D1026" s="59" t="s">
        <v>1658</v>
      </c>
      <c r="E1026" s="59" t="s">
        <v>1577</v>
      </c>
      <c r="F1026" s="59" t="s">
        <v>2275</v>
      </c>
      <c r="G1026" s="59" t="s">
        <v>3588</v>
      </c>
      <c r="H1026" s="59" t="s">
        <v>2281</v>
      </c>
      <c r="I1026" s="59" t="b">
        <v>1</v>
      </c>
      <c r="J1026" s="59"/>
      <c r="K1026" s="58">
        <v>1867</v>
      </c>
      <c r="L1026" s="58">
        <v>1342</v>
      </c>
      <c r="M1026" s="59">
        <v>10</v>
      </c>
      <c r="N1026" s="59">
        <v>10</v>
      </c>
      <c r="O1026" s="59" t="s">
        <v>3578</v>
      </c>
      <c r="P1026" s="58">
        <v>174</v>
      </c>
      <c r="Q1026" s="59">
        <v>0</v>
      </c>
      <c r="R1026" s="59">
        <v>0</v>
      </c>
      <c r="S1026" s="60">
        <f>tblJTL[[#This Row],[timeStamp]]/86400000+DATE(1970,1,1)+TIME(9,0,0)</f>
        <v>46296.419584074072</v>
      </c>
      <c r="T1026" s="57">
        <f>tblJTL[[#This Row],[timeStamp]]+tblJTL[[#This Row],[elapsed]]</f>
        <v>1790816652244</v>
      </c>
      <c r="U1026" s="61">
        <f>(tblJTL[[#This Row],[timeStamp]]-'17_分析サンプル'!$E$18)/1000</f>
        <v>251.88399999999999</v>
      </c>
      <c r="V1026" s="57">
        <f>INT(tblJTL[[#This Row],[経過秒]]/60)</f>
        <v>4</v>
      </c>
      <c r="W1026" s="57">
        <f>IF(OR(tblJTL[[#This Row],[success]]=FALSE,tblJTL[[#This Row],[success]]="false"),1,0)</f>
        <v>0</v>
      </c>
      <c r="X1026" s="57">
        <f>IF(AND(tblJTL[[#This Row],[経過秒]]&gt;='17_分析サンプル'!$E$11,tblJTL[[#This Row],[経過秒]]&lt;'17_分析サンプル'!$E$12),1,0)</f>
        <v>1</v>
      </c>
    </row>
    <row r="1027" spans="2:24" ht="14.4" x14ac:dyDescent="0.3">
      <c r="B1027" s="57">
        <v>1790816652283</v>
      </c>
      <c r="C1027" s="58">
        <v>192</v>
      </c>
      <c r="D1027" s="59" t="s">
        <v>1658</v>
      </c>
      <c r="E1027" s="59" t="s">
        <v>1577</v>
      </c>
      <c r="F1027" s="59" t="s">
        <v>2275</v>
      </c>
      <c r="G1027" s="59" t="s">
        <v>3584</v>
      </c>
      <c r="H1027" s="59" t="s">
        <v>2281</v>
      </c>
      <c r="I1027" s="59" t="b">
        <v>1</v>
      </c>
      <c r="J1027" s="59"/>
      <c r="K1027" s="58">
        <v>1824</v>
      </c>
      <c r="L1027" s="58">
        <v>1342</v>
      </c>
      <c r="M1027" s="59">
        <v>10</v>
      </c>
      <c r="N1027" s="59">
        <v>10</v>
      </c>
      <c r="O1027" s="59" t="s">
        <v>3578</v>
      </c>
      <c r="P1027" s="58">
        <v>185</v>
      </c>
      <c r="Q1027" s="59">
        <v>0</v>
      </c>
      <c r="R1027" s="59">
        <v>0</v>
      </c>
      <c r="S1027" s="60">
        <f>tblJTL[[#This Row],[timeStamp]]/86400000+DATE(1970,1,1)+TIME(9,0,0)</f>
        <v>46296.419586608798</v>
      </c>
      <c r="T1027" s="57">
        <f>tblJTL[[#This Row],[timeStamp]]+tblJTL[[#This Row],[elapsed]]</f>
        <v>1790816652475</v>
      </c>
      <c r="U1027" s="61">
        <f>(tblJTL[[#This Row],[timeStamp]]-'17_分析サンプル'!$E$18)/1000</f>
        <v>252.10300000000001</v>
      </c>
      <c r="V1027" s="57">
        <f>INT(tblJTL[[#This Row],[経過秒]]/60)</f>
        <v>4</v>
      </c>
      <c r="W1027" s="57">
        <f>IF(OR(tblJTL[[#This Row],[success]]=FALSE,tblJTL[[#This Row],[success]]="false"),1,0)</f>
        <v>0</v>
      </c>
      <c r="X1027" s="57">
        <f>IF(AND(tblJTL[[#This Row],[経過秒]]&gt;='17_分析サンプル'!$E$11,tblJTL[[#This Row],[経過秒]]&lt;'17_分析サンプル'!$E$12),1,0)</f>
        <v>1</v>
      </c>
    </row>
    <row r="1028" spans="2:24" ht="14.4" x14ac:dyDescent="0.3">
      <c r="B1028" s="57">
        <v>1790816651774</v>
      </c>
      <c r="C1028" s="58">
        <v>1580</v>
      </c>
      <c r="D1028" s="59" t="s">
        <v>1677</v>
      </c>
      <c r="E1028" s="59" t="s">
        <v>3579</v>
      </c>
      <c r="F1028" s="59" t="s">
        <v>3580</v>
      </c>
      <c r="G1028" s="59" t="s">
        <v>3583</v>
      </c>
      <c r="H1028" s="59" t="s">
        <v>2281</v>
      </c>
      <c r="I1028" s="59" t="b">
        <v>1</v>
      </c>
      <c r="J1028" s="59"/>
      <c r="K1028" s="58">
        <v>416</v>
      </c>
      <c r="L1028" s="58">
        <v>1478</v>
      </c>
      <c r="M1028" s="59">
        <v>10</v>
      </c>
      <c r="N1028" s="59">
        <v>10</v>
      </c>
      <c r="O1028" s="59" t="s">
        <v>3581</v>
      </c>
      <c r="P1028" s="58">
        <v>1578</v>
      </c>
      <c r="Q1028" s="59">
        <v>0</v>
      </c>
      <c r="R1028" s="59">
        <v>0</v>
      </c>
      <c r="S1028" s="60">
        <f>tblJTL[[#This Row],[timeStamp]]/86400000+DATE(1970,1,1)+TIME(9,0,0)</f>
        <v>46296.419580717593</v>
      </c>
      <c r="T1028" s="57">
        <f>tblJTL[[#This Row],[timeStamp]]+tblJTL[[#This Row],[elapsed]]</f>
        <v>1790816653354</v>
      </c>
      <c r="U1028" s="61">
        <f>(tblJTL[[#This Row],[timeStamp]]-'17_分析サンプル'!$E$18)/1000</f>
        <v>251.59399999999999</v>
      </c>
      <c r="V1028" s="57">
        <f>INT(tblJTL[[#This Row],[経過秒]]/60)</f>
        <v>4</v>
      </c>
      <c r="W1028" s="57">
        <f>IF(OR(tblJTL[[#This Row],[success]]=FALSE,tblJTL[[#This Row],[success]]="false"),1,0)</f>
        <v>0</v>
      </c>
      <c r="X1028" s="57">
        <f>IF(AND(tblJTL[[#This Row],[経過秒]]&gt;='17_分析サンプル'!$E$11,tblJTL[[#This Row],[経過秒]]&lt;'17_分析サンプル'!$E$12),1,0)</f>
        <v>1</v>
      </c>
    </row>
    <row r="1029" spans="2:24" ht="14.4" x14ac:dyDescent="0.3">
      <c r="B1029" s="57">
        <v>1790816651923</v>
      </c>
      <c r="C1029" s="58">
        <v>1926</v>
      </c>
      <c r="D1029" s="59" t="s">
        <v>1677</v>
      </c>
      <c r="E1029" s="59" t="s">
        <v>3579</v>
      </c>
      <c r="F1029" s="59" t="s">
        <v>3580</v>
      </c>
      <c r="G1029" s="59" t="s">
        <v>3585</v>
      </c>
      <c r="H1029" s="59" t="s">
        <v>2281</v>
      </c>
      <c r="I1029" s="59" t="b">
        <v>1</v>
      </c>
      <c r="J1029" s="59"/>
      <c r="K1029" s="58">
        <v>429</v>
      </c>
      <c r="L1029" s="58">
        <v>1478</v>
      </c>
      <c r="M1029" s="59">
        <v>10</v>
      </c>
      <c r="N1029" s="59">
        <v>10</v>
      </c>
      <c r="O1029" s="59" t="s">
        <v>3581</v>
      </c>
      <c r="P1029" s="58">
        <v>1921</v>
      </c>
      <c r="Q1029" s="59">
        <v>0</v>
      </c>
      <c r="R1029" s="59">
        <v>0</v>
      </c>
      <c r="S1029" s="60">
        <f>tblJTL[[#This Row],[timeStamp]]/86400000+DATE(1970,1,1)+TIME(9,0,0)</f>
        <v>46296.419582442133</v>
      </c>
      <c r="T1029" s="57">
        <f>tblJTL[[#This Row],[timeStamp]]+tblJTL[[#This Row],[elapsed]]</f>
        <v>1790816653849</v>
      </c>
      <c r="U1029" s="61">
        <f>(tblJTL[[#This Row],[timeStamp]]-'17_分析サンプル'!$E$18)/1000</f>
        <v>251.74299999999999</v>
      </c>
      <c r="V1029" s="57">
        <f>INT(tblJTL[[#This Row],[経過秒]]/60)</f>
        <v>4</v>
      </c>
      <c r="W1029" s="57">
        <f>IF(OR(tblJTL[[#This Row],[success]]=FALSE,tblJTL[[#This Row],[success]]="false"),1,0)</f>
        <v>0</v>
      </c>
      <c r="X1029" s="57">
        <f>IF(AND(tblJTL[[#This Row],[経過秒]]&gt;='17_分析サンプル'!$E$11,tblJTL[[#This Row],[経過秒]]&lt;'17_分析サンプル'!$E$12),1,0)</f>
        <v>1</v>
      </c>
    </row>
    <row r="1030" spans="2:24" ht="14.4" x14ac:dyDescent="0.3">
      <c r="B1030" s="57">
        <v>1790816651525</v>
      </c>
      <c r="C1030" s="58">
        <v>2726</v>
      </c>
      <c r="D1030" s="59" t="s">
        <v>1677</v>
      </c>
      <c r="E1030" s="59" t="s">
        <v>3579</v>
      </c>
      <c r="F1030" s="59" t="s">
        <v>3580</v>
      </c>
      <c r="G1030" s="59" t="s">
        <v>3589</v>
      </c>
      <c r="H1030" s="59" t="s">
        <v>2281</v>
      </c>
      <c r="I1030" s="59" t="b">
        <v>1</v>
      </c>
      <c r="J1030" s="59"/>
      <c r="K1030" s="58">
        <v>426</v>
      </c>
      <c r="L1030" s="58">
        <v>1478</v>
      </c>
      <c r="M1030" s="59">
        <v>10</v>
      </c>
      <c r="N1030" s="59">
        <v>10</v>
      </c>
      <c r="O1030" s="59" t="s">
        <v>3581</v>
      </c>
      <c r="P1030" s="58">
        <v>2718</v>
      </c>
      <c r="Q1030" s="59">
        <v>0</v>
      </c>
      <c r="R1030" s="59">
        <v>0</v>
      </c>
      <c r="S1030" s="60">
        <f>tblJTL[[#This Row],[timeStamp]]/86400000+DATE(1970,1,1)+TIME(9,0,0)</f>
        <v>46296.419577835652</v>
      </c>
      <c r="T1030" s="57">
        <f>tblJTL[[#This Row],[timeStamp]]+tblJTL[[#This Row],[elapsed]]</f>
        <v>1790816654251</v>
      </c>
      <c r="U1030" s="61">
        <f>(tblJTL[[#This Row],[timeStamp]]-'17_分析サンプル'!$E$18)/1000</f>
        <v>251.345</v>
      </c>
      <c r="V1030" s="57">
        <f>INT(tblJTL[[#This Row],[経過秒]]/60)</f>
        <v>4</v>
      </c>
      <c r="W1030" s="57">
        <f>IF(OR(tblJTL[[#This Row],[success]]=FALSE,tblJTL[[#This Row],[success]]="false"),1,0)</f>
        <v>0</v>
      </c>
      <c r="X1030" s="57">
        <f>IF(AND(tblJTL[[#This Row],[経過秒]]&gt;='17_分析サンプル'!$E$11,tblJTL[[#This Row],[経過秒]]&lt;'17_分析サンプル'!$E$12),1,0)</f>
        <v>1</v>
      </c>
    </row>
    <row r="1031" spans="2:24" ht="14.4" x14ac:dyDescent="0.3">
      <c r="B1031" s="57">
        <v>1790816652885</v>
      </c>
      <c r="C1031" s="58">
        <v>1810</v>
      </c>
      <c r="D1031" s="59" t="s">
        <v>1677</v>
      </c>
      <c r="E1031" s="59" t="s">
        <v>3579</v>
      </c>
      <c r="F1031" s="59" t="s">
        <v>3580</v>
      </c>
      <c r="G1031" s="59" t="s">
        <v>2278</v>
      </c>
      <c r="H1031" s="59" t="s">
        <v>2281</v>
      </c>
      <c r="I1031" s="59" t="b">
        <v>1</v>
      </c>
      <c r="J1031" s="59"/>
      <c r="K1031" s="58">
        <v>419</v>
      </c>
      <c r="L1031" s="58">
        <v>1478</v>
      </c>
      <c r="M1031" s="59">
        <v>10</v>
      </c>
      <c r="N1031" s="59">
        <v>10</v>
      </c>
      <c r="O1031" s="59" t="s">
        <v>3581</v>
      </c>
      <c r="P1031" s="58">
        <v>1808</v>
      </c>
      <c r="Q1031" s="59">
        <v>0</v>
      </c>
      <c r="R1031" s="59">
        <v>0</v>
      </c>
      <c r="S1031" s="60">
        <f>tblJTL[[#This Row],[timeStamp]]/86400000+DATE(1970,1,1)+TIME(9,0,0)</f>
        <v>46296.419593576386</v>
      </c>
      <c r="T1031" s="57">
        <f>tblJTL[[#This Row],[timeStamp]]+tblJTL[[#This Row],[elapsed]]</f>
        <v>1790816654695</v>
      </c>
      <c r="U1031" s="61">
        <f>(tblJTL[[#This Row],[timeStamp]]-'17_分析サンプル'!$E$18)/1000</f>
        <v>252.70500000000001</v>
      </c>
      <c r="V1031" s="57">
        <f>INT(tblJTL[[#This Row],[経過秒]]/60)</f>
        <v>4</v>
      </c>
      <c r="W1031" s="57">
        <f>IF(OR(tblJTL[[#This Row],[success]]=FALSE,tblJTL[[#This Row],[success]]="false"),1,0)</f>
        <v>0</v>
      </c>
      <c r="X1031" s="57">
        <f>IF(AND(tblJTL[[#This Row],[経過秒]]&gt;='17_分析サンプル'!$E$11,tblJTL[[#This Row],[経過秒]]&lt;'17_分析サンプル'!$E$12),1,0)</f>
        <v>1</v>
      </c>
    </row>
    <row r="1032" spans="2:24" ht="14.4" x14ac:dyDescent="0.3">
      <c r="B1032" s="57">
        <v>1790816653818</v>
      </c>
      <c r="C1032" s="58">
        <v>1295</v>
      </c>
      <c r="D1032" s="59" t="s">
        <v>1677</v>
      </c>
      <c r="E1032" s="59" t="s">
        <v>3579</v>
      </c>
      <c r="F1032" s="59" t="s">
        <v>3580</v>
      </c>
      <c r="G1032" s="59" t="s">
        <v>3587</v>
      </c>
      <c r="H1032" s="59" t="s">
        <v>2281</v>
      </c>
      <c r="I1032" s="59" t="b">
        <v>1</v>
      </c>
      <c r="J1032" s="59"/>
      <c r="K1032" s="58">
        <v>434</v>
      </c>
      <c r="L1032" s="58">
        <v>1478</v>
      </c>
      <c r="M1032" s="59">
        <v>10</v>
      </c>
      <c r="N1032" s="59">
        <v>10</v>
      </c>
      <c r="O1032" s="59" t="s">
        <v>3581</v>
      </c>
      <c r="P1032" s="58">
        <v>1293</v>
      </c>
      <c r="Q1032" s="59">
        <v>0</v>
      </c>
      <c r="R1032" s="59">
        <v>0</v>
      </c>
      <c r="S1032" s="60">
        <f>tblJTL[[#This Row],[timeStamp]]/86400000+DATE(1970,1,1)+TIME(9,0,0)</f>
        <v>46296.419604374998</v>
      </c>
      <c r="T1032" s="57">
        <f>tblJTL[[#This Row],[timeStamp]]+tblJTL[[#This Row],[elapsed]]</f>
        <v>1790816655113</v>
      </c>
      <c r="U1032" s="61">
        <f>(tblJTL[[#This Row],[timeStamp]]-'17_分析サンプル'!$E$18)/1000</f>
        <v>253.63800000000001</v>
      </c>
      <c r="V1032" s="57">
        <f>INT(tblJTL[[#This Row],[経過秒]]/60)</f>
        <v>4</v>
      </c>
      <c r="W1032" s="57">
        <f>IF(OR(tblJTL[[#This Row],[success]]=FALSE,tblJTL[[#This Row],[success]]="false"),1,0)</f>
        <v>0</v>
      </c>
      <c r="X1032" s="57">
        <f>IF(AND(tblJTL[[#This Row],[経過秒]]&gt;='17_分析サンプル'!$E$11,tblJTL[[#This Row],[経過秒]]&lt;'17_分析サンプル'!$E$12),1,0)</f>
        <v>1</v>
      </c>
    </row>
    <row r="1033" spans="2:24" ht="14.4" x14ac:dyDescent="0.3">
      <c r="B1033" s="57">
        <v>1790816655040</v>
      </c>
      <c r="C1033" s="58">
        <v>210</v>
      </c>
      <c r="D1033" s="59" t="s">
        <v>1658</v>
      </c>
      <c r="E1033" s="59" t="s">
        <v>1577</v>
      </c>
      <c r="F1033" s="59" t="s">
        <v>2275</v>
      </c>
      <c r="G1033" s="59" t="s">
        <v>3586</v>
      </c>
      <c r="H1033" s="59" t="s">
        <v>2281</v>
      </c>
      <c r="I1033" s="59" t="b">
        <v>1</v>
      </c>
      <c r="J1033" s="59"/>
      <c r="K1033" s="58">
        <v>1884</v>
      </c>
      <c r="L1033" s="58">
        <v>1342</v>
      </c>
      <c r="M1033" s="59">
        <v>10</v>
      </c>
      <c r="N1033" s="59">
        <v>10</v>
      </c>
      <c r="O1033" s="59" t="s">
        <v>3578</v>
      </c>
      <c r="P1033" s="58">
        <v>203</v>
      </c>
      <c r="Q1033" s="59">
        <v>0</v>
      </c>
      <c r="R1033" s="59">
        <v>0</v>
      </c>
      <c r="S1033" s="60">
        <f>tblJTL[[#This Row],[timeStamp]]/86400000+DATE(1970,1,1)+TIME(9,0,0)</f>
        <v>46296.419618518514</v>
      </c>
      <c r="T1033" s="57">
        <f>tblJTL[[#This Row],[timeStamp]]+tblJTL[[#This Row],[elapsed]]</f>
        <v>1790816655250</v>
      </c>
      <c r="U1033" s="61">
        <f>(tblJTL[[#This Row],[timeStamp]]-'17_分析サンプル'!$E$18)/1000</f>
        <v>254.86</v>
      </c>
      <c r="V1033" s="57">
        <f>INT(tblJTL[[#This Row],[経過秒]]/60)</f>
        <v>4</v>
      </c>
      <c r="W1033" s="57">
        <f>IF(OR(tblJTL[[#This Row],[success]]=FALSE,tblJTL[[#This Row],[success]]="false"),1,0)</f>
        <v>0</v>
      </c>
      <c r="X1033" s="57">
        <f>IF(AND(tblJTL[[#This Row],[経過秒]]&gt;='17_分析サンプル'!$E$11,tblJTL[[#This Row],[経過秒]]&lt;'17_分析サンプル'!$E$12),1,0)</f>
        <v>1</v>
      </c>
    </row>
    <row r="1034" spans="2:24" ht="14.4" x14ac:dyDescent="0.3">
      <c r="B1034" s="57">
        <v>1790816655176</v>
      </c>
      <c r="C1034" s="58">
        <v>159</v>
      </c>
      <c r="D1034" s="59" t="s">
        <v>1658</v>
      </c>
      <c r="E1034" s="59" t="s">
        <v>1577</v>
      </c>
      <c r="F1034" s="59" t="s">
        <v>2275</v>
      </c>
      <c r="G1034" s="59" t="s">
        <v>3583</v>
      </c>
      <c r="H1034" s="59" t="s">
        <v>2281</v>
      </c>
      <c r="I1034" s="59" t="b">
        <v>1</v>
      </c>
      <c r="J1034" s="59"/>
      <c r="K1034" s="58">
        <v>1823</v>
      </c>
      <c r="L1034" s="58">
        <v>1342</v>
      </c>
      <c r="M1034" s="59">
        <v>10</v>
      </c>
      <c r="N1034" s="59">
        <v>10</v>
      </c>
      <c r="O1034" s="59" t="s">
        <v>3578</v>
      </c>
      <c r="P1034" s="58">
        <v>155</v>
      </c>
      <c r="Q1034" s="59">
        <v>0</v>
      </c>
      <c r="R1034" s="59">
        <v>0</v>
      </c>
      <c r="S1034" s="60">
        <f>tblJTL[[#This Row],[timeStamp]]/86400000+DATE(1970,1,1)+TIME(9,0,0)</f>
        <v>46296.419620092594</v>
      </c>
      <c r="T1034" s="57">
        <f>tblJTL[[#This Row],[timeStamp]]+tblJTL[[#This Row],[elapsed]]</f>
        <v>1790816655335</v>
      </c>
      <c r="U1034" s="61">
        <f>(tblJTL[[#This Row],[timeStamp]]-'17_分析サンプル'!$E$18)/1000</f>
        <v>254.99600000000001</v>
      </c>
      <c r="V1034" s="57">
        <f>INT(tblJTL[[#This Row],[経過秒]]/60)</f>
        <v>4</v>
      </c>
      <c r="W1034" s="57">
        <f>IF(OR(tblJTL[[#This Row],[success]]=FALSE,tblJTL[[#This Row],[success]]="false"),1,0)</f>
        <v>0</v>
      </c>
      <c r="X1034" s="57">
        <f>IF(AND(tblJTL[[#This Row],[経過秒]]&gt;='17_分析サンプル'!$E$11,tblJTL[[#This Row],[経過秒]]&lt;'17_分析サンプル'!$E$12),1,0)</f>
        <v>1</v>
      </c>
    </row>
    <row r="1035" spans="2:24" ht="14.4" x14ac:dyDescent="0.3">
      <c r="B1035" s="57">
        <v>1790816654745</v>
      </c>
      <c r="C1035" s="58">
        <v>618</v>
      </c>
      <c r="D1035" s="59" t="s">
        <v>1677</v>
      </c>
      <c r="E1035" s="59" t="s">
        <v>3579</v>
      </c>
      <c r="F1035" s="59" t="s">
        <v>3580</v>
      </c>
      <c r="G1035" s="59" t="s">
        <v>3588</v>
      </c>
      <c r="H1035" s="59" t="s">
        <v>2281</v>
      </c>
      <c r="I1035" s="59" t="b">
        <v>1</v>
      </c>
      <c r="J1035" s="59"/>
      <c r="K1035" s="58">
        <v>440</v>
      </c>
      <c r="L1035" s="58">
        <v>1478</v>
      </c>
      <c r="M1035" s="59">
        <v>10</v>
      </c>
      <c r="N1035" s="59">
        <v>10</v>
      </c>
      <c r="O1035" s="59" t="s">
        <v>3581</v>
      </c>
      <c r="P1035" s="58">
        <v>615</v>
      </c>
      <c r="Q1035" s="59">
        <v>0</v>
      </c>
      <c r="R1035" s="59">
        <v>0</v>
      </c>
      <c r="S1035" s="60">
        <f>tblJTL[[#This Row],[timeStamp]]/86400000+DATE(1970,1,1)+TIME(9,0,0)</f>
        <v>46296.419615104169</v>
      </c>
      <c r="T1035" s="57">
        <f>tblJTL[[#This Row],[timeStamp]]+tblJTL[[#This Row],[elapsed]]</f>
        <v>1790816655363</v>
      </c>
      <c r="U1035" s="61">
        <f>(tblJTL[[#This Row],[timeStamp]]-'17_分析サンプル'!$E$18)/1000</f>
        <v>254.565</v>
      </c>
      <c r="V1035" s="57">
        <f>INT(tblJTL[[#This Row],[経過秒]]/60)</f>
        <v>4</v>
      </c>
      <c r="W1035" s="57">
        <f>IF(OR(tblJTL[[#This Row],[success]]=FALSE,tblJTL[[#This Row],[success]]="false"),1,0)</f>
        <v>0</v>
      </c>
      <c r="X1035" s="57">
        <f>IF(AND(tblJTL[[#This Row],[経過秒]]&gt;='17_分析サンプル'!$E$11,tblJTL[[#This Row],[経過秒]]&lt;'17_分析サンプル'!$E$12),1,0)</f>
        <v>1</v>
      </c>
    </row>
    <row r="1036" spans="2:24" ht="14.4" x14ac:dyDescent="0.3">
      <c r="B1036" s="57">
        <v>1790816654324</v>
      </c>
      <c r="C1036" s="58">
        <v>1381</v>
      </c>
      <c r="D1036" s="59" t="s">
        <v>1677</v>
      </c>
      <c r="E1036" s="59" t="s">
        <v>3579</v>
      </c>
      <c r="F1036" s="59" t="s">
        <v>3580</v>
      </c>
      <c r="G1036" s="59" t="s">
        <v>3577</v>
      </c>
      <c r="H1036" s="59" t="s">
        <v>2281</v>
      </c>
      <c r="I1036" s="59" t="b">
        <v>1</v>
      </c>
      <c r="J1036" s="59"/>
      <c r="K1036" s="58">
        <v>431</v>
      </c>
      <c r="L1036" s="58">
        <v>1478</v>
      </c>
      <c r="M1036" s="59">
        <v>10</v>
      </c>
      <c r="N1036" s="59">
        <v>10</v>
      </c>
      <c r="O1036" s="59" t="s">
        <v>3581</v>
      </c>
      <c r="P1036" s="58">
        <v>1377</v>
      </c>
      <c r="Q1036" s="59">
        <v>0</v>
      </c>
      <c r="R1036" s="59">
        <v>0</v>
      </c>
      <c r="S1036" s="60">
        <f>tblJTL[[#This Row],[timeStamp]]/86400000+DATE(1970,1,1)+TIME(9,0,0)</f>
        <v>46296.419610231482</v>
      </c>
      <c r="T1036" s="57">
        <f>tblJTL[[#This Row],[timeStamp]]+tblJTL[[#This Row],[elapsed]]</f>
        <v>1790816655705</v>
      </c>
      <c r="U1036" s="61">
        <f>(tblJTL[[#This Row],[timeStamp]]-'17_分析サンプル'!$E$18)/1000</f>
        <v>254.14400000000001</v>
      </c>
      <c r="V1036" s="57">
        <f>INT(tblJTL[[#This Row],[経過秒]]/60)</f>
        <v>4</v>
      </c>
      <c r="W1036" s="57">
        <f>IF(OR(tblJTL[[#This Row],[success]]=FALSE,tblJTL[[#This Row],[success]]="false"),1,0)</f>
        <v>0</v>
      </c>
      <c r="X1036" s="57">
        <f>IF(AND(tblJTL[[#This Row],[経過秒]]&gt;='17_分析サンプル'!$E$11,tblJTL[[#This Row],[経過秒]]&lt;'17_分析サンプル'!$E$12),1,0)</f>
        <v>1</v>
      </c>
    </row>
    <row r="1037" spans="2:24" ht="14.4" x14ac:dyDescent="0.3">
      <c r="B1037" s="57">
        <v>1790816655500</v>
      </c>
      <c r="C1037" s="58">
        <v>208</v>
      </c>
      <c r="D1037" s="59" t="s">
        <v>1658</v>
      </c>
      <c r="E1037" s="59" t="s">
        <v>1577</v>
      </c>
      <c r="F1037" s="59" t="s">
        <v>2275</v>
      </c>
      <c r="G1037" s="59" t="s">
        <v>3589</v>
      </c>
      <c r="H1037" s="59" t="s">
        <v>2281</v>
      </c>
      <c r="I1037" s="59" t="b">
        <v>1</v>
      </c>
      <c r="J1037" s="59"/>
      <c r="K1037" s="58">
        <v>1862</v>
      </c>
      <c r="L1037" s="58">
        <v>1342</v>
      </c>
      <c r="M1037" s="59">
        <v>10</v>
      </c>
      <c r="N1037" s="59">
        <v>10</v>
      </c>
      <c r="O1037" s="59" t="s">
        <v>3578</v>
      </c>
      <c r="P1037" s="58">
        <v>206</v>
      </c>
      <c r="Q1037" s="59">
        <v>0</v>
      </c>
      <c r="R1037" s="59">
        <v>0</v>
      </c>
      <c r="S1037" s="60">
        <f>tblJTL[[#This Row],[timeStamp]]/86400000+DATE(1970,1,1)+TIME(9,0,0)</f>
        <v>46296.419623842594</v>
      </c>
      <c r="T1037" s="57">
        <f>tblJTL[[#This Row],[timeStamp]]+tblJTL[[#This Row],[elapsed]]</f>
        <v>1790816655708</v>
      </c>
      <c r="U1037" s="61">
        <f>(tblJTL[[#This Row],[timeStamp]]-'17_分析サンプル'!$E$18)/1000</f>
        <v>255.32</v>
      </c>
      <c r="V1037" s="57">
        <f>INT(tblJTL[[#This Row],[経過秒]]/60)</f>
        <v>4</v>
      </c>
      <c r="W1037" s="57">
        <f>IF(OR(tblJTL[[#This Row],[success]]=FALSE,tblJTL[[#This Row],[success]]="false"),1,0)</f>
        <v>0</v>
      </c>
      <c r="X1037" s="57">
        <f>IF(AND(tblJTL[[#This Row],[経過秒]]&gt;='17_分析サンプル'!$E$11,tblJTL[[#This Row],[経過秒]]&lt;'17_分析サンプル'!$E$12),1,0)</f>
        <v>1</v>
      </c>
    </row>
    <row r="1038" spans="2:24" ht="14.4" x14ac:dyDescent="0.3">
      <c r="B1038" s="57">
        <v>1790816654158</v>
      </c>
      <c r="C1038" s="58">
        <v>1610</v>
      </c>
      <c r="D1038" s="59" t="s">
        <v>1677</v>
      </c>
      <c r="E1038" s="59" t="s">
        <v>3579</v>
      </c>
      <c r="F1038" s="59" t="s">
        <v>3580</v>
      </c>
      <c r="G1038" s="59" t="s">
        <v>3582</v>
      </c>
      <c r="H1038" s="59" t="s">
        <v>2281</v>
      </c>
      <c r="I1038" s="59" t="b">
        <v>1</v>
      </c>
      <c r="J1038" s="59"/>
      <c r="K1038" s="58">
        <v>431</v>
      </c>
      <c r="L1038" s="58">
        <v>1478</v>
      </c>
      <c r="M1038" s="59">
        <v>10</v>
      </c>
      <c r="N1038" s="59">
        <v>10</v>
      </c>
      <c r="O1038" s="59" t="s">
        <v>3581</v>
      </c>
      <c r="P1038" s="58">
        <v>1603</v>
      </c>
      <c r="Q1038" s="59">
        <v>0</v>
      </c>
      <c r="R1038" s="59">
        <v>45</v>
      </c>
      <c r="S1038" s="60">
        <f>tblJTL[[#This Row],[timeStamp]]/86400000+DATE(1970,1,1)+TIME(9,0,0)</f>
        <v>46296.419608310185</v>
      </c>
      <c r="T1038" s="57">
        <f>tblJTL[[#This Row],[timeStamp]]+tblJTL[[#This Row],[elapsed]]</f>
        <v>1790816655768</v>
      </c>
      <c r="U1038" s="61">
        <f>(tblJTL[[#This Row],[timeStamp]]-'17_分析サンプル'!$E$18)/1000</f>
        <v>253.97800000000001</v>
      </c>
      <c r="V1038" s="57">
        <f>INT(tblJTL[[#This Row],[経過秒]]/60)</f>
        <v>4</v>
      </c>
      <c r="W1038" s="57">
        <f>IF(OR(tblJTL[[#This Row],[success]]=FALSE,tblJTL[[#This Row],[success]]="false"),1,0)</f>
        <v>0</v>
      </c>
      <c r="X1038" s="57">
        <f>IF(AND(tblJTL[[#This Row],[経過秒]]&gt;='17_分析サンプル'!$E$11,tblJTL[[#This Row],[経過秒]]&lt;'17_分析サンプル'!$E$12),1,0)</f>
        <v>1</v>
      </c>
    </row>
    <row r="1039" spans="2:24" ht="14.4" x14ac:dyDescent="0.3">
      <c r="B1039" s="57">
        <v>1790816656712</v>
      </c>
      <c r="C1039" s="58">
        <v>192</v>
      </c>
      <c r="D1039" s="59" t="s">
        <v>1658</v>
      </c>
      <c r="E1039" s="59" t="s">
        <v>1577</v>
      </c>
      <c r="F1039" s="59" t="s">
        <v>2275</v>
      </c>
      <c r="G1039" s="59" t="s">
        <v>3585</v>
      </c>
      <c r="H1039" s="59" t="s">
        <v>2281</v>
      </c>
      <c r="I1039" s="59" t="b">
        <v>1</v>
      </c>
      <c r="J1039" s="59"/>
      <c r="K1039" s="58">
        <v>1889</v>
      </c>
      <c r="L1039" s="58">
        <v>1342</v>
      </c>
      <c r="M1039" s="59">
        <v>10</v>
      </c>
      <c r="N1039" s="59">
        <v>10</v>
      </c>
      <c r="O1039" s="59" t="s">
        <v>3578</v>
      </c>
      <c r="P1039" s="58">
        <v>188</v>
      </c>
      <c r="Q1039" s="59">
        <v>0</v>
      </c>
      <c r="R1039" s="59">
        <v>0</v>
      </c>
      <c r="S1039" s="60">
        <f>tblJTL[[#This Row],[timeStamp]]/86400000+DATE(1970,1,1)+TIME(9,0,0)</f>
        <v>46296.419637870371</v>
      </c>
      <c r="T1039" s="57">
        <f>tblJTL[[#This Row],[timeStamp]]+tblJTL[[#This Row],[elapsed]]</f>
        <v>1790816656904</v>
      </c>
      <c r="U1039" s="61">
        <f>(tblJTL[[#This Row],[timeStamp]]-'17_分析サンプル'!$E$18)/1000</f>
        <v>256.53199999999998</v>
      </c>
      <c r="V1039" s="57">
        <f>INT(tblJTL[[#This Row],[経過秒]]/60)</f>
        <v>4</v>
      </c>
      <c r="W1039" s="57">
        <f>IF(OR(tblJTL[[#This Row],[success]]=FALSE,tblJTL[[#This Row],[success]]="false"),1,0)</f>
        <v>0</v>
      </c>
      <c r="X1039" s="57">
        <f>IF(AND(tblJTL[[#This Row],[経過秒]]&gt;='17_分析サンプル'!$E$11,tblJTL[[#This Row],[経過秒]]&lt;'17_分析サンプル'!$E$12),1,0)</f>
        <v>1</v>
      </c>
    </row>
    <row r="1040" spans="2:24" ht="14.4" x14ac:dyDescent="0.3">
      <c r="B1040" s="57">
        <v>1790816656967</v>
      </c>
      <c r="C1040" s="58">
        <v>149</v>
      </c>
      <c r="D1040" s="59" t="s">
        <v>1658</v>
      </c>
      <c r="E1040" s="59" t="s">
        <v>1577</v>
      </c>
      <c r="F1040" s="59" t="s">
        <v>2275</v>
      </c>
      <c r="G1040" s="59" t="s">
        <v>3587</v>
      </c>
      <c r="H1040" s="59" t="s">
        <v>2281</v>
      </c>
      <c r="I1040" s="59" t="b">
        <v>1</v>
      </c>
      <c r="J1040" s="59"/>
      <c r="K1040" s="58">
        <v>1894</v>
      </c>
      <c r="L1040" s="58">
        <v>1342</v>
      </c>
      <c r="M1040" s="59">
        <v>10</v>
      </c>
      <c r="N1040" s="59">
        <v>10</v>
      </c>
      <c r="O1040" s="59" t="s">
        <v>3578</v>
      </c>
      <c r="P1040" s="58">
        <v>144</v>
      </c>
      <c r="Q1040" s="59">
        <v>0</v>
      </c>
      <c r="R1040" s="59">
        <v>0</v>
      </c>
      <c r="S1040" s="60">
        <f>tblJTL[[#This Row],[timeStamp]]/86400000+DATE(1970,1,1)+TIME(9,0,0)</f>
        <v>46296.419640821754</v>
      </c>
      <c r="T1040" s="57">
        <f>tblJTL[[#This Row],[timeStamp]]+tblJTL[[#This Row],[elapsed]]</f>
        <v>1790816657116</v>
      </c>
      <c r="U1040" s="61">
        <f>(tblJTL[[#This Row],[timeStamp]]-'17_分析サンプル'!$E$18)/1000</f>
        <v>256.78699999999998</v>
      </c>
      <c r="V1040" s="57">
        <f>INT(tblJTL[[#This Row],[経過秒]]/60)</f>
        <v>4</v>
      </c>
      <c r="W1040" s="57">
        <f>IF(OR(tblJTL[[#This Row],[success]]=FALSE,tblJTL[[#This Row],[success]]="false"),1,0)</f>
        <v>0</v>
      </c>
      <c r="X1040" s="57">
        <f>IF(AND(tblJTL[[#This Row],[経過秒]]&gt;='17_分析サンプル'!$E$11,tblJTL[[#This Row],[経過秒]]&lt;'17_分析サンプル'!$E$12),1,0)</f>
        <v>1</v>
      </c>
    </row>
    <row r="1041" spans="2:24" ht="14.4" x14ac:dyDescent="0.3">
      <c r="B1041" s="57">
        <v>1790816654925</v>
      </c>
      <c r="C1041" s="58">
        <v>2868</v>
      </c>
      <c r="D1041" s="59" t="s">
        <v>1677</v>
      </c>
      <c r="E1041" s="59" t="s">
        <v>3579</v>
      </c>
      <c r="F1041" s="59" t="s">
        <v>3580</v>
      </c>
      <c r="G1041" s="59" t="s">
        <v>3584</v>
      </c>
      <c r="H1041" s="59" t="s">
        <v>2281</v>
      </c>
      <c r="I1041" s="59" t="b">
        <v>1</v>
      </c>
      <c r="J1041" s="59"/>
      <c r="K1041" s="58">
        <v>419</v>
      </c>
      <c r="L1041" s="58">
        <v>1478</v>
      </c>
      <c r="M1041" s="59">
        <v>10</v>
      </c>
      <c r="N1041" s="59">
        <v>10</v>
      </c>
      <c r="O1041" s="59" t="s">
        <v>3581</v>
      </c>
      <c r="P1041" s="58">
        <v>2866</v>
      </c>
      <c r="Q1041" s="59">
        <v>0</v>
      </c>
      <c r="R1041" s="59">
        <v>0</v>
      </c>
      <c r="S1041" s="60">
        <f>tblJTL[[#This Row],[timeStamp]]/86400000+DATE(1970,1,1)+TIME(9,0,0)</f>
        <v>46296.419617187501</v>
      </c>
      <c r="T1041" s="57">
        <f>tblJTL[[#This Row],[timeStamp]]+tblJTL[[#This Row],[elapsed]]</f>
        <v>1790816657793</v>
      </c>
      <c r="U1041" s="61">
        <f>(tblJTL[[#This Row],[timeStamp]]-'17_分析サンプル'!$E$18)/1000</f>
        <v>254.745</v>
      </c>
      <c r="V1041" s="57">
        <f>INT(tblJTL[[#This Row],[経過秒]]/60)</f>
        <v>4</v>
      </c>
      <c r="W1041" s="57">
        <f>IF(OR(tblJTL[[#This Row],[success]]=FALSE,tblJTL[[#This Row],[success]]="false"),1,0)</f>
        <v>0</v>
      </c>
      <c r="X1041" s="57">
        <f>IF(AND(tblJTL[[#This Row],[経過秒]]&gt;='17_分析サンプル'!$E$11,tblJTL[[#This Row],[経過秒]]&lt;'17_分析サンプル'!$E$12),1,0)</f>
        <v>1</v>
      </c>
    </row>
    <row r="1042" spans="2:24" ht="14.4" x14ac:dyDescent="0.3">
      <c r="B1042" s="57">
        <v>1790816657691</v>
      </c>
      <c r="C1042" s="58">
        <v>276</v>
      </c>
      <c r="D1042" s="59" t="s">
        <v>1658</v>
      </c>
      <c r="E1042" s="59" t="s">
        <v>1577</v>
      </c>
      <c r="F1042" s="59" t="s">
        <v>2275</v>
      </c>
      <c r="G1042" s="59" t="s">
        <v>2278</v>
      </c>
      <c r="H1042" s="59" t="s">
        <v>2281</v>
      </c>
      <c r="I1042" s="59" t="b">
        <v>1</v>
      </c>
      <c r="J1042" s="59"/>
      <c r="K1042" s="58">
        <v>1864</v>
      </c>
      <c r="L1042" s="58">
        <v>1342</v>
      </c>
      <c r="M1042" s="59">
        <v>10</v>
      </c>
      <c r="N1042" s="59">
        <v>10</v>
      </c>
      <c r="O1042" s="59" t="s">
        <v>3578</v>
      </c>
      <c r="P1042" s="58">
        <v>271</v>
      </c>
      <c r="Q1042" s="59">
        <v>0</v>
      </c>
      <c r="R1042" s="59">
        <v>0</v>
      </c>
      <c r="S1042" s="60">
        <f>tblJTL[[#This Row],[timeStamp]]/86400000+DATE(1970,1,1)+TIME(9,0,0)</f>
        <v>46296.419649201387</v>
      </c>
      <c r="T1042" s="57">
        <f>tblJTL[[#This Row],[timeStamp]]+tblJTL[[#This Row],[elapsed]]</f>
        <v>1790816657967</v>
      </c>
      <c r="U1042" s="61">
        <f>(tblJTL[[#This Row],[timeStamp]]-'17_分析サンプル'!$E$18)/1000</f>
        <v>257.51100000000002</v>
      </c>
      <c r="V1042" s="57">
        <f>INT(tblJTL[[#This Row],[経過秒]]/60)</f>
        <v>4</v>
      </c>
      <c r="W1042" s="57">
        <f>IF(OR(tblJTL[[#This Row],[success]]=FALSE,tblJTL[[#This Row],[success]]="false"),1,0)</f>
        <v>0</v>
      </c>
      <c r="X1042" s="57">
        <f>IF(AND(tblJTL[[#This Row],[経過秒]]&gt;='17_分析サンプル'!$E$11,tblJTL[[#This Row],[経過秒]]&lt;'17_分析サンプル'!$E$12),1,0)</f>
        <v>1</v>
      </c>
    </row>
    <row r="1043" spans="2:24" ht="14.4" x14ac:dyDescent="0.3">
      <c r="B1043" s="57">
        <v>1790816657968</v>
      </c>
      <c r="C1043" s="58">
        <v>117</v>
      </c>
      <c r="D1043" s="59" t="s">
        <v>1658</v>
      </c>
      <c r="E1043" s="59" t="s">
        <v>1577</v>
      </c>
      <c r="F1043" s="59" t="s">
        <v>2275</v>
      </c>
      <c r="G1043" s="59" t="s">
        <v>3588</v>
      </c>
      <c r="H1043" s="59" t="s">
        <v>2281</v>
      </c>
      <c r="I1043" s="59" t="b">
        <v>1</v>
      </c>
      <c r="J1043" s="59"/>
      <c r="K1043" s="58">
        <v>1836</v>
      </c>
      <c r="L1043" s="58">
        <v>1342</v>
      </c>
      <c r="M1043" s="59">
        <v>10</v>
      </c>
      <c r="N1043" s="59">
        <v>10</v>
      </c>
      <c r="O1043" s="59" t="s">
        <v>3578</v>
      </c>
      <c r="P1043" s="58">
        <v>113</v>
      </c>
      <c r="Q1043" s="59">
        <v>0</v>
      </c>
      <c r="R1043" s="59">
        <v>0</v>
      </c>
      <c r="S1043" s="60">
        <f>tblJTL[[#This Row],[timeStamp]]/86400000+DATE(1970,1,1)+TIME(9,0,0)</f>
        <v>46296.419652407407</v>
      </c>
      <c r="T1043" s="57">
        <f>tblJTL[[#This Row],[timeStamp]]+tblJTL[[#This Row],[elapsed]]</f>
        <v>1790816658085</v>
      </c>
      <c r="U1043" s="61">
        <f>(tblJTL[[#This Row],[timeStamp]]-'17_分析サンプル'!$E$18)/1000</f>
        <v>257.78800000000001</v>
      </c>
      <c r="V1043" s="57">
        <f>INT(tblJTL[[#This Row],[経過秒]]/60)</f>
        <v>4</v>
      </c>
      <c r="W1043" s="57">
        <f>IF(OR(tblJTL[[#This Row],[success]]=FALSE,tblJTL[[#This Row],[success]]="false"),1,0)</f>
        <v>0</v>
      </c>
      <c r="X1043" s="57">
        <f>IF(AND(tblJTL[[#This Row],[経過秒]]&gt;='17_分析サンプル'!$E$11,tblJTL[[#This Row],[経過秒]]&lt;'17_分析サンプル'!$E$12),1,0)</f>
        <v>1</v>
      </c>
    </row>
    <row r="1044" spans="2:24" ht="14.4" x14ac:dyDescent="0.3">
      <c r="B1044" s="57">
        <v>1790816657843</v>
      </c>
      <c r="C1044" s="58">
        <v>285</v>
      </c>
      <c r="D1044" s="59" t="s">
        <v>1658</v>
      </c>
      <c r="E1044" s="59" t="s">
        <v>1577</v>
      </c>
      <c r="F1044" s="59" t="s">
        <v>2275</v>
      </c>
      <c r="G1044" s="59" t="s">
        <v>3577</v>
      </c>
      <c r="H1044" s="59" t="s">
        <v>2281</v>
      </c>
      <c r="I1044" s="59" t="b">
        <v>1</v>
      </c>
      <c r="J1044" s="59"/>
      <c r="K1044" s="58">
        <v>1892</v>
      </c>
      <c r="L1044" s="58">
        <v>1342</v>
      </c>
      <c r="M1044" s="59">
        <v>10</v>
      </c>
      <c r="N1044" s="59">
        <v>10</v>
      </c>
      <c r="O1044" s="59" t="s">
        <v>3578</v>
      </c>
      <c r="P1044" s="58">
        <v>283</v>
      </c>
      <c r="Q1044" s="59">
        <v>0</v>
      </c>
      <c r="R1044" s="59">
        <v>0</v>
      </c>
      <c r="S1044" s="60">
        <f>tblJTL[[#This Row],[timeStamp]]/86400000+DATE(1970,1,1)+TIME(9,0,0)</f>
        <v>46296.419650960648</v>
      </c>
      <c r="T1044" s="57">
        <f>tblJTL[[#This Row],[timeStamp]]+tblJTL[[#This Row],[elapsed]]</f>
        <v>1790816658128</v>
      </c>
      <c r="U1044" s="61">
        <f>(tblJTL[[#This Row],[timeStamp]]-'17_分析サンプル'!$E$18)/1000</f>
        <v>257.66300000000001</v>
      </c>
      <c r="V1044" s="57">
        <f>INT(tblJTL[[#This Row],[経過秒]]/60)</f>
        <v>4</v>
      </c>
      <c r="W1044" s="57">
        <f>IF(OR(tblJTL[[#This Row],[success]]=FALSE,tblJTL[[#This Row],[success]]="false"),1,0)</f>
        <v>0</v>
      </c>
      <c r="X1044" s="57">
        <f>IF(AND(tblJTL[[#This Row],[経過秒]]&gt;='17_分析サンプル'!$E$11,tblJTL[[#This Row],[経過秒]]&lt;'17_分析サンプル'!$E$12),1,0)</f>
        <v>1</v>
      </c>
    </row>
    <row r="1045" spans="2:24" ht="14.4" x14ac:dyDescent="0.3">
      <c r="B1045" s="57">
        <v>1790816658223</v>
      </c>
      <c r="C1045" s="58">
        <v>322</v>
      </c>
      <c r="D1045" s="59" t="s">
        <v>1658</v>
      </c>
      <c r="E1045" s="59" t="s">
        <v>1577</v>
      </c>
      <c r="F1045" s="59" t="s">
        <v>2275</v>
      </c>
      <c r="G1045" s="59" t="s">
        <v>3582</v>
      </c>
      <c r="H1045" s="59" t="s">
        <v>2281</v>
      </c>
      <c r="I1045" s="59" t="b">
        <v>1</v>
      </c>
      <c r="J1045" s="59"/>
      <c r="K1045" s="58">
        <v>1845</v>
      </c>
      <c r="L1045" s="58">
        <v>1342</v>
      </c>
      <c r="M1045" s="59">
        <v>10</v>
      </c>
      <c r="N1045" s="59">
        <v>10</v>
      </c>
      <c r="O1045" s="59" t="s">
        <v>3578</v>
      </c>
      <c r="P1045" s="58">
        <v>316</v>
      </c>
      <c r="Q1045" s="59">
        <v>0</v>
      </c>
      <c r="R1045" s="59">
        <v>0</v>
      </c>
      <c r="S1045" s="60">
        <f>tblJTL[[#This Row],[timeStamp]]/86400000+DATE(1970,1,1)+TIME(9,0,0)</f>
        <v>46296.419655358797</v>
      </c>
      <c r="T1045" s="57">
        <f>tblJTL[[#This Row],[timeStamp]]+tblJTL[[#This Row],[elapsed]]</f>
        <v>1790816658545</v>
      </c>
      <c r="U1045" s="61">
        <f>(tblJTL[[#This Row],[timeStamp]]-'17_分析サンプル'!$E$18)/1000</f>
        <v>258.04300000000001</v>
      </c>
      <c r="V1045" s="57">
        <f>INT(tblJTL[[#This Row],[経過秒]]/60)</f>
        <v>4</v>
      </c>
      <c r="W1045" s="57">
        <f>IF(OR(tblJTL[[#This Row],[success]]=FALSE,tblJTL[[#This Row],[success]]="false"),1,0)</f>
        <v>0</v>
      </c>
      <c r="X1045" s="57">
        <f>IF(AND(tblJTL[[#This Row],[経過秒]]&gt;='17_分析サンプル'!$E$11,tblJTL[[#This Row],[経過秒]]&lt;'17_分析サンプル'!$E$12),1,0)</f>
        <v>1</v>
      </c>
    </row>
    <row r="1046" spans="2:24" ht="14.4" x14ac:dyDescent="0.3">
      <c r="B1046" s="57">
        <v>1790816658515</v>
      </c>
      <c r="C1046" s="58">
        <v>571</v>
      </c>
      <c r="D1046" s="59" t="s">
        <v>1677</v>
      </c>
      <c r="E1046" s="59" t="s">
        <v>3579</v>
      </c>
      <c r="F1046" s="59" t="s">
        <v>3580</v>
      </c>
      <c r="G1046" s="59" t="s">
        <v>3585</v>
      </c>
      <c r="H1046" s="59" t="s">
        <v>2281</v>
      </c>
      <c r="I1046" s="59" t="b">
        <v>1</v>
      </c>
      <c r="J1046" s="59"/>
      <c r="K1046" s="58">
        <v>436</v>
      </c>
      <c r="L1046" s="58">
        <v>1478</v>
      </c>
      <c r="M1046" s="59">
        <v>10</v>
      </c>
      <c r="N1046" s="59">
        <v>10</v>
      </c>
      <c r="O1046" s="59" t="s">
        <v>3581</v>
      </c>
      <c r="P1046" s="58">
        <v>564</v>
      </c>
      <c r="Q1046" s="59">
        <v>0</v>
      </c>
      <c r="R1046" s="59">
        <v>0</v>
      </c>
      <c r="S1046" s="60">
        <f>tblJTL[[#This Row],[timeStamp]]/86400000+DATE(1970,1,1)+TIME(9,0,0)</f>
        <v>46296.419658738421</v>
      </c>
      <c r="T1046" s="57">
        <f>tblJTL[[#This Row],[timeStamp]]+tblJTL[[#This Row],[elapsed]]</f>
        <v>1790816659086</v>
      </c>
      <c r="U1046" s="61">
        <f>(tblJTL[[#This Row],[timeStamp]]-'17_分析サンプル'!$E$18)/1000</f>
        <v>258.33499999999998</v>
      </c>
      <c r="V1046" s="57">
        <f>INT(tblJTL[[#This Row],[経過秒]]/60)</f>
        <v>4</v>
      </c>
      <c r="W1046" s="57">
        <f>IF(OR(tblJTL[[#This Row],[success]]=FALSE,tblJTL[[#This Row],[success]]="false"),1,0)</f>
        <v>0</v>
      </c>
      <c r="X1046" s="57">
        <f>IF(AND(tblJTL[[#This Row],[経過秒]]&gt;='17_分析サンプル'!$E$11,tblJTL[[#This Row],[経過秒]]&lt;'17_分析サンプル'!$E$12),1,0)</f>
        <v>1</v>
      </c>
    </row>
    <row r="1047" spans="2:24" ht="14.4" x14ac:dyDescent="0.3">
      <c r="B1047" s="57">
        <v>1790816657689</v>
      </c>
      <c r="C1047" s="58">
        <v>1452</v>
      </c>
      <c r="D1047" s="59" t="s">
        <v>1677</v>
      </c>
      <c r="E1047" s="59" t="s">
        <v>3579</v>
      </c>
      <c r="F1047" s="59" t="s">
        <v>3580</v>
      </c>
      <c r="G1047" s="59" t="s">
        <v>3586</v>
      </c>
      <c r="H1047" s="59" t="s">
        <v>2281</v>
      </c>
      <c r="I1047" s="59" t="b">
        <v>1</v>
      </c>
      <c r="J1047" s="59"/>
      <c r="K1047" s="58">
        <v>432</v>
      </c>
      <c r="L1047" s="58">
        <v>1478</v>
      </c>
      <c r="M1047" s="59">
        <v>10</v>
      </c>
      <c r="N1047" s="59">
        <v>10</v>
      </c>
      <c r="O1047" s="59" t="s">
        <v>3581</v>
      </c>
      <c r="P1047" s="58">
        <v>1450</v>
      </c>
      <c r="Q1047" s="59">
        <v>0</v>
      </c>
      <c r="R1047" s="59">
        <v>0</v>
      </c>
      <c r="S1047" s="60">
        <f>tblJTL[[#This Row],[timeStamp]]/86400000+DATE(1970,1,1)+TIME(9,0,0)</f>
        <v>46296.419649178242</v>
      </c>
      <c r="T1047" s="57">
        <f>tblJTL[[#This Row],[timeStamp]]+tblJTL[[#This Row],[elapsed]]</f>
        <v>1790816659141</v>
      </c>
      <c r="U1047" s="61">
        <f>(tblJTL[[#This Row],[timeStamp]]-'17_分析サンプル'!$E$18)/1000</f>
        <v>257.50900000000001</v>
      </c>
      <c r="V1047" s="57">
        <f>INT(tblJTL[[#This Row],[経過秒]]/60)</f>
        <v>4</v>
      </c>
      <c r="W1047" s="57">
        <f>IF(OR(tblJTL[[#This Row],[success]]=FALSE,tblJTL[[#This Row],[success]]="false"),1,0)</f>
        <v>0</v>
      </c>
      <c r="X1047" s="57">
        <f>IF(AND(tblJTL[[#This Row],[経過秒]]&gt;='17_分析サンプル'!$E$11,tblJTL[[#This Row],[経過秒]]&lt;'17_分析サンプル'!$E$12),1,0)</f>
        <v>1</v>
      </c>
    </row>
    <row r="1048" spans="2:24" ht="14.4" x14ac:dyDescent="0.3">
      <c r="B1048" s="57">
        <v>1790816659232</v>
      </c>
      <c r="C1048" s="58">
        <v>78</v>
      </c>
      <c r="D1048" s="59" t="s">
        <v>1658</v>
      </c>
      <c r="E1048" s="59" t="s">
        <v>1577</v>
      </c>
      <c r="F1048" s="59" t="s">
        <v>2275</v>
      </c>
      <c r="G1048" s="59" t="s">
        <v>3584</v>
      </c>
      <c r="H1048" s="59" t="s">
        <v>2281</v>
      </c>
      <c r="I1048" s="59" t="b">
        <v>1</v>
      </c>
      <c r="J1048" s="59"/>
      <c r="K1048" s="58">
        <v>1872</v>
      </c>
      <c r="L1048" s="58">
        <v>1342</v>
      </c>
      <c r="M1048" s="59">
        <v>10</v>
      </c>
      <c r="N1048" s="59">
        <v>10</v>
      </c>
      <c r="O1048" s="59" t="s">
        <v>3578</v>
      </c>
      <c r="P1048" s="58">
        <v>76</v>
      </c>
      <c r="Q1048" s="59">
        <v>0</v>
      </c>
      <c r="R1048" s="59">
        <v>0</v>
      </c>
      <c r="S1048" s="60">
        <f>tblJTL[[#This Row],[timeStamp]]/86400000+DATE(1970,1,1)+TIME(9,0,0)</f>
        <v>46296.419667037037</v>
      </c>
      <c r="T1048" s="57">
        <f>tblJTL[[#This Row],[timeStamp]]+tblJTL[[#This Row],[elapsed]]</f>
        <v>1790816659310</v>
      </c>
      <c r="U1048" s="61">
        <f>(tblJTL[[#This Row],[timeStamp]]-'17_分析サンプル'!$E$18)/1000</f>
        <v>259.05200000000002</v>
      </c>
      <c r="V1048" s="57">
        <f>INT(tblJTL[[#This Row],[経過秒]]/60)</f>
        <v>4</v>
      </c>
      <c r="W1048" s="57">
        <f>IF(OR(tblJTL[[#This Row],[success]]=FALSE,tblJTL[[#This Row],[success]]="false"),1,0)</f>
        <v>0</v>
      </c>
      <c r="X1048" s="57">
        <f>IF(AND(tblJTL[[#This Row],[経過秒]]&gt;='17_分析サンプル'!$E$11,tblJTL[[#This Row],[経過秒]]&lt;'17_分析サンプル'!$E$12),1,0)</f>
        <v>1</v>
      </c>
    </row>
    <row r="1049" spans="2:24" ht="14.4" x14ac:dyDescent="0.3">
      <c r="B1049" s="57">
        <v>1790816658053</v>
      </c>
      <c r="C1049" s="58">
        <v>1269</v>
      </c>
      <c r="D1049" s="59" t="s">
        <v>1677</v>
      </c>
      <c r="E1049" s="59" t="s">
        <v>3579</v>
      </c>
      <c r="F1049" s="59" t="s">
        <v>3580</v>
      </c>
      <c r="G1049" s="59" t="s">
        <v>3583</v>
      </c>
      <c r="H1049" s="59" t="s">
        <v>2281</v>
      </c>
      <c r="I1049" s="59" t="b">
        <v>1</v>
      </c>
      <c r="J1049" s="59"/>
      <c r="K1049" s="58">
        <v>411</v>
      </c>
      <c r="L1049" s="58">
        <v>1478</v>
      </c>
      <c r="M1049" s="59">
        <v>10</v>
      </c>
      <c r="N1049" s="59">
        <v>10</v>
      </c>
      <c r="O1049" s="59" t="s">
        <v>3581</v>
      </c>
      <c r="P1049" s="58">
        <v>1261</v>
      </c>
      <c r="Q1049" s="59">
        <v>0</v>
      </c>
      <c r="R1049" s="59">
        <v>0</v>
      </c>
      <c r="S1049" s="60">
        <f>tblJTL[[#This Row],[timeStamp]]/86400000+DATE(1970,1,1)+TIME(9,0,0)</f>
        <v>46296.419653391204</v>
      </c>
      <c r="T1049" s="57">
        <f>tblJTL[[#This Row],[timeStamp]]+tblJTL[[#This Row],[elapsed]]</f>
        <v>1790816659322</v>
      </c>
      <c r="U1049" s="61">
        <f>(tblJTL[[#This Row],[timeStamp]]-'17_分析サンプル'!$E$18)/1000</f>
        <v>257.87299999999999</v>
      </c>
      <c r="V1049" s="57">
        <f>INT(tblJTL[[#This Row],[経過秒]]/60)</f>
        <v>4</v>
      </c>
      <c r="W1049" s="57">
        <f>IF(OR(tblJTL[[#This Row],[success]]=FALSE,tblJTL[[#This Row],[success]]="false"),1,0)</f>
        <v>0</v>
      </c>
      <c r="X1049" s="57">
        <f>IF(AND(tblJTL[[#This Row],[経過秒]]&gt;='17_分析サンプル'!$E$11,tblJTL[[#This Row],[経過秒]]&lt;'17_分析サンプル'!$E$12),1,0)</f>
        <v>1</v>
      </c>
    </row>
    <row r="1050" spans="2:24" ht="14.4" x14ac:dyDescent="0.3">
      <c r="B1050" s="57">
        <v>1790816658541</v>
      </c>
      <c r="C1050" s="58">
        <v>1078</v>
      </c>
      <c r="D1050" s="59" t="s">
        <v>1677</v>
      </c>
      <c r="E1050" s="59" t="s">
        <v>3579</v>
      </c>
      <c r="F1050" s="59" t="s">
        <v>3580</v>
      </c>
      <c r="G1050" s="59" t="s">
        <v>3589</v>
      </c>
      <c r="H1050" s="59" t="s">
        <v>2281</v>
      </c>
      <c r="I1050" s="59" t="b">
        <v>1</v>
      </c>
      <c r="J1050" s="59"/>
      <c r="K1050" s="58">
        <v>430</v>
      </c>
      <c r="L1050" s="58">
        <v>1478</v>
      </c>
      <c r="M1050" s="59">
        <v>10</v>
      </c>
      <c r="N1050" s="59">
        <v>10</v>
      </c>
      <c r="O1050" s="59" t="s">
        <v>3581</v>
      </c>
      <c r="P1050" s="58">
        <v>1075</v>
      </c>
      <c r="Q1050" s="59">
        <v>0</v>
      </c>
      <c r="R1050" s="59">
        <v>0</v>
      </c>
      <c r="S1050" s="60">
        <f>tblJTL[[#This Row],[timeStamp]]/86400000+DATE(1970,1,1)+TIME(9,0,0)</f>
        <v>46296.419659039355</v>
      </c>
      <c r="T1050" s="57">
        <f>tblJTL[[#This Row],[timeStamp]]+tblJTL[[#This Row],[elapsed]]</f>
        <v>1790816659619</v>
      </c>
      <c r="U1050" s="61">
        <f>(tblJTL[[#This Row],[timeStamp]]-'17_分析サンプル'!$E$18)/1000</f>
        <v>258.36099999999999</v>
      </c>
      <c r="V1050" s="57">
        <f>INT(tblJTL[[#This Row],[経過秒]]/60)</f>
        <v>4</v>
      </c>
      <c r="W1050" s="57">
        <f>IF(OR(tblJTL[[#This Row],[success]]=FALSE,tblJTL[[#This Row],[success]]="false"),1,0)</f>
        <v>0</v>
      </c>
      <c r="X1050" s="57">
        <f>IF(AND(tblJTL[[#This Row],[経過秒]]&gt;='17_分析サンプル'!$E$11,tblJTL[[#This Row],[経過秒]]&lt;'17_分析サンプル'!$E$12),1,0)</f>
        <v>1</v>
      </c>
    </row>
    <row r="1051" spans="2:24" ht="14.4" x14ac:dyDescent="0.3">
      <c r="B1051" s="57">
        <v>1790816660025</v>
      </c>
      <c r="C1051" s="58">
        <v>1214</v>
      </c>
      <c r="D1051" s="59" t="s">
        <v>1677</v>
      </c>
      <c r="E1051" s="59" t="s">
        <v>3579</v>
      </c>
      <c r="F1051" s="59" t="s">
        <v>3580</v>
      </c>
      <c r="G1051" s="59" t="s">
        <v>3587</v>
      </c>
      <c r="H1051" s="59" t="s">
        <v>2281</v>
      </c>
      <c r="I1051" s="59" t="b">
        <v>1</v>
      </c>
      <c r="J1051" s="59"/>
      <c r="K1051" s="58">
        <v>437</v>
      </c>
      <c r="L1051" s="58">
        <v>1478</v>
      </c>
      <c r="M1051" s="59">
        <v>10</v>
      </c>
      <c r="N1051" s="59">
        <v>10</v>
      </c>
      <c r="O1051" s="59" t="s">
        <v>3581</v>
      </c>
      <c r="P1051" s="58">
        <v>1212</v>
      </c>
      <c r="Q1051" s="59">
        <v>0</v>
      </c>
      <c r="R1051" s="59">
        <v>0</v>
      </c>
      <c r="S1051" s="60">
        <f>tblJTL[[#This Row],[timeStamp]]/86400000+DATE(1970,1,1)+TIME(9,0,0)</f>
        <v>46296.419676215279</v>
      </c>
      <c r="T1051" s="57">
        <f>tblJTL[[#This Row],[timeStamp]]+tblJTL[[#This Row],[elapsed]]</f>
        <v>1790816661239</v>
      </c>
      <c r="U1051" s="61">
        <f>(tblJTL[[#This Row],[timeStamp]]-'17_分析サンプル'!$E$18)/1000</f>
        <v>259.84500000000003</v>
      </c>
      <c r="V1051" s="57">
        <f>INT(tblJTL[[#This Row],[経過秒]]/60)</f>
        <v>4</v>
      </c>
      <c r="W1051" s="57">
        <f>IF(OR(tblJTL[[#This Row],[success]]=FALSE,tblJTL[[#This Row],[success]]="false"),1,0)</f>
        <v>0</v>
      </c>
      <c r="X1051" s="57">
        <f>IF(AND(tblJTL[[#This Row],[経過秒]]&gt;='17_分析サンプル'!$E$11,tblJTL[[#This Row],[経過秒]]&lt;'17_分析サンプル'!$E$12),1,0)</f>
        <v>1</v>
      </c>
    </row>
    <row r="1052" spans="2:24" ht="14.4" x14ac:dyDescent="0.3">
      <c r="B1052" s="57">
        <v>1790816661050</v>
      </c>
      <c r="C1052" s="58">
        <v>308</v>
      </c>
      <c r="D1052" s="59" t="s">
        <v>1658</v>
      </c>
      <c r="E1052" s="59" t="s">
        <v>1577</v>
      </c>
      <c r="F1052" s="59" t="s">
        <v>2275</v>
      </c>
      <c r="G1052" s="59" t="s">
        <v>3589</v>
      </c>
      <c r="H1052" s="59" t="s">
        <v>2281</v>
      </c>
      <c r="I1052" s="59" t="b">
        <v>1</v>
      </c>
      <c r="J1052" s="59"/>
      <c r="K1052" s="58">
        <v>1863</v>
      </c>
      <c r="L1052" s="58">
        <v>1342</v>
      </c>
      <c r="M1052" s="59">
        <v>10</v>
      </c>
      <c r="N1052" s="59">
        <v>10</v>
      </c>
      <c r="O1052" s="59" t="s">
        <v>3578</v>
      </c>
      <c r="P1052" s="58">
        <v>302</v>
      </c>
      <c r="Q1052" s="59">
        <v>0</v>
      </c>
      <c r="R1052" s="59">
        <v>0</v>
      </c>
      <c r="S1052" s="60">
        <f>tblJTL[[#This Row],[timeStamp]]/86400000+DATE(1970,1,1)+TIME(9,0,0)</f>
        <v>46296.419688078706</v>
      </c>
      <c r="T1052" s="57">
        <f>tblJTL[[#This Row],[timeStamp]]+tblJTL[[#This Row],[elapsed]]</f>
        <v>1790816661358</v>
      </c>
      <c r="U1052" s="61">
        <f>(tblJTL[[#This Row],[timeStamp]]-'17_分析サンプル'!$E$18)/1000</f>
        <v>260.87</v>
      </c>
      <c r="V1052" s="57">
        <f>INT(tblJTL[[#This Row],[経過秒]]/60)</f>
        <v>4</v>
      </c>
      <c r="W1052" s="57">
        <f>IF(OR(tblJTL[[#This Row],[success]]=FALSE,tblJTL[[#This Row],[success]]="false"),1,0)</f>
        <v>0</v>
      </c>
      <c r="X1052" s="57">
        <f>IF(AND(tblJTL[[#This Row],[経過秒]]&gt;='17_分析サンプル'!$E$11,tblJTL[[#This Row],[経過秒]]&lt;'17_分析サンプル'!$E$12),1,0)</f>
        <v>1</v>
      </c>
    </row>
    <row r="1053" spans="2:24" ht="14.4" x14ac:dyDescent="0.3">
      <c r="B1053" s="57">
        <v>1790816659341</v>
      </c>
      <c r="C1053" s="58">
        <v>2021</v>
      </c>
      <c r="D1053" s="59" t="s">
        <v>1677</v>
      </c>
      <c r="E1053" s="59" t="s">
        <v>3579</v>
      </c>
      <c r="F1053" s="59" t="s">
        <v>3580</v>
      </c>
      <c r="G1053" s="59" t="s">
        <v>2278</v>
      </c>
      <c r="H1053" s="59" t="s">
        <v>2281</v>
      </c>
      <c r="I1053" s="59" t="b">
        <v>1</v>
      </c>
      <c r="J1053" s="59"/>
      <c r="K1053" s="58">
        <v>440</v>
      </c>
      <c r="L1053" s="58">
        <v>1478</v>
      </c>
      <c r="M1053" s="59">
        <v>10</v>
      </c>
      <c r="N1053" s="59">
        <v>10</v>
      </c>
      <c r="O1053" s="59" t="s">
        <v>3581</v>
      </c>
      <c r="P1053" s="58">
        <v>2019</v>
      </c>
      <c r="Q1053" s="59">
        <v>0</v>
      </c>
      <c r="R1053" s="59">
        <v>56</v>
      </c>
      <c r="S1053" s="60">
        <f>tblJTL[[#This Row],[timeStamp]]/86400000+DATE(1970,1,1)+TIME(9,0,0)</f>
        <v>46296.419668298608</v>
      </c>
      <c r="T1053" s="57">
        <f>tblJTL[[#This Row],[timeStamp]]+tblJTL[[#This Row],[elapsed]]</f>
        <v>1790816661362</v>
      </c>
      <c r="U1053" s="61">
        <f>(tblJTL[[#This Row],[timeStamp]]-'17_分析サンプル'!$E$18)/1000</f>
        <v>259.161</v>
      </c>
      <c r="V1053" s="57">
        <f>INT(tblJTL[[#This Row],[経過秒]]/60)</f>
        <v>4</v>
      </c>
      <c r="W1053" s="57">
        <f>IF(OR(tblJTL[[#This Row],[success]]=FALSE,tblJTL[[#This Row],[success]]="false"),1,0)</f>
        <v>0</v>
      </c>
      <c r="X1053" s="57">
        <f>IF(AND(tblJTL[[#This Row],[経過秒]]&gt;='17_分析サンプル'!$E$11,tblJTL[[#This Row],[経過秒]]&lt;'17_分析サンプル'!$E$12),1,0)</f>
        <v>1</v>
      </c>
    </row>
    <row r="1054" spans="2:24" ht="14.4" x14ac:dyDescent="0.3">
      <c r="B1054" s="57">
        <v>1790816660935</v>
      </c>
      <c r="C1054" s="58">
        <v>807</v>
      </c>
      <c r="D1054" s="59" t="s">
        <v>1677</v>
      </c>
      <c r="E1054" s="59" t="s">
        <v>3579</v>
      </c>
      <c r="F1054" s="59" t="s">
        <v>3580</v>
      </c>
      <c r="G1054" s="59" t="s">
        <v>3577</v>
      </c>
      <c r="H1054" s="59" t="s">
        <v>2281</v>
      </c>
      <c r="I1054" s="59" t="b">
        <v>1</v>
      </c>
      <c r="J1054" s="59"/>
      <c r="K1054" s="58">
        <v>424</v>
      </c>
      <c r="L1054" s="58">
        <v>1478</v>
      </c>
      <c r="M1054" s="59">
        <v>10</v>
      </c>
      <c r="N1054" s="59">
        <v>10</v>
      </c>
      <c r="O1054" s="59" t="s">
        <v>3581</v>
      </c>
      <c r="P1054" s="58">
        <v>801</v>
      </c>
      <c r="Q1054" s="59">
        <v>0</v>
      </c>
      <c r="R1054" s="59">
        <v>0</v>
      </c>
      <c r="S1054" s="60">
        <f>tblJTL[[#This Row],[timeStamp]]/86400000+DATE(1970,1,1)+TIME(9,0,0)</f>
        <v>46296.419686747686</v>
      </c>
      <c r="T1054" s="57">
        <f>tblJTL[[#This Row],[timeStamp]]+tblJTL[[#This Row],[elapsed]]</f>
        <v>1790816661742</v>
      </c>
      <c r="U1054" s="61">
        <f>(tblJTL[[#This Row],[timeStamp]]-'17_分析サンプル'!$E$18)/1000</f>
        <v>260.755</v>
      </c>
      <c r="V1054" s="57">
        <f>INT(tblJTL[[#This Row],[経過秒]]/60)</f>
        <v>4</v>
      </c>
      <c r="W1054" s="57">
        <f>IF(OR(tblJTL[[#This Row],[success]]=FALSE,tblJTL[[#This Row],[success]]="false"),1,0)</f>
        <v>0</v>
      </c>
      <c r="X1054" s="57">
        <f>IF(AND(tblJTL[[#This Row],[経過秒]]&gt;='17_分析サンプル'!$E$11,tblJTL[[#This Row],[経過秒]]&lt;'17_分析サンプル'!$E$12),1,0)</f>
        <v>1</v>
      </c>
    </row>
    <row r="1055" spans="2:24" ht="14.4" x14ac:dyDescent="0.3">
      <c r="B1055" s="57">
        <v>1790816660653</v>
      </c>
      <c r="C1055" s="58">
        <v>1298</v>
      </c>
      <c r="D1055" s="59" t="s">
        <v>1677</v>
      </c>
      <c r="E1055" s="59" t="s">
        <v>3579</v>
      </c>
      <c r="F1055" s="59" t="s">
        <v>3580</v>
      </c>
      <c r="G1055" s="59" t="s">
        <v>3582</v>
      </c>
      <c r="H1055" s="59" t="s">
        <v>2281</v>
      </c>
      <c r="I1055" s="59" t="b">
        <v>1</v>
      </c>
      <c r="J1055" s="59"/>
      <c r="K1055" s="58">
        <v>416</v>
      </c>
      <c r="L1055" s="58">
        <v>1478</v>
      </c>
      <c r="M1055" s="59">
        <v>10</v>
      </c>
      <c r="N1055" s="59">
        <v>10</v>
      </c>
      <c r="O1055" s="59" t="s">
        <v>3581</v>
      </c>
      <c r="P1055" s="58">
        <v>1292</v>
      </c>
      <c r="Q1055" s="59">
        <v>0</v>
      </c>
      <c r="R1055" s="59">
        <v>0</v>
      </c>
      <c r="S1055" s="60">
        <f>tblJTL[[#This Row],[timeStamp]]/86400000+DATE(1970,1,1)+TIME(9,0,0)</f>
        <v>46296.419683483793</v>
      </c>
      <c r="T1055" s="57">
        <f>tblJTL[[#This Row],[timeStamp]]+tblJTL[[#This Row],[elapsed]]</f>
        <v>1790816661951</v>
      </c>
      <c r="U1055" s="61">
        <f>(tblJTL[[#This Row],[timeStamp]]-'17_分析サンプル'!$E$18)/1000</f>
        <v>260.47300000000001</v>
      </c>
      <c r="V1055" s="57">
        <f>INT(tblJTL[[#This Row],[経過秒]]/60)</f>
        <v>4</v>
      </c>
      <c r="W1055" s="57">
        <f>IF(OR(tblJTL[[#This Row],[success]]=FALSE,tblJTL[[#This Row],[success]]="false"),1,0)</f>
        <v>0</v>
      </c>
      <c r="X1055" s="57">
        <f>IF(AND(tblJTL[[#This Row],[経過秒]]&gt;='17_分析サンプル'!$E$11,tblJTL[[#This Row],[経過秒]]&lt;'17_分析サンプル'!$E$12),1,0)</f>
        <v>1</v>
      </c>
    </row>
    <row r="1056" spans="2:24" ht="14.4" x14ac:dyDescent="0.3">
      <c r="B1056" s="57">
        <v>1790816661835</v>
      </c>
      <c r="C1056" s="58">
        <v>184</v>
      </c>
      <c r="D1056" s="59" t="s">
        <v>1658</v>
      </c>
      <c r="E1056" s="59" t="s">
        <v>1577</v>
      </c>
      <c r="F1056" s="59" t="s">
        <v>2275</v>
      </c>
      <c r="G1056" s="59" t="s">
        <v>3583</v>
      </c>
      <c r="H1056" s="59" t="s">
        <v>2281</v>
      </c>
      <c r="I1056" s="59" t="b">
        <v>1</v>
      </c>
      <c r="J1056" s="59"/>
      <c r="K1056" s="58">
        <v>1887</v>
      </c>
      <c r="L1056" s="58">
        <v>1342</v>
      </c>
      <c r="M1056" s="59">
        <v>10</v>
      </c>
      <c r="N1056" s="59">
        <v>10</v>
      </c>
      <c r="O1056" s="59" t="s">
        <v>3578</v>
      </c>
      <c r="P1056" s="58">
        <v>178</v>
      </c>
      <c r="Q1056" s="59">
        <v>0</v>
      </c>
      <c r="R1056" s="59">
        <v>0</v>
      </c>
      <c r="S1056" s="60">
        <f>tblJTL[[#This Row],[timeStamp]]/86400000+DATE(1970,1,1)+TIME(9,0,0)</f>
        <v>46296.419697164354</v>
      </c>
      <c r="T1056" s="57">
        <f>tblJTL[[#This Row],[timeStamp]]+tblJTL[[#This Row],[elapsed]]</f>
        <v>1790816662019</v>
      </c>
      <c r="U1056" s="61">
        <f>(tblJTL[[#This Row],[timeStamp]]-'17_分析サンプル'!$E$18)/1000</f>
        <v>261.65499999999997</v>
      </c>
      <c r="V1056" s="57">
        <f>INT(tblJTL[[#This Row],[経過秒]]/60)</f>
        <v>4</v>
      </c>
      <c r="W1056" s="57">
        <f>IF(OR(tblJTL[[#This Row],[success]]=FALSE,tblJTL[[#This Row],[success]]="false"),1,0)</f>
        <v>0</v>
      </c>
      <c r="X1056" s="57">
        <f>IF(AND(tblJTL[[#This Row],[経過秒]]&gt;='17_分析サンプル'!$E$11,tblJTL[[#This Row],[経過秒]]&lt;'17_分析サンプル'!$E$12),1,0)</f>
        <v>1</v>
      </c>
    </row>
    <row r="1057" spans="2:24" ht="14.4" x14ac:dyDescent="0.3">
      <c r="B1057" s="57">
        <v>1790816661834</v>
      </c>
      <c r="C1057" s="58">
        <v>232</v>
      </c>
      <c r="D1057" s="59" t="s">
        <v>1658</v>
      </c>
      <c r="E1057" s="59" t="s">
        <v>1577</v>
      </c>
      <c r="F1057" s="59" t="s">
        <v>2275</v>
      </c>
      <c r="G1057" s="59" t="s">
        <v>3585</v>
      </c>
      <c r="H1057" s="59" t="s">
        <v>2281</v>
      </c>
      <c r="I1057" s="59" t="b">
        <v>1</v>
      </c>
      <c r="J1057" s="59"/>
      <c r="K1057" s="58">
        <v>1830</v>
      </c>
      <c r="L1057" s="58">
        <v>1342</v>
      </c>
      <c r="M1057" s="59">
        <v>10</v>
      </c>
      <c r="N1057" s="59">
        <v>10</v>
      </c>
      <c r="O1057" s="59" t="s">
        <v>3578</v>
      </c>
      <c r="P1057" s="58">
        <v>229</v>
      </c>
      <c r="Q1057" s="59">
        <v>0</v>
      </c>
      <c r="R1057" s="59">
        <v>0</v>
      </c>
      <c r="S1057" s="60">
        <f>tblJTL[[#This Row],[timeStamp]]/86400000+DATE(1970,1,1)+TIME(9,0,0)</f>
        <v>46296.419697152778</v>
      </c>
      <c r="T1057" s="57">
        <f>tblJTL[[#This Row],[timeStamp]]+tblJTL[[#This Row],[elapsed]]</f>
        <v>1790816662066</v>
      </c>
      <c r="U1057" s="61">
        <f>(tblJTL[[#This Row],[timeStamp]]-'17_分析サンプル'!$E$18)/1000</f>
        <v>261.654</v>
      </c>
      <c r="V1057" s="57">
        <f>INT(tblJTL[[#This Row],[経過秒]]/60)</f>
        <v>4</v>
      </c>
      <c r="W1057" s="57">
        <f>IF(OR(tblJTL[[#This Row],[success]]=FALSE,tblJTL[[#This Row],[success]]="false"),1,0)</f>
        <v>0</v>
      </c>
      <c r="X1057" s="57">
        <f>IF(AND(tblJTL[[#This Row],[経過秒]]&gt;='17_分析サンプル'!$E$11,tblJTL[[#This Row],[経過秒]]&lt;'17_分析サンプル'!$E$12),1,0)</f>
        <v>1</v>
      </c>
    </row>
    <row r="1058" spans="2:24" ht="14.4" x14ac:dyDescent="0.3">
      <c r="B1058" s="57">
        <v>1790816662049</v>
      </c>
      <c r="C1058" s="58">
        <v>179</v>
      </c>
      <c r="D1058" s="59" t="s">
        <v>1658</v>
      </c>
      <c r="E1058" s="59" t="s">
        <v>1577</v>
      </c>
      <c r="F1058" s="59" t="s">
        <v>2275</v>
      </c>
      <c r="G1058" s="59" t="s">
        <v>3586</v>
      </c>
      <c r="H1058" s="59" t="s">
        <v>2281</v>
      </c>
      <c r="I1058" s="59" t="b">
        <v>1</v>
      </c>
      <c r="J1058" s="59"/>
      <c r="K1058" s="58">
        <v>1826</v>
      </c>
      <c r="L1058" s="58">
        <v>1342</v>
      </c>
      <c r="M1058" s="59">
        <v>10</v>
      </c>
      <c r="N1058" s="59">
        <v>10</v>
      </c>
      <c r="O1058" s="59" t="s">
        <v>3578</v>
      </c>
      <c r="P1058" s="58">
        <v>177</v>
      </c>
      <c r="Q1058" s="59">
        <v>0</v>
      </c>
      <c r="R1058" s="59">
        <v>0</v>
      </c>
      <c r="S1058" s="60">
        <f>tblJTL[[#This Row],[timeStamp]]/86400000+DATE(1970,1,1)+TIME(9,0,0)</f>
        <v>46296.419699641207</v>
      </c>
      <c r="T1058" s="57">
        <f>tblJTL[[#This Row],[timeStamp]]+tblJTL[[#This Row],[elapsed]]</f>
        <v>1790816662228</v>
      </c>
      <c r="U1058" s="61">
        <f>(tblJTL[[#This Row],[timeStamp]]-'17_分析サンプル'!$E$18)/1000</f>
        <v>261.86900000000003</v>
      </c>
      <c r="V1058" s="57">
        <f>INT(tblJTL[[#This Row],[経過秒]]/60)</f>
        <v>4</v>
      </c>
      <c r="W1058" s="57">
        <f>IF(OR(tblJTL[[#This Row],[success]]=FALSE,tblJTL[[#This Row],[success]]="false"),1,0)</f>
        <v>0</v>
      </c>
      <c r="X1058" s="57">
        <f>IF(AND(tblJTL[[#This Row],[経過秒]]&gt;='17_分析サンプル'!$E$11,tblJTL[[#This Row],[経過秒]]&lt;'17_分析サンプル'!$E$12),1,0)</f>
        <v>1</v>
      </c>
    </row>
    <row r="1059" spans="2:24" ht="14.4" x14ac:dyDescent="0.3">
      <c r="B1059" s="57">
        <v>1790816660235</v>
      </c>
      <c r="C1059" s="58">
        <v>2247</v>
      </c>
      <c r="D1059" s="59" t="s">
        <v>1677</v>
      </c>
      <c r="E1059" s="59" t="s">
        <v>3579</v>
      </c>
      <c r="F1059" s="59" t="s">
        <v>3580</v>
      </c>
      <c r="G1059" s="59" t="s">
        <v>3588</v>
      </c>
      <c r="H1059" s="59" t="s">
        <v>2281</v>
      </c>
      <c r="I1059" s="59" t="b">
        <v>1</v>
      </c>
      <c r="J1059" s="59"/>
      <c r="K1059" s="58">
        <v>411</v>
      </c>
      <c r="L1059" s="58">
        <v>1478</v>
      </c>
      <c r="M1059" s="59">
        <v>10</v>
      </c>
      <c r="N1059" s="59">
        <v>10</v>
      </c>
      <c r="O1059" s="59" t="s">
        <v>3581</v>
      </c>
      <c r="P1059" s="58">
        <v>2245</v>
      </c>
      <c r="Q1059" s="59">
        <v>0</v>
      </c>
      <c r="R1059" s="59">
        <v>0</v>
      </c>
      <c r="S1059" s="60">
        <f>tblJTL[[#This Row],[timeStamp]]/86400000+DATE(1970,1,1)+TIME(9,0,0)</f>
        <v>46296.419678645834</v>
      </c>
      <c r="T1059" s="57">
        <f>tblJTL[[#This Row],[timeStamp]]+tblJTL[[#This Row],[elapsed]]</f>
        <v>1790816662482</v>
      </c>
      <c r="U1059" s="61">
        <f>(tblJTL[[#This Row],[timeStamp]]-'17_分析サンプル'!$E$18)/1000</f>
        <v>260.05500000000001</v>
      </c>
      <c r="V1059" s="57">
        <f>INT(tblJTL[[#This Row],[経過秒]]/60)</f>
        <v>4</v>
      </c>
      <c r="W1059" s="57">
        <f>IF(OR(tblJTL[[#This Row],[success]]=FALSE,tblJTL[[#This Row],[success]]="false"),1,0)</f>
        <v>0</v>
      </c>
      <c r="X1059" s="57">
        <f>IF(AND(tblJTL[[#This Row],[経過秒]]&gt;='17_分析サンプル'!$E$11,tblJTL[[#This Row],[経過秒]]&lt;'17_分析サンプル'!$E$12),1,0)</f>
        <v>1</v>
      </c>
    </row>
    <row r="1060" spans="2:24" ht="14.4" x14ac:dyDescent="0.3">
      <c r="B1060" s="57">
        <v>1790816662920</v>
      </c>
      <c r="C1060" s="58">
        <v>189</v>
      </c>
      <c r="D1060" s="59" t="s">
        <v>1658</v>
      </c>
      <c r="E1060" s="59" t="s">
        <v>1577</v>
      </c>
      <c r="F1060" s="59" t="s">
        <v>2275</v>
      </c>
      <c r="G1060" s="59" t="s">
        <v>2278</v>
      </c>
      <c r="H1060" s="59" t="s">
        <v>2281</v>
      </c>
      <c r="I1060" s="59" t="b">
        <v>1</v>
      </c>
      <c r="J1060" s="59"/>
      <c r="K1060" s="58">
        <v>1821</v>
      </c>
      <c r="L1060" s="58">
        <v>1342</v>
      </c>
      <c r="M1060" s="59">
        <v>10</v>
      </c>
      <c r="N1060" s="59">
        <v>10</v>
      </c>
      <c r="O1060" s="59" t="s">
        <v>3578</v>
      </c>
      <c r="P1060" s="58">
        <v>185</v>
      </c>
      <c r="Q1060" s="59">
        <v>0</v>
      </c>
      <c r="R1060" s="59">
        <v>0</v>
      </c>
      <c r="S1060" s="60">
        <f>tblJTL[[#This Row],[timeStamp]]/86400000+DATE(1970,1,1)+TIME(9,0,0)</f>
        <v>46296.41970972222</v>
      </c>
      <c r="T1060" s="57">
        <f>tblJTL[[#This Row],[timeStamp]]+tblJTL[[#This Row],[elapsed]]</f>
        <v>1790816663109</v>
      </c>
      <c r="U1060" s="61">
        <f>(tblJTL[[#This Row],[timeStamp]]-'17_分析サンプル'!$E$18)/1000</f>
        <v>262.74</v>
      </c>
      <c r="V1060" s="57">
        <f>INT(tblJTL[[#This Row],[経過秒]]/60)</f>
        <v>4</v>
      </c>
      <c r="W1060" s="57">
        <f>IF(OR(tblJTL[[#This Row],[success]]=FALSE,tblJTL[[#This Row],[success]]="false"),1,0)</f>
        <v>0</v>
      </c>
      <c r="X1060" s="57">
        <f>IF(AND(tblJTL[[#This Row],[経過秒]]&gt;='17_分析サンプル'!$E$11,tblJTL[[#This Row],[経過秒]]&lt;'17_分析サンプル'!$E$12),1,0)</f>
        <v>1</v>
      </c>
    </row>
    <row r="1061" spans="2:24" ht="14.4" x14ac:dyDescent="0.3">
      <c r="B1061" s="57">
        <v>1790816663420</v>
      </c>
      <c r="C1061" s="58">
        <v>293</v>
      </c>
      <c r="D1061" s="59" t="s">
        <v>1658</v>
      </c>
      <c r="E1061" s="59" t="s">
        <v>1577</v>
      </c>
      <c r="F1061" s="59" t="s">
        <v>2275</v>
      </c>
      <c r="G1061" s="59" t="s">
        <v>3577</v>
      </c>
      <c r="H1061" s="59" t="s">
        <v>2281</v>
      </c>
      <c r="I1061" s="59" t="b">
        <v>1</v>
      </c>
      <c r="J1061" s="59"/>
      <c r="K1061" s="58">
        <v>1879</v>
      </c>
      <c r="L1061" s="58">
        <v>1342</v>
      </c>
      <c r="M1061" s="59">
        <v>10</v>
      </c>
      <c r="N1061" s="59">
        <v>10</v>
      </c>
      <c r="O1061" s="59" t="s">
        <v>3578</v>
      </c>
      <c r="P1061" s="58">
        <v>287</v>
      </c>
      <c r="Q1061" s="59">
        <v>0</v>
      </c>
      <c r="R1061" s="59">
        <v>0</v>
      </c>
      <c r="S1061" s="60">
        <f>tblJTL[[#This Row],[timeStamp]]/86400000+DATE(1970,1,1)+TIME(9,0,0)</f>
        <v>46296.419715509255</v>
      </c>
      <c r="T1061" s="57">
        <f>tblJTL[[#This Row],[timeStamp]]+tblJTL[[#This Row],[elapsed]]</f>
        <v>1790816663713</v>
      </c>
      <c r="U1061" s="61">
        <f>(tblJTL[[#This Row],[timeStamp]]-'17_分析サンプル'!$E$18)/1000</f>
        <v>263.24</v>
      </c>
      <c r="V1061" s="57">
        <f>INT(tblJTL[[#This Row],[経過秒]]/60)</f>
        <v>4</v>
      </c>
      <c r="W1061" s="57">
        <f>IF(OR(tblJTL[[#This Row],[success]]=FALSE,tblJTL[[#This Row],[success]]="false"),1,0)</f>
        <v>0</v>
      </c>
      <c r="X1061" s="57">
        <f>IF(AND(tblJTL[[#This Row],[経過秒]]&gt;='17_分析サンプル'!$E$11,tblJTL[[#This Row],[経過秒]]&lt;'17_分析サンプル'!$E$12),1,0)</f>
        <v>1</v>
      </c>
    </row>
    <row r="1062" spans="2:24" ht="14.4" x14ac:dyDescent="0.3">
      <c r="B1062" s="57">
        <v>1790816663423</v>
      </c>
      <c r="C1062" s="58">
        <v>379</v>
      </c>
      <c r="D1062" s="59" t="s">
        <v>1658</v>
      </c>
      <c r="E1062" s="59" t="s">
        <v>1577</v>
      </c>
      <c r="F1062" s="59" t="s">
        <v>2275</v>
      </c>
      <c r="G1062" s="59" t="s">
        <v>3582</v>
      </c>
      <c r="H1062" s="59" t="s">
        <v>2281</v>
      </c>
      <c r="I1062" s="59" t="b">
        <v>1</v>
      </c>
      <c r="J1062" s="59"/>
      <c r="K1062" s="58">
        <v>1839</v>
      </c>
      <c r="L1062" s="58">
        <v>1342</v>
      </c>
      <c r="M1062" s="59">
        <v>10</v>
      </c>
      <c r="N1062" s="59">
        <v>10</v>
      </c>
      <c r="O1062" s="59" t="s">
        <v>3578</v>
      </c>
      <c r="P1062" s="58">
        <v>374</v>
      </c>
      <c r="Q1062" s="59">
        <v>0</v>
      </c>
      <c r="R1062" s="59">
        <v>0</v>
      </c>
      <c r="S1062" s="60">
        <f>tblJTL[[#This Row],[timeStamp]]/86400000+DATE(1970,1,1)+TIME(9,0,0)</f>
        <v>46296.419715543976</v>
      </c>
      <c r="T1062" s="57">
        <f>tblJTL[[#This Row],[timeStamp]]+tblJTL[[#This Row],[elapsed]]</f>
        <v>1790816663802</v>
      </c>
      <c r="U1062" s="61">
        <f>(tblJTL[[#This Row],[timeStamp]]-'17_分析サンプル'!$E$18)/1000</f>
        <v>263.24299999999999</v>
      </c>
      <c r="V1062" s="57">
        <f>INT(tblJTL[[#This Row],[経過秒]]/60)</f>
        <v>4</v>
      </c>
      <c r="W1062" s="57">
        <f>IF(OR(tblJTL[[#This Row],[success]]=FALSE,tblJTL[[#This Row],[success]]="false"),1,0)</f>
        <v>0</v>
      </c>
      <c r="X1062" s="57">
        <f>IF(AND(tblJTL[[#This Row],[経過秒]]&gt;='17_分析サンプル'!$E$11,tblJTL[[#This Row],[経過秒]]&lt;'17_分析サンプル'!$E$12),1,0)</f>
        <v>1</v>
      </c>
    </row>
    <row r="1063" spans="2:24" ht="14.4" x14ac:dyDescent="0.3">
      <c r="B1063" s="57">
        <v>1790816662214</v>
      </c>
      <c r="C1063" s="58">
        <v>1642</v>
      </c>
      <c r="D1063" s="59" t="s">
        <v>1677</v>
      </c>
      <c r="E1063" s="59" t="s">
        <v>3579</v>
      </c>
      <c r="F1063" s="59" t="s">
        <v>3580</v>
      </c>
      <c r="G1063" s="59" t="s">
        <v>3584</v>
      </c>
      <c r="H1063" s="59" t="s">
        <v>2281</v>
      </c>
      <c r="I1063" s="59" t="b">
        <v>1</v>
      </c>
      <c r="J1063" s="59"/>
      <c r="K1063" s="58">
        <v>410</v>
      </c>
      <c r="L1063" s="58">
        <v>1478</v>
      </c>
      <c r="M1063" s="59">
        <v>10</v>
      </c>
      <c r="N1063" s="59">
        <v>10</v>
      </c>
      <c r="O1063" s="59" t="s">
        <v>3581</v>
      </c>
      <c r="P1063" s="58">
        <v>1635</v>
      </c>
      <c r="Q1063" s="59">
        <v>0</v>
      </c>
      <c r="R1063" s="59">
        <v>0</v>
      </c>
      <c r="S1063" s="60">
        <f>tblJTL[[#This Row],[timeStamp]]/86400000+DATE(1970,1,1)+TIME(9,0,0)</f>
        <v>46296.419701550927</v>
      </c>
      <c r="T1063" s="57">
        <f>tblJTL[[#This Row],[timeStamp]]+tblJTL[[#This Row],[elapsed]]</f>
        <v>1790816663856</v>
      </c>
      <c r="U1063" s="61">
        <f>(tblJTL[[#This Row],[timeStamp]]-'17_分析サンプル'!$E$18)/1000</f>
        <v>262.03399999999999</v>
      </c>
      <c r="V1063" s="57">
        <f>INT(tblJTL[[#This Row],[経過秒]]/60)</f>
        <v>4</v>
      </c>
      <c r="W1063" s="57">
        <f>IF(OR(tblJTL[[#This Row],[success]]=FALSE,tblJTL[[#This Row],[success]]="false"),1,0)</f>
        <v>0</v>
      </c>
      <c r="X1063" s="57">
        <f>IF(AND(tblJTL[[#This Row],[経過秒]]&gt;='17_分析サンプル'!$E$11,tblJTL[[#This Row],[経過秒]]&lt;'17_分析サンプル'!$E$12),1,0)</f>
        <v>1</v>
      </c>
    </row>
    <row r="1064" spans="2:24" ht="14.4" x14ac:dyDescent="0.3">
      <c r="B1064" s="57">
        <v>1790816663734</v>
      </c>
      <c r="C1064" s="58">
        <v>166</v>
      </c>
      <c r="D1064" s="59" t="s">
        <v>1658</v>
      </c>
      <c r="E1064" s="59" t="s">
        <v>1577</v>
      </c>
      <c r="F1064" s="59" t="s">
        <v>2275</v>
      </c>
      <c r="G1064" s="59" t="s">
        <v>3588</v>
      </c>
      <c r="H1064" s="59" t="s">
        <v>2281</v>
      </c>
      <c r="I1064" s="59" t="b">
        <v>1</v>
      </c>
      <c r="J1064" s="59"/>
      <c r="K1064" s="58">
        <v>1841</v>
      </c>
      <c r="L1064" s="58">
        <v>1342</v>
      </c>
      <c r="M1064" s="59">
        <v>10</v>
      </c>
      <c r="N1064" s="59">
        <v>10</v>
      </c>
      <c r="O1064" s="59" t="s">
        <v>3578</v>
      </c>
      <c r="P1064" s="58">
        <v>159</v>
      </c>
      <c r="Q1064" s="59">
        <v>0</v>
      </c>
      <c r="R1064" s="59">
        <v>0</v>
      </c>
      <c r="S1064" s="60">
        <f>tblJTL[[#This Row],[timeStamp]]/86400000+DATE(1970,1,1)+TIME(9,0,0)</f>
        <v>46296.419719143523</v>
      </c>
      <c r="T1064" s="57">
        <f>tblJTL[[#This Row],[timeStamp]]+tblJTL[[#This Row],[elapsed]]</f>
        <v>1790816663900</v>
      </c>
      <c r="U1064" s="61">
        <f>(tblJTL[[#This Row],[timeStamp]]-'17_分析サンプル'!$E$18)/1000</f>
        <v>263.55399999999997</v>
      </c>
      <c r="V1064" s="57">
        <f>INT(tblJTL[[#This Row],[経過秒]]/60)</f>
        <v>4</v>
      </c>
      <c r="W1064" s="57">
        <f>IF(OR(tblJTL[[#This Row],[success]]=FALSE,tblJTL[[#This Row],[success]]="false"),1,0)</f>
        <v>0</v>
      </c>
      <c r="X1064" s="57">
        <f>IF(AND(tblJTL[[#This Row],[経過秒]]&gt;='17_分析サンプル'!$E$11,tblJTL[[#This Row],[経過秒]]&lt;'17_分析サンプル'!$E$12),1,0)</f>
        <v>1</v>
      </c>
    </row>
    <row r="1065" spans="2:24" ht="14.4" x14ac:dyDescent="0.3">
      <c r="B1065" s="57">
        <v>1790816663774</v>
      </c>
      <c r="C1065" s="58">
        <v>161</v>
      </c>
      <c r="D1065" s="59" t="s">
        <v>1658</v>
      </c>
      <c r="E1065" s="59" t="s">
        <v>1577</v>
      </c>
      <c r="F1065" s="59" t="s">
        <v>2275</v>
      </c>
      <c r="G1065" s="59" t="s">
        <v>3587</v>
      </c>
      <c r="H1065" s="59" t="s">
        <v>2281</v>
      </c>
      <c r="I1065" s="59" t="b">
        <v>1</v>
      </c>
      <c r="J1065" s="59"/>
      <c r="K1065" s="58">
        <v>1839</v>
      </c>
      <c r="L1065" s="58">
        <v>1342</v>
      </c>
      <c r="M1065" s="59">
        <v>10</v>
      </c>
      <c r="N1065" s="59">
        <v>10</v>
      </c>
      <c r="O1065" s="59" t="s">
        <v>3578</v>
      </c>
      <c r="P1065" s="58">
        <v>155</v>
      </c>
      <c r="Q1065" s="59">
        <v>0</v>
      </c>
      <c r="R1065" s="59">
        <v>0</v>
      </c>
      <c r="S1065" s="60">
        <f>tblJTL[[#This Row],[timeStamp]]/86400000+DATE(1970,1,1)+TIME(9,0,0)</f>
        <v>46296.419719606478</v>
      </c>
      <c r="T1065" s="57">
        <f>tblJTL[[#This Row],[timeStamp]]+tblJTL[[#This Row],[elapsed]]</f>
        <v>1790816663935</v>
      </c>
      <c r="U1065" s="61">
        <f>(tblJTL[[#This Row],[timeStamp]]-'17_分析サンプル'!$E$18)/1000</f>
        <v>263.59399999999999</v>
      </c>
      <c r="V1065" s="57">
        <f>INT(tblJTL[[#This Row],[経過秒]]/60)</f>
        <v>4</v>
      </c>
      <c r="W1065" s="57">
        <f>IF(OR(tblJTL[[#This Row],[success]]=FALSE,tblJTL[[#This Row],[success]]="false"),1,0)</f>
        <v>0</v>
      </c>
      <c r="X1065" s="57">
        <f>IF(AND(tblJTL[[#This Row],[経過秒]]&gt;='17_分析サンプル'!$E$11,tblJTL[[#This Row],[経過秒]]&lt;'17_分析サンプル'!$E$12),1,0)</f>
        <v>1</v>
      </c>
    </row>
    <row r="1066" spans="2:24" ht="14.4" x14ac:dyDescent="0.3">
      <c r="B1066" s="57">
        <v>1790816663391</v>
      </c>
      <c r="C1066" s="58">
        <v>697</v>
      </c>
      <c r="D1066" s="59" t="s">
        <v>1677</v>
      </c>
      <c r="E1066" s="59" t="s">
        <v>3579</v>
      </c>
      <c r="F1066" s="59" t="s">
        <v>3580</v>
      </c>
      <c r="G1066" s="59" t="s">
        <v>3583</v>
      </c>
      <c r="H1066" s="59" t="s">
        <v>2281</v>
      </c>
      <c r="I1066" s="59" t="b">
        <v>1</v>
      </c>
      <c r="J1066" s="59"/>
      <c r="K1066" s="58">
        <v>416</v>
      </c>
      <c r="L1066" s="58">
        <v>1478</v>
      </c>
      <c r="M1066" s="59">
        <v>10</v>
      </c>
      <c r="N1066" s="59">
        <v>10</v>
      </c>
      <c r="O1066" s="59" t="s">
        <v>3581</v>
      </c>
      <c r="P1066" s="58">
        <v>693</v>
      </c>
      <c r="Q1066" s="59">
        <v>0</v>
      </c>
      <c r="R1066" s="59">
        <v>0</v>
      </c>
      <c r="S1066" s="60">
        <f>tblJTL[[#This Row],[timeStamp]]/86400000+DATE(1970,1,1)+TIME(9,0,0)</f>
        <v>46296.419715173615</v>
      </c>
      <c r="T1066" s="57">
        <f>tblJTL[[#This Row],[timeStamp]]+tblJTL[[#This Row],[elapsed]]</f>
        <v>1790816664088</v>
      </c>
      <c r="U1066" s="61">
        <f>(tblJTL[[#This Row],[timeStamp]]-'17_分析サンプル'!$E$18)/1000</f>
        <v>263.21100000000001</v>
      </c>
      <c r="V1066" s="57">
        <f>INT(tblJTL[[#This Row],[経過秒]]/60)</f>
        <v>4</v>
      </c>
      <c r="W1066" s="57">
        <f>IF(OR(tblJTL[[#This Row],[success]]=FALSE,tblJTL[[#This Row],[success]]="false"),1,0)</f>
        <v>0</v>
      </c>
      <c r="X1066" s="57">
        <f>IF(AND(tblJTL[[#This Row],[経過秒]]&gt;='17_分析サンプル'!$E$11,tblJTL[[#This Row],[経過秒]]&lt;'17_分析サンプル'!$E$12),1,0)</f>
        <v>1</v>
      </c>
    </row>
    <row r="1067" spans="2:24" ht="14.4" x14ac:dyDescent="0.3">
      <c r="B1067" s="57">
        <v>1790816662633</v>
      </c>
      <c r="C1067" s="58">
        <v>1650</v>
      </c>
      <c r="D1067" s="59" t="s">
        <v>1677</v>
      </c>
      <c r="E1067" s="59" t="s">
        <v>3579</v>
      </c>
      <c r="F1067" s="59" t="s">
        <v>3580</v>
      </c>
      <c r="G1067" s="59" t="s">
        <v>3589</v>
      </c>
      <c r="H1067" s="59" t="s">
        <v>2281</v>
      </c>
      <c r="I1067" s="59" t="b">
        <v>1</v>
      </c>
      <c r="J1067" s="59"/>
      <c r="K1067" s="58">
        <v>438</v>
      </c>
      <c r="L1067" s="58">
        <v>1478</v>
      </c>
      <c r="M1067" s="59">
        <v>10</v>
      </c>
      <c r="N1067" s="59">
        <v>10</v>
      </c>
      <c r="O1067" s="59" t="s">
        <v>3581</v>
      </c>
      <c r="P1067" s="58">
        <v>1646</v>
      </c>
      <c r="Q1067" s="59">
        <v>0</v>
      </c>
      <c r="R1067" s="59">
        <v>0</v>
      </c>
      <c r="S1067" s="60">
        <f>tblJTL[[#This Row],[timeStamp]]/86400000+DATE(1970,1,1)+TIME(9,0,0)</f>
        <v>46296.419706400462</v>
      </c>
      <c r="T1067" s="57">
        <f>tblJTL[[#This Row],[timeStamp]]+tblJTL[[#This Row],[elapsed]]</f>
        <v>1790816664283</v>
      </c>
      <c r="U1067" s="61">
        <f>(tblJTL[[#This Row],[timeStamp]]-'17_分析サンプル'!$E$18)/1000</f>
        <v>262.45299999999997</v>
      </c>
      <c r="V1067" s="57">
        <f>INT(tblJTL[[#This Row],[経過秒]]/60)</f>
        <v>4</v>
      </c>
      <c r="W1067" s="57">
        <f>IF(OR(tblJTL[[#This Row],[success]]=FALSE,tblJTL[[#This Row],[success]]="false"),1,0)</f>
        <v>0</v>
      </c>
      <c r="X1067" s="57">
        <f>IF(AND(tblJTL[[#This Row],[経過秒]]&gt;='17_分析サンプル'!$E$11,tblJTL[[#This Row],[経過秒]]&lt;'17_分析サンプル'!$E$12),1,0)</f>
        <v>1</v>
      </c>
    </row>
    <row r="1068" spans="2:24" ht="14.4" x14ac:dyDescent="0.3">
      <c r="B1068" s="57">
        <v>1790816665475</v>
      </c>
      <c r="C1068" s="58">
        <v>132</v>
      </c>
      <c r="D1068" s="59" t="s">
        <v>1658</v>
      </c>
      <c r="E1068" s="59" t="s">
        <v>1577</v>
      </c>
      <c r="F1068" s="59" t="s">
        <v>2275</v>
      </c>
      <c r="G1068" s="59" t="s">
        <v>3584</v>
      </c>
      <c r="H1068" s="59" t="s">
        <v>2281</v>
      </c>
      <c r="I1068" s="59" t="b">
        <v>1</v>
      </c>
      <c r="J1068" s="59"/>
      <c r="K1068" s="58">
        <v>1862</v>
      </c>
      <c r="L1068" s="58">
        <v>1342</v>
      </c>
      <c r="M1068" s="59">
        <v>10</v>
      </c>
      <c r="N1068" s="59">
        <v>10</v>
      </c>
      <c r="O1068" s="59" t="s">
        <v>3578</v>
      </c>
      <c r="P1068" s="58">
        <v>127</v>
      </c>
      <c r="Q1068" s="59">
        <v>0</v>
      </c>
      <c r="R1068" s="59">
        <v>0</v>
      </c>
      <c r="S1068" s="60">
        <f>tblJTL[[#This Row],[timeStamp]]/86400000+DATE(1970,1,1)+TIME(9,0,0)</f>
        <v>46296.419739293982</v>
      </c>
      <c r="T1068" s="57">
        <f>tblJTL[[#This Row],[timeStamp]]+tblJTL[[#This Row],[elapsed]]</f>
        <v>1790816665607</v>
      </c>
      <c r="U1068" s="61">
        <f>(tblJTL[[#This Row],[timeStamp]]-'17_分析サンプル'!$E$18)/1000</f>
        <v>265.29500000000002</v>
      </c>
      <c r="V1068" s="57">
        <f>INT(tblJTL[[#This Row],[経過秒]]/60)</f>
        <v>4</v>
      </c>
      <c r="W1068" s="57">
        <f>IF(OR(tblJTL[[#This Row],[success]]=FALSE,tblJTL[[#This Row],[success]]="false"),1,0)</f>
        <v>0</v>
      </c>
      <c r="X1068" s="57">
        <f>IF(AND(tblJTL[[#This Row],[経過秒]]&gt;='17_分析サンプル'!$E$11,tblJTL[[#This Row],[経過秒]]&lt;'17_分析サンプル'!$E$12),1,0)</f>
        <v>1</v>
      </c>
    </row>
    <row r="1069" spans="2:24" ht="14.4" x14ac:dyDescent="0.3">
      <c r="B1069" s="57">
        <v>1790816664715</v>
      </c>
      <c r="C1069" s="58">
        <v>1362</v>
      </c>
      <c r="D1069" s="59" t="s">
        <v>1677</v>
      </c>
      <c r="E1069" s="59" t="s">
        <v>3579</v>
      </c>
      <c r="F1069" s="59" t="s">
        <v>3580</v>
      </c>
      <c r="G1069" s="59" t="s">
        <v>3586</v>
      </c>
      <c r="H1069" s="59" t="s">
        <v>2281</v>
      </c>
      <c r="I1069" s="59" t="b">
        <v>1</v>
      </c>
      <c r="J1069" s="59"/>
      <c r="K1069" s="58">
        <v>428</v>
      </c>
      <c r="L1069" s="58">
        <v>1478</v>
      </c>
      <c r="M1069" s="59">
        <v>10</v>
      </c>
      <c r="N1069" s="59">
        <v>10</v>
      </c>
      <c r="O1069" s="59" t="s">
        <v>3581</v>
      </c>
      <c r="P1069" s="58">
        <v>1354</v>
      </c>
      <c r="Q1069" s="59">
        <v>0</v>
      </c>
      <c r="R1069" s="59">
        <v>0</v>
      </c>
      <c r="S1069" s="60">
        <f>tblJTL[[#This Row],[timeStamp]]/86400000+DATE(1970,1,1)+TIME(9,0,0)</f>
        <v>46296.419730497684</v>
      </c>
      <c r="T1069" s="57">
        <f>tblJTL[[#This Row],[timeStamp]]+tblJTL[[#This Row],[elapsed]]</f>
        <v>1790816666077</v>
      </c>
      <c r="U1069" s="61">
        <f>(tblJTL[[#This Row],[timeStamp]]-'17_分析サンプル'!$E$18)/1000</f>
        <v>264.53500000000003</v>
      </c>
      <c r="V1069" s="57">
        <f>INT(tblJTL[[#This Row],[経過秒]]/60)</f>
        <v>4</v>
      </c>
      <c r="W1069" s="57">
        <f>IF(OR(tblJTL[[#This Row],[success]]=FALSE,tblJTL[[#This Row],[success]]="false"),1,0)</f>
        <v>0</v>
      </c>
      <c r="X1069" s="57">
        <f>IF(AND(tblJTL[[#This Row],[経過秒]]&gt;='17_分析サンプル'!$E$11,tblJTL[[#This Row],[経過秒]]&lt;'17_分析サンプル'!$E$12),1,0)</f>
        <v>1</v>
      </c>
    </row>
    <row r="1070" spans="2:24" ht="14.4" x14ac:dyDescent="0.3">
      <c r="B1070" s="57">
        <v>1790816663519</v>
      </c>
      <c r="C1070" s="58">
        <v>2705</v>
      </c>
      <c r="D1070" s="59" t="s">
        <v>1677</v>
      </c>
      <c r="E1070" s="59" t="s">
        <v>3579</v>
      </c>
      <c r="F1070" s="59" t="s">
        <v>3580</v>
      </c>
      <c r="G1070" s="59" t="s">
        <v>3585</v>
      </c>
      <c r="H1070" s="59" t="s">
        <v>2281</v>
      </c>
      <c r="I1070" s="59" t="b">
        <v>1</v>
      </c>
      <c r="J1070" s="59"/>
      <c r="K1070" s="58">
        <v>426</v>
      </c>
      <c r="L1070" s="58">
        <v>1478</v>
      </c>
      <c r="M1070" s="59">
        <v>10</v>
      </c>
      <c r="N1070" s="59">
        <v>10</v>
      </c>
      <c r="O1070" s="59" t="s">
        <v>3581</v>
      </c>
      <c r="P1070" s="58">
        <v>2699</v>
      </c>
      <c r="Q1070" s="59">
        <v>0</v>
      </c>
      <c r="R1070" s="59">
        <v>0</v>
      </c>
      <c r="S1070" s="60">
        <f>tblJTL[[#This Row],[timeStamp]]/86400000+DATE(1970,1,1)+TIME(9,0,0)</f>
        <v>46296.419716655088</v>
      </c>
      <c r="T1070" s="57">
        <f>tblJTL[[#This Row],[timeStamp]]+tblJTL[[#This Row],[elapsed]]</f>
        <v>1790816666224</v>
      </c>
      <c r="U1070" s="61">
        <f>(tblJTL[[#This Row],[timeStamp]]-'17_分析サンプル'!$E$18)/1000</f>
        <v>263.339</v>
      </c>
      <c r="V1070" s="57">
        <f>INT(tblJTL[[#This Row],[経過秒]]/60)</f>
        <v>4</v>
      </c>
      <c r="W1070" s="57">
        <f>IF(OR(tblJTL[[#This Row],[success]]=FALSE,tblJTL[[#This Row],[success]]="false"),1,0)</f>
        <v>0</v>
      </c>
      <c r="X1070" s="57">
        <f>IF(AND(tblJTL[[#This Row],[経過秒]]&gt;='17_分析サンプル'!$E$11,tblJTL[[#This Row],[経過秒]]&lt;'17_分析サンプル'!$E$12),1,0)</f>
        <v>1</v>
      </c>
    </row>
    <row r="1071" spans="2:24" ht="14.4" x14ac:dyDescent="0.3">
      <c r="B1071" s="57">
        <v>1790816664816</v>
      </c>
      <c r="C1071" s="58">
        <v>1616</v>
      </c>
      <c r="D1071" s="59" t="s">
        <v>1677</v>
      </c>
      <c r="E1071" s="59" t="s">
        <v>3579</v>
      </c>
      <c r="F1071" s="59" t="s">
        <v>3580</v>
      </c>
      <c r="G1071" s="59" t="s">
        <v>2278</v>
      </c>
      <c r="H1071" s="59" t="s">
        <v>2281</v>
      </c>
      <c r="I1071" s="59" t="b">
        <v>1</v>
      </c>
      <c r="J1071" s="59"/>
      <c r="K1071" s="58">
        <v>438</v>
      </c>
      <c r="L1071" s="58">
        <v>1478</v>
      </c>
      <c r="M1071" s="59">
        <v>10</v>
      </c>
      <c r="N1071" s="59">
        <v>10</v>
      </c>
      <c r="O1071" s="59" t="s">
        <v>3581</v>
      </c>
      <c r="P1071" s="58">
        <v>1608</v>
      </c>
      <c r="Q1071" s="59">
        <v>0</v>
      </c>
      <c r="R1071" s="59">
        <v>0</v>
      </c>
      <c r="S1071" s="60">
        <f>tblJTL[[#This Row],[timeStamp]]/86400000+DATE(1970,1,1)+TIME(9,0,0)</f>
        <v>46296.419731666669</v>
      </c>
      <c r="T1071" s="57">
        <f>tblJTL[[#This Row],[timeStamp]]+tblJTL[[#This Row],[elapsed]]</f>
        <v>1790816666432</v>
      </c>
      <c r="U1071" s="61">
        <f>(tblJTL[[#This Row],[timeStamp]]-'17_分析サンプル'!$E$18)/1000</f>
        <v>264.63600000000002</v>
      </c>
      <c r="V1071" s="57">
        <f>INT(tblJTL[[#This Row],[経過秒]]/60)</f>
        <v>4</v>
      </c>
      <c r="W1071" s="57">
        <f>IF(OR(tblJTL[[#This Row],[success]]=FALSE,tblJTL[[#This Row],[success]]="false"),1,0)</f>
        <v>0</v>
      </c>
      <c r="X1071" s="57">
        <f>IF(AND(tblJTL[[#This Row],[経過秒]]&gt;='17_分析サンプル'!$E$11,tblJTL[[#This Row],[経過秒]]&lt;'17_分析サンプル'!$E$12),1,0)</f>
        <v>1</v>
      </c>
    </row>
    <row r="1072" spans="2:24" ht="14.4" x14ac:dyDescent="0.3">
      <c r="B1072" s="57">
        <v>1790816665828</v>
      </c>
      <c r="C1072" s="58">
        <v>950</v>
      </c>
      <c r="D1072" s="59" t="s">
        <v>1677</v>
      </c>
      <c r="E1072" s="59" t="s">
        <v>3579</v>
      </c>
      <c r="F1072" s="59" t="s">
        <v>3580</v>
      </c>
      <c r="G1072" s="59" t="s">
        <v>3582</v>
      </c>
      <c r="H1072" s="59" t="s">
        <v>2281</v>
      </c>
      <c r="I1072" s="59" t="b">
        <v>1</v>
      </c>
      <c r="J1072" s="59"/>
      <c r="K1072" s="58">
        <v>421</v>
      </c>
      <c r="L1072" s="58">
        <v>1478</v>
      </c>
      <c r="M1072" s="59">
        <v>10</v>
      </c>
      <c r="N1072" s="59">
        <v>10</v>
      </c>
      <c r="O1072" s="59" t="s">
        <v>3581</v>
      </c>
      <c r="P1072" s="58">
        <v>947</v>
      </c>
      <c r="Q1072" s="59">
        <v>0</v>
      </c>
      <c r="R1072" s="59">
        <v>0</v>
      </c>
      <c r="S1072" s="60">
        <f>tblJTL[[#This Row],[timeStamp]]/86400000+DATE(1970,1,1)+TIME(9,0,0)</f>
        <v>46296.419743379629</v>
      </c>
      <c r="T1072" s="57">
        <f>tblJTL[[#This Row],[timeStamp]]+tblJTL[[#This Row],[elapsed]]</f>
        <v>1790816666778</v>
      </c>
      <c r="U1072" s="61">
        <f>(tblJTL[[#This Row],[timeStamp]]-'17_分析サンプル'!$E$18)/1000</f>
        <v>265.64800000000002</v>
      </c>
      <c r="V1072" s="57">
        <f>INT(tblJTL[[#This Row],[経過秒]]/60)</f>
        <v>4</v>
      </c>
      <c r="W1072" s="57">
        <f>IF(OR(tblJTL[[#This Row],[success]]=FALSE,tblJTL[[#This Row],[success]]="false"),1,0)</f>
        <v>0</v>
      </c>
      <c r="X1072" s="57">
        <f>IF(AND(tblJTL[[#This Row],[経過秒]]&gt;='17_分析サンプル'!$E$11,tblJTL[[#This Row],[経過秒]]&lt;'17_分析サンプル'!$E$12),1,0)</f>
        <v>1</v>
      </c>
    </row>
    <row r="1073" spans="2:24" ht="14.4" x14ac:dyDescent="0.3">
      <c r="B1073" s="57">
        <v>1790816666613</v>
      </c>
      <c r="C1073" s="58">
        <v>183</v>
      </c>
      <c r="D1073" s="59" t="s">
        <v>1658</v>
      </c>
      <c r="E1073" s="59" t="s">
        <v>1577</v>
      </c>
      <c r="F1073" s="59" t="s">
        <v>2275</v>
      </c>
      <c r="G1073" s="59" t="s">
        <v>3583</v>
      </c>
      <c r="H1073" s="59" t="s">
        <v>2281</v>
      </c>
      <c r="I1073" s="59" t="b">
        <v>1</v>
      </c>
      <c r="J1073" s="59"/>
      <c r="K1073" s="58">
        <v>1871</v>
      </c>
      <c r="L1073" s="58">
        <v>1342</v>
      </c>
      <c r="M1073" s="59">
        <v>10</v>
      </c>
      <c r="N1073" s="59">
        <v>10</v>
      </c>
      <c r="O1073" s="59" t="s">
        <v>3578</v>
      </c>
      <c r="P1073" s="58">
        <v>176</v>
      </c>
      <c r="Q1073" s="59">
        <v>0</v>
      </c>
      <c r="R1073" s="59">
        <v>46</v>
      </c>
      <c r="S1073" s="60">
        <f>tblJTL[[#This Row],[timeStamp]]/86400000+DATE(1970,1,1)+TIME(9,0,0)</f>
        <v>46296.419752465277</v>
      </c>
      <c r="T1073" s="57">
        <f>tblJTL[[#This Row],[timeStamp]]+tblJTL[[#This Row],[elapsed]]</f>
        <v>1790816666796</v>
      </c>
      <c r="U1073" s="61">
        <f>(tblJTL[[#This Row],[timeStamp]]-'17_分析サンプル'!$E$18)/1000</f>
        <v>266.43299999999999</v>
      </c>
      <c r="V1073" s="57">
        <f>INT(tblJTL[[#This Row],[経過秒]]/60)</f>
        <v>4</v>
      </c>
      <c r="W1073" s="57">
        <f>IF(OR(tblJTL[[#This Row],[success]]=FALSE,tblJTL[[#This Row],[success]]="false"),1,0)</f>
        <v>0</v>
      </c>
      <c r="X1073" s="57">
        <f>IF(AND(tblJTL[[#This Row],[経過秒]]&gt;='17_分析サンプル'!$E$11,tblJTL[[#This Row],[経過秒]]&lt;'17_分析サンプル'!$E$12),1,0)</f>
        <v>1</v>
      </c>
    </row>
    <row r="1074" spans="2:24" ht="14.4" x14ac:dyDescent="0.3">
      <c r="B1074" s="57">
        <v>1790816667108</v>
      </c>
      <c r="C1074" s="58">
        <v>226</v>
      </c>
      <c r="D1074" s="59" t="s">
        <v>1658</v>
      </c>
      <c r="E1074" s="59" t="s">
        <v>1577</v>
      </c>
      <c r="F1074" s="59" t="s">
        <v>2275</v>
      </c>
      <c r="G1074" s="59" t="s">
        <v>3589</v>
      </c>
      <c r="H1074" s="59" t="s">
        <v>2281</v>
      </c>
      <c r="I1074" s="59" t="b">
        <v>1</v>
      </c>
      <c r="J1074" s="59"/>
      <c r="K1074" s="58">
        <v>1899</v>
      </c>
      <c r="L1074" s="58">
        <v>1342</v>
      </c>
      <c r="M1074" s="59">
        <v>10</v>
      </c>
      <c r="N1074" s="59">
        <v>10</v>
      </c>
      <c r="O1074" s="59" t="s">
        <v>3578</v>
      </c>
      <c r="P1074" s="58">
        <v>220</v>
      </c>
      <c r="Q1074" s="59">
        <v>0</v>
      </c>
      <c r="R1074" s="59">
        <v>0</v>
      </c>
      <c r="S1074" s="60">
        <f>tblJTL[[#This Row],[timeStamp]]/86400000+DATE(1970,1,1)+TIME(9,0,0)</f>
        <v>46296.419758194446</v>
      </c>
      <c r="T1074" s="57">
        <f>tblJTL[[#This Row],[timeStamp]]+tblJTL[[#This Row],[elapsed]]</f>
        <v>1790816667334</v>
      </c>
      <c r="U1074" s="61">
        <f>(tblJTL[[#This Row],[timeStamp]]-'17_分析サンプル'!$E$18)/1000</f>
        <v>266.928</v>
      </c>
      <c r="V1074" s="57">
        <f>INT(tblJTL[[#This Row],[経過秒]]/60)</f>
        <v>4</v>
      </c>
      <c r="W1074" s="57">
        <f>IF(OR(tblJTL[[#This Row],[success]]=FALSE,tblJTL[[#This Row],[success]]="false"),1,0)</f>
        <v>0</v>
      </c>
      <c r="X1074" s="57">
        <f>IF(AND(tblJTL[[#This Row],[経過秒]]&gt;='17_分析サンプル'!$E$11,tblJTL[[#This Row],[経過秒]]&lt;'17_分析サンプル'!$E$12),1,0)</f>
        <v>1</v>
      </c>
    </row>
    <row r="1075" spans="2:24" ht="14.4" x14ac:dyDescent="0.3">
      <c r="B1075" s="57">
        <v>1790816665456</v>
      </c>
      <c r="C1075" s="58">
        <v>2286</v>
      </c>
      <c r="D1075" s="59" t="s">
        <v>1677</v>
      </c>
      <c r="E1075" s="59" t="s">
        <v>3579</v>
      </c>
      <c r="F1075" s="59" t="s">
        <v>3580</v>
      </c>
      <c r="G1075" s="59" t="s">
        <v>3587</v>
      </c>
      <c r="H1075" s="59" t="s">
        <v>2281</v>
      </c>
      <c r="I1075" s="59" t="b">
        <v>1</v>
      </c>
      <c r="J1075" s="59"/>
      <c r="K1075" s="58">
        <v>429</v>
      </c>
      <c r="L1075" s="58">
        <v>1478</v>
      </c>
      <c r="M1075" s="59">
        <v>10</v>
      </c>
      <c r="N1075" s="59">
        <v>10</v>
      </c>
      <c r="O1075" s="59" t="s">
        <v>3581</v>
      </c>
      <c r="P1075" s="58">
        <v>2283</v>
      </c>
      <c r="Q1075" s="59">
        <v>0</v>
      </c>
      <c r="R1075" s="59">
        <v>0</v>
      </c>
      <c r="S1075" s="60">
        <f>tblJTL[[#This Row],[timeStamp]]/86400000+DATE(1970,1,1)+TIME(9,0,0)</f>
        <v>46296.419739074074</v>
      </c>
      <c r="T1075" s="57">
        <f>tblJTL[[#This Row],[timeStamp]]+tblJTL[[#This Row],[elapsed]]</f>
        <v>1790816667742</v>
      </c>
      <c r="U1075" s="61">
        <f>(tblJTL[[#This Row],[timeStamp]]-'17_分析サンプル'!$E$18)/1000</f>
        <v>265.27600000000001</v>
      </c>
      <c r="V1075" s="57">
        <f>INT(tblJTL[[#This Row],[経過秒]]/60)</f>
        <v>4</v>
      </c>
      <c r="W1075" s="57">
        <f>IF(OR(tblJTL[[#This Row],[success]]=FALSE,tblJTL[[#This Row],[success]]="false"),1,0)</f>
        <v>0</v>
      </c>
      <c r="X1075" s="57">
        <f>IF(AND(tblJTL[[#This Row],[経過秒]]&gt;='17_分析サンプル'!$E$11,tblJTL[[#This Row],[経過秒]]&lt;'17_分析サンプル'!$E$12),1,0)</f>
        <v>1</v>
      </c>
    </row>
    <row r="1076" spans="2:24" ht="14.4" x14ac:dyDescent="0.3">
      <c r="B1076" s="57">
        <v>1790816666152</v>
      </c>
      <c r="C1076" s="58">
        <v>1673</v>
      </c>
      <c r="D1076" s="59" t="s">
        <v>1677</v>
      </c>
      <c r="E1076" s="59" t="s">
        <v>3579</v>
      </c>
      <c r="F1076" s="59" t="s">
        <v>3580</v>
      </c>
      <c r="G1076" s="59" t="s">
        <v>3588</v>
      </c>
      <c r="H1076" s="59" t="s">
        <v>2281</v>
      </c>
      <c r="I1076" s="59" t="b">
        <v>1</v>
      </c>
      <c r="J1076" s="59"/>
      <c r="K1076" s="58">
        <v>421</v>
      </c>
      <c r="L1076" s="58">
        <v>1478</v>
      </c>
      <c r="M1076" s="59">
        <v>10</v>
      </c>
      <c r="N1076" s="59">
        <v>10</v>
      </c>
      <c r="O1076" s="59" t="s">
        <v>3581</v>
      </c>
      <c r="P1076" s="58">
        <v>1666</v>
      </c>
      <c r="Q1076" s="59">
        <v>0</v>
      </c>
      <c r="R1076" s="59">
        <v>0</v>
      </c>
      <c r="S1076" s="60">
        <f>tblJTL[[#This Row],[timeStamp]]/86400000+DATE(1970,1,1)+TIME(9,0,0)</f>
        <v>46296.419747129628</v>
      </c>
      <c r="T1076" s="57">
        <f>tblJTL[[#This Row],[timeStamp]]+tblJTL[[#This Row],[elapsed]]</f>
        <v>1790816667825</v>
      </c>
      <c r="U1076" s="61">
        <f>(tblJTL[[#This Row],[timeStamp]]-'17_分析サンプル'!$E$18)/1000</f>
        <v>265.97199999999998</v>
      </c>
      <c r="V1076" s="57">
        <f>INT(tblJTL[[#This Row],[経過秒]]/60)</f>
        <v>4</v>
      </c>
      <c r="W1076" s="57">
        <f>IF(OR(tblJTL[[#This Row],[success]]=FALSE,tblJTL[[#This Row],[success]]="false"),1,0)</f>
        <v>0</v>
      </c>
      <c r="X1076" s="57">
        <f>IF(AND(tblJTL[[#This Row],[経過秒]]&gt;='17_分析サンプル'!$E$11,tblJTL[[#This Row],[経過秒]]&lt;'17_分析サンプル'!$E$12),1,0)</f>
        <v>1</v>
      </c>
    </row>
    <row r="1077" spans="2:24" ht="14.4" x14ac:dyDescent="0.3">
      <c r="B1077" s="57">
        <v>1790816666520</v>
      </c>
      <c r="C1077" s="58">
        <v>1467</v>
      </c>
      <c r="D1077" s="59" t="s">
        <v>1677</v>
      </c>
      <c r="E1077" s="59" t="s">
        <v>3579</v>
      </c>
      <c r="F1077" s="59" t="s">
        <v>3580</v>
      </c>
      <c r="G1077" s="59" t="s">
        <v>3577</v>
      </c>
      <c r="H1077" s="59" t="s">
        <v>2281</v>
      </c>
      <c r="I1077" s="59" t="b">
        <v>1</v>
      </c>
      <c r="J1077" s="59"/>
      <c r="K1077" s="58">
        <v>421</v>
      </c>
      <c r="L1077" s="58">
        <v>1478</v>
      </c>
      <c r="M1077" s="59">
        <v>10</v>
      </c>
      <c r="N1077" s="59">
        <v>10</v>
      </c>
      <c r="O1077" s="59" t="s">
        <v>3581</v>
      </c>
      <c r="P1077" s="58">
        <v>1465</v>
      </c>
      <c r="Q1077" s="59">
        <v>0</v>
      </c>
      <c r="R1077" s="59">
        <v>0</v>
      </c>
      <c r="S1077" s="60">
        <f>tblJTL[[#This Row],[timeStamp]]/86400000+DATE(1970,1,1)+TIME(9,0,0)</f>
        <v>46296.419751388894</v>
      </c>
      <c r="T1077" s="57">
        <f>tblJTL[[#This Row],[timeStamp]]+tblJTL[[#This Row],[elapsed]]</f>
        <v>1790816667987</v>
      </c>
      <c r="U1077" s="61">
        <f>(tblJTL[[#This Row],[timeStamp]]-'17_分析サンプル'!$E$18)/1000</f>
        <v>266.33999999999997</v>
      </c>
      <c r="V1077" s="57">
        <f>INT(tblJTL[[#This Row],[経過秒]]/60)</f>
        <v>4</v>
      </c>
      <c r="W1077" s="57">
        <f>IF(OR(tblJTL[[#This Row],[success]]=FALSE,tblJTL[[#This Row],[success]]="false"),1,0)</f>
        <v>0</v>
      </c>
      <c r="X1077" s="57">
        <f>IF(AND(tblJTL[[#This Row],[経過秒]]&gt;='17_分析サンプル'!$E$11,tblJTL[[#This Row],[経過秒]]&lt;'17_分析サンプル'!$E$12),1,0)</f>
        <v>1</v>
      </c>
    </row>
    <row r="1078" spans="2:24" ht="14.4" x14ac:dyDescent="0.3">
      <c r="B1078" s="57">
        <v>1790816667946</v>
      </c>
      <c r="C1078" s="58">
        <v>380</v>
      </c>
      <c r="D1078" s="59" t="s">
        <v>1658</v>
      </c>
      <c r="E1078" s="59" t="s">
        <v>1577</v>
      </c>
      <c r="F1078" s="59" t="s">
        <v>2275</v>
      </c>
      <c r="G1078" s="59" t="s">
        <v>3586</v>
      </c>
      <c r="H1078" s="59" t="s">
        <v>2281</v>
      </c>
      <c r="I1078" s="59" t="b">
        <v>1</v>
      </c>
      <c r="J1078" s="59"/>
      <c r="K1078" s="58">
        <v>1860</v>
      </c>
      <c r="L1078" s="58">
        <v>1342</v>
      </c>
      <c r="M1078" s="59">
        <v>10</v>
      </c>
      <c r="N1078" s="59">
        <v>10</v>
      </c>
      <c r="O1078" s="59" t="s">
        <v>3578</v>
      </c>
      <c r="P1078" s="58">
        <v>375</v>
      </c>
      <c r="Q1078" s="59">
        <v>0</v>
      </c>
      <c r="R1078" s="59">
        <v>0</v>
      </c>
      <c r="S1078" s="60">
        <f>tblJTL[[#This Row],[timeStamp]]/86400000+DATE(1970,1,1)+TIME(9,0,0)</f>
        <v>46296.419767893516</v>
      </c>
      <c r="T1078" s="57">
        <f>tblJTL[[#This Row],[timeStamp]]+tblJTL[[#This Row],[elapsed]]</f>
        <v>1790816668326</v>
      </c>
      <c r="U1078" s="61">
        <f>(tblJTL[[#This Row],[timeStamp]]-'17_分析サンプル'!$E$18)/1000</f>
        <v>267.76600000000002</v>
      </c>
      <c r="V1078" s="57">
        <f>INT(tblJTL[[#This Row],[経過秒]]/60)</f>
        <v>4</v>
      </c>
      <c r="W1078" s="57">
        <f>IF(OR(tblJTL[[#This Row],[success]]=FALSE,tblJTL[[#This Row],[success]]="false"),1,0)</f>
        <v>0</v>
      </c>
      <c r="X1078" s="57">
        <f>IF(AND(tblJTL[[#This Row],[経過秒]]&gt;='17_分析サンプル'!$E$11,tblJTL[[#This Row],[経過秒]]&lt;'17_分析サンプル'!$E$12),1,0)</f>
        <v>1</v>
      </c>
    </row>
    <row r="1079" spans="2:24" ht="14.4" x14ac:dyDescent="0.3">
      <c r="B1079" s="57">
        <v>1790816668808</v>
      </c>
      <c r="C1079" s="58">
        <v>175</v>
      </c>
      <c r="D1079" s="59" t="s">
        <v>1658</v>
      </c>
      <c r="E1079" s="59" t="s">
        <v>1577</v>
      </c>
      <c r="F1079" s="59" t="s">
        <v>2275</v>
      </c>
      <c r="G1079" s="59" t="s">
        <v>2278</v>
      </c>
      <c r="H1079" s="59" t="s">
        <v>2281</v>
      </c>
      <c r="I1079" s="59" t="b">
        <v>1</v>
      </c>
      <c r="J1079" s="59"/>
      <c r="K1079" s="58">
        <v>1843</v>
      </c>
      <c r="L1079" s="58">
        <v>1342</v>
      </c>
      <c r="M1079" s="59">
        <v>10</v>
      </c>
      <c r="N1079" s="59">
        <v>10</v>
      </c>
      <c r="O1079" s="59" t="s">
        <v>3578</v>
      </c>
      <c r="P1079" s="58">
        <v>172</v>
      </c>
      <c r="Q1079" s="59">
        <v>0</v>
      </c>
      <c r="R1079" s="59">
        <v>0</v>
      </c>
      <c r="S1079" s="60">
        <f>tblJTL[[#This Row],[timeStamp]]/86400000+DATE(1970,1,1)+TIME(9,0,0)</f>
        <v>46296.419777870367</v>
      </c>
      <c r="T1079" s="57">
        <f>tblJTL[[#This Row],[timeStamp]]+tblJTL[[#This Row],[elapsed]]</f>
        <v>1790816668983</v>
      </c>
      <c r="U1079" s="61">
        <f>(tblJTL[[#This Row],[timeStamp]]-'17_分析サンプル'!$E$18)/1000</f>
        <v>268.62799999999999</v>
      </c>
      <c r="V1079" s="57">
        <f>INT(tblJTL[[#This Row],[経過秒]]/60)</f>
        <v>4</v>
      </c>
      <c r="W1079" s="57">
        <f>IF(OR(tblJTL[[#This Row],[success]]=FALSE,tblJTL[[#This Row],[success]]="false"),1,0)</f>
        <v>0</v>
      </c>
      <c r="X1079" s="57">
        <f>IF(AND(tblJTL[[#This Row],[経過秒]]&gt;='17_分析サンプル'!$E$11,tblJTL[[#This Row],[経過秒]]&lt;'17_分析サンプル'!$E$12),1,0)</f>
        <v>1</v>
      </c>
    </row>
    <row r="1080" spans="2:24" ht="14.4" x14ac:dyDescent="0.3">
      <c r="B1080" s="57">
        <v>1790816668865</v>
      </c>
      <c r="C1080" s="58">
        <v>205</v>
      </c>
      <c r="D1080" s="59" t="s">
        <v>1658</v>
      </c>
      <c r="E1080" s="59" t="s">
        <v>1577</v>
      </c>
      <c r="F1080" s="59" t="s">
        <v>2275</v>
      </c>
      <c r="G1080" s="59" t="s">
        <v>3585</v>
      </c>
      <c r="H1080" s="59" t="s">
        <v>2281</v>
      </c>
      <c r="I1080" s="59" t="b">
        <v>1</v>
      </c>
      <c r="J1080" s="59"/>
      <c r="K1080" s="58">
        <v>1840</v>
      </c>
      <c r="L1080" s="58">
        <v>1342</v>
      </c>
      <c r="M1080" s="59">
        <v>10</v>
      </c>
      <c r="N1080" s="59">
        <v>10</v>
      </c>
      <c r="O1080" s="59" t="s">
        <v>3578</v>
      </c>
      <c r="P1080" s="58">
        <v>197</v>
      </c>
      <c r="Q1080" s="59">
        <v>0</v>
      </c>
      <c r="R1080" s="59">
        <v>0</v>
      </c>
      <c r="S1080" s="60">
        <f>tblJTL[[#This Row],[timeStamp]]/86400000+DATE(1970,1,1)+TIME(9,0,0)</f>
        <v>46296.419778530093</v>
      </c>
      <c r="T1080" s="57">
        <f>tblJTL[[#This Row],[timeStamp]]+tblJTL[[#This Row],[elapsed]]</f>
        <v>1790816669070</v>
      </c>
      <c r="U1080" s="61">
        <f>(tblJTL[[#This Row],[timeStamp]]-'17_分析サンプル'!$E$18)/1000</f>
        <v>268.685</v>
      </c>
      <c r="V1080" s="57">
        <f>INT(tblJTL[[#This Row],[経過秒]]/60)</f>
        <v>4</v>
      </c>
      <c r="W1080" s="57">
        <f>IF(OR(tblJTL[[#This Row],[success]]=FALSE,tblJTL[[#This Row],[success]]="false"),1,0)</f>
        <v>0</v>
      </c>
      <c r="X1080" s="57">
        <f>IF(AND(tblJTL[[#This Row],[経過秒]]&gt;='17_分析サンプル'!$E$11,tblJTL[[#This Row],[経過秒]]&lt;'17_分析サンプル'!$E$12),1,0)</f>
        <v>1</v>
      </c>
    </row>
    <row r="1081" spans="2:24" ht="14.4" x14ac:dyDescent="0.3">
      <c r="B1081" s="57">
        <v>1790816669128</v>
      </c>
      <c r="C1081" s="58">
        <v>174</v>
      </c>
      <c r="D1081" s="59" t="s">
        <v>1658</v>
      </c>
      <c r="E1081" s="59" t="s">
        <v>1577</v>
      </c>
      <c r="F1081" s="59" t="s">
        <v>2275</v>
      </c>
      <c r="G1081" s="59" t="s">
        <v>3582</v>
      </c>
      <c r="H1081" s="59" t="s">
        <v>2281</v>
      </c>
      <c r="I1081" s="59" t="b">
        <v>1</v>
      </c>
      <c r="J1081" s="59"/>
      <c r="K1081" s="58">
        <v>1843</v>
      </c>
      <c r="L1081" s="58">
        <v>1342</v>
      </c>
      <c r="M1081" s="59">
        <v>10</v>
      </c>
      <c r="N1081" s="59">
        <v>10</v>
      </c>
      <c r="O1081" s="59" t="s">
        <v>3578</v>
      </c>
      <c r="P1081" s="58">
        <v>172</v>
      </c>
      <c r="Q1081" s="59">
        <v>0</v>
      </c>
      <c r="R1081" s="59">
        <v>0</v>
      </c>
      <c r="S1081" s="60">
        <f>tblJTL[[#This Row],[timeStamp]]/86400000+DATE(1970,1,1)+TIME(9,0,0)</f>
        <v>46296.419781574077</v>
      </c>
      <c r="T1081" s="57">
        <f>tblJTL[[#This Row],[timeStamp]]+tblJTL[[#This Row],[elapsed]]</f>
        <v>1790816669302</v>
      </c>
      <c r="U1081" s="61">
        <f>(tblJTL[[#This Row],[timeStamp]]-'17_分析サンプル'!$E$18)/1000</f>
        <v>268.94799999999998</v>
      </c>
      <c r="V1081" s="57">
        <f>INT(tblJTL[[#This Row],[経過秒]]/60)</f>
        <v>4</v>
      </c>
      <c r="W1081" s="57">
        <f>IF(OR(tblJTL[[#This Row],[success]]=FALSE,tblJTL[[#This Row],[success]]="false"),1,0)</f>
        <v>0</v>
      </c>
      <c r="X1081" s="57">
        <f>IF(AND(tblJTL[[#This Row],[経過秒]]&gt;='17_分析サンプル'!$E$11,tblJTL[[#This Row],[経過秒]]&lt;'17_分析サンプル'!$E$12),1,0)</f>
        <v>1</v>
      </c>
    </row>
    <row r="1082" spans="2:24" ht="14.4" x14ac:dyDescent="0.3">
      <c r="B1082" s="57">
        <v>1790816667171</v>
      </c>
      <c r="C1082" s="58">
        <v>2158</v>
      </c>
      <c r="D1082" s="59" t="s">
        <v>1677</v>
      </c>
      <c r="E1082" s="59" t="s">
        <v>3579</v>
      </c>
      <c r="F1082" s="59" t="s">
        <v>3580</v>
      </c>
      <c r="G1082" s="59" t="s">
        <v>3584</v>
      </c>
      <c r="H1082" s="59" t="s">
        <v>2281</v>
      </c>
      <c r="I1082" s="59" t="b">
        <v>1</v>
      </c>
      <c r="J1082" s="59"/>
      <c r="K1082" s="58">
        <v>420</v>
      </c>
      <c r="L1082" s="58">
        <v>1478</v>
      </c>
      <c r="M1082" s="59">
        <v>10</v>
      </c>
      <c r="N1082" s="59">
        <v>10</v>
      </c>
      <c r="O1082" s="59" t="s">
        <v>3581</v>
      </c>
      <c r="P1082" s="58">
        <v>2153</v>
      </c>
      <c r="Q1082" s="59">
        <v>0</v>
      </c>
      <c r="R1082" s="59">
        <v>0</v>
      </c>
      <c r="S1082" s="60">
        <f>tblJTL[[#This Row],[timeStamp]]/86400000+DATE(1970,1,1)+TIME(9,0,0)</f>
        <v>46296.419758923614</v>
      </c>
      <c r="T1082" s="57">
        <f>tblJTL[[#This Row],[timeStamp]]+tblJTL[[#This Row],[elapsed]]</f>
        <v>1790816669329</v>
      </c>
      <c r="U1082" s="61">
        <f>(tblJTL[[#This Row],[timeStamp]]-'17_分析サンプル'!$E$18)/1000</f>
        <v>266.99099999999999</v>
      </c>
      <c r="V1082" s="57">
        <f>INT(tblJTL[[#This Row],[経過秒]]/60)</f>
        <v>4</v>
      </c>
      <c r="W1082" s="57">
        <f>IF(OR(tblJTL[[#This Row],[success]]=FALSE,tblJTL[[#This Row],[success]]="false"),1,0)</f>
        <v>0</v>
      </c>
      <c r="X1082" s="57">
        <f>IF(AND(tblJTL[[#This Row],[経過秒]]&gt;='17_分析サンプル'!$E$11,tblJTL[[#This Row],[経過秒]]&lt;'17_分析サンプル'!$E$12),1,0)</f>
        <v>1</v>
      </c>
    </row>
    <row r="1083" spans="2:24" ht="14.4" x14ac:dyDescent="0.3">
      <c r="B1083" s="57">
        <v>1790816669374</v>
      </c>
      <c r="C1083" s="58">
        <v>204</v>
      </c>
      <c r="D1083" s="59" t="s">
        <v>1658</v>
      </c>
      <c r="E1083" s="59" t="s">
        <v>1577</v>
      </c>
      <c r="F1083" s="59" t="s">
        <v>2275</v>
      </c>
      <c r="G1083" s="59" t="s">
        <v>3588</v>
      </c>
      <c r="H1083" s="59" t="s">
        <v>2281</v>
      </c>
      <c r="I1083" s="59" t="b">
        <v>1</v>
      </c>
      <c r="J1083" s="59"/>
      <c r="K1083" s="58">
        <v>1878</v>
      </c>
      <c r="L1083" s="58">
        <v>1342</v>
      </c>
      <c r="M1083" s="59">
        <v>10</v>
      </c>
      <c r="N1083" s="59">
        <v>10</v>
      </c>
      <c r="O1083" s="59" t="s">
        <v>3578</v>
      </c>
      <c r="P1083" s="58">
        <v>197</v>
      </c>
      <c r="Q1083" s="59">
        <v>0</v>
      </c>
      <c r="R1083" s="59">
        <v>0</v>
      </c>
      <c r="S1083" s="60">
        <f>tblJTL[[#This Row],[timeStamp]]/86400000+DATE(1970,1,1)+TIME(9,0,0)</f>
        <v>46296.419784421298</v>
      </c>
      <c r="T1083" s="57">
        <f>tblJTL[[#This Row],[timeStamp]]+tblJTL[[#This Row],[elapsed]]</f>
        <v>1790816669578</v>
      </c>
      <c r="U1083" s="61">
        <f>(tblJTL[[#This Row],[timeStamp]]-'17_分析サンプル'!$E$18)/1000</f>
        <v>269.19400000000002</v>
      </c>
      <c r="V1083" s="57">
        <f>INT(tblJTL[[#This Row],[経過秒]]/60)</f>
        <v>4</v>
      </c>
      <c r="W1083" s="57">
        <f>IF(OR(tblJTL[[#This Row],[success]]=FALSE,tblJTL[[#This Row],[success]]="false"),1,0)</f>
        <v>0</v>
      </c>
      <c r="X1083" s="57">
        <f>IF(AND(tblJTL[[#This Row],[経過秒]]&gt;='17_分析サンプル'!$E$11,tblJTL[[#This Row],[経過秒]]&lt;'17_分析サンプル'!$E$12),1,0)</f>
        <v>1</v>
      </c>
    </row>
    <row r="1084" spans="2:24" ht="14.4" x14ac:dyDescent="0.3">
      <c r="B1084" s="57">
        <v>1790816668821</v>
      </c>
      <c r="C1084" s="58">
        <v>1651</v>
      </c>
      <c r="D1084" s="59" t="s">
        <v>1677</v>
      </c>
      <c r="E1084" s="59" t="s">
        <v>3579</v>
      </c>
      <c r="F1084" s="59" t="s">
        <v>3580</v>
      </c>
      <c r="G1084" s="59" t="s">
        <v>3589</v>
      </c>
      <c r="H1084" s="59" t="s">
        <v>2281</v>
      </c>
      <c r="I1084" s="59" t="b">
        <v>1</v>
      </c>
      <c r="J1084" s="59"/>
      <c r="K1084" s="58">
        <v>423</v>
      </c>
      <c r="L1084" s="58">
        <v>1478</v>
      </c>
      <c r="M1084" s="59">
        <v>10</v>
      </c>
      <c r="N1084" s="59">
        <v>10</v>
      </c>
      <c r="O1084" s="59" t="s">
        <v>3581</v>
      </c>
      <c r="P1084" s="58">
        <v>1644</v>
      </c>
      <c r="Q1084" s="59">
        <v>0</v>
      </c>
      <c r="R1084" s="59">
        <v>0</v>
      </c>
      <c r="S1084" s="60">
        <f>tblJTL[[#This Row],[timeStamp]]/86400000+DATE(1970,1,1)+TIME(9,0,0)</f>
        <v>46296.419778020834</v>
      </c>
      <c r="T1084" s="57">
        <f>tblJTL[[#This Row],[timeStamp]]+tblJTL[[#This Row],[elapsed]]</f>
        <v>1790816670472</v>
      </c>
      <c r="U1084" s="61">
        <f>(tblJTL[[#This Row],[timeStamp]]-'17_分析サンプル'!$E$18)/1000</f>
        <v>268.64100000000002</v>
      </c>
      <c r="V1084" s="57">
        <f>INT(tblJTL[[#This Row],[経過秒]]/60)</f>
        <v>4</v>
      </c>
      <c r="W1084" s="57">
        <f>IF(OR(tblJTL[[#This Row],[success]]=FALSE,tblJTL[[#This Row],[success]]="false"),1,0)</f>
        <v>0</v>
      </c>
      <c r="X1084" s="57">
        <f>IF(AND(tblJTL[[#This Row],[経過秒]]&gt;='17_分析サンプル'!$E$11,tblJTL[[#This Row],[経過秒]]&lt;'17_分析サンプル'!$E$12),1,0)</f>
        <v>1</v>
      </c>
    </row>
    <row r="1085" spans="2:24" ht="14.4" x14ac:dyDescent="0.3">
      <c r="B1085" s="57">
        <v>1790816670297</v>
      </c>
      <c r="C1085" s="58">
        <v>325</v>
      </c>
      <c r="D1085" s="59" t="s">
        <v>1658</v>
      </c>
      <c r="E1085" s="59" t="s">
        <v>1577</v>
      </c>
      <c r="F1085" s="59" t="s">
        <v>2275</v>
      </c>
      <c r="G1085" s="59" t="s">
        <v>3587</v>
      </c>
      <c r="H1085" s="59" t="s">
        <v>2281</v>
      </c>
      <c r="I1085" s="59" t="b">
        <v>1</v>
      </c>
      <c r="J1085" s="59"/>
      <c r="K1085" s="58">
        <v>1823</v>
      </c>
      <c r="L1085" s="58">
        <v>1342</v>
      </c>
      <c r="M1085" s="59">
        <v>10</v>
      </c>
      <c r="N1085" s="59">
        <v>10</v>
      </c>
      <c r="O1085" s="59" t="s">
        <v>3578</v>
      </c>
      <c r="P1085" s="58">
        <v>318</v>
      </c>
      <c r="Q1085" s="59">
        <v>0</v>
      </c>
      <c r="R1085" s="59">
        <v>0</v>
      </c>
      <c r="S1085" s="60">
        <f>tblJTL[[#This Row],[timeStamp]]/86400000+DATE(1970,1,1)+TIME(9,0,0)</f>
        <v>46296.419795104171</v>
      </c>
      <c r="T1085" s="57">
        <f>tblJTL[[#This Row],[timeStamp]]+tblJTL[[#This Row],[elapsed]]</f>
        <v>1790816670622</v>
      </c>
      <c r="U1085" s="61">
        <f>(tblJTL[[#This Row],[timeStamp]]-'17_分析サンプル'!$E$18)/1000</f>
        <v>270.11700000000002</v>
      </c>
      <c r="V1085" s="57">
        <f>INT(tblJTL[[#This Row],[経過秒]]/60)</f>
        <v>4</v>
      </c>
      <c r="W1085" s="57">
        <f>IF(OR(tblJTL[[#This Row],[success]]=FALSE,tblJTL[[#This Row],[success]]="false"),1,0)</f>
        <v>0</v>
      </c>
      <c r="X1085" s="57">
        <f>IF(AND(tblJTL[[#This Row],[経過秒]]&gt;='17_分析サンプル'!$E$11,tblJTL[[#This Row],[経過秒]]&lt;'17_分析サンプル'!$E$12),1,0)</f>
        <v>1</v>
      </c>
    </row>
    <row r="1086" spans="2:24" ht="14.4" x14ac:dyDescent="0.3">
      <c r="B1086" s="57">
        <v>1790816669566</v>
      </c>
      <c r="C1086" s="58">
        <v>1118</v>
      </c>
      <c r="D1086" s="59" t="s">
        <v>1677</v>
      </c>
      <c r="E1086" s="59" t="s">
        <v>3579</v>
      </c>
      <c r="F1086" s="59" t="s">
        <v>3580</v>
      </c>
      <c r="G1086" s="59" t="s">
        <v>3583</v>
      </c>
      <c r="H1086" s="59" t="s">
        <v>2281</v>
      </c>
      <c r="I1086" s="59" t="b">
        <v>1</v>
      </c>
      <c r="J1086" s="59"/>
      <c r="K1086" s="58">
        <v>436</v>
      </c>
      <c r="L1086" s="58">
        <v>1478</v>
      </c>
      <c r="M1086" s="59">
        <v>10</v>
      </c>
      <c r="N1086" s="59">
        <v>10</v>
      </c>
      <c r="O1086" s="59" t="s">
        <v>3581</v>
      </c>
      <c r="P1086" s="58">
        <v>1116</v>
      </c>
      <c r="Q1086" s="59">
        <v>0</v>
      </c>
      <c r="R1086" s="59">
        <v>0</v>
      </c>
      <c r="S1086" s="60">
        <f>tblJTL[[#This Row],[timeStamp]]/86400000+DATE(1970,1,1)+TIME(9,0,0)</f>
        <v>46296.419786643513</v>
      </c>
      <c r="T1086" s="57">
        <f>tblJTL[[#This Row],[timeStamp]]+tblJTL[[#This Row],[elapsed]]</f>
        <v>1790816670684</v>
      </c>
      <c r="U1086" s="61">
        <f>(tblJTL[[#This Row],[timeStamp]]-'17_分析サンプル'!$E$18)/1000</f>
        <v>269.38600000000002</v>
      </c>
      <c r="V1086" s="57">
        <f>INT(tblJTL[[#This Row],[経過秒]]/60)</f>
        <v>4</v>
      </c>
      <c r="W1086" s="57">
        <f>IF(OR(tblJTL[[#This Row],[success]]=FALSE,tblJTL[[#This Row],[success]]="false"),1,0)</f>
        <v>0</v>
      </c>
      <c r="X1086" s="57">
        <f>IF(AND(tblJTL[[#This Row],[経過秒]]&gt;='17_分析サンプル'!$E$11,tblJTL[[#This Row],[経過秒]]&lt;'17_分析サンプル'!$E$12),1,0)</f>
        <v>1</v>
      </c>
    </row>
    <row r="1087" spans="2:24" ht="14.4" x14ac:dyDescent="0.3">
      <c r="B1087" s="57">
        <v>1790816669848</v>
      </c>
      <c r="C1087" s="58">
        <v>988</v>
      </c>
      <c r="D1087" s="59" t="s">
        <v>1677</v>
      </c>
      <c r="E1087" s="59" t="s">
        <v>3579</v>
      </c>
      <c r="F1087" s="59" t="s">
        <v>3580</v>
      </c>
      <c r="G1087" s="59" t="s">
        <v>3586</v>
      </c>
      <c r="H1087" s="59" t="s">
        <v>2281</v>
      </c>
      <c r="I1087" s="59" t="b">
        <v>1</v>
      </c>
      <c r="J1087" s="59"/>
      <c r="K1087" s="58">
        <v>413</v>
      </c>
      <c r="L1087" s="58">
        <v>1478</v>
      </c>
      <c r="M1087" s="59">
        <v>10</v>
      </c>
      <c r="N1087" s="59">
        <v>10</v>
      </c>
      <c r="O1087" s="59" t="s">
        <v>3581</v>
      </c>
      <c r="P1087" s="58">
        <v>980</v>
      </c>
      <c r="Q1087" s="59">
        <v>0</v>
      </c>
      <c r="R1087" s="59">
        <v>0</v>
      </c>
      <c r="S1087" s="60">
        <f>tblJTL[[#This Row],[timeStamp]]/86400000+DATE(1970,1,1)+TIME(9,0,0)</f>
        <v>46296.419789907406</v>
      </c>
      <c r="T1087" s="57">
        <f>tblJTL[[#This Row],[timeStamp]]+tblJTL[[#This Row],[elapsed]]</f>
        <v>1790816670836</v>
      </c>
      <c r="U1087" s="61">
        <f>(tblJTL[[#This Row],[timeStamp]]-'17_分析サンプル'!$E$18)/1000</f>
        <v>269.66800000000001</v>
      </c>
      <c r="V1087" s="57">
        <f>INT(tblJTL[[#This Row],[経過秒]]/60)</f>
        <v>4</v>
      </c>
      <c r="W1087" s="57">
        <f>IF(OR(tblJTL[[#This Row],[success]]=FALSE,tblJTL[[#This Row],[success]]="false"),1,0)</f>
        <v>0</v>
      </c>
      <c r="X1087" s="57">
        <f>IF(AND(tblJTL[[#This Row],[経過秒]]&gt;='17_分析サンプル'!$E$11,tblJTL[[#This Row],[経過秒]]&lt;'17_分析サンプル'!$E$12),1,0)</f>
        <v>1</v>
      </c>
    </row>
    <row r="1088" spans="2:24" ht="14.4" x14ac:dyDescent="0.3">
      <c r="B1088" s="57">
        <v>1790816670753</v>
      </c>
      <c r="C1088" s="58">
        <v>190</v>
      </c>
      <c r="D1088" s="59" t="s">
        <v>1658</v>
      </c>
      <c r="E1088" s="59" t="s">
        <v>1577</v>
      </c>
      <c r="F1088" s="59" t="s">
        <v>2275</v>
      </c>
      <c r="G1088" s="59" t="s">
        <v>3577</v>
      </c>
      <c r="H1088" s="59" t="s">
        <v>2281</v>
      </c>
      <c r="I1088" s="59" t="b">
        <v>1</v>
      </c>
      <c r="J1088" s="59"/>
      <c r="K1088" s="58">
        <v>1899</v>
      </c>
      <c r="L1088" s="58">
        <v>1342</v>
      </c>
      <c r="M1088" s="59">
        <v>10</v>
      </c>
      <c r="N1088" s="59">
        <v>10</v>
      </c>
      <c r="O1088" s="59" t="s">
        <v>3578</v>
      </c>
      <c r="P1088" s="58">
        <v>188</v>
      </c>
      <c r="Q1088" s="59">
        <v>0</v>
      </c>
      <c r="R1088" s="59">
        <v>0</v>
      </c>
      <c r="S1088" s="60">
        <f>tblJTL[[#This Row],[timeStamp]]/86400000+DATE(1970,1,1)+TIME(9,0,0)</f>
        <v>46296.419800381947</v>
      </c>
      <c r="T1088" s="57">
        <f>tblJTL[[#This Row],[timeStamp]]+tblJTL[[#This Row],[elapsed]]</f>
        <v>1790816670943</v>
      </c>
      <c r="U1088" s="61">
        <f>(tblJTL[[#This Row],[timeStamp]]-'17_分析サンプル'!$E$18)/1000</f>
        <v>270.57299999999998</v>
      </c>
      <c r="V1088" s="57">
        <f>INT(tblJTL[[#This Row],[経過秒]]/60)</f>
        <v>4</v>
      </c>
      <c r="W1088" s="57">
        <f>IF(OR(tblJTL[[#This Row],[success]]=FALSE,tblJTL[[#This Row],[success]]="false"),1,0)</f>
        <v>0</v>
      </c>
      <c r="X1088" s="57">
        <f>IF(AND(tblJTL[[#This Row],[経過秒]]&gt;='17_分析サンプル'!$E$11,tblJTL[[#This Row],[経過秒]]&lt;'17_分析サンプル'!$E$12),1,0)</f>
        <v>1</v>
      </c>
    </row>
    <row r="1089" spans="2:24" ht="14.4" x14ac:dyDescent="0.3">
      <c r="B1089" s="57">
        <v>1790816670579</v>
      </c>
      <c r="C1089" s="58">
        <v>991</v>
      </c>
      <c r="D1089" s="59" t="s">
        <v>1677</v>
      </c>
      <c r="E1089" s="59" t="s">
        <v>3579</v>
      </c>
      <c r="F1089" s="59" t="s">
        <v>3580</v>
      </c>
      <c r="G1089" s="59" t="s">
        <v>3582</v>
      </c>
      <c r="H1089" s="59" t="s">
        <v>2281</v>
      </c>
      <c r="I1089" s="59" t="b">
        <v>1</v>
      </c>
      <c r="J1089" s="59"/>
      <c r="K1089" s="58">
        <v>423</v>
      </c>
      <c r="L1089" s="58">
        <v>1478</v>
      </c>
      <c r="M1089" s="59">
        <v>10</v>
      </c>
      <c r="N1089" s="59">
        <v>10</v>
      </c>
      <c r="O1089" s="59" t="s">
        <v>3581</v>
      </c>
      <c r="P1089" s="58">
        <v>988</v>
      </c>
      <c r="Q1089" s="59">
        <v>0</v>
      </c>
      <c r="R1089" s="59">
        <v>0</v>
      </c>
      <c r="S1089" s="60">
        <f>tblJTL[[#This Row],[timeStamp]]/86400000+DATE(1970,1,1)+TIME(9,0,0)</f>
        <v>46296.419798368057</v>
      </c>
      <c r="T1089" s="57">
        <f>tblJTL[[#This Row],[timeStamp]]+tblJTL[[#This Row],[elapsed]]</f>
        <v>1790816671570</v>
      </c>
      <c r="U1089" s="61">
        <f>(tblJTL[[#This Row],[timeStamp]]-'17_分析サンプル'!$E$18)/1000</f>
        <v>270.399</v>
      </c>
      <c r="V1089" s="57">
        <f>INT(tblJTL[[#This Row],[経過秒]]/60)</f>
        <v>4</v>
      </c>
      <c r="W1089" s="57">
        <f>IF(OR(tblJTL[[#This Row],[success]]=FALSE,tblJTL[[#This Row],[success]]="false"),1,0)</f>
        <v>0</v>
      </c>
      <c r="X1089" s="57">
        <f>IF(AND(tblJTL[[#This Row],[経過秒]]&gt;='17_分析サンプル'!$E$11,tblJTL[[#This Row],[経過秒]]&lt;'17_分析サンプル'!$E$12),1,0)</f>
        <v>1</v>
      </c>
    </row>
    <row r="1090" spans="2:24" ht="14.4" x14ac:dyDescent="0.3">
      <c r="B1090" s="57">
        <v>1790816671779</v>
      </c>
      <c r="C1090" s="58">
        <v>218</v>
      </c>
      <c r="D1090" s="59" t="s">
        <v>1658</v>
      </c>
      <c r="E1090" s="59" t="s">
        <v>1577</v>
      </c>
      <c r="F1090" s="59" t="s">
        <v>2275</v>
      </c>
      <c r="G1090" s="59" t="s">
        <v>3583</v>
      </c>
      <c r="H1090" s="59" t="s">
        <v>2281</v>
      </c>
      <c r="I1090" s="59" t="b">
        <v>1</v>
      </c>
      <c r="J1090" s="59"/>
      <c r="K1090" s="58">
        <v>1870</v>
      </c>
      <c r="L1090" s="58">
        <v>1342</v>
      </c>
      <c r="M1090" s="59">
        <v>10</v>
      </c>
      <c r="N1090" s="59">
        <v>10</v>
      </c>
      <c r="O1090" s="59" t="s">
        <v>3578</v>
      </c>
      <c r="P1090" s="58">
        <v>211</v>
      </c>
      <c r="Q1090" s="59">
        <v>0</v>
      </c>
      <c r="R1090" s="59">
        <v>0</v>
      </c>
      <c r="S1090" s="60">
        <f>tblJTL[[#This Row],[timeStamp]]/86400000+DATE(1970,1,1)+TIME(9,0,0)</f>
        <v>46296.419812256943</v>
      </c>
      <c r="T1090" s="57">
        <f>tblJTL[[#This Row],[timeStamp]]+tblJTL[[#This Row],[elapsed]]</f>
        <v>1790816671997</v>
      </c>
      <c r="U1090" s="61">
        <f>(tblJTL[[#This Row],[timeStamp]]-'17_分析サンプル'!$E$18)/1000</f>
        <v>271.59899999999999</v>
      </c>
      <c r="V1090" s="57">
        <f>INT(tblJTL[[#This Row],[経過秒]]/60)</f>
        <v>4</v>
      </c>
      <c r="W1090" s="57">
        <f>IF(OR(tblJTL[[#This Row],[success]]=FALSE,tblJTL[[#This Row],[success]]="false"),1,0)</f>
        <v>0</v>
      </c>
      <c r="X1090" s="57">
        <f>IF(AND(tblJTL[[#This Row],[経過秒]]&gt;='17_分析サンプル'!$E$11,tblJTL[[#This Row],[経過秒]]&lt;'17_分析サンプル'!$E$12),1,0)</f>
        <v>1</v>
      </c>
    </row>
    <row r="1091" spans="2:24" ht="14.4" x14ac:dyDescent="0.3">
      <c r="B1091" s="57">
        <v>1790816670978</v>
      </c>
      <c r="C1091" s="58">
        <v>1310</v>
      </c>
      <c r="D1091" s="59" t="s">
        <v>1677</v>
      </c>
      <c r="E1091" s="59" t="s">
        <v>3579</v>
      </c>
      <c r="F1091" s="59" t="s">
        <v>3580</v>
      </c>
      <c r="G1091" s="59" t="s">
        <v>3588</v>
      </c>
      <c r="H1091" s="59" t="s">
        <v>2281</v>
      </c>
      <c r="I1091" s="59" t="b">
        <v>1</v>
      </c>
      <c r="J1091" s="59"/>
      <c r="K1091" s="58">
        <v>434</v>
      </c>
      <c r="L1091" s="58">
        <v>1478</v>
      </c>
      <c r="M1091" s="59">
        <v>10</v>
      </c>
      <c r="N1091" s="59">
        <v>10</v>
      </c>
      <c r="O1091" s="59" t="s">
        <v>3581</v>
      </c>
      <c r="P1091" s="58">
        <v>1307</v>
      </c>
      <c r="Q1091" s="59">
        <v>0</v>
      </c>
      <c r="R1091" s="59">
        <v>0</v>
      </c>
      <c r="S1091" s="60">
        <f>tblJTL[[#This Row],[timeStamp]]/86400000+DATE(1970,1,1)+TIME(9,0,0)</f>
        <v>46296.419802986115</v>
      </c>
      <c r="T1091" s="57">
        <f>tblJTL[[#This Row],[timeStamp]]+tblJTL[[#This Row],[elapsed]]</f>
        <v>1790816672288</v>
      </c>
      <c r="U1091" s="61">
        <f>(tblJTL[[#This Row],[timeStamp]]-'17_分析サンプル'!$E$18)/1000</f>
        <v>270.798</v>
      </c>
      <c r="V1091" s="57">
        <f>INT(tblJTL[[#This Row],[経過秒]]/60)</f>
        <v>4</v>
      </c>
      <c r="W1091" s="57">
        <f>IF(OR(tblJTL[[#This Row],[success]]=FALSE,tblJTL[[#This Row],[success]]="false"),1,0)</f>
        <v>0</v>
      </c>
      <c r="X1091" s="57">
        <f>IF(AND(tblJTL[[#This Row],[経過秒]]&gt;='17_分析サンプル'!$E$11,tblJTL[[#This Row],[経過秒]]&lt;'17_分析サンプル'!$E$12),1,0)</f>
        <v>1</v>
      </c>
    </row>
    <row r="1092" spans="2:24" ht="14.4" x14ac:dyDescent="0.3">
      <c r="B1092" s="57">
        <v>1790816672135</v>
      </c>
      <c r="C1092" s="58">
        <v>408</v>
      </c>
      <c r="D1092" s="59" t="s">
        <v>1658</v>
      </c>
      <c r="E1092" s="59" t="s">
        <v>1577</v>
      </c>
      <c r="F1092" s="59" t="s">
        <v>2275</v>
      </c>
      <c r="G1092" s="59" t="s">
        <v>3584</v>
      </c>
      <c r="H1092" s="59" t="s">
        <v>2281</v>
      </c>
      <c r="I1092" s="59" t="b">
        <v>1</v>
      </c>
      <c r="J1092" s="59"/>
      <c r="K1092" s="58">
        <v>1848</v>
      </c>
      <c r="L1092" s="58">
        <v>1342</v>
      </c>
      <c r="M1092" s="59">
        <v>10</v>
      </c>
      <c r="N1092" s="59">
        <v>10</v>
      </c>
      <c r="O1092" s="59" t="s">
        <v>3578</v>
      </c>
      <c r="P1092" s="58">
        <v>402</v>
      </c>
      <c r="Q1092" s="59">
        <v>0</v>
      </c>
      <c r="R1092" s="59">
        <v>70</v>
      </c>
      <c r="S1092" s="60">
        <f>tblJTL[[#This Row],[timeStamp]]/86400000+DATE(1970,1,1)+TIME(9,0,0)</f>
        <v>46296.419816377311</v>
      </c>
      <c r="T1092" s="57">
        <f>tblJTL[[#This Row],[timeStamp]]+tblJTL[[#This Row],[elapsed]]</f>
        <v>1790816672543</v>
      </c>
      <c r="U1092" s="61">
        <f>(tblJTL[[#This Row],[timeStamp]]-'17_分析サンプル'!$E$18)/1000</f>
        <v>271.95499999999998</v>
      </c>
      <c r="V1092" s="57">
        <f>INT(tblJTL[[#This Row],[経過秒]]/60)</f>
        <v>4</v>
      </c>
      <c r="W1092" s="57">
        <f>IF(OR(tblJTL[[#This Row],[success]]=FALSE,tblJTL[[#This Row],[success]]="false"),1,0)</f>
        <v>0</v>
      </c>
      <c r="X1092" s="57">
        <f>IF(AND(tblJTL[[#This Row],[経過秒]]&gt;='17_分析サンプル'!$E$11,tblJTL[[#This Row],[経過秒]]&lt;'17_分析サンプル'!$E$12),1,0)</f>
        <v>1</v>
      </c>
    </row>
    <row r="1093" spans="2:24" ht="14.4" x14ac:dyDescent="0.3">
      <c r="B1093" s="57">
        <v>1790816671577</v>
      </c>
      <c r="C1093" s="58">
        <v>1421</v>
      </c>
      <c r="D1093" s="59" t="s">
        <v>1677</v>
      </c>
      <c r="E1093" s="59" t="s">
        <v>3579</v>
      </c>
      <c r="F1093" s="59" t="s">
        <v>3580</v>
      </c>
      <c r="G1093" s="59" t="s">
        <v>2278</v>
      </c>
      <c r="H1093" s="59" t="s">
        <v>2281</v>
      </c>
      <c r="I1093" s="59" t="b">
        <v>1</v>
      </c>
      <c r="J1093" s="59"/>
      <c r="K1093" s="58">
        <v>438</v>
      </c>
      <c r="L1093" s="58">
        <v>1478</v>
      </c>
      <c r="M1093" s="59">
        <v>10</v>
      </c>
      <c r="N1093" s="59">
        <v>10</v>
      </c>
      <c r="O1093" s="59" t="s">
        <v>3581</v>
      </c>
      <c r="P1093" s="58">
        <v>1419</v>
      </c>
      <c r="Q1093" s="59">
        <v>0</v>
      </c>
      <c r="R1093" s="59">
        <v>0</v>
      </c>
      <c r="S1093" s="60">
        <f>tblJTL[[#This Row],[timeStamp]]/86400000+DATE(1970,1,1)+TIME(9,0,0)</f>
        <v>46296.419809918982</v>
      </c>
      <c r="T1093" s="57">
        <f>tblJTL[[#This Row],[timeStamp]]+tblJTL[[#This Row],[elapsed]]</f>
        <v>1790816672998</v>
      </c>
      <c r="U1093" s="61">
        <f>(tblJTL[[#This Row],[timeStamp]]-'17_分析サンプル'!$E$18)/1000</f>
        <v>271.39699999999999</v>
      </c>
      <c r="V1093" s="57">
        <f>INT(tblJTL[[#This Row],[経過秒]]/60)</f>
        <v>4</v>
      </c>
      <c r="W1093" s="57">
        <f>IF(OR(tblJTL[[#This Row],[success]]=FALSE,tblJTL[[#This Row],[success]]="false"),1,0)</f>
        <v>0</v>
      </c>
      <c r="X1093" s="57">
        <f>IF(AND(tblJTL[[#This Row],[経過秒]]&gt;='17_分析サンプル'!$E$11,tblJTL[[#This Row],[経過秒]]&lt;'17_分析サンプル'!$E$12),1,0)</f>
        <v>1</v>
      </c>
    </row>
    <row r="1094" spans="2:24" ht="14.4" x14ac:dyDescent="0.3">
      <c r="B1094" s="57">
        <v>1790816670913</v>
      </c>
      <c r="C1094" s="58">
        <v>2378</v>
      </c>
      <c r="D1094" s="59" t="s">
        <v>1677</v>
      </c>
      <c r="E1094" s="59" t="s">
        <v>3579</v>
      </c>
      <c r="F1094" s="59" t="s">
        <v>3580</v>
      </c>
      <c r="G1094" s="59" t="s">
        <v>3585</v>
      </c>
      <c r="H1094" s="59" t="s">
        <v>2281</v>
      </c>
      <c r="I1094" s="59" t="b">
        <v>1</v>
      </c>
      <c r="J1094" s="59"/>
      <c r="K1094" s="58">
        <v>438</v>
      </c>
      <c r="L1094" s="58">
        <v>1478</v>
      </c>
      <c r="M1094" s="59">
        <v>10</v>
      </c>
      <c r="N1094" s="59">
        <v>10</v>
      </c>
      <c r="O1094" s="59" t="s">
        <v>3581</v>
      </c>
      <c r="P1094" s="58">
        <v>2372</v>
      </c>
      <c r="Q1094" s="59">
        <v>0</v>
      </c>
      <c r="R1094" s="59">
        <v>0</v>
      </c>
      <c r="S1094" s="60">
        <f>tblJTL[[#This Row],[timeStamp]]/86400000+DATE(1970,1,1)+TIME(9,0,0)</f>
        <v>46296.419802233795</v>
      </c>
      <c r="T1094" s="57">
        <f>tblJTL[[#This Row],[timeStamp]]+tblJTL[[#This Row],[elapsed]]</f>
        <v>1790816673291</v>
      </c>
      <c r="U1094" s="61">
        <f>(tblJTL[[#This Row],[timeStamp]]-'17_分析サンプル'!$E$18)/1000</f>
        <v>270.733</v>
      </c>
      <c r="V1094" s="57">
        <f>INT(tblJTL[[#This Row],[経過秒]]/60)</f>
        <v>4</v>
      </c>
      <c r="W1094" s="57">
        <f>IF(OR(tblJTL[[#This Row],[success]]=FALSE,tblJTL[[#This Row],[success]]="false"),1,0)</f>
        <v>0</v>
      </c>
      <c r="X1094" s="57">
        <f>IF(AND(tblJTL[[#This Row],[経過秒]]&gt;='17_分析サンプル'!$E$11,tblJTL[[#This Row],[経過秒]]&lt;'17_分析サンプル'!$E$12),1,0)</f>
        <v>1</v>
      </c>
    </row>
    <row r="1095" spans="2:24" ht="14.4" x14ac:dyDescent="0.3">
      <c r="B1095" s="57">
        <v>1790816673407</v>
      </c>
      <c r="C1095" s="58">
        <v>40</v>
      </c>
      <c r="D1095" s="59" t="s">
        <v>1658</v>
      </c>
      <c r="E1095" s="59" t="s">
        <v>3590</v>
      </c>
      <c r="F1095" s="59" t="s">
        <v>3591</v>
      </c>
      <c r="G1095" s="59" t="s">
        <v>3589</v>
      </c>
      <c r="H1095" s="59" t="s">
        <v>2281</v>
      </c>
      <c r="I1095" s="59" t="b">
        <v>0</v>
      </c>
      <c r="J1095" s="59" t="s">
        <v>3592</v>
      </c>
      <c r="K1095" s="58">
        <v>237</v>
      </c>
      <c r="L1095" s="58">
        <v>1342</v>
      </c>
      <c r="M1095" s="59">
        <v>10</v>
      </c>
      <c r="N1095" s="59">
        <v>10</v>
      </c>
      <c r="O1095" s="59" t="s">
        <v>3578</v>
      </c>
      <c r="P1095" s="58">
        <v>35</v>
      </c>
      <c r="Q1095" s="59">
        <v>0</v>
      </c>
      <c r="R1095" s="59">
        <v>0</v>
      </c>
      <c r="S1095" s="60">
        <f>tblJTL[[#This Row],[timeStamp]]/86400000+DATE(1970,1,1)+TIME(9,0,0)</f>
        <v>46296.419831099542</v>
      </c>
      <c r="T1095" s="57">
        <f>tblJTL[[#This Row],[timeStamp]]+tblJTL[[#This Row],[elapsed]]</f>
        <v>1790816673447</v>
      </c>
      <c r="U1095" s="61">
        <f>(tblJTL[[#This Row],[timeStamp]]-'17_分析サンプル'!$E$18)/1000</f>
        <v>273.22699999999998</v>
      </c>
      <c r="V1095" s="57">
        <f>INT(tblJTL[[#This Row],[経過秒]]/60)</f>
        <v>4</v>
      </c>
      <c r="W1095" s="57">
        <f>IF(OR(tblJTL[[#This Row],[success]]=FALSE,tblJTL[[#This Row],[success]]="false"),1,0)</f>
        <v>1</v>
      </c>
      <c r="X1095" s="57">
        <f>IF(AND(tblJTL[[#This Row],[経過秒]]&gt;='17_分析サンプル'!$E$11,tblJTL[[#This Row],[経過秒]]&lt;'17_分析サンプル'!$E$12),1,0)</f>
        <v>1</v>
      </c>
    </row>
    <row r="1096" spans="2:24" ht="14.4" x14ac:dyDescent="0.3">
      <c r="B1096" s="57">
        <v>1790816673384</v>
      </c>
      <c r="C1096" s="58">
        <v>180</v>
      </c>
      <c r="D1096" s="59" t="s">
        <v>1658</v>
      </c>
      <c r="E1096" s="59" t="s">
        <v>1577</v>
      </c>
      <c r="F1096" s="59" t="s">
        <v>2275</v>
      </c>
      <c r="G1096" s="59" t="s">
        <v>3586</v>
      </c>
      <c r="H1096" s="59" t="s">
        <v>2281</v>
      </c>
      <c r="I1096" s="59" t="b">
        <v>1</v>
      </c>
      <c r="J1096" s="59"/>
      <c r="K1096" s="58">
        <v>1837</v>
      </c>
      <c r="L1096" s="58">
        <v>1342</v>
      </c>
      <c r="M1096" s="59">
        <v>10</v>
      </c>
      <c r="N1096" s="59">
        <v>10</v>
      </c>
      <c r="O1096" s="59" t="s">
        <v>3578</v>
      </c>
      <c r="P1096" s="58">
        <v>177</v>
      </c>
      <c r="Q1096" s="59">
        <v>0</v>
      </c>
      <c r="R1096" s="59">
        <v>0</v>
      </c>
      <c r="S1096" s="60">
        <f>tblJTL[[#This Row],[timeStamp]]/86400000+DATE(1970,1,1)+TIME(9,0,0)</f>
        <v>46296.419830833329</v>
      </c>
      <c r="T1096" s="57">
        <f>tblJTL[[#This Row],[timeStamp]]+tblJTL[[#This Row],[elapsed]]</f>
        <v>1790816673564</v>
      </c>
      <c r="U1096" s="61">
        <f>(tblJTL[[#This Row],[timeStamp]]-'17_分析サンプル'!$E$18)/1000</f>
        <v>273.20400000000001</v>
      </c>
      <c r="V1096" s="57">
        <f>INT(tblJTL[[#This Row],[経過秒]]/60)</f>
        <v>4</v>
      </c>
      <c r="W1096" s="57">
        <f>IF(OR(tblJTL[[#This Row],[success]]=FALSE,tblJTL[[#This Row],[success]]="false"),1,0)</f>
        <v>0</v>
      </c>
      <c r="X1096" s="57">
        <f>IF(AND(tblJTL[[#This Row],[経過秒]]&gt;='17_分析サンプル'!$E$11,tblJTL[[#This Row],[経過秒]]&lt;'17_分析サンプル'!$E$12),1,0)</f>
        <v>1</v>
      </c>
    </row>
    <row r="1097" spans="2:24" ht="14.4" x14ac:dyDescent="0.3">
      <c r="B1097" s="57">
        <v>1790816673591</v>
      </c>
      <c r="C1097" s="58">
        <v>569</v>
      </c>
      <c r="D1097" s="59" t="s">
        <v>1677</v>
      </c>
      <c r="E1097" s="59" t="s">
        <v>3579</v>
      </c>
      <c r="F1097" s="59" t="s">
        <v>3580</v>
      </c>
      <c r="G1097" s="59" t="s">
        <v>3584</v>
      </c>
      <c r="H1097" s="59" t="s">
        <v>2281</v>
      </c>
      <c r="I1097" s="59" t="b">
        <v>1</v>
      </c>
      <c r="J1097" s="59"/>
      <c r="K1097" s="58">
        <v>414</v>
      </c>
      <c r="L1097" s="58">
        <v>1478</v>
      </c>
      <c r="M1097" s="59">
        <v>10</v>
      </c>
      <c r="N1097" s="59">
        <v>10</v>
      </c>
      <c r="O1097" s="59" t="s">
        <v>3581</v>
      </c>
      <c r="P1097" s="58">
        <v>561</v>
      </c>
      <c r="Q1097" s="59">
        <v>0</v>
      </c>
      <c r="R1097" s="59">
        <v>0</v>
      </c>
      <c r="S1097" s="60">
        <f>tblJTL[[#This Row],[timeStamp]]/86400000+DATE(1970,1,1)+TIME(9,0,0)</f>
        <v>46296.419833229171</v>
      </c>
      <c r="T1097" s="57">
        <f>tblJTL[[#This Row],[timeStamp]]+tblJTL[[#This Row],[elapsed]]</f>
        <v>1790816674160</v>
      </c>
      <c r="U1097" s="61">
        <f>(tblJTL[[#This Row],[timeStamp]]-'17_分析サンプル'!$E$18)/1000</f>
        <v>273.411</v>
      </c>
      <c r="V1097" s="57">
        <f>INT(tblJTL[[#This Row],[経過秒]]/60)</f>
        <v>4</v>
      </c>
      <c r="W1097" s="57">
        <f>IF(OR(tblJTL[[#This Row],[success]]=FALSE,tblJTL[[#This Row],[success]]="false"),1,0)</f>
        <v>0</v>
      </c>
      <c r="X1097" s="57">
        <f>IF(AND(tblJTL[[#This Row],[経過秒]]&gt;='17_分析サンプル'!$E$11,tblJTL[[#This Row],[経過秒]]&lt;'17_分析サンプル'!$E$12),1,0)</f>
        <v>1</v>
      </c>
    </row>
    <row r="1098" spans="2:24" ht="14.4" x14ac:dyDescent="0.3">
      <c r="B1098" s="57">
        <v>1790816673968</v>
      </c>
      <c r="C1098" s="58">
        <v>257</v>
      </c>
      <c r="D1098" s="59" t="s">
        <v>1658</v>
      </c>
      <c r="E1098" s="59" t="s">
        <v>1577</v>
      </c>
      <c r="F1098" s="59" t="s">
        <v>2275</v>
      </c>
      <c r="G1098" s="59" t="s">
        <v>3582</v>
      </c>
      <c r="H1098" s="59" t="s">
        <v>2281</v>
      </c>
      <c r="I1098" s="59" t="b">
        <v>1</v>
      </c>
      <c r="J1098" s="59"/>
      <c r="K1098" s="58">
        <v>1881</v>
      </c>
      <c r="L1098" s="58">
        <v>1342</v>
      </c>
      <c r="M1098" s="59">
        <v>10</v>
      </c>
      <c r="N1098" s="59">
        <v>10</v>
      </c>
      <c r="O1098" s="59" t="s">
        <v>3578</v>
      </c>
      <c r="P1098" s="58">
        <v>255</v>
      </c>
      <c r="Q1098" s="59">
        <v>0</v>
      </c>
      <c r="R1098" s="59">
        <v>0</v>
      </c>
      <c r="S1098" s="60">
        <f>tblJTL[[#This Row],[timeStamp]]/86400000+DATE(1970,1,1)+TIME(9,0,0)</f>
        <v>46296.419837592592</v>
      </c>
      <c r="T1098" s="57">
        <f>tblJTL[[#This Row],[timeStamp]]+tblJTL[[#This Row],[elapsed]]</f>
        <v>1790816674225</v>
      </c>
      <c r="U1098" s="61">
        <f>(tblJTL[[#This Row],[timeStamp]]-'17_分析サンプル'!$E$18)/1000</f>
        <v>273.78800000000001</v>
      </c>
      <c r="V1098" s="57">
        <f>INT(tblJTL[[#This Row],[経過秒]]/60)</f>
        <v>4</v>
      </c>
      <c r="W1098" s="57">
        <f>IF(OR(tblJTL[[#This Row],[success]]=FALSE,tblJTL[[#This Row],[success]]="false"),1,0)</f>
        <v>0</v>
      </c>
      <c r="X1098" s="57">
        <f>IF(AND(tblJTL[[#This Row],[経過秒]]&gt;='17_分析サンプル'!$E$11,tblJTL[[#This Row],[経過秒]]&lt;'17_分析サンプル'!$E$12),1,0)</f>
        <v>1</v>
      </c>
    </row>
    <row r="1099" spans="2:24" ht="14.4" x14ac:dyDescent="0.3">
      <c r="B1099" s="57">
        <v>1790816674354</v>
      </c>
      <c r="C1099" s="58">
        <v>167</v>
      </c>
      <c r="D1099" s="59" t="s">
        <v>1658</v>
      </c>
      <c r="E1099" s="59" t="s">
        <v>1577</v>
      </c>
      <c r="F1099" s="59" t="s">
        <v>2275</v>
      </c>
      <c r="G1099" s="59" t="s">
        <v>3588</v>
      </c>
      <c r="H1099" s="59" t="s">
        <v>2281</v>
      </c>
      <c r="I1099" s="59" t="b">
        <v>1</v>
      </c>
      <c r="J1099" s="59"/>
      <c r="K1099" s="58">
        <v>1897</v>
      </c>
      <c r="L1099" s="58">
        <v>1342</v>
      </c>
      <c r="M1099" s="59">
        <v>10</v>
      </c>
      <c r="N1099" s="59">
        <v>10</v>
      </c>
      <c r="O1099" s="59" t="s">
        <v>3578</v>
      </c>
      <c r="P1099" s="58">
        <v>159</v>
      </c>
      <c r="Q1099" s="59">
        <v>0</v>
      </c>
      <c r="R1099" s="59">
        <v>0</v>
      </c>
      <c r="S1099" s="60">
        <f>tblJTL[[#This Row],[timeStamp]]/86400000+DATE(1970,1,1)+TIME(9,0,0)</f>
        <v>46296.41984206019</v>
      </c>
      <c r="T1099" s="57">
        <f>tblJTL[[#This Row],[timeStamp]]+tblJTL[[#This Row],[elapsed]]</f>
        <v>1790816674521</v>
      </c>
      <c r="U1099" s="61">
        <f>(tblJTL[[#This Row],[timeStamp]]-'17_分析サンプル'!$E$18)/1000</f>
        <v>274.17399999999998</v>
      </c>
      <c r="V1099" s="57">
        <f>INT(tblJTL[[#This Row],[経過秒]]/60)</f>
        <v>4</v>
      </c>
      <c r="W1099" s="57">
        <f>IF(OR(tblJTL[[#This Row],[success]]=FALSE,tblJTL[[#This Row],[success]]="false"),1,0)</f>
        <v>0</v>
      </c>
      <c r="X1099" s="57">
        <f>IF(AND(tblJTL[[#This Row],[経過秒]]&gt;='17_分析サンプル'!$E$11,tblJTL[[#This Row],[経過秒]]&lt;'17_分析サンプル'!$E$12),1,0)</f>
        <v>1</v>
      </c>
    </row>
    <row r="1100" spans="2:24" ht="14.4" x14ac:dyDescent="0.3">
      <c r="B1100" s="57">
        <v>1790816674442</v>
      </c>
      <c r="C1100" s="58">
        <v>219</v>
      </c>
      <c r="D1100" s="59" t="s">
        <v>1658</v>
      </c>
      <c r="E1100" s="59" t="s">
        <v>1577</v>
      </c>
      <c r="F1100" s="59" t="s">
        <v>2275</v>
      </c>
      <c r="G1100" s="59" t="s">
        <v>3585</v>
      </c>
      <c r="H1100" s="59" t="s">
        <v>2281</v>
      </c>
      <c r="I1100" s="59" t="b">
        <v>1</v>
      </c>
      <c r="J1100" s="59"/>
      <c r="K1100" s="58">
        <v>1865</v>
      </c>
      <c r="L1100" s="58">
        <v>1342</v>
      </c>
      <c r="M1100" s="59">
        <v>10</v>
      </c>
      <c r="N1100" s="59">
        <v>10</v>
      </c>
      <c r="O1100" s="59" t="s">
        <v>3578</v>
      </c>
      <c r="P1100" s="58">
        <v>216</v>
      </c>
      <c r="Q1100" s="59">
        <v>0</v>
      </c>
      <c r="R1100" s="59">
        <v>0</v>
      </c>
      <c r="S1100" s="60">
        <f>tblJTL[[#This Row],[timeStamp]]/86400000+DATE(1970,1,1)+TIME(9,0,0)</f>
        <v>46296.419843078707</v>
      </c>
      <c r="T1100" s="57">
        <f>tblJTL[[#This Row],[timeStamp]]+tblJTL[[#This Row],[elapsed]]</f>
        <v>1790816674661</v>
      </c>
      <c r="U1100" s="61">
        <f>(tblJTL[[#This Row],[timeStamp]]-'17_分析サンプル'!$E$18)/1000</f>
        <v>274.262</v>
      </c>
      <c r="V1100" s="57">
        <f>INT(tblJTL[[#This Row],[経過秒]]/60)</f>
        <v>4</v>
      </c>
      <c r="W1100" s="57">
        <f>IF(OR(tblJTL[[#This Row],[success]]=FALSE,tblJTL[[#This Row],[success]]="false"),1,0)</f>
        <v>0</v>
      </c>
      <c r="X1100" s="57">
        <f>IF(AND(tblJTL[[#This Row],[経過秒]]&gt;='17_分析サンプル'!$E$11,tblJTL[[#This Row],[経過秒]]&lt;'17_分析サンプル'!$E$12),1,0)</f>
        <v>1</v>
      </c>
    </row>
    <row r="1101" spans="2:24" ht="14.4" x14ac:dyDescent="0.3">
      <c r="B1101" s="57">
        <v>1790816672743</v>
      </c>
      <c r="C1101" s="58">
        <v>1957</v>
      </c>
      <c r="D1101" s="59" t="s">
        <v>1677</v>
      </c>
      <c r="E1101" s="59" t="s">
        <v>3579</v>
      </c>
      <c r="F1101" s="59" t="s">
        <v>3580</v>
      </c>
      <c r="G1101" s="59" t="s">
        <v>3577</v>
      </c>
      <c r="H1101" s="59" t="s">
        <v>2281</v>
      </c>
      <c r="I1101" s="59" t="b">
        <v>1</v>
      </c>
      <c r="J1101" s="59"/>
      <c r="K1101" s="58">
        <v>429</v>
      </c>
      <c r="L1101" s="58">
        <v>1478</v>
      </c>
      <c r="M1101" s="59">
        <v>10</v>
      </c>
      <c r="N1101" s="59">
        <v>10</v>
      </c>
      <c r="O1101" s="59" t="s">
        <v>3581</v>
      </c>
      <c r="P1101" s="58">
        <v>1952</v>
      </c>
      <c r="Q1101" s="59">
        <v>0</v>
      </c>
      <c r="R1101" s="59">
        <v>0</v>
      </c>
      <c r="S1101" s="60">
        <f>tblJTL[[#This Row],[timeStamp]]/86400000+DATE(1970,1,1)+TIME(9,0,0)</f>
        <v>46296.419823414355</v>
      </c>
      <c r="T1101" s="57">
        <f>tblJTL[[#This Row],[timeStamp]]+tblJTL[[#This Row],[elapsed]]</f>
        <v>1790816674700</v>
      </c>
      <c r="U1101" s="61">
        <f>(tblJTL[[#This Row],[timeStamp]]-'17_分析サンプル'!$E$18)/1000</f>
        <v>272.56299999999999</v>
      </c>
      <c r="V1101" s="57">
        <f>INT(tblJTL[[#This Row],[経過秒]]/60)</f>
        <v>4</v>
      </c>
      <c r="W1101" s="57">
        <f>IF(OR(tblJTL[[#This Row],[success]]=FALSE,tblJTL[[#This Row],[success]]="false"),1,0)</f>
        <v>0</v>
      </c>
      <c r="X1101" s="57">
        <f>IF(AND(tblJTL[[#This Row],[経過秒]]&gt;='17_分析サンプル'!$E$11,tblJTL[[#This Row],[経過秒]]&lt;'17_分析サンプル'!$E$12),1,0)</f>
        <v>1</v>
      </c>
    </row>
    <row r="1102" spans="2:24" ht="14.4" x14ac:dyDescent="0.3">
      <c r="B1102" s="57">
        <v>1790816673305</v>
      </c>
      <c r="C1102" s="58">
        <v>1928</v>
      </c>
      <c r="D1102" s="59" t="s">
        <v>1677</v>
      </c>
      <c r="E1102" s="59" t="s">
        <v>3579</v>
      </c>
      <c r="F1102" s="59" t="s">
        <v>3580</v>
      </c>
      <c r="G1102" s="59" t="s">
        <v>3587</v>
      </c>
      <c r="H1102" s="59" t="s">
        <v>2281</v>
      </c>
      <c r="I1102" s="59" t="b">
        <v>1</v>
      </c>
      <c r="J1102" s="59"/>
      <c r="K1102" s="58">
        <v>438</v>
      </c>
      <c r="L1102" s="58">
        <v>1478</v>
      </c>
      <c r="M1102" s="59">
        <v>10</v>
      </c>
      <c r="N1102" s="59">
        <v>10</v>
      </c>
      <c r="O1102" s="59" t="s">
        <v>3581</v>
      </c>
      <c r="P1102" s="58">
        <v>1920</v>
      </c>
      <c r="Q1102" s="59">
        <v>0</v>
      </c>
      <c r="R1102" s="59">
        <v>0</v>
      </c>
      <c r="S1102" s="60">
        <f>tblJTL[[#This Row],[timeStamp]]/86400000+DATE(1970,1,1)+TIME(9,0,0)</f>
        <v>46296.419829918981</v>
      </c>
      <c r="T1102" s="57">
        <f>tblJTL[[#This Row],[timeStamp]]+tblJTL[[#This Row],[elapsed]]</f>
        <v>1790816675233</v>
      </c>
      <c r="U1102" s="61">
        <f>(tblJTL[[#This Row],[timeStamp]]-'17_分析サンプル'!$E$18)/1000</f>
        <v>273.125</v>
      </c>
      <c r="V1102" s="57">
        <f>INT(tblJTL[[#This Row],[経過秒]]/60)</f>
        <v>4</v>
      </c>
      <c r="W1102" s="57">
        <f>IF(OR(tblJTL[[#This Row],[success]]=FALSE,tblJTL[[#This Row],[success]]="false"),1,0)</f>
        <v>0</v>
      </c>
      <c r="X1102" s="57">
        <f>IF(AND(tblJTL[[#This Row],[経過秒]]&gt;='17_分析サンプル'!$E$11,tblJTL[[#This Row],[経過秒]]&lt;'17_分析サンプル'!$E$12),1,0)</f>
        <v>1</v>
      </c>
    </row>
    <row r="1103" spans="2:24" ht="14.4" x14ac:dyDescent="0.3">
      <c r="B1103" s="57">
        <v>1790816674993</v>
      </c>
      <c r="C1103" s="58">
        <v>970</v>
      </c>
      <c r="D1103" s="59" t="s">
        <v>1677</v>
      </c>
      <c r="E1103" s="59" t="s">
        <v>3579</v>
      </c>
      <c r="F1103" s="59" t="s">
        <v>3580</v>
      </c>
      <c r="G1103" s="59" t="s">
        <v>3583</v>
      </c>
      <c r="H1103" s="59" t="s">
        <v>2281</v>
      </c>
      <c r="I1103" s="59" t="b">
        <v>1</v>
      </c>
      <c r="J1103" s="59"/>
      <c r="K1103" s="58">
        <v>436</v>
      </c>
      <c r="L1103" s="58">
        <v>1478</v>
      </c>
      <c r="M1103" s="59">
        <v>10</v>
      </c>
      <c r="N1103" s="59">
        <v>10</v>
      </c>
      <c r="O1103" s="59" t="s">
        <v>3581</v>
      </c>
      <c r="P1103" s="58">
        <v>963</v>
      </c>
      <c r="Q1103" s="59">
        <v>0</v>
      </c>
      <c r="R1103" s="59">
        <v>0</v>
      </c>
      <c r="S1103" s="60">
        <f>tblJTL[[#This Row],[timeStamp]]/86400000+DATE(1970,1,1)+TIME(9,0,0)</f>
        <v>46296.419849456019</v>
      </c>
      <c r="T1103" s="57">
        <f>tblJTL[[#This Row],[timeStamp]]+tblJTL[[#This Row],[elapsed]]</f>
        <v>1790816675963</v>
      </c>
      <c r="U1103" s="61">
        <f>(tblJTL[[#This Row],[timeStamp]]-'17_分析サンプル'!$E$18)/1000</f>
        <v>274.81299999999999</v>
      </c>
      <c r="V1103" s="57">
        <f>INT(tblJTL[[#This Row],[経過秒]]/60)</f>
        <v>4</v>
      </c>
      <c r="W1103" s="57">
        <f>IF(OR(tblJTL[[#This Row],[success]]=FALSE,tblJTL[[#This Row],[success]]="false"),1,0)</f>
        <v>0</v>
      </c>
      <c r="X1103" s="57">
        <f>IF(AND(tblJTL[[#This Row],[経過秒]]&gt;='17_分析サンプル'!$E$11,tblJTL[[#This Row],[経過秒]]&lt;'17_分析サンプル'!$E$12),1,0)</f>
        <v>1</v>
      </c>
    </row>
    <row r="1104" spans="2:24" ht="14.4" x14ac:dyDescent="0.3">
      <c r="B1104" s="57">
        <v>1790816675673</v>
      </c>
      <c r="C1104" s="58">
        <v>374</v>
      </c>
      <c r="D1104" s="59" t="s">
        <v>1658</v>
      </c>
      <c r="E1104" s="59" t="s">
        <v>1577</v>
      </c>
      <c r="F1104" s="59" t="s">
        <v>2275</v>
      </c>
      <c r="G1104" s="59" t="s">
        <v>2278</v>
      </c>
      <c r="H1104" s="59" t="s">
        <v>2281</v>
      </c>
      <c r="I1104" s="59" t="b">
        <v>1</v>
      </c>
      <c r="J1104" s="59"/>
      <c r="K1104" s="58">
        <v>1878</v>
      </c>
      <c r="L1104" s="58">
        <v>1342</v>
      </c>
      <c r="M1104" s="59">
        <v>10</v>
      </c>
      <c r="N1104" s="59">
        <v>10</v>
      </c>
      <c r="O1104" s="59" t="s">
        <v>3578</v>
      </c>
      <c r="P1104" s="58">
        <v>369</v>
      </c>
      <c r="Q1104" s="59">
        <v>0</v>
      </c>
      <c r="R1104" s="59">
        <v>0</v>
      </c>
      <c r="S1104" s="60">
        <f>tblJTL[[#This Row],[timeStamp]]/86400000+DATE(1970,1,1)+TIME(9,0,0)</f>
        <v>46296.419857326386</v>
      </c>
      <c r="T1104" s="57">
        <f>tblJTL[[#This Row],[timeStamp]]+tblJTL[[#This Row],[elapsed]]</f>
        <v>1790816676047</v>
      </c>
      <c r="U1104" s="61">
        <f>(tblJTL[[#This Row],[timeStamp]]-'17_分析サンプル'!$E$18)/1000</f>
        <v>275.49299999999999</v>
      </c>
      <c r="V1104" s="57">
        <f>INT(tblJTL[[#This Row],[経過秒]]/60)</f>
        <v>4</v>
      </c>
      <c r="W1104" s="57">
        <f>IF(OR(tblJTL[[#This Row],[success]]=FALSE,tblJTL[[#This Row],[success]]="false"),1,0)</f>
        <v>0</v>
      </c>
      <c r="X1104" s="57">
        <f>IF(AND(tblJTL[[#This Row],[経過秒]]&gt;='17_分析サンプル'!$E$11,tblJTL[[#This Row],[経過秒]]&lt;'17_分析サンプル'!$E$12),1,0)</f>
        <v>1</v>
      </c>
    </row>
    <row r="1105" spans="2:24" ht="14.4" x14ac:dyDescent="0.3">
      <c r="B1105" s="57">
        <v>1790816675835</v>
      </c>
      <c r="C1105" s="58">
        <v>350</v>
      </c>
      <c r="D1105" s="59" t="s">
        <v>1658</v>
      </c>
      <c r="E1105" s="59" t="s">
        <v>1577</v>
      </c>
      <c r="F1105" s="59" t="s">
        <v>2275</v>
      </c>
      <c r="G1105" s="59" t="s">
        <v>3584</v>
      </c>
      <c r="H1105" s="59" t="s">
        <v>2281</v>
      </c>
      <c r="I1105" s="59" t="b">
        <v>1</v>
      </c>
      <c r="J1105" s="59"/>
      <c r="K1105" s="58">
        <v>1879</v>
      </c>
      <c r="L1105" s="58">
        <v>1342</v>
      </c>
      <c r="M1105" s="59">
        <v>10</v>
      </c>
      <c r="N1105" s="59">
        <v>10</v>
      </c>
      <c r="O1105" s="59" t="s">
        <v>3578</v>
      </c>
      <c r="P1105" s="58">
        <v>343</v>
      </c>
      <c r="Q1105" s="59">
        <v>0</v>
      </c>
      <c r="R1105" s="59">
        <v>0</v>
      </c>
      <c r="S1105" s="60">
        <f>tblJTL[[#This Row],[timeStamp]]/86400000+DATE(1970,1,1)+TIME(9,0,0)</f>
        <v>46296.419859201385</v>
      </c>
      <c r="T1105" s="57">
        <f>tblJTL[[#This Row],[timeStamp]]+tblJTL[[#This Row],[elapsed]]</f>
        <v>1790816676185</v>
      </c>
      <c r="U1105" s="61">
        <f>(tblJTL[[#This Row],[timeStamp]]-'17_分析サンプル'!$E$18)/1000</f>
        <v>275.65499999999997</v>
      </c>
      <c r="V1105" s="57">
        <f>INT(tblJTL[[#This Row],[経過秒]]/60)</f>
        <v>4</v>
      </c>
      <c r="W1105" s="57">
        <f>IF(OR(tblJTL[[#This Row],[success]]=FALSE,tblJTL[[#This Row],[success]]="false"),1,0)</f>
        <v>0</v>
      </c>
      <c r="X1105" s="57">
        <f>IF(AND(tblJTL[[#This Row],[経過秒]]&gt;='17_分析サンプル'!$E$11,tblJTL[[#This Row],[経過秒]]&lt;'17_分析サンプル'!$E$12),1,0)</f>
        <v>1</v>
      </c>
    </row>
    <row r="1106" spans="2:24" ht="14.4" x14ac:dyDescent="0.3">
      <c r="B1106" s="57">
        <v>1790816674952</v>
      </c>
      <c r="C1106" s="58">
        <v>1399</v>
      </c>
      <c r="D1106" s="59" t="s">
        <v>1677</v>
      </c>
      <c r="E1106" s="59" t="s">
        <v>3579</v>
      </c>
      <c r="F1106" s="59" t="s">
        <v>3580</v>
      </c>
      <c r="G1106" s="59" t="s">
        <v>3586</v>
      </c>
      <c r="H1106" s="59" t="s">
        <v>2281</v>
      </c>
      <c r="I1106" s="59" t="b">
        <v>1</v>
      </c>
      <c r="J1106" s="59"/>
      <c r="K1106" s="58">
        <v>433</v>
      </c>
      <c r="L1106" s="58">
        <v>1478</v>
      </c>
      <c r="M1106" s="59">
        <v>10</v>
      </c>
      <c r="N1106" s="59">
        <v>10</v>
      </c>
      <c r="O1106" s="59" t="s">
        <v>3581</v>
      </c>
      <c r="P1106" s="58">
        <v>1394</v>
      </c>
      <c r="Q1106" s="59">
        <v>0</v>
      </c>
      <c r="R1106" s="59">
        <v>0</v>
      </c>
      <c r="S1106" s="60">
        <f>tblJTL[[#This Row],[timeStamp]]/86400000+DATE(1970,1,1)+TIME(9,0,0)</f>
        <v>46296.419848981481</v>
      </c>
      <c r="T1106" s="57">
        <f>tblJTL[[#This Row],[timeStamp]]+tblJTL[[#This Row],[elapsed]]</f>
        <v>1790816676351</v>
      </c>
      <c r="U1106" s="61">
        <f>(tblJTL[[#This Row],[timeStamp]]-'17_分析サンプル'!$E$18)/1000</f>
        <v>274.77199999999999</v>
      </c>
      <c r="V1106" s="57">
        <f>INT(tblJTL[[#This Row],[経過秒]]/60)</f>
        <v>4</v>
      </c>
      <c r="W1106" s="57">
        <f>IF(OR(tblJTL[[#This Row],[success]]=FALSE,tblJTL[[#This Row],[success]]="false"),1,0)</f>
        <v>0</v>
      </c>
      <c r="X1106" s="57">
        <f>IF(AND(tblJTL[[#This Row],[経過秒]]&gt;='17_分析サンプル'!$E$11,tblJTL[[#This Row],[経過秒]]&lt;'17_分析サンプル'!$E$12),1,0)</f>
        <v>1</v>
      </c>
    </row>
    <row r="1107" spans="2:24" ht="14.4" x14ac:dyDescent="0.3">
      <c r="B1107" s="57">
        <v>1790816676373</v>
      </c>
      <c r="C1107" s="58">
        <v>1074</v>
      </c>
      <c r="D1107" s="59" t="s">
        <v>1677</v>
      </c>
      <c r="E1107" s="59" t="s">
        <v>3579</v>
      </c>
      <c r="F1107" s="59" t="s">
        <v>3580</v>
      </c>
      <c r="G1107" s="59" t="s">
        <v>3588</v>
      </c>
      <c r="H1107" s="59" t="s">
        <v>2281</v>
      </c>
      <c r="I1107" s="59" t="b">
        <v>1</v>
      </c>
      <c r="J1107" s="59"/>
      <c r="K1107" s="58">
        <v>434</v>
      </c>
      <c r="L1107" s="58">
        <v>1478</v>
      </c>
      <c r="M1107" s="59">
        <v>10</v>
      </c>
      <c r="N1107" s="59">
        <v>10</v>
      </c>
      <c r="O1107" s="59" t="s">
        <v>3581</v>
      </c>
      <c r="P1107" s="58">
        <v>1067</v>
      </c>
      <c r="Q1107" s="59">
        <v>0</v>
      </c>
      <c r="R1107" s="59">
        <v>0</v>
      </c>
      <c r="S1107" s="60">
        <f>tblJTL[[#This Row],[timeStamp]]/86400000+DATE(1970,1,1)+TIME(9,0,0)</f>
        <v>46296.419865428237</v>
      </c>
      <c r="T1107" s="57">
        <f>tblJTL[[#This Row],[timeStamp]]+tblJTL[[#This Row],[elapsed]]</f>
        <v>1790816677447</v>
      </c>
      <c r="U1107" s="61">
        <f>(tblJTL[[#This Row],[timeStamp]]-'17_分析サンプル'!$E$18)/1000</f>
        <v>276.19299999999998</v>
      </c>
      <c r="V1107" s="57">
        <f>INT(tblJTL[[#This Row],[経過秒]]/60)</f>
        <v>4</v>
      </c>
      <c r="W1107" s="57">
        <f>IF(OR(tblJTL[[#This Row],[success]]=FALSE,tblJTL[[#This Row],[success]]="false"),1,0)</f>
        <v>0</v>
      </c>
      <c r="X1107" s="57">
        <f>IF(AND(tblJTL[[#This Row],[経過秒]]&gt;='17_分析サンプル'!$E$11,tblJTL[[#This Row],[経過秒]]&lt;'17_分析サンプル'!$E$12),1,0)</f>
        <v>1</v>
      </c>
    </row>
    <row r="1108" spans="2:24" ht="14.4" x14ac:dyDescent="0.3">
      <c r="B1108" s="57">
        <v>1790816677530</v>
      </c>
      <c r="C1108" s="58">
        <v>161</v>
      </c>
      <c r="D1108" s="59" t="s">
        <v>1658</v>
      </c>
      <c r="E1108" s="59" t="s">
        <v>1577</v>
      </c>
      <c r="F1108" s="59" t="s">
        <v>2275</v>
      </c>
      <c r="G1108" s="59" t="s">
        <v>3577</v>
      </c>
      <c r="H1108" s="59" t="s">
        <v>2281</v>
      </c>
      <c r="I1108" s="59" t="b">
        <v>1</v>
      </c>
      <c r="J1108" s="59"/>
      <c r="K1108" s="58">
        <v>1859</v>
      </c>
      <c r="L1108" s="58">
        <v>1342</v>
      </c>
      <c r="M1108" s="59">
        <v>10</v>
      </c>
      <c r="N1108" s="59">
        <v>10</v>
      </c>
      <c r="O1108" s="59" t="s">
        <v>3578</v>
      </c>
      <c r="P1108" s="58">
        <v>157</v>
      </c>
      <c r="Q1108" s="59">
        <v>0</v>
      </c>
      <c r="R1108" s="59">
        <v>0</v>
      </c>
      <c r="S1108" s="60">
        <f>tblJTL[[#This Row],[timeStamp]]/86400000+DATE(1970,1,1)+TIME(9,0,0)</f>
        <v>46296.419878819448</v>
      </c>
      <c r="T1108" s="57">
        <f>tblJTL[[#This Row],[timeStamp]]+tblJTL[[#This Row],[elapsed]]</f>
        <v>1790816677691</v>
      </c>
      <c r="U1108" s="61">
        <f>(tblJTL[[#This Row],[timeStamp]]-'17_分析サンプル'!$E$18)/1000</f>
        <v>277.35000000000002</v>
      </c>
      <c r="V1108" s="57">
        <f>INT(tblJTL[[#This Row],[経過秒]]/60)</f>
        <v>4</v>
      </c>
      <c r="W1108" s="57">
        <f>IF(OR(tblJTL[[#This Row],[success]]=FALSE,tblJTL[[#This Row],[success]]="false"),1,0)</f>
        <v>0</v>
      </c>
      <c r="X1108" s="57">
        <f>IF(AND(tblJTL[[#This Row],[経過秒]]&gt;='17_分析サンプル'!$E$11,tblJTL[[#This Row],[経過秒]]&lt;'17_分析サンプル'!$E$12),1,0)</f>
        <v>1</v>
      </c>
    </row>
    <row r="1109" spans="2:24" ht="14.4" x14ac:dyDescent="0.3">
      <c r="B1109" s="57">
        <v>1790816676967</v>
      </c>
      <c r="C1109" s="58">
        <v>875</v>
      </c>
      <c r="D1109" s="59" t="s">
        <v>1677</v>
      </c>
      <c r="E1109" s="59" t="s">
        <v>3579</v>
      </c>
      <c r="F1109" s="59" t="s">
        <v>3580</v>
      </c>
      <c r="G1109" s="59" t="s">
        <v>3585</v>
      </c>
      <c r="H1109" s="59" t="s">
        <v>2281</v>
      </c>
      <c r="I1109" s="59" t="b">
        <v>1</v>
      </c>
      <c r="J1109" s="59"/>
      <c r="K1109" s="58">
        <v>418</v>
      </c>
      <c r="L1109" s="58">
        <v>1478</v>
      </c>
      <c r="M1109" s="59">
        <v>10</v>
      </c>
      <c r="N1109" s="59">
        <v>10</v>
      </c>
      <c r="O1109" s="59" t="s">
        <v>3581</v>
      </c>
      <c r="P1109" s="58">
        <v>871</v>
      </c>
      <c r="Q1109" s="59">
        <v>0</v>
      </c>
      <c r="R1109" s="59">
        <v>0</v>
      </c>
      <c r="S1109" s="60">
        <f>tblJTL[[#This Row],[timeStamp]]/86400000+DATE(1970,1,1)+TIME(9,0,0)</f>
        <v>46296.419872303246</v>
      </c>
      <c r="T1109" s="57">
        <f>tblJTL[[#This Row],[timeStamp]]+tblJTL[[#This Row],[elapsed]]</f>
        <v>1790816677842</v>
      </c>
      <c r="U1109" s="61">
        <f>(tblJTL[[#This Row],[timeStamp]]-'17_分析サンプル'!$E$18)/1000</f>
        <v>276.78699999999998</v>
      </c>
      <c r="V1109" s="57">
        <f>INT(tblJTL[[#This Row],[経過秒]]/60)</f>
        <v>4</v>
      </c>
      <c r="W1109" s="57">
        <f>IF(OR(tblJTL[[#This Row],[success]]=FALSE,tblJTL[[#This Row],[success]]="false"),1,0)</f>
        <v>0</v>
      </c>
      <c r="X1109" s="57">
        <f>IF(AND(tblJTL[[#This Row],[経過秒]]&gt;='17_分析サンプル'!$E$11,tblJTL[[#This Row],[経過秒]]&lt;'17_分析サンプル'!$E$12),1,0)</f>
        <v>1</v>
      </c>
    </row>
    <row r="1110" spans="2:24" ht="14.4" x14ac:dyDescent="0.3">
      <c r="B1110" s="57">
        <v>1790816678169</v>
      </c>
      <c r="C1110" s="58">
        <v>217</v>
      </c>
      <c r="D1110" s="59" t="s">
        <v>1658</v>
      </c>
      <c r="E1110" s="59" t="s">
        <v>1577</v>
      </c>
      <c r="F1110" s="59" t="s">
        <v>2275</v>
      </c>
      <c r="G1110" s="59" t="s">
        <v>3587</v>
      </c>
      <c r="H1110" s="59" t="s">
        <v>2281</v>
      </c>
      <c r="I1110" s="59" t="b">
        <v>1</v>
      </c>
      <c r="J1110" s="59"/>
      <c r="K1110" s="58">
        <v>1845</v>
      </c>
      <c r="L1110" s="58">
        <v>1342</v>
      </c>
      <c r="M1110" s="59">
        <v>10</v>
      </c>
      <c r="N1110" s="59">
        <v>10</v>
      </c>
      <c r="O1110" s="59" t="s">
        <v>3578</v>
      </c>
      <c r="P1110" s="58">
        <v>214</v>
      </c>
      <c r="Q1110" s="59">
        <v>0</v>
      </c>
      <c r="R1110" s="59">
        <v>0</v>
      </c>
      <c r="S1110" s="60">
        <f>tblJTL[[#This Row],[timeStamp]]/86400000+DATE(1970,1,1)+TIME(9,0,0)</f>
        <v>46296.419886215277</v>
      </c>
      <c r="T1110" s="57">
        <f>tblJTL[[#This Row],[timeStamp]]+tblJTL[[#This Row],[elapsed]]</f>
        <v>1790816678386</v>
      </c>
      <c r="U1110" s="61">
        <f>(tblJTL[[#This Row],[timeStamp]]-'17_分析サンプル'!$E$18)/1000</f>
        <v>277.98899999999998</v>
      </c>
      <c r="V1110" s="57">
        <f>INT(tblJTL[[#This Row],[経過秒]]/60)</f>
        <v>4</v>
      </c>
      <c r="W1110" s="57">
        <f>IF(OR(tblJTL[[#This Row],[success]]=FALSE,tblJTL[[#This Row],[success]]="false"),1,0)</f>
        <v>0</v>
      </c>
      <c r="X1110" s="57">
        <f>IF(AND(tblJTL[[#This Row],[経過秒]]&gt;='17_分析サンプル'!$E$11,tblJTL[[#This Row],[経過秒]]&lt;'17_分析サンプル'!$E$12),1,0)</f>
        <v>1</v>
      </c>
    </row>
    <row r="1111" spans="2:24" ht="14.4" x14ac:dyDescent="0.3">
      <c r="B1111" s="57">
        <v>1790816678603</v>
      </c>
      <c r="C1111" s="58">
        <v>145</v>
      </c>
      <c r="D1111" s="59" t="s">
        <v>1658</v>
      </c>
      <c r="E1111" s="59" t="s">
        <v>1577</v>
      </c>
      <c r="F1111" s="59" t="s">
        <v>2275</v>
      </c>
      <c r="G1111" s="59" t="s">
        <v>3583</v>
      </c>
      <c r="H1111" s="59" t="s">
        <v>2281</v>
      </c>
      <c r="I1111" s="59" t="b">
        <v>1</v>
      </c>
      <c r="J1111" s="59"/>
      <c r="K1111" s="58">
        <v>1838</v>
      </c>
      <c r="L1111" s="58">
        <v>1342</v>
      </c>
      <c r="M1111" s="59">
        <v>10</v>
      </c>
      <c r="N1111" s="59">
        <v>10</v>
      </c>
      <c r="O1111" s="59" t="s">
        <v>3578</v>
      </c>
      <c r="P1111" s="58">
        <v>140</v>
      </c>
      <c r="Q1111" s="59">
        <v>0</v>
      </c>
      <c r="R1111" s="59">
        <v>0</v>
      </c>
      <c r="S1111" s="60">
        <f>tblJTL[[#This Row],[timeStamp]]/86400000+DATE(1970,1,1)+TIME(9,0,0)</f>
        <v>46296.419891238431</v>
      </c>
      <c r="T1111" s="57">
        <f>tblJTL[[#This Row],[timeStamp]]+tblJTL[[#This Row],[elapsed]]</f>
        <v>1790816678748</v>
      </c>
      <c r="U1111" s="61">
        <f>(tblJTL[[#This Row],[timeStamp]]-'17_分析サンプル'!$E$18)/1000</f>
        <v>278.423</v>
      </c>
      <c r="V1111" s="57">
        <f>INT(tblJTL[[#This Row],[経過秒]]/60)</f>
        <v>4</v>
      </c>
      <c r="W1111" s="57">
        <f>IF(OR(tblJTL[[#This Row],[success]]=FALSE,tblJTL[[#This Row],[success]]="false"),1,0)</f>
        <v>0</v>
      </c>
      <c r="X1111" s="57">
        <f>IF(AND(tblJTL[[#This Row],[経過秒]]&gt;='17_分析サンプル'!$E$11,tblJTL[[#This Row],[経過秒]]&lt;'17_分析サンプル'!$E$12),1,0)</f>
        <v>1</v>
      </c>
    </row>
    <row r="1112" spans="2:24" ht="14.4" x14ac:dyDescent="0.3">
      <c r="B1112" s="57">
        <v>1790816679177</v>
      </c>
      <c r="C1112" s="58">
        <v>95</v>
      </c>
      <c r="D1112" s="59" t="s">
        <v>1658</v>
      </c>
      <c r="E1112" s="59" t="s">
        <v>1577</v>
      </c>
      <c r="F1112" s="59" t="s">
        <v>2275</v>
      </c>
      <c r="G1112" s="59" t="s">
        <v>3586</v>
      </c>
      <c r="H1112" s="59" t="s">
        <v>2281</v>
      </c>
      <c r="I1112" s="59" t="b">
        <v>1</v>
      </c>
      <c r="J1112" s="59"/>
      <c r="K1112" s="58">
        <v>1882</v>
      </c>
      <c r="L1112" s="58">
        <v>1342</v>
      </c>
      <c r="M1112" s="59">
        <v>10</v>
      </c>
      <c r="N1112" s="59">
        <v>10</v>
      </c>
      <c r="O1112" s="59" t="s">
        <v>3578</v>
      </c>
      <c r="P1112" s="58">
        <v>92</v>
      </c>
      <c r="Q1112" s="59">
        <v>0</v>
      </c>
      <c r="R1112" s="59">
        <v>0</v>
      </c>
      <c r="S1112" s="60">
        <f>tblJTL[[#This Row],[timeStamp]]/86400000+DATE(1970,1,1)+TIME(9,0,0)</f>
        <v>46296.419897881948</v>
      </c>
      <c r="T1112" s="57">
        <f>tblJTL[[#This Row],[timeStamp]]+tblJTL[[#This Row],[elapsed]]</f>
        <v>1790816679272</v>
      </c>
      <c r="U1112" s="61">
        <f>(tblJTL[[#This Row],[timeStamp]]-'17_分析サンプル'!$E$18)/1000</f>
        <v>278.99700000000001</v>
      </c>
      <c r="V1112" s="57">
        <f>INT(tblJTL[[#This Row],[経過秒]]/60)</f>
        <v>4</v>
      </c>
      <c r="W1112" s="57">
        <f>IF(OR(tblJTL[[#This Row],[success]]=FALSE,tblJTL[[#This Row],[success]]="false"),1,0)</f>
        <v>0</v>
      </c>
      <c r="X1112" s="57">
        <f>IF(AND(tblJTL[[#This Row],[経過秒]]&gt;='17_分析サンプル'!$E$11,tblJTL[[#This Row],[経過秒]]&lt;'17_分析サンプル'!$E$12),1,0)</f>
        <v>1</v>
      </c>
    </row>
    <row r="1113" spans="2:24" ht="14.4" x14ac:dyDescent="0.3">
      <c r="B1113" s="57">
        <v>1790816676216</v>
      </c>
      <c r="C1113" s="58">
        <v>3565</v>
      </c>
      <c r="D1113" s="59" t="s">
        <v>1677</v>
      </c>
      <c r="E1113" s="59" t="s">
        <v>3579</v>
      </c>
      <c r="F1113" s="59" t="s">
        <v>3580</v>
      </c>
      <c r="G1113" s="59" t="s">
        <v>3582</v>
      </c>
      <c r="H1113" s="59" t="s">
        <v>2281</v>
      </c>
      <c r="I1113" s="59" t="b">
        <v>1</v>
      </c>
      <c r="J1113" s="59"/>
      <c r="K1113" s="58">
        <v>437</v>
      </c>
      <c r="L1113" s="58">
        <v>1478</v>
      </c>
      <c r="M1113" s="59">
        <v>10</v>
      </c>
      <c r="N1113" s="59">
        <v>10</v>
      </c>
      <c r="O1113" s="59" t="s">
        <v>3581</v>
      </c>
      <c r="P1113" s="58">
        <v>3563</v>
      </c>
      <c r="Q1113" s="59">
        <v>0</v>
      </c>
      <c r="R1113" s="59">
        <v>0</v>
      </c>
      <c r="S1113" s="60">
        <f>tblJTL[[#This Row],[timeStamp]]/86400000+DATE(1970,1,1)+TIME(9,0,0)</f>
        <v>46296.41986361111</v>
      </c>
      <c r="T1113" s="57">
        <f>tblJTL[[#This Row],[timeStamp]]+tblJTL[[#This Row],[elapsed]]</f>
        <v>1790816679781</v>
      </c>
      <c r="U1113" s="61">
        <f>(tblJTL[[#This Row],[timeStamp]]-'17_分析サンプル'!$E$18)/1000</f>
        <v>276.036</v>
      </c>
      <c r="V1113" s="57">
        <f>INT(tblJTL[[#This Row],[経過秒]]/60)</f>
        <v>4</v>
      </c>
      <c r="W1113" s="57">
        <f>IF(OR(tblJTL[[#This Row],[success]]=FALSE,tblJTL[[#This Row],[success]]="false"),1,0)</f>
        <v>0</v>
      </c>
      <c r="X1113" s="57">
        <f>IF(AND(tblJTL[[#This Row],[経過秒]]&gt;='17_分析サンプル'!$E$11,tblJTL[[#This Row],[経過秒]]&lt;'17_分析サンプル'!$E$12),1,0)</f>
        <v>1</v>
      </c>
    </row>
    <row r="1114" spans="2:24" ht="14.4" x14ac:dyDescent="0.3">
      <c r="B1114" s="57">
        <v>1790816675729</v>
      </c>
      <c r="C1114" s="58">
        <v>4177</v>
      </c>
      <c r="D1114" s="59" t="s">
        <v>1677</v>
      </c>
      <c r="E1114" s="59" t="s">
        <v>3579</v>
      </c>
      <c r="F1114" s="59" t="s">
        <v>3580</v>
      </c>
      <c r="G1114" s="59" t="s">
        <v>3589</v>
      </c>
      <c r="H1114" s="59" t="s">
        <v>2281</v>
      </c>
      <c r="I1114" s="59" t="b">
        <v>1</v>
      </c>
      <c r="J1114" s="59"/>
      <c r="K1114" s="58">
        <v>419</v>
      </c>
      <c r="L1114" s="58">
        <v>1478</v>
      </c>
      <c r="M1114" s="59">
        <v>10</v>
      </c>
      <c r="N1114" s="59">
        <v>10</v>
      </c>
      <c r="O1114" s="59" t="s">
        <v>3581</v>
      </c>
      <c r="P1114" s="58">
        <v>4170</v>
      </c>
      <c r="Q1114" s="59">
        <v>0</v>
      </c>
      <c r="R1114" s="59">
        <v>0</v>
      </c>
      <c r="S1114" s="60">
        <f>tblJTL[[#This Row],[timeStamp]]/86400000+DATE(1970,1,1)+TIME(9,0,0)</f>
        <v>46296.419857974535</v>
      </c>
      <c r="T1114" s="57">
        <f>tblJTL[[#This Row],[timeStamp]]+tblJTL[[#This Row],[elapsed]]</f>
        <v>1790816679906</v>
      </c>
      <c r="U1114" s="61">
        <f>(tblJTL[[#This Row],[timeStamp]]-'17_分析サンプル'!$E$18)/1000</f>
        <v>275.54899999999998</v>
      </c>
      <c r="V1114" s="57">
        <f>INT(tblJTL[[#This Row],[経過秒]]/60)</f>
        <v>4</v>
      </c>
      <c r="W1114" s="57">
        <f>IF(OR(tblJTL[[#This Row],[success]]=FALSE,tblJTL[[#This Row],[success]]="false"),1,0)</f>
        <v>0</v>
      </c>
      <c r="X1114" s="57">
        <f>IF(AND(tblJTL[[#This Row],[経過秒]]&gt;='17_分析サンプル'!$E$11,tblJTL[[#This Row],[経過秒]]&lt;'17_分析サンプル'!$E$12),1,0)</f>
        <v>1</v>
      </c>
    </row>
    <row r="1115" spans="2:24" ht="14.4" x14ac:dyDescent="0.3">
      <c r="B1115" s="57">
        <v>1790816678851</v>
      </c>
      <c r="C1115" s="58">
        <v>1147</v>
      </c>
      <c r="D1115" s="59" t="s">
        <v>1677</v>
      </c>
      <c r="E1115" s="59" t="s">
        <v>3579</v>
      </c>
      <c r="F1115" s="59" t="s">
        <v>3580</v>
      </c>
      <c r="G1115" s="59" t="s">
        <v>3577</v>
      </c>
      <c r="H1115" s="59" t="s">
        <v>2281</v>
      </c>
      <c r="I1115" s="59" t="b">
        <v>1</v>
      </c>
      <c r="J1115" s="59"/>
      <c r="K1115" s="58">
        <v>437</v>
      </c>
      <c r="L1115" s="58">
        <v>1478</v>
      </c>
      <c r="M1115" s="59">
        <v>10</v>
      </c>
      <c r="N1115" s="59">
        <v>10</v>
      </c>
      <c r="O1115" s="59" t="s">
        <v>3581</v>
      </c>
      <c r="P1115" s="58">
        <v>1143</v>
      </c>
      <c r="Q1115" s="59">
        <v>0</v>
      </c>
      <c r="R1115" s="59">
        <v>0</v>
      </c>
      <c r="S1115" s="60">
        <f>tblJTL[[#This Row],[timeStamp]]/86400000+DATE(1970,1,1)+TIME(9,0,0)</f>
        <v>46296.419894108796</v>
      </c>
      <c r="T1115" s="57">
        <f>tblJTL[[#This Row],[timeStamp]]+tblJTL[[#This Row],[elapsed]]</f>
        <v>1790816679998</v>
      </c>
      <c r="U1115" s="61">
        <f>(tblJTL[[#This Row],[timeStamp]]-'17_分析サンプル'!$E$18)/1000</f>
        <v>278.67099999999999</v>
      </c>
      <c r="V1115" s="57">
        <f>INT(tblJTL[[#This Row],[経過秒]]/60)</f>
        <v>4</v>
      </c>
      <c r="W1115" s="57">
        <f>IF(OR(tblJTL[[#This Row],[success]]=FALSE,tblJTL[[#This Row],[success]]="false"),1,0)</f>
        <v>0</v>
      </c>
      <c r="X1115" s="57">
        <f>IF(AND(tblJTL[[#This Row],[経過秒]]&gt;='17_分析サンプル'!$E$11,tblJTL[[#This Row],[経過秒]]&lt;'17_分析サンプル'!$E$12),1,0)</f>
        <v>1</v>
      </c>
    </row>
    <row r="1116" spans="2:24" ht="14.4" x14ac:dyDescent="0.3">
      <c r="B1116" s="57">
        <v>1790816679730</v>
      </c>
      <c r="C1116" s="58">
        <v>282</v>
      </c>
      <c r="D1116" s="59" t="s">
        <v>1658</v>
      </c>
      <c r="E1116" s="59" t="s">
        <v>1577</v>
      </c>
      <c r="F1116" s="59" t="s">
        <v>2275</v>
      </c>
      <c r="G1116" s="59" t="s">
        <v>3588</v>
      </c>
      <c r="H1116" s="59" t="s">
        <v>2281</v>
      </c>
      <c r="I1116" s="59" t="b">
        <v>1</v>
      </c>
      <c r="J1116" s="59"/>
      <c r="K1116" s="58">
        <v>1833</v>
      </c>
      <c r="L1116" s="58">
        <v>1342</v>
      </c>
      <c r="M1116" s="59">
        <v>10</v>
      </c>
      <c r="N1116" s="59">
        <v>10</v>
      </c>
      <c r="O1116" s="59" t="s">
        <v>3578</v>
      </c>
      <c r="P1116" s="58">
        <v>275</v>
      </c>
      <c r="Q1116" s="59">
        <v>0</v>
      </c>
      <c r="R1116" s="59">
        <v>0</v>
      </c>
      <c r="S1116" s="60">
        <f>tblJTL[[#This Row],[timeStamp]]/86400000+DATE(1970,1,1)+TIME(9,0,0)</f>
        <v>46296.419904282404</v>
      </c>
      <c r="T1116" s="57">
        <f>tblJTL[[#This Row],[timeStamp]]+tblJTL[[#This Row],[elapsed]]</f>
        <v>1790816680012</v>
      </c>
      <c r="U1116" s="61">
        <f>(tblJTL[[#This Row],[timeStamp]]-'17_分析サンプル'!$E$18)/1000</f>
        <v>279.55</v>
      </c>
      <c r="V1116" s="57">
        <f>INT(tblJTL[[#This Row],[経過秒]]/60)</f>
        <v>4</v>
      </c>
      <c r="W1116" s="57">
        <f>IF(OR(tblJTL[[#This Row],[success]]=FALSE,tblJTL[[#This Row],[success]]="false"),1,0)</f>
        <v>0</v>
      </c>
      <c r="X1116" s="57">
        <f>IF(AND(tblJTL[[#This Row],[経過秒]]&gt;='17_分析サンプル'!$E$11,tblJTL[[#This Row],[経過秒]]&lt;'17_分析サンプル'!$E$12),1,0)</f>
        <v>1</v>
      </c>
    </row>
    <row r="1117" spans="2:24" ht="14.4" x14ac:dyDescent="0.3">
      <c r="B1117" s="57">
        <v>1790816678893</v>
      </c>
      <c r="C1117" s="58">
        <v>1192</v>
      </c>
      <c r="D1117" s="59" t="s">
        <v>1677</v>
      </c>
      <c r="E1117" s="59" t="s">
        <v>3579</v>
      </c>
      <c r="F1117" s="59" t="s">
        <v>3580</v>
      </c>
      <c r="G1117" s="59" t="s">
        <v>3584</v>
      </c>
      <c r="H1117" s="59" t="s">
        <v>2281</v>
      </c>
      <c r="I1117" s="59" t="b">
        <v>1</v>
      </c>
      <c r="J1117" s="59"/>
      <c r="K1117" s="58">
        <v>426</v>
      </c>
      <c r="L1117" s="58">
        <v>1478</v>
      </c>
      <c r="M1117" s="59">
        <v>10</v>
      </c>
      <c r="N1117" s="59">
        <v>10</v>
      </c>
      <c r="O1117" s="59" t="s">
        <v>3581</v>
      </c>
      <c r="P1117" s="58">
        <v>1188</v>
      </c>
      <c r="Q1117" s="59">
        <v>0</v>
      </c>
      <c r="R1117" s="59">
        <v>0</v>
      </c>
      <c r="S1117" s="60">
        <f>tblJTL[[#This Row],[timeStamp]]/86400000+DATE(1970,1,1)+TIME(9,0,0)</f>
        <v>46296.419894594903</v>
      </c>
      <c r="T1117" s="57">
        <f>tblJTL[[#This Row],[timeStamp]]+tblJTL[[#This Row],[elapsed]]</f>
        <v>1790816680085</v>
      </c>
      <c r="U1117" s="61">
        <f>(tblJTL[[#This Row],[timeStamp]]-'17_分析サンプル'!$E$18)/1000</f>
        <v>278.71300000000002</v>
      </c>
      <c r="V1117" s="57">
        <f>INT(tblJTL[[#This Row],[経過秒]]/60)</f>
        <v>4</v>
      </c>
      <c r="W1117" s="57">
        <f>IF(OR(tblJTL[[#This Row],[success]]=FALSE,tblJTL[[#This Row],[success]]="false"),1,0)</f>
        <v>0</v>
      </c>
      <c r="X1117" s="57">
        <f>IF(AND(tblJTL[[#This Row],[経過秒]]&gt;='17_分析サンプル'!$E$11,tblJTL[[#This Row],[経過秒]]&lt;'17_分析サンプル'!$E$12),1,0)</f>
        <v>1</v>
      </c>
    </row>
    <row r="1118" spans="2:24" ht="14.4" x14ac:dyDescent="0.3">
      <c r="B1118" s="57">
        <v>1790816680090</v>
      </c>
      <c r="C1118" s="58">
        <v>189</v>
      </c>
      <c r="D1118" s="59" t="s">
        <v>1658</v>
      </c>
      <c r="E1118" s="59" t="s">
        <v>1577</v>
      </c>
      <c r="F1118" s="59" t="s">
        <v>2275</v>
      </c>
      <c r="G1118" s="59" t="s">
        <v>3585</v>
      </c>
      <c r="H1118" s="59" t="s">
        <v>2281</v>
      </c>
      <c r="I1118" s="59" t="b">
        <v>1</v>
      </c>
      <c r="J1118" s="59"/>
      <c r="K1118" s="58">
        <v>1853</v>
      </c>
      <c r="L1118" s="58">
        <v>1342</v>
      </c>
      <c r="M1118" s="59">
        <v>10</v>
      </c>
      <c r="N1118" s="59">
        <v>10</v>
      </c>
      <c r="O1118" s="59" t="s">
        <v>3578</v>
      </c>
      <c r="P1118" s="58">
        <v>184</v>
      </c>
      <c r="Q1118" s="59">
        <v>0</v>
      </c>
      <c r="R1118" s="59">
        <v>40</v>
      </c>
      <c r="S1118" s="60">
        <f>tblJTL[[#This Row],[timeStamp]]/86400000+DATE(1970,1,1)+TIME(9,0,0)</f>
        <v>46296.419908449076</v>
      </c>
      <c r="T1118" s="57">
        <f>tblJTL[[#This Row],[timeStamp]]+tblJTL[[#This Row],[elapsed]]</f>
        <v>1790816680279</v>
      </c>
      <c r="U1118" s="61">
        <f>(tblJTL[[#This Row],[timeStamp]]-'17_分析サンプル'!$E$18)/1000</f>
        <v>279.91000000000003</v>
      </c>
      <c r="V1118" s="57">
        <f>INT(tblJTL[[#This Row],[経過秒]]/60)</f>
        <v>4</v>
      </c>
      <c r="W1118" s="57">
        <f>IF(OR(tblJTL[[#This Row],[success]]=FALSE,tblJTL[[#This Row],[success]]="false"),1,0)</f>
        <v>0</v>
      </c>
      <c r="X1118" s="57">
        <f>IF(AND(tblJTL[[#This Row],[経過秒]]&gt;='17_分析サンプル'!$E$11,tblJTL[[#This Row],[経過秒]]&lt;'17_分析サンプル'!$E$12),1,0)</f>
        <v>1</v>
      </c>
    </row>
    <row r="1119" spans="2:24" ht="14.4" x14ac:dyDescent="0.3">
      <c r="B1119" s="57">
        <v>1790816678902</v>
      </c>
      <c r="C1119" s="58">
        <v>2223</v>
      </c>
      <c r="D1119" s="59" t="s">
        <v>1677</v>
      </c>
      <c r="E1119" s="59" t="s">
        <v>3579</v>
      </c>
      <c r="F1119" s="59" t="s">
        <v>3580</v>
      </c>
      <c r="G1119" s="59" t="s">
        <v>2278</v>
      </c>
      <c r="H1119" s="59" t="s">
        <v>2281</v>
      </c>
      <c r="I1119" s="59" t="b">
        <v>1</v>
      </c>
      <c r="J1119" s="59"/>
      <c r="K1119" s="58">
        <v>437</v>
      </c>
      <c r="L1119" s="58">
        <v>1478</v>
      </c>
      <c r="M1119" s="59">
        <v>10</v>
      </c>
      <c r="N1119" s="59">
        <v>10</v>
      </c>
      <c r="O1119" s="59" t="s">
        <v>3581</v>
      </c>
      <c r="P1119" s="58">
        <v>2219</v>
      </c>
      <c r="Q1119" s="59">
        <v>0</v>
      </c>
      <c r="R1119" s="59">
        <v>0</v>
      </c>
      <c r="S1119" s="60">
        <f>tblJTL[[#This Row],[timeStamp]]/86400000+DATE(1970,1,1)+TIME(9,0,0)</f>
        <v>46296.419894699073</v>
      </c>
      <c r="T1119" s="57">
        <f>tblJTL[[#This Row],[timeStamp]]+tblJTL[[#This Row],[elapsed]]</f>
        <v>1790816681125</v>
      </c>
      <c r="U1119" s="61">
        <f>(tblJTL[[#This Row],[timeStamp]]-'17_分析サンプル'!$E$18)/1000</f>
        <v>278.72199999999998</v>
      </c>
      <c r="V1119" s="57">
        <f>INT(tblJTL[[#This Row],[経過秒]]/60)</f>
        <v>4</v>
      </c>
      <c r="W1119" s="57">
        <f>IF(OR(tblJTL[[#This Row],[success]]=FALSE,tblJTL[[#This Row],[success]]="false"),1,0)</f>
        <v>0</v>
      </c>
      <c r="X1119" s="57">
        <f>IF(AND(tblJTL[[#This Row],[経過秒]]&gt;='17_分析サンプル'!$E$11,tblJTL[[#This Row],[経過秒]]&lt;'17_分析サンプル'!$E$12),1,0)</f>
        <v>1</v>
      </c>
    </row>
    <row r="1120" spans="2:24" ht="14.4" x14ac:dyDescent="0.3">
      <c r="B1120" s="57">
        <v>1790816681101</v>
      </c>
      <c r="C1120" s="58">
        <v>688</v>
      </c>
      <c r="D1120" s="59" t="s">
        <v>1677</v>
      </c>
      <c r="E1120" s="59" t="s">
        <v>3579</v>
      </c>
      <c r="F1120" s="59" t="s">
        <v>3580</v>
      </c>
      <c r="G1120" s="59" t="s">
        <v>3588</v>
      </c>
      <c r="H1120" s="59" t="s">
        <v>2281</v>
      </c>
      <c r="I1120" s="59" t="b">
        <v>1</v>
      </c>
      <c r="J1120" s="59"/>
      <c r="K1120" s="58">
        <v>421</v>
      </c>
      <c r="L1120" s="58">
        <v>1478</v>
      </c>
      <c r="M1120" s="59">
        <v>10</v>
      </c>
      <c r="N1120" s="59">
        <v>10</v>
      </c>
      <c r="O1120" s="59" t="s">
        <v>3581</v>
      </c>
      <c r="P1120" s="58">
        <v>685</v>
      </c>
      <c r="Q1120" s="59">
        <v>0</v>
      </c>
      <c r="R1120" s="59">
        <v>0</v>
      </c>
      <c r="S1120" s="60">
        <f>tblJTL[[#This Row],[timeStamp]]/86400000+DATE(1970,1,1)+TIME(9,0,0)</f>
        <v>46296.419920150467</v>
      </c>
      <c r="T1120" s="57">
        <f>tblJTL[[#This Row],[timeStamp]]+tblJTL[[#This Row],[elapsed]]</f>
        <v>1790816681789</v>
      </c>
      <c r="U1120" s="61">
        <f>(tblJTL[[#This Row],[timeStamp]]-'17_分析サンプル'!$E$18)/1000</f>
        <v>280.92099999999999</v>
      </c>
      <c r="V1120" s="57">
        <f>INT(tblJTL[[#This Row],[経過秒]]/60)</f>
        <v>4</v>
      </c>
      <c r="W1120" s="57">
        <f>IF(OR(tblJTL[[#This Row],[success]]=FALSE,tblJTL[[#This Row],[success]]="false"),1,0)</f>
        <v>0</v>
      </c>
      <c r="X1120" s="57">
        <f>IF(AND(tblJTL[[#This Row],[経過秒]]&gt;='17_分析サンプル'!$E$11,tblJTL[[#This Row],[経過秒]]&lt;'17_分析サンプル'!$E$12),1,0)</f>
        <v>1</v>
      </c>
    </row>
    <row r="1121" spans="2:24" ht="14.4" x14ac:dyDescent="0.3">
      <c r="B1121" s="57">
        <v>1790816681445</v>
      </c>
      <c r="C1121" s="58">
        <v>378</v>
      </c>
      <c r="D1121" s="59" t="s">
        <v>1658</v>
      </c>
      <c r="E1121" s="59" t="s">
        <v>1577</v>
      </c>
      <c r="F1121" s="59" t="s">
        <v>2275</v>
      </c>
      <c r="G1121" s="59" t="s">
        <v>3589</v>
      </c>
      <c r="H1121" s="59" t="s">
        <v>2281</v>
      </c>
      <c r="I1121" s="59" t="b">
        <v>1</v>
      </c>
      <c r="J1121" s="59"/>
      <c r="K1121" s="58">
        <v>1826</v>
      </c>
      <c r="L1121" s="58">
        <v>1342</v>
      </c>
      <c r="M1121" s="59">
        <v>10</v>
      </c>
      <c r="N1121" s="59">
        <v>10</v>
      </c>
      <c r="O1121" s="59" t="s">
        <v>3578</v>
      </c>
      <c r="P1121" s="58">
        <v>374</v>
      </c>
      <c r="Q1121" s="59">
        <v>0</v>
      </c>
      <c r="R1121" s="59">
        <v>0</v>
      </c>
      <c r="S1121" s="60">
        <f>tblJTL[[#This Row],[timeStamp]]/86400000+DATE(1970,1,1)+TIME(9,0,0)</f>
        <v>46296.419924131944</v>
      </c>
      <c r="T1121" s="57">
        <f>tblJTL[[#This Row],[timeStamp]]+tblJTL[[#This Row],[elapsed]]</f>
        <v>1790816681823</v>
      </c>
      <c r="U1121" s="61">
        <f>(tblJTL[[#This Row],[timeStamp]]-'17_分析サンプル'!$E$18)/1000</f>
        <v>281.26499999999999</v>
      </c>
      <c r="V1121" s="57">
        <f>INT(tblJTL[[#This Row],[経過秒]]/60)</f>
        <v>4</v>
      </c>
      <c r="W1121" s="57">
        <f>IF(OR(tblJTL[[#This Row],[success]]=FALSE,tblJTL[[#This Row],[success]]="false"),1,0)</f>
        <v>0</v>
      </c>
      <c r="X1121" s="57">
        <f>IF(AND(tblJTL[[#This Row],[経過秒]]&gt;='17_分析サンプル'!$E$11,tblJTL[[#This Row],[経過秒]]&lt;'17_分析サンプル'!$E$12),1,0)</f>
        <v>1</v>
      </c>
    </row>
    <row r="1122" spans="2:24" ht="14.4" x14ac:dyDescent="0.3">
      <c r="B1122" s="57">
        <v>1790816681733</v>
      </c>
      <c r="C1122" s="58">
        <v>294</v>
      </c>
      <c r="D1122" s="59" t="s">
        <v>1658</v>
      </c>
      <c r="E1122" s="59" t="s">
        <v>1577</v>
      </c>
      <c r="F1122" s="59" t="s">
        <v>2275</v>
      </c>
      <c r="G1122" s="59" t="s">
        <v>3582</v>
      </c>
      <c r="H1122" s="59" t="s">
        <v>2281</v>
      </c>
      <c r="I1122" s="59" t="b">
        <v>1</v>
      </c>
      <c r="J1122" s="59"/>
      <c r="K1122" s="58">
        <v>1820</v>
      </c>
      <c r="L1122" s="58">
        <v>1342</v>
      </c>
      <c r="M1122" s="59">
        <v>10</v>
      </c>
      <c r="N1122" s="59">
        <v>10</v>
      </c>
      <c r="O1122" s="59" t="s">
        <v>3578</v>
      </c>
      <c r="P1122" s="58">
        <v>287</v>
      </c>
      <c r="Q1122" s="59">
        <v>0</v>
      </c>
      <c r="R1122" s="59">
        <v>0</v>
      </c>
      <c r="S1122" s="60">
        <f>tblJTL[[#This Row],[timeStamp]]/86400000+DATE(1970,1,1)+TIME(9,0,0)</f>
        <v>46296.419927465278</v>
      </c>
      <c r="T1122" s="57">
        <f>tblJTL[[#This Row],[timeStamp]]+tblJTL[[#This Row],[elapsed]]</f>
        <v>1790816682027</v>
      </c>
      <c r="U1122" s="61">
        <f>(tblJTL[[#This Row],[timeStamp]]-'17_分析サンプル'!$E$18)/1000</f>
        <v>281.553</v>
      </c>
      <c r="V1122" s="57">
        <f>INT(tblJTL[[#This Row],[経過秒]]/60)</f>
        <v>4</v>
      </c>
      <c r="W1122" s="57">
        <f>IF(OR(tblJTL[[#This Row],[success]]=FALSE,tblJTL[[#This Row],[success]]="false"),1,0)</f>
        <v>0</v>
      </c>
      <c r="X1122" s="57">
        <f>IF(AND(tblJTL[[#This Row],[経過秒]]&gt;='17_分析サンプル'!$E$11,tblJTL[[#This Row],[経過秒]]&lt;'17_分析サンプル'!$E$12),1,0)</f>
        <v>1</v>
      </c>
    </row>
    <row r="1123" spans="2:24" ht="14.4" x14ac:dyDescent="0.3">
      <c r="B1123" s="57">
        <v>1790816682228</v>
      </c>
      <c r="C1123" s="58">
        <v>250</v>
      </c>
      <c r="D1123" s="59" t="s">
        <v>1658</v>
      </c>
      <c r="E1123" s="59" t="s">
        <v>1577</v>
      </c>
      <c r="F1123" s="59" t="s">
        <v>2275</v>
      </c>
      <c r="G1123" s="59" t="s">
        <v>3584</v>
      </c>
      <c r="H1123" s="59" t="s">
        <v>2281</v>
      </c>
      <c r="I1123" s="59" t="b">
        <v>1</v>
      </c>
      <c r="J1123" s="59"/>
      <c r="K1123" s="58">
        <v>1875</v>
      </c>
      <c r="L1123" s="58">
        <v>1342</v>
      </c>
      <c r="M1123" s="59">
        <v>10</v>
      </c>
      <c r="N1123" s="59">
        <v>10</v>
      </c>
      <c r="O1123" s="59" t="s">
        <v>3578</v>
      </c>
      <c r="P1123" s="58">
        <v>243</v>
      </c>
      <c r="Q1123" s="59">
        <v>0</v>
      </c>
      <c r="R1123" s="59">
        <v>0</v>
      </c>
      <c r="S1123" s="60">
        <f>tblJTL[[#This Row],[timeStamp]]/86400000+DATE(1970,1,1)+TIME(9,0,0)</f>
        <v>46296.41993319444</v>
      </c>
      <c r="T1123" s="57">
        <f>tblJTL[[#This Row],[timeStamp]]+tblJTL[[#This Row],[elapsed]]</f>
        <v>1790816682478</v>
      </c>
      <c r="U1123" s="61">
        <f>(tblJTL[[#This Row],[timeStamp]]-'17_分析サンプル'!$E$18)/1000</f>
        <v>282.048</v>
      </c>
      <c r="V1123" s="57">
        <f>INT(tblJTL[[#This Row],[経過秒]]/60)</f>
        <v>4</v>
      </c>
      <c r="W1123" s="57">
        <f>IF(OR(tblJTL[[#This Row],[success]]=FALSE,tblJTL[[#This Row],[success]]="false"),1,0)</f>
        <v>0</v>
      </c>
      <c r="X1123" s="57">
        <f>IF(AND(tblJTL[[#This Row],[経過秒]]&gt;='17_分析サンプル'!$E$11,tblJTL[[#This Row],[経過秒]]&lt;'17_分析サンプル'!$E$12),1,0)</f>
        <v>1</v>
      </c>
    </row>
    <row r="1124" spans="2:24" ht="14.4" x14ac:dyDescent="0.3">
      <c r="B1124" s="57">
        <v>1790816680406</v>
      </c>
      <c r="C1124" s="58">
        <v>2246</v>
      </c>
      <c r="D1124" s="59" t="s">
        <v>1677</v>
      </c>
      <c r="E1124" s="59" t="s">
        <v>3579</v>
      </c>
      <c r="F1124" s="59" t="s">
        <v>3580</v>
      </c>
      <c r="G1124" s="59" t="s">
        <v>3583</v>
      </c>
      <c r="H1124" s="59" t="s">
        <v>2281</v>
      </c>
      <c r="I1124" s="59" t="b">
        <v>1</v>
      </c>
      <c r="J1124" s="59"/>
      <c r="K1124" s="58">
        <v>424</v>
      </c>
      <c r="L1124" s="58">
        <v>1478</v>
      </c>
      <c r="M1124" s="59">
        <v>10</v>
      </c>
      <c r="N1124" s="59">
        <v>10</v>
      </c>
      <c r="O1124" s="59" t="s">
        <v>3581</v>
      </c>
      <c r="P1124" s="58">
        <v>2240</v>
      </c>
      <c r="Q1124" s="59">
        <v>0</v>
      </c>
      <c r="R1124" s="59">
        <v>0</v>
      </c>
      <c r="S1124" s="60">
        <f>tblJTL[[#This Row],[timeStamp]]/86400000+DATE(1970,1,1)+TIME(9,0,0)</f>
        <v>46296.419912106481</v>
      </c>
      <c r="T1124" s="57">
        <f>tblJTL[[#This Row],[timeStamp]]+tblJTL[[#This Row],[elapsed]]</f>
        <v>1790816682652</v>
      </c>
      <c r="U1124" s="61">
        <f>(tblJTL[[#This Row],[timeStamp]]-'17_分析サンプル'!$E$18)/1000</f>
        <v>280.226</v>
      </c>
      <c r="V1124" s="57">
        <f>INT(tblJTL[[#This Row],[経過秒]]/60)</f>
        <v>4</v>
      </c>
      <c r="W1124" s="57">
        <f>IF(OR(tblJTL[[#This Row],[success]]=FALSE,tblJTL[[#This Row],[success]]="false"),1,0)</f>
        <v>0</v>
      </c>
      <c r="X1124" s="57">
        <f>IF(AND(tblJTL[[#This Row],[経過秒]]&gt;='17_分析サンプル'!$E$11,tblJTL[[#This Row],[経過秒]]&lt;'17_分析サンプル'!$E$12),1,0)</f>
        <v>1</v>
      </c>
    </row>
    <row r="1125" spans="2:24" ht="14.4" x14ac:dyDescent="0.3">
      <c r="B1125" s="57">
        <v>1790816682501</v>
      </c>
      <c r="C1125" s="58">
        <v>316</v>
      </c>
      <c r="D1125" s="59" t="s">
        <v>1658</v>
      </c>
      <c r="E1125" s="59" t="s">
        <v>1577</v>
      </c>
      <c r="F1125" s="59" t="s">
        <v>2275</v>
      </c>
      <c r="G1125" s="59" t="s">
        <v>2278</v>
      </c>
      <c r="H1125" s="59" t="s">
        <v>2281</v>
      </c>
      <c r="I1125" s="59" t="b">
        <v>1</v>
      </c>
      <c r="J1125" s="59"/>
      <c r="K1125" s="58">
        <v>1854</v>
      </c>
      <c r="L1125" s="58">
        <v>1342</v>
      </c>
      <c r="M1125" s="59">
        <v>10</v>
      </c>
      <c r="N1125" s="59">
        <v>10</v>
      </c>
      <c r="O1125" s="59" t="s">
        <v>3578</v>
      </c>
      <c r="P1125" s="58">
        <v>311</v>
      </c>
      <c r="Q1125" s="59">
        <v>0</v>
      </c>
      <c r="R1125" s="59">
        <v>0</v>
      </c>
      <c r="S1125" s="60">
        <f>tblJTL[[#This Row],[timeStamp]]/86400000+DATE(1970,1,1)+TIME(9,0,0)</f>
        <v>46296.41993635417</v>
      </c>
      <c r="T1125" s="57">
        <f>tblJTL[[#This Row],[timeStamp]]+tblJTL[[#This Row],[elapsed]]</f>
        <v>1790816682817</v>
      </c>
      <c r="U1125" s="61">
        <f>(tblJTL[[#This Row],[timeStamp]]-'17_分析サンプル'!$E$18)/1000</f>
        <v>282.32100000000003</v>
      </c>
      <c r="V1125" s="57">
        <f>INT(tblJTL[[#This Row],[経過秒]]/60)</f>
        <v>4</v>
      </c>
      <c r="W1125" s="57">
        <f>IF(OR(tblJTL[[#This Row],[success]]=FALSE,tblJTL[[#This Row],[success]]="false"),1,0)</f>
        <v>0</v>
      </c>
      <c r="X1125" s="57">
        <f>IF(AND(tblJTL[[#This Row],[経過秒]]&gt;='17_分析サンプル'!$E$11,tblJTL[[#This Row],[経過秒]]&lt;'17_分析サンプル'!$E$12),1,0)</f>
        <v>1</v>
      </c>
    </row>
    <row r="1126" spans="2:24" ht="14.4" x14ac:dyDescent="0.3">
      <c r="B1126" s="57">
        <v>1790816680757</v>
      </c>
      <c r="C1126" s="58">
        <v>2141</v>
      </c>
      <c r="D1126" s="59" t="s">
        <v>1677</v>
      </c>
      <c r="E1126" s="59" t="s">
        <v>3579</v>
      </c>
      <c r="F1126" s="59" t="s">
        <v>3580</v>
      </c>
      <c r="G1126" s="59" t="s">
        <v>3587</v>
      </c>
      <c r="H1126" s="59" t="s">
        <v>2281</v>
      </c>
      <c r="I1126" s="59" t="b">
        <v>1</v>
      </c>
      <c r="J1126" s="59"/>
      <c r="K1126" s="58">
        <v>411</v>
      </c>
      <c r="L1126" s="58">
        <v>1478</v>
      </c>
      <c r="M1126" s="59">
        <v>10</v>
      </c>
      <c r="N1126" s="59">
        <v>10</v>
      </c>
      <c r="O1126" s="59" t="s">
        <v>3581</v>
      </c>
      <c r="P1126" s="58">
        <v>2133</v>
      </c>
      <c r="Q1126" s="59">
        <v>0</v>
      </c>
      <c r="R1126" s="59">
        <v>0</v>
      </c>
      <c r="S1126" s="60">
        <f>tblJTL[[#This Row],[timeStamp]]/86400000+DATE(1970,1,1)+TIME(9,0,0)</f>
        <v>46296.419916168983</v>
      </c>
      <c r="T1126" s="57">
        <f>tblJTL[[#This Row],[timeStamp]]+tblJTL[[#This Row],[elapsed]]</f>
        <v>1790816682898</v>
      </c>
      <c r="U1126" s="61">
        <f>(tblJTL[[#This Row],[timeStamp]]-'17_分析サンプル'!$E$18)/1000</f>
        <v>280.577</v>
      </c>
      <c r="V1126" s="57">
        <f>INT(tblJTL[[#This Row],[経過秒]]/60)</f>
        <v>4</v>
      </c>
      <c r="W1126" s="57">
        <f>IF(OR(tblJTL[[#This Row],[success]]=FALSE,tblJTL[[#This Row],[success]]="false"),1,0)</f>
        <v>0</v>
      </c>
      <c r="X1126" s="57">
        <f>IF(AND(tblJTL[[#This Row],[経過秒]]&gt;='17_分析サンプル'!$E$11,tblJTL[[#This Row],[経過秒]]&lt;'17_分析サンプル'!$E$12),1,0)</f>
        <v>1</v>
      </c>
    </row>
    <row r="1127" spans="2:24" ht="14.4" x14ac:dyDescent="0.3">
      <c r="B1127" s="57">
        <v>1790816682755</v>
      </c>
      <c r="C1127" s="58">
        <v>348</v>
      </c>
      <c r="D1127" s="59" t="s">
        <v>1658</v>
      </c>
      <c r="E1127" s="59" t="s">
        <v>1577</v>
      </c>
      <c r="F1127" s="59" t="s">
        <v>2275</v>
      </c>
      <c r="G1127" s="59" t="s">
        <v>3577</v>
      </c>
      <c r="H1127" s="59" t="s">
        <v>2281</v>
      </c>
      <c r="I1127" s="59" t="b">
        <v>1</v>
      </c>
      <c r="J1127" s="59"/>
      <c r="K1127" s="58">
        <v>1834</v>
      </c>
      <c r="L1127" s="58">
        <v>1342</v>
      </c>
      <c r="M1127" s="59">
        <v>10</v>
      </c>
      <c r="N1127" s="59">
        <v>10</v>
      </c>
      <c r="O1127" s="59" t="s">
        <v>3578</v>
      </c>
      <c r="P1127" s="58">
        <v>345</v>
      </c>
      <c r="Q1127" s="59">
        <v>0</v>
      </c>
      <c r="R1127" s="59">
        <v>0</v>
      </c>
      <c r="S1127" s="60">
        <f>tblJTL[[#This Row],[timeStamp]]/86400000+DATE(1970,1,1)+TIME(9,0,0)</f>
        <v>46296.419939293977</v>
      </c>
      <c r="T1127" s="57">
        <f>tblJTL[[#This Row],[timeStamp]]+tblJTL[[#This Row],[elapsed]]</f>
        <v>1790816683103</v>
      </c>
      <c r="U1127" s="61">
        <f>(tblJTL[[#This Row],[timeStamp]]-'17_分析サンプル'!$E$18)/1000</f>
        <v>282.57499999999999</v>
      </c>
      <c r="V1127" s="57">
        <f>INT(tblJTL[[#This Row],[経過秒]]/60)</f>
        <v>4</v>
      </c>
      <c r="W1127" s="57">
        <f>IF(OR(tblJTL[[#This Row],[success]]=FALSE,tblJTL[[#This Row],[success]]="false"),1,0)</f>
        <v>0</v>
      </c>
      <c r="X1127" s="57">
        <f>IF(AND(tblJTL[[#This Row],[経過秒]]&gt;='17_分析サンプル'!$E$11,tblJTL[[#This Row],[経過秒]]&lt;'17_分析サンプル'!$E$12),1,0)</f>
        <v>1</v>
      </c>
    </row>
    <row r="1128" spans="2:24" ht="14.4" x14ac:dyDescent="0.3">
      <c r="B1128" s="57">
        <v>1790816680921</v>
      </c>
      <c r="C1128" s="58">
        <v>2319</v>
      </c>
      <c r="D1128" s="59" t="s">
        <v>1677</v>
      </c>
      <c r="E1128" s="59" t="s">
        <v>3579</v>
      </c>
      <c r="F1128" s="59" t="s">
        <v>3580</v>
      </c>
      <c r="G1128" s="59" t="s">
        <v>3586</v>
      </c>
      <c r="H1128" s="59" t="s">
        <v>2281</v>
      </c>
      <c r="I1128" s="59" t="b">
        <v>1</v>
      </c>
      <c r="J1128" s="59"/>
      <c r="K1128" s="58">
        <v>431</v>
      </c>
      <c r="L1128" s="58">
        <v>1478</v>
      </c>
      <c r="M1128" s="59">
        <v>10</v>
      </c>
      <c r="N1128" s="59">
        <v>10</v>
      </c>
      <c r="O1128" s="59" t="s">
        <v>3581</v>
      </c>
      <c r="P1128" s="58">
        <v>2314</v>
      </c>
      <c r="Q1128" s="59">
        <v>0</v>
      </c>
      <c r="R1128" s="59">
        <v>0</v>
      </c>
      <c r="S1128" s="60">
        <f>tblJTL[[#This Row],[timeStamp]]/86400000+DATE(1970,1,1)+TIME(9,0,0)</f>
        <v>46296.419918067128</v>
      </c>
      <c r="T1128" s="57">
        <f>tblJTL[[#This Row],[timeStamp]]+tblJTL[[#This Row],[elapsed]]</f>
        <v>1790816683240</v>
      </c>
      <c r="U1128" s="61">
        <f>(tblJTL[[#This Row],[timeStamp]]-'17_分析サンプル'!$E$18)/1000</f>
        <v>280.74099999999999</v>
      </c>
      <c r="V1128" s="57">
        <f>INT(tblJTL[[#This Row],[経過秒]]/60)</f>
        <v>4</v>
      </c>
      <c r="W1128" s="57">
        <f>IF(OR(tblJTL[[#This Row],[success]]=FALSE,tblJTL[[#This Row],[success]]="false"),1,0)</f>
        <v>0</v>
      </c>
      <c r="X1128" s="57">
        <f>IF(AND(tblJTL[[#This Row],[経過秒]]&gt;='17_分析サンプル'!$E$11,tblJTL[[#This Row],[経過秒]]&lt;'17_分析サンプル'!$E$12),1,0)</f>
        <v>1</v>
      </c>
    </row>
    <row r="1129" spans="2:24" ht="14.4" x14ac:dyDescent="0.3">
      <c r="B1129" s="57">
        <v>1790816683565</v>
      </c>
      <c r="C1129" s="58">
        <v>48</v>
      </c>
      <c r="D1129" s="59" t="s">
        <v>1677</v>
      </c>
      <c r="E1129" s="59" t="s">
        <v>3590</v>
      </c>
      <c r="F1129" s="59" t="s">
        <v>3591</v>
      </c>
      <c r="G1129" s="59" t="s">
        <v>3582</v>
      </c>
      <c r="H1129" s="59" t="s">
        <v>2281</v>
      </c>
      <c r="I1129" s="59" t="b">
        <v>0</v>
      </c>
      <c r="J1129" s="59" t="s">
        <v>3593</v>
      </c>
      <c r="K1129" s="58">
        <v>237</v>
      </c>
      <c r="L1129" s="58">
        <v>1478</v>
      </c>
      <c r="M1129" s="59">
        <v>10</v>
      </c>
      <c r="N1129" s="59">
        <v>10</v>
      </c>
      <c r="O1129" s="59" t="s">
        <v>3581</v>
      </c>
      <c r="P1129" s="58">
        <v>43</v>
      </c>
      <c r="Q1129" s="59">
        <v>0</v>
      </c>
      <c r="R1129" s="59">
        <v>0</v>
      </c>
      <c r="S1129" s="60">
        <f>tblJTL[[#This Row],[timeStamp]]/86400000+DATE(1970,1,1)+TIME(9,0,0)</f>
        <v>46296.419948668983</v>
      </c>
      <c r="T1129" s="57">
        <f>tblJTL[[#This Row],[timeStamp]]+tblJTL[[#This Row],[elapsed]]</f>
        <v>1790816683613</v>
      </c>
      <c r="U1129" s="61">
        <f>(tblJTL[[#This Row],[timeStamp]]-'17_分析サンプル'!$E$18)/1000</f>
        <v>283.38499999999999</v>
      </c>
      <c r="V1129" s="57">
        <f>INT(tblJTL[[#This Row],[経過秒]]/60)</f>
        <v>4</v>
      </c>
      <c r="W1129" s="57">
        <f>IF(OR(tblJTL[[#This Row],[success]]=FALSE,tblJTL[[#This Row],[success]]="false"),1,0)</f>
        <v>1</v>
      </c>
      <c r="X1129" s="57">
        <f>IF(AND(tblJTL[[#This Row],[経過秒]]&gt;='17_分析サンプル'!$E$11,tblJTL[[#This Row],[経過秒]]&lt;'17_分析サンプル'!$E$12),1,0)</f>
        <v>1</v>
      </c>
    </row>
    <row r="1130" spans="2:24" ht="14.4" x14ac:dyDescent="0.3">
      <c r="B1130" s="57">
        <v>1790816683697</v>
      </c>
      <c r="C1130" s="58">
        <v>157</v>
      </c>
      <c r="D1130" s="59" t="s">
        <v>1658</v>
      </c>
      <c r="E1130" s="59" t="s">
        <v>1577</v>
      </c>
      <c r="F1130" s="59" t="s">
        <v>2275</v>
      </c>
      <c r="G1130" s="59" t="s">
        <v>3588</v>
      </c>
      <c r="H1130" s="59" t="s">
        <v>2281</v>
      </c>
      <c r="I1130" s="59" t="b">
        <v>1</v>
      </c>
      <c r="J1130" s="59"/>
      <c r="K1130" s="58">
        <v>1843</v>
      </c>
      <c r="L1130" s="58">
        <v>1342</v>
      </c>
      <c r="M1130" s="59">
        <v>10</v>
      </c>
      <c r="N1130" s="59">
        <v>10</v>
      </c>
      <c r="O1130" s="59" t="s">
        <v>3578</v>
      </c>
      <c r="P1130" s="58">
        <v>153</v>
      </c>
      <c r="Q1130" s="59">
        <v>0</v>
      </c>
      <c r="R1130" s="59">
        <v>0</v>
      </c>
      <c r="S1130" s="60">
        <f>tblJTL[[#This Row],[timeStamp]]/86400000+DATE(1970,1,1)+TIME(9,0,0)</f>
        <v>46296.41995019676</v>
      </c>
      <c r="T1130" s="57">
        <f>tblJTL[[#This Row],[timeStamp]]+tblJTL[[#This Row],[elapsed]]</f>
        <v>1790816683854</v>
      </c>
      <c r="U1130" s="61">
        <f>(tblJTL[[#This Row],[timeStamp]]-'17_分析サンプル'!$E$18)/1000</f>
        <v>283.517</v>
      </c>
      <c r="V1130" s="57">
        <f>INT(tblJTL[[#This Row],[経過秒]]/60)</f>
        <v>4</v>
      </c>
      <c r="W1130" s="57">
        <f>IF(OR(tblJTL[[#This Row],[success]]=FALSE,tblJTL[[#This Row],[success]]="false"),1,0)</f>
        <v>0</v>
      </c>
      <c r="X1130" s="57">
        <f>IF(AND(tblJTL[[#This Row],[経過秒]]&gt;='17_分析サンプル'!$E$11,tblJTL[[#This Row],[経過秒]]&lt;'17_分析サンプル'!$E$12),1,0)</f>
        <v>1</v>
      </c>
    </row>
    <row r="1131" spans="2:24" ht="14.4" x14ac:dyDescent="0.3">
      <c r="B1131" s="57">
        <v>1790816681591</v>
      </c>
      <c r="C1131" s="58">
        <v>2572</v>
      </c>
      <c r="D1131" s="59" t="s">
        <v>1677</v>
      </c>
      <c r="E1131" s="59" t="s">
        <v>3579</v>
      </c>
      <c r="F1131" s="59" t="s">
        <v>3580</v>
      </c>
      <c r="G1131" s="59" t="s">
        <v>3585</v>
      </c>
      <c r="H1131" s="59" t="s">
        <v>2281</v>
      </c>
      <c r="I1131" s="59" t="b">
        <v>1</v>
      </c>
      <c r="J1131" s="59"/>
      <c r="K1131" s="58">
        <v>416</v>
      </c>
      <c r="L1131" s="58">
        <v>1478</v>
      </c>
      <c r="M1131" s="59">
        <v>10</v>
      </c>
      <c r="N1131" s="59">
        <v>10</v>
      </c>
      <c r="O1131" s="59" t="s">
        <v>3581</v>
      </c>
      <c r="P1131" s="58">
        <v>2567</v>
      </c>
      <c r="Q1131" s="59">
        <v>0</v>
      </c>
      <c r="R1131" s="59">
        <v>0</v>
      </c>
      <c r="S1131" s="60">
        <f>tblJTL[[#This Row],[timeStamp]]/86400000+DATE(1970,1,1)+TIME(9,0,0)</f>
        <v>46296.419925821756</v>
      </c>
      <c r="T1131" s="57">
        <f>tblJTL[[#This Row],[timeStamp]]+tblJTL[[#This Row],[elapsed]]</f>
        <v>1790816684163</v>
      </c>
      <c r="U1131" s="61">
        <f>(tblJTL[[#This Row],[timeStamp]]-'17_分析サンプル'!$E$18)/1000</f>
        <v>281.411</v>
      </c>
      <c r="V1131" s="57">
        <f>INT(tblJTL[[#This Row],[経過秒]]/60)</f>
        <v>4</v>
      </c>
      <c r="W1131" s="57">
        <f>IF(OR(tblJTL[[#This Row],[success]]=FALSE,tblJTL[[#This Row],[success]]="false"),1,0)</f>
        <v>0</v>
      </c>
      <c r="X1131" s="57">
        <f>IF(AND(tblJTL[[#This Row],[経過秒]]&gt;='17_分析サンプル'!$E$11,tblJTL[[#This Row],[経過秒]]&lt;'17_分析サンプル'!$E$12),1,0)</f>
        <v>1</v>
      </c>
    </row>
    <row r="1132" spans="2:24" ht="14.4" x14ac:dyDescent="0.3">
      <c r="B1132" s="57">
        <v>1790816684286</v>
      </c>
      <c r="C1132" s="58">
        <v>563</v>
      </c>
      <c r="D1132" s="59" t="s">
        <v>1677</v>
      </c>
      <c r="E1132" s="59" t="s">
        <v>3579</v>
      </c>
      <c r="F1132" s="59" t="s">
        <v>3580</v>
      </c>
      <c r="G1132" s="59" t="s">
        <v>3584</v>
      </c>
      <c r="H1132" s="59" t="s">
        <v>2281</v>
      </c>
      <c r="I1132" s="59" t="b">
        <v>1</v>
      </c>
      <c r="J1132" s="59"/>
      <c r="K1132" s="58">
        <v>413</v>
      </c>
      <c r="L1132" s="58">
        <v>1478</v>
      </c>
      <c r="M1132" s="59">
        <v>10</v>
      </c>
      <c r="N1132" s="59">
        <v>10</v>
      </c>
      <c r="O1132" s="59" t="s">
        <v>3581</v>
      </c>
      <c r="P1132" s="58">
        <v>558</v>
      </c>
      <c r="Q1132" s="59">
        <v>0</v>
      </c>
      <c r="R1132" s="59">
        <v>0</v>
      </c>
      <c r="S1132" s="60">
        <f>tblJTL[[#This Row],[timeStamp]]/86400000+DATE(1970,1,1)+TIME(9,0,0)</f>
        <v>46296.419957013888</v>
      </c>
      <c r="T1132" s="57">
        <f>tblJTL[[#This Row],[timeStamp]]+tblJTL[[#This Row],[elapsed]]</f>
        <v>1790816684849</v>
      </c>
      <c r="U1132" s="61">
        <f>(tblJTL[[#This Row],[timeStamp]]-'17_分析サンプル'!$E$18)/1000</f>
        <v>284.10599999999999</v>
      </c>
      <c r="V1132" s="57">
        <f>INT(tblJTL[[#This Row],[経過秒]]/60)</f>
        <v>4</v>
      </c>
      <c r="W1132" s="57">
        <f>IF(OR(tblJTL[[#This Row],[success]]=FALSE,tblJTL[[#This Row],[success]]="false"),1,0)</f>
        <v>0</v>
      </c>
      <c r="X1132" s="57">
        <f>IF(AND(tblJTL[[#This Row],[経過秒]]&gt;='17_分析サンプル'!$E$11,tblJTL[[#This Row],[経過秒]]&lt;'17_分析サンプル'!$E$12),1,0)</f>
        <v>1</v>
      </c>
    </row>
    <row r="1133" spans="2:24" ht="14.4" x14ac:dyDescent="0.3">
      <c r="B1133" s="57">
        <v>1790816684665</v>
      </c>
      <c r="C1133" s="58">
        <v>255</v>
      </c>
      <c r="D1133" s="59" t="s">
        <v>1658</v>
      </c>
      <c r="E1133" s="59" t="s">
        <v>1577</v>
      </c>
      <c r="F1133" s="59" t="s">
        <v>2275</v>
      </c>
      <c r="G1133" s="59" t="s">
        <v>3582</v>
      </c>
      <c r="H1133" s="59" t="s">
        <v>2281</v>
      </c>
      <c r="I1133" s="59" t="b">
        <v>1</v>
      </c>
      <c r="J1133" s="59"/>
      <c r="K1133" s="58">
        <v>1829</v>
      </c>
      <c r="L1133" s="58">
        <v>1342</v>
      </c>
      <c r="M1133" s="59">
        <v>10</v>
      </c>
      <c r="N1133" s="59">
        <v>10</v>
      </c>
      <c r="O1133" s="59" t="s">
        <v>3578</v>
      </c>
      <c r="P1133" s="58">
        <v>253</v>
      </c>
      <c r="Q1133" s="59">
        <v>0</v>
      </c>
      <c r="R1133" s="59">
        <v>0</v>
      </c>
      <c r="S1133" s="60">
        <f>tblJTL[[#This Row],[timeStamp]]/86400000+DATE(1970,1,1)+TIME(9,0,0)</f>
        <v>46296.419961400461</v>
      </c>
      <c r="T1133" s="57">
        <f>tblJTL[[#This Row],[timeStamp]]+tblJTL[[#This Row],[elapsed]]</f>
        <v>1790816684920</v>
      </c>
      <c r="U1133" s="61">
        <f>(tblJTL[[#This Row],[timeStamp]]-'17_分析サンプル'!$E$18)/1000</f>
        <v>284.48500000000001</v>
      </c>
      <c r="V1133" s="57">
        <f>INT(tblJTL[[#This Row],[経過秒]]/60)</f>
        <v>4</v>
      </c>
      <c r="W1133" s="57">
        <f>IF(OR(tblJTL[[#This Row],[success]]=FALSE,tblJTL[[#This Row],[success]]="false"),1,0)</f>
        <v>0</v>
      </c>
      <c r="X1133" s="57">
        <f>IF(AND(tblJTL[[#This Row],[経過秒]]&gt;='17_分析サンプル'!$E$11,tblJTL[[#This Row],[経過秒]]&lt;'17_分析サンプル'!$E$12),1,0)</f>
        <v>1</v>
      </c>
    </row>
    <row r="1134" spans="2:24" ht="14.4" x14ac:dyDescent="0.3">
      <c r="B1134" s="57">
        <v>1790816684901</v>
      </c>
      <c r="C1134" s="58">
        <v>241</v>
      </c>
      <c r="D1134" s="59" t="s">
        <v>1658</v>
      </c>
      <c r="E1134" s="59" t="s">
        <v>1577</v>
      </c>
      <c r="F1134" s="59" t="s">
        <v>2275</v>
      </c>
      <c r="G1134" s="59" t="s">
        <v>3587</v>
      </c>
      <c r="H1134" s="59" t="s">
        <v>2281</v>
      </c>
      <c r="I1134" s="59" t="b">
        <v>1</v>
      </c>
      <c r="J1134" s="59"/>
      <c r="K1134" s="58">
        <v>1827</v>
      </c>
      <c r="L1134" s="58">
        <v>1342</v>
      </c>
      <c r="M1134" s="59">
        <v>10</v>
      </c>
      <c r="N1134" s="59">
        <v>10</v>
      </c>
      <c r="O1134" s="59" t="s">
        <v>3578</v>
      </c>
      <c r="P1134" s="58">
        <v>238</v>
      </c>
      <c r="Q1134" s="59">
        <v>0</v>
      </c>
      <c r="R1134" s="59">
        <v>0</v>
      </c>
      <c r="S1134" s="60">
        <f>tblJTL[[#This Row],[timeStamp]]/86400000+DATE(1970,1,1)+TIME(9,0,0)</f>
        <v>46296.419964131943</v>
      </c>
      <c r="T1134" s="57">
        <f>tblJTL[[#This Row],[timeStamp]]+tblJTL[[#This Row],[elapsed]]</f>
        <v>1790816685142</v>
      </c>
      <c r="U1134" s="61">
        <f>(tblJTL[[#This Row],[timeStamp]]-'17_分析サンプル'!$E$18)/1000</f>
        <v>284.721</v>
      </c>
      <c r="V1134" s="57">
        <f>INT(tblJTL[[#This Row],[経過秒]]/60)</f>
        <v>4</v>
      </c>
      <c r="W1134" s="57">
        <f>IF(OR(tblJTL[[#This Row],[success]]=FALSE,tblJTL[[#This Row],[success]]="false"),1,0)</f>
        <v>0</v>
      </c>
      <c r="X1134" s="57">
        <f>IF(AND(tblJTL[[#This Row],[経過秒]]&gt;='17_分析サンプル'!$E$11,tblJTL[[#This Row],[経過秒]]&lt;'17_分析サンプル'!$E$12),1,0)</f>
        <v>1</v>
      </c>
    </row>
    <row r="1135" spans="2:24" ht="14.4" x14ac:dyDescent="0.3">
      <c r="B1135" s="57">
        <v>1790816684454</v>
      </c>
      <c r="C1135" s="58">
        <v>754</v>
      </c>
      <c r="D1135" s="59" t="s">
        <v>1677</v>
      </c>
      <c r="E1135" s="59" t="s">
        <v>3579</v>
      </c>
      <c r="F1135" s="59" t="s">
        <v>3580</v>
      </c>
      <c r="G1135" s="59" t="s">
        <v>3577</v>
      </c>
      <c r="H1135" s="59" t="s">
        <v>2281</v>
      </c>
      <c r="I1135" s="59" t="b">
        <v>1</v>
      </c>
      <c r="J1135" s="59"/>
      <c r="K1135" s="58">
        <v>427</v>
      </c>
      <c r="L1135" s="58">
        <v>1478</v>
      </c>
      <c r="M1135" s="59">
        <v>10</v>
      </c>
      <c r="N1135" s="59">
        <v>10</v>
      </c>
      <c r="O1135" s="59" t="s">
        <v>3581</v>
      </c>
      <c r="P1135" s="58">
        <v>748</v>
      </c>
      <c r="Q1135" s="59">
        <v>0</v>
      </c>
      <c r="R1135" s="59">
        <v>0</v>
      </c>
      <c r="S1135" s="60">
        <f>tblJTL[[#This Row],[timeStamp]]/86400000+DATE(1970,1,1)+TIME(9,0,0)</f>
        <v>46296.41995895833</v>
      </c>
      <c r="T1135" s="57">
        <f>tblJTL[[#This Row],[timeStamp]]+tblJTL[[#This Row],[elapsed]]</f>
        <v>1790816685208</v>
      </c>
      <c r="U1135" s="61">
        <f>(tblJTL[[#This Row],[timeStamp]]-'17_分析サンプル'!$E$18)/1000</f>
        <v>284.274</v>
      </c>
      <c r="V1135" s="57">
        <f>INT(tblJTL[[#This Row],[経過秒]]/60)</f>
        <v>4</v>
      </c>
      <c r="W1135" s="57">
        <f>IF(OR(tblJTL[[#This Row],[success]]=FALSE,tblJTL[[#This Row],[success]]="false"),1,0)</f>
        <v>0</v>
      </c>
      <c r="X1135" s="57">
        <f>IF(AND(tblJTL[[#This Row],[経過秒]]&gt;='17_分析サンプル'!$E$11,tblJTL[[#This Row],[経過秒]]&lt;'17_分析サンプル'!$E$12),1,0)</f>
        <v>1</v>
      </c>
    </row>
    <row r="1136" spans="2:24" ht="14.4" x14ac:dyDescent="0.3">
      <c r="B1136" s="57">
        <v>1790816684400</v>
      </c>
      <c r="C1136" s="58">
        <v>1256</v>
      </c>
      <c r="D1136" s="59" t="s">
        <v>1677</v>
      </c>
      <c r="E1136" s="59" t="s">
        <v>3579</v>
      </c>
      <c r="F1136" s="59" t="s">
        <v>3580</v>
      </c>
      <c r="G1136" s="59" t="s">
        <v>2278</v>
      </c>
      <c r="H1136" s="59" t="s">
        <v>2281</v>
      </c>
      <c r="I1136" s="59" t="b">
        <v>1</v>
      </c>
      <c r="J1136" s="59"/>
      <c r="K1136" s="58">
        <v>416</v>
      </c>
      <c r="L1136" s="58">
        <v>1478</v>
      </c>
      <c r="M1136" s="59">
        <v>10</v>
      </c>
      <c r="N1136" s="59">
        <v>10</v>
      </c>
      <c r="O1136" s="59" t="s">
        <v>3581</v>
      </c>
      <c r="P1136" s="58">
        <v>1250</v>
      </c>
      <c r="Q1136" s="59">
        <v>0</v>
      </c>
      <c r="R1136" s="59">
        <v>0</v>
      </c>
      <c r="S1136" s="60">
        <f>tblJTL[[#This Row],[timeStamp]]/86400000+DATE(1970,1,1)+TIME(9,0,0)</f>
        <v>46296.419958333332</v>
      </c>
      <c r="T1136" s="57">
        <f>tblJTL[[#This Row],[timeStamp]]+tblJTL[[#This Row],[elapsed]]</f>
        <v>1790816685656</v>
      </c>
      <c r="U1136" s="61">
        <f>(tblJTL[[#This Row],[timeStamp]]-'17_分析サンプル'!$E$18)/1000</f>
        <v>284.22000000000003</v>
      </c>
      <c r="V1136" s="57">
        <f>INT(tblJTL[[#This Row],[経過秒]]/60)</f>
        <v>4</v>
      </c>
      <c r="W1136" s="57">
        <f>IF(OR(tblJTL[[#This Row],[success]]=FALSE,tblJTL[[#This Row],[success]]="false"),1,0)</f>
        <v>0</v>
      </c>
      <c r="X1136" s="57">
        <f>IF(AND(tblJTL[[#This Row],[経過秒]]&gt;='17_分析サンプル'!$E$11,tblJTL[[#This Row],[経過秒]]&lt;'17_分析サンプル'!$E$12),1,0)</f>
        <v>1</v>
      </c>
    </row>
    <row r="1137" spans="2:24" ht="14.4" x14ac:dyDescent="0.3">
      <c r="B1137" s="57">
        <v>1790816685478</v>
      </c>
      <c r="C1137" s="58">
        <v>196</v>
      </c>
      <c r="D1137" s="59" t="s">
        <v>1658</v>
      </c>
      <c r="E1137" s="59" t="s">
        <v>1577</v>
      </c>
      <c r="F1137" s="59" t="s">
        <v>2275</v>
      </c>
      <c r="G1137" s="59" t="s">
        <v>3583</v>
      </c>
      <c r="H1137" s="59" t="s">
        <v>2281</v>
      </c>
      <c r="I1137" s="59" t="b">
        <v>1</v>
      </c>
      <c r="J1137" s="59"/>
      <c r="K1137" s="58">
        <v>1869</v>
      </c>
      <c r="L1137" s="58">
        <v>1342</v>
      </c>
      <c r="M1137" s="59">
        <v>10</v>
      </c>
      <c r="N1137" s="59">
        <v>10</v>
      </c>
      <c r="O1137" s="59" t="s">
        <v>3578</v>
      </c>
      <c r="P1137" s="58">
        <v>193</v>
      </c>
      <c r="Q1137" s="59">
        <v>0</v>
      </c>
      <c r="R1137" s="59">
        <v>0</v>
      </c>
      <c r="S1137" s="60">
        <f>tblJTL[[#This Row],[timeStamp]]/86400000+DATE(1970,1,1)+TIME(9,0,0)</f>
        <v>46296.419970810181</v>
      </c>
      <c r="T1137" s="57">
        <f>tblJTL[[#This Row],[timeStamp]]+tblJTL[[#This Row],[elapsed]]</f>
        <v>1790816685674</v>
      </c>
      <c r="U1137" s="61">
        <f>(tblJTL[[#This Row],[timeStamp]]-'17_分析サンプル'!$E$18)/1000</f>
        <v>285.298</v>
      </c>
      <c r="V1137" s="57">
        <f>INT(tblJTL[[#This Row],[経過秒]]/60)</f>
        <v>4</v>
      </c>
      <c r="W1137" s="57">
        <f>IF(OR(tblJTL[[#This Row],[success]]=FALSE,tblJTL[[#This Row],[success]]="false"),1,0)</f>
        <v>0</v>
      </c>
      <c r="X1137" s="57">
        <f>IF(AND(tblJTL[[#This Row],[経過秒]]&gt;='17_分析サンプル'!$E$11,tblJTL[[#This Row],[経過秒]]&lt;'17_分析サンプル'!$E$12),1,0)</f>
        <v>1</v>
      </c>
    </row>
    <row r="1138" spans="2:24" ht="14.4" x14ac:dyDescent="0.3">
      <c r="B1138" s="57">
        <v>1790816685530</v>
      </c>
      <c r="C1138" s="58">
        <v>259</v>
      </c>
      <c r="D1138" s="59" t="s">
        <v>1658</v>
      </c>
      <c r="E1138" s="59" t="s">
        <v>1577</v>
      </c>
      <c r="F1138" s="59" t="s">
        <v>2275</v>
      </c>
      <c r="G1138" s="59" t="s">
        <v>3585</v>
      </c>
      <c r="H1138" s="59" t="s">
        <v>2281</v>
      </c>
      <c r="I1138" s="59" t="b">
        <v>1</v>
      </c>
      <c r="J1138" s="59"/>
      <c r="K1138" s="58">
        <v>1859</v>
      </c>
      <c r="L1138" s="58">
        <v>1342</v>
      </c>
      <c r="M1138" s="59">
        <v>10</v>
      </c>
      <c r="N1138" s="59">
        <v>10</v>
      </c>
      <c r="O1138" s="59" t="s">
        <v>3578</v>
      </c>
      <c r="P1138" s="58">
        <v>254</v>
      </c>
      <c r="Q1138" s="59">
        <v>0</v>
      </c>
      <c r="R1138" s="59">
        <v>0</v>
      </c>
      <c r="S1138" s="60">
        <f>tblJTL[[#This Row],[timeStamp]]/86400000+DATE(1970,1,1)+TIME(9,0,0)</f>
        <v>46296.419971412033</v>
      </c>
      <c r="T1138" s="57">
        <f>tblJTL[[#This Row],[timeStamp]]+tblJTL[[#This Row],[elapsed]]</f>
        <v>1790816685789</v>
      </c>
      <c r="U1138" s="61">
        <f>(tblJTL[[#This Row],[timeStamp]]-'17_分析サンプル'!$E$18)/1000</f>
        <v>285.35000000000002</v>
      </c>
      <c r="V1138" s="57">
        <f>INT(tblJTL[[#This Row],[経過秒]]/60)</f>
        <v>4</v>
      </c>
      <c r="W1138" s="57">
        <f>IF(OR(tblJTL[[#This Row],[success]]=FALSE,tblJTL[[#This Row],[success]]="false"),1,0)</f>
        <v>0</v>
      </c>
      <c r="X1138" s="57">
        <f>IF(AND(tblJTL[[#This Row],[経過秒]]&gt;='17_分析サンプル'!$E$11,tblJTL[[#This Row],[経過秒]]&lt;'17_分析サンプル'!$E$12),1,0)</f>
        <v>1</v>
      </c>
    </row>
    <row r="1139" spans="2:24" ht="14.4" x14ac:dyDescent="0.3">
      <c r="B1139" s="57">
        <v>1790816683619</v>
      </c>
      <c r="C1139" s="58">
        <v>2229</v>
      </c>
      <c r="D1139" s="59" t="s">
        <v>1677</v>
      </c>
      <c r="E1139" s="59" t="s">
        <v>3579</v>
      </c>
      <c r="F1139" s="59" t="s">
        <v>3580</v>
      </c>
      <c r="G1139" s="59" t="s">
        <v>3589</v>
      </c>
      <c r="H1139" s="59" t="s">
        <v>2281</v>
      </c>
      <c r="I1139" s="59" t="b">
        <v>1</v>
      </c>
      <c r="J1139" s="59"/>
      <c r="K1139" s="58">
        <v>427</v>
      </c>
      <c r="L1139" s="58">
        <v>1478</v>
      </c>
      <c r="M1139" s="59">
        <v>10</v>
      </c>
      <c r="N1139" s="59">
        <v>10</v>
      </c>
      <c r="O1139" s="59" t="s">
        <v>3581</v>
      </c>
      <c r="P1139" s="58">
        <v>2225</v>
      </c>
      <c r="Q1139" s="59">
        <v>0</v>
      </c>
      <c r="R1139" s="59">
        <v>0</v>
      </c>
      <c r="S1139" s="60">
        <f>tblJTL[[#This Row],[timeStamp]]/86400000+DATE(1970,1,1)+TIME(9,0,0)</f>
        <v>46296.419949293981</v>
      </c>
      <c r="T1139" s="57">
        <f>tblJTL[[#This Row],[timeStamp]]+tblJTL[[#This Row],[elapsed]]</f>
        <v>1790816685848</v>
      </c>
      <c r="U1139" s="61">
        <f>(tblJTL[[#This Row],[timeStamp]]-'17_分析サンプル'!$E$18)/1000</f>
        <v>283.43900000000002</v>
      </c>
      <c r="V1139" s="57">
        <f>INT(tblJTL[[#This Row],[経過秒]]/60)</f>
        <v>4</v>
      </c>
      <c r="W1139" s="57">
        <f>IF(OR(tblJTL[[#This Row],[success]]=FALSE,tblJTL[[#This Row],[success]]="false"),1,0)</f>
        <v>0</v>
      </c>
      <c r="X1139" s="57">
        <f>IF(AND(tblJTL[[#This Row],[経過秒]]&gt;='17_分析サンプル'!$E$11,tblJTL[[#This Row],[経過秒]]&lt;'17_分析サンプル'!$E$12),1,0)</f>
        <v>1</v>
      </c>
    </row>
    <row r="1140" spans="2:24" ht="14.4" x14ac:dyDescent="0.3">
      <c r="B1140" s="57">
        <v>1790816686161</v>
      </c>
      <c r="C1140" s="58">
        <v>244</v>
      </c>
      <c r="D1140" s="59" t="s">
        <v>1658</v>
      </c>
      <c r="E1140" s="59" t="s">
        <v>1577</v>
      </c>
      <c r="F1140" s="59" t="s">
        <v>2275</v>
      </c>
      <c r="G1140" s="59" t="s">
        <v>3586</v>
      </c>
      <c r="H1140" s="59" t="s">
        <v>2281</v>
      </c>
      <c r="I1140" s="59" t="b">
        <v>1</v>
      </c>
      <c r="J1140" s="59"/>
      <c r="K1140" s="58">
        <v>1884</v>
      </c>
      <c r="L1140" s="58">
        <v>1342</v>
      </c>
      <c r="M1140" s="59">
        <v>10</v>
      </c>
      <c r="N1140" s="59">
        <v>10</v>
      </c>
      <c r="O1140" s="59" t="s">
        <v>3578</v>
      </c>
      <c r="P1140" s="58">
        <v>236</v>
      </c>
      <c r="Q1140" s="59">
        <v>0</v>
      </c>
      <c r="R1140" s="59">
        <v>58</v>
      </c>
      <c r="S1140" s="60">
        <f>tblJTL[[#This Row],[timeStamp]]/86400000+DATE(1970,1,1)+TIME(9,0,0)</f>
        <v>46296.419978715276</v>
      </c>
      <c r="T1140" s="57">
        <f>tblJTL[[#This Row],[timeStamp]]+tblJTL[[#This Row],[elapsed]]</f>
        <v>1790816686405</v>
      </c>
      <c r="U1140" s="61">
        <f>(tblJTL[[#This Row],[timeStamp]]-'17_分析サンプル'!$E$18)/1000</f>
        <v>285.98099999999999</v>
      </c>
      <c r="V1140" s="57">
        <f>INT(tblJTL[[#This Row],[経過秒]]/60)</f>
        <v>4</v>
      </c>
      <c r="W1140" s="57">
        <f>IF(OR(tblJTL[[#This Row],[success]]=FALSE,tblJTL[[#This Row],[success]]="false"),1,0)</f>
        <v>0</v>
      </c>
      <c r="X1140" s="57">
        <f>IF(AND(tblJTL[[#This Row],[経過秒]]&gt;='17_分析サンプル'!$E$11,tblJTL[[#This Row],[経過秒]]&lt;'17_分析サンプル'!$E$12),1,0)</f>
        <v>1</v>
      </c>
    </row>
    <row r="1141" spans="2:24" ht="14.4" x14ac:dyDescent="0.3">
      <c r="B1141" s="57">
        <v>1790816686369</v>
      </c>
      <c r="C1141" s="58">
        <v>182</v>
      </c>
      <c r="D1141" s="59" t="s">
        <v>1658</v>
      </c>
      <c r="E1141" s="59" t="s">
        <v>1577</v>
      </c>
      <c r="F1141" s="59" t="s">
        <v>2275</v>
      </c>
      <c r="G1141" s="59" t="s">
        <v>3584</v>
      </c>
      <c r="H1141" s="59" t="s">
        <v>2281</v>
      </c>
      <c r="I1141" s="59" t="b">
        <v>1</v>
      </c>
      <c r="J1141" s="59"/>
      <c r="K1141" s="58">
        <v>1884</v>
      </c>
      <c r="L1141" s="58">
        <v>1342</v>
      </c>
      <c r="M1141" s="59">
        <v>10</v>
      </c>
      <c r="N1141" s="59">
        <v>10</v>
      </c>
      <c r="O1141" s="59" t="s">
        <v>3578</v>
      </c>
      <c r="P1141" s="58">
        <v>176</v>
      </c>
      <c r="Q1141" s="59">
        <v>0</v>
      </c>
      <c r="R1141" s="59">
        <v>0</v>
      </c>
      <c r="S1141" s="60">
        <f>tblJTL[[#This Row],[timeStamp]]/86400000+DATE(1970,1,1)+TIME(9,0,0)</f>
        <v>46296.419981122686</v>
      </c>
      <c r="T1141" s="57">
        <f>tblJTL[[#This Row],[timeStamp]]+tblJTL[[#This Row],[elapsed]]</f>
        <v>1790816686551</v>
      </c>
      <c r="U1141" s="61">
        <f>(tblJTL[[#This Row],[timeStamp]]-'17_分析サンプル'!$E$18)/1000</f>
        <v>286.18900000000002</v>
      </c>
      <c r="V1141" s="57">
        <f>INT(tblJTL[[#This Row],[経過秒]]/60)</f>
        <v>4</v>
      </c>
      <c r="W1141" s="57">
        <f>IF(OR(tblJTL[[#This Row],[success]]=FALSE,tblJTL[[#This Row],[success]]="false"),1,0)</f>
        <v>0</v>
      </c>
      <c r="X1141" s="57">
        <f>IF(AND(tblJTL[[#This Row],[経過秒]]&gt;='17_分析サンプル'!$E$11,tblJTL[[#This Row],[経過秒]]&lt;'17_分析サンプル'!$E$12),1,0)</f>
        <v>1</v>
      </c>
    </row>
    <row r="1142" spans="2:24" ht="14.4" x14ac:dyDescent="0.3">
      <c r="B1142" s="57">
        <v>1790816686683</v>
      </c>
      <c r="C1142" s="58">
        <v>37</v>
      </c>
      <c r="D1142" s="59" t="s">
        <v>1677</v>
      </c>
      <c r="E1142" s="59" t="s">
        <v>3590</v>
      </c>
      <c r="F1142" s="59" t="s">
        <v>3591</v>
      </c>
      <c r="G1142" s="59" t="s">
        <v>3582</v>
      </c>
      <c r="H1142" s="59" t="s">
        <v>2281</v>
      </c>
      <c r="I1142" s="59" t="b">
        <v>0</v>
      </c>
      <c r="J1142" s="59" t="s">
        <v>3593</v>
      </c>
      <c r="K1142" s="58">
        <v>237</v>
      </c>
      <c r="L1142" s="58">
        <v>1478</v>
      </c>
      <c r="M1142" s="59">
        <v>10</v>
      </c>
      <c r="N1142" s="59">
        <v>10</v>
      </c>
      <c r="O1142" s="59" t="s">
        <v>3581</v>
      </c>
      <c r="P1142" s="58">
        <v>33</v>
      </c>
      <c r="Q1142" s="59">
        <v>0</v>
      </c>
      <c r="R1142" s="59">
        <v>0</v>
      </c>
      <c r="S1142" s="60">
        <f>tblJTL[[#This Row],[timeStamp]]/86400000+DATE(1970,1,1)+TIME(9,0,0)</f>
        <v>46296.41998475694</v>
      </c>
      <c r="T1142" s="57">
        <f>tblJTL[[#This Row],[timeStamp]]+tblJTL[[#This Row],[elapsed]]</f>
        <v>1790816686720</v>
      </c>
      <c r="U1142" s="61">
        <f>(tblJTL[[#This Row],[timeStamp]]-'17_分析サンプル'!$E$18)/1000</f>
        <v>286.50299999999999</v>
      </c>
      <c r="V1142" s="57">
        <f>INT(tblJTL[[#This Row],[経過秒]]/60)</f>
        <v>4</v>
      </c>
      <c r="W1142" s="57">
        <f>IF(OR(tblJTL[[#This Row],[success]]=FALSE,tblJTL[[#This Row],[success]]="false"),1,0)</f>
        <v>1</v>
      </c>
      <c r="X1142" s="57">
        <f>IF(AND(tblJTL[[#This Row],[経過秒]]&gt;='17_分析サンプル'!$E$11,tblJTL[[#This Row],[経過秒]]&lt;'17_分析サンプル'!$E$12),1,0)</f>
        <v>1</v>
      </c>
    </row>
    <row r="1143" spans="2:24" ht="14.4" x14ac:dyDescent="0.3">
      <c r="B1143" s="57">
        <v>1790816687372</v>
      </c>
      <c r="C1143" s="58">
        <v>247</v>
      </c>
      <c r="D1143" s="59" t="s">
        <v>1658</v>
      </c>
      <c r="E1143" s="59" t="s">
        <v>1577</v>
      </c>
      <c r="F1143" s="59" t="s">
        <v>2275</v>
      </c>
      <c r="G1143" s="59" t="s">
        <v>2278</v>
      </c>
      <c r="H1143" s="59" t="s">
        <v>2281</v>
      </c>
      <c r="I1143" s="59" t="b">
        <v>1</v>
      </c>
      <c r="J1143" s="59"/>
      <c r="K1143" s="58">
        <v>1899</v>
      </c>
      <c r="L1143" s="58">
        <v>1342</v>
      </c>
      <c r="M1143" s="59">
        <v>10</v>
      </c>
      <c r="N1143" s="59">
        <v>10</v>
      </c>
      <c r="O1143" s="59" t="s">
        <v>3578</v>
      </c>
      <c r="P1143" s="58">
        <v>242</v>
      </c>
      <c r="Q1143" s="59">
        <v>0</v>
      </c>
      <c r="R1143" s="59">
        <v>0</v>
      </c>
      <c r="S1143" s="60">
        <f>tblJTL[[#This Row],[timeStamp]]/86400000+DATE(1970,1,1)+TIME(9,0,0)</f>
        <v>46296.419992731477</v>
      </c>
      <c r="T1143" s="57">
        <f>tblJTL[[#This Row],[timeStamp]]+tblJTL[[#This Row],[elapsed]]</f>
        <v>1790816687619</v>
      </c>
      <c r="U1143" s="61">
        <f>(tblJTL[[#This Row],[timeStamp]]-'17_分析サンプル'!$E$18)/1000</f>
        <v>287.19200000000001</v>
      </c>
      <c r="V1143" s="57">
        <f>INT(tblJTL[[#This Row],[経過秒]]/60)</f>
        <v>4</v>
      </c>
      <c r="W1143" s="57">
        <f>IF(OR(tblJTL[[#This Row],[success]]=FALSE,tblJTL[[#This Row],[success]]="false"),1,0)</f>
        <v>0</v>
      </c>
      <c r="X1143" s="57">
        <f>IF(AND(tblJTL[[#This Row],[経過秒]]&gt;='17_分析サンプル'!$E$11,tblJTL[[#This Row],[経過秒]]&lt;'17_分析サンプル'!$E$12),1,0)</f>
        <v>1</v>
      </c>
    </row>
    <row r="1144" spans="2:24" ht="14.4" x14ac:dyDescent="0.3">
      <c r="B1144" s="57">
        <v>1790816685884</v>
      </c>
      <c r="C1144" s="58">
        <v>1888</v>
      </c>
      <c r="D1144" s="59" t="s">
        <v>1677</v>
      </c>
      <c r="E1144" s="59" t="s">
        <v>3579</v>
      </c>
      <c r="F1144" s="59" t="s">
        <v>3580</v>
      </c>
      <c r="G1144" s="59" t="s">
        <v>3588</v>
      </c>
      <c r="H1144" s="59" t="s">
        <v>2281</v>
      </c>
      <c r="I1144" s="59" t="b">
        <v>1</v>
      </c>
      <c r="J1144" s="59"/>
      <c r="K1144" s="58">
        <v>423</v>
      </c>
      <c r="L1144" s="58">
        <v>1478</v>
      </c>
      <c r="M1144" s="59">
        <v>10</v>
      </c>
      <c r="N1144" s="59">
        <v>10</v>
      </c>
      <c r="O1144" s="59" t="s">
        <v>3581</v>
      </c>
      <c r="P1144" s="58">
        <v>1886</v>
      </c>
      <c r="Q1144" s="59">
        <v>0</v>
      </c>
      <c r="R1144" s="59">
        <v>0</v>
      </c>
      <c r="S1144" s="60">
        <f>tblJTL[[#This Row],[timeStamp]]/86400000+DATE(1970,1,1)+TIME(9,0,0)</f>
        <v>46296.419975509256</v>
      </c>
      <c r="T1144" s="57">
        <f>tblJTL[[#This Row],[timeStamp]]+tblJTL[[#This Row],[elapsed]]</f>
        <v>1790816687772</v>
      </c>
      <c r="U1144" s="61">
        <f>(tblJTL[[#This Row],[timeStamp]]-'17_分析サンプル'!$E$18)/1000</f>
        <v>285.70400000000001</v>
      </c>
      <c r="V1144" s="57">
        <f>INT(tblJTL[[#This Row],[経過秒]]/60)</f>
        <v>4</v>
      </c>
      <c r="W1144" s="57">
        <f>IF(OR(tblJTL[[#This Row],[success]]=FALSE,tblJTL[[#This Row],[success]]="false"),1,0)</f>
        <v>0</v>
      </c>
      <c r="X1144" s="57">
        <f>IF(AND(tblJTL[[#This Row],[経過秒]]&gt;='17_分析サンプル'!$E$11,tblJTL[[#This Row],[経過秒]]&lt;'17_分析サンプル'!$E$12),1,0)</f>
        <v>1</v>
      </c>
    </row>
    <row r="1145" spans="2:24" ht="14.4" x14ac:dyDescent="0.3">
      <c r="B1145" s="57">
        <v>1790816687490</v>
      </c>
      <c r="C1145" s="58">
        <v>316</v>
      </c>
      <c r="D1145" s="59" t="s">
        <v>1658</v>
      </c>
      <c r="E1145" s="59" t="s">
        <v>1577</v>
      </c>
      <c r="F1145" s="59" t="s">
        <v>2275</v>
      </c>
      <c r="G1145" s="59" t="s">
        <v>3577</v>
      </c>
      <c r="H1145" s="59" t="s">
        <v>2281</v>
      </c>
      <c r="I1145" s="59" t="b">
        <v>1</v>
      </c>
      <c r="J1145" s="59"/>
      <c r="K1145" s="58">
        <v>1857</v>
      </c>
      <c r="L1145" s="58">
        <v>1342</v>
      </c>
      <c r="M1145" s="59">
        <v>10</v>
      </c>
      <c r="N1145" s="59">
        <v>10</v>
      </c>
      <c r="O1145" s="59" t="s">
        <v>3578</v>
      </c>
      <c r="P1145" s="58">
        <v>308</v>
      </c>
      <c r="Q1145" s="59">
        <v>0</v>
      </c>
      <c r="R1145" s="59">
        <v>0</v>
      </c>
      <c r="S1145" s="60">
        <f>tblJTL[[#This Row],[timeStamp]]/86400000+DATE(1970,1,1)+TIME(9,0,0)</f>
        <v>46296.419994097218</v>
      </c>
      <c r="T1145" s="57">
        <f>tblJTL[[#This Row],[timeStamp]]+tblJTL[[#This Row],[elapsed]]</f>
        <v>1790816687806</v>
      </c>
      <c r="U1145" s="61">
        <f>(tblJTL[[#This Row],[timeStamp]]-'17_分析サンプル'!$E$18)/1000</f>
        <v>287.31</v>
      </c>
      <c r="V1145" s="57">
        <f>INT(tblJTL[[#This Row],[経過秒]]/60)</f>
        <v>4</v>
      </c>
      <c r="W1145" s="57">
        <f>IF(OR(tblJTL[[#This Row],[success]]=FALSE,tblJTL[[#This Row],[success]]="false"),1,0)</f>
        <v>0</v>
      </c>
      <c r="X1145" s="57">
        <f>IF(AND(tblJTL[[#This Row],[経過秒]]&gt;='17_分析サンプル'!$E$11,tblJTL[[#This Row],[経過秒]]&lt;'17_分析サンプル'!$E$12),1,0)</f>
        <v>1</v>
      </c>
    </row>
    <row r="1146" spans="2:24" ht="14.4" x14ac:dyDescent="0.3">
      <c r="B1146" s="57">
        <v>1790816687929</v>
      </c>
      <c r="C1146" s="58">
        <v>26</v>
      </c>
      <c r="D1146" s="59" t="s">
        <v>1677</v>
      </c>
      <c r="E1146" s="59" t="s">
        <v>3590</v>
      </c>
      <c r="F1146" s="59" t="s">
        <v>3591</v>
      </c>
      <c r="G1146" s="59" t="s">
        <v>3583</v>
      </c>
      <c r="H1146" s="59" t="s">
        <v>2281</v>
      </c>
      <c r="I1146" s="59" t="b">
        <v>0</v>
      </c>
      <c r="J1146" s="59" t="s">
        <v>3593</v>
      </c>
      <c r="K1146" s="58">
        <v>237</v>
      </c>
      <c r="L1146" s="58">
        <v>1478</v>
      </c>
      <c r="M1146" s="59">
        <v>10</v>
      </c>
      <c r="N1146" s="59">
        <v>10</v>
      </c>
      <c r="O1146" s="59" t="s">
        <v>3581</v>
      </c>
      <c r="P1146" s="58">
        <v>23</v>
      </c>
      <c r="Q1146" s="59">
        <v>0</v>
      </c>
      <c r="R1146" s="59">
        <v>0</v>
      </c>
      <c r="S1146" s="60">
        <f>tblJTL[[#This Row],[timeStamp]]/86400000+DATE(1970,1,1)+TIME(9,0,0)</f>
        <v>46296.419999178237</v>
      </c>
      <c r="T1146" s="57">
        <f>tblJTL[[#This Row],[timeStamp]]+tblJTL[[#This Row],[elapsed]]</f>
        <v>1790816687955</v>
      </c>
      <c r="U1146" s="61">
        <f>(tblJTL[[#This Row],[timeStamp]]-'17_分析サンプル'!$E$18)/1000</f>
        <v>287.74900000000002</v>
      </c>
      <c r="V1146" s="57">
        <f>INT(tblJTL[[#This Row],[経過秒]]/60)</f>
        <v>4</v>
      </c>
      <c r="W1146" s="57">
        <f>IF(OR(tblJTL[[#This Row],[success]]=FALSE,tblJTL[[#This Row],[success]]="false"),1,0)</f>
        <v>1</v>
      </c>
      <c r="X1146" s="57">
        <f>IF(AND(tblJTL[[#This Row],[経過秒]]&gt;='17_分析サンプル'!$E$11,tblJTL[[#This Row],[経過秒]]&lt;'17_分析サンプル'!$E$12),1,0)</f>
        <v>1</v>
      </c>
    </row>
    <row r="1147" spans="2:24" ht="14.4" x14ac:dyDescent="0.3">
      <c r="B1147" s="57">
        <v>1790816688120</v>
      </c>
      <c r="C1147" s="58">
        <v>60</v>
      </c>
      <c r="D1147" s="59" t="s">
        <v>1677</v>
      </c>
      <c r="E1147" s="59" t="s">
        <v>3590</v>
      </c>
      <c r="F1147" s="59" t="s">
        <v>3591</v>
      </c>
      <c r="G1147" s="59" t="s">
        <v>3584</v>
      </c>
      <c r="H1147" s="59" t="s">
        <v>2281</v>
      </c>
      <c r="I1147" s="59" t="b">
        <v>0</v>
      </c>
      <c r="J1147" s="59" t="s">
        <v>3593</v>
      </c>
      <c r="K1147" s="58">
        <v>237</v>
      </c>
      <c r="L1147" s="58">
        <v>1478</v>
      </c>
      <c r="M1147" s="59">
        <v>10</v>
      </c>
      <c r="N1147" s="59">
        <v>10</v>
      </c>
      <c r="O1147" s="59" t="s">
        <v>3581</v>
      </c>
      <c r="P1147" s="58">
        <v>52</v>
      </c>
      <c r="Q1147" s="59">
        <v>0</v>
      </c>
      <c r="R1147" s="59">
        <v>0</v>
      </c>
      <c r="S1147" s="60">
        <f>tblJTL[[#This Row],[timeStamp]]/86400000+DATE(1970,1,1)+TIME(9,0,0)</f>
        <v>46296.420001388891</v>
      </c>
      <c r="T1147" s="57">
        <f>tblJTL[[#This Row],[timeStamp]]+tblJTL[[#This Row],[elapsed]]</f>
        <v>1790816688180</v>
      </c>
      <c r="U1147" s="61">
        <f>(tblJTL[[#This Row],[timeStamp]]-'17_分析サンプル'!$E$18)/1000</f>
        <v>287.94</v>
      </c>
      <c r="V1147" s="57">
        <f>INT(tblJTL[[#This Row],[経過秒]]/60)</f>
        <v>4</v>
      </c>
      <c r="W1147" s="57">
        <f>IF(OR(tblJTL[[#This Row],[success]]=FALSE,tblJTL[[#This Row],[success]]="false"),1,0)</f>
        <v>1</v>
      </c>
      <c r="X1147" s="57">
        <f>IF(AND(tblJTL[[#This Row],[経過秒]]&gt;='17_分析サンプル'!$E$11,tblJTL[[#This Row],[経過秒]]&lt;'17_分析サンプル'!$E$12),1,0)</f>
        <v>1</v>
      </c>
    </row>
    <row r="1148" spans="2:24" ht="14.4" x14ac:dyDescent="0.3">
      <c r="B1148" s="57">
        <v>1790816688502</v>
      </c>
      <c r="C1148" s="58">
        <v>189</v>
      </c>
      <c r="D1148" s="59" t="s">
        <v>1658</v>
      </c>
      <c r="E1148" s="59" t="s">
        <v>1577</v>
      </c>
      <c r="F1148" s="59" t="s">
        <v>2275</v>
      </c>
      <c r="G1148" s="59" t="s">
        <v>3589</v>
      </c>
      <c r="H1148" s="59" t="s">
        <v>2281</v>
      </c>
      <c r="I1148" s="59" t="b">
        <v>1</v>
      </c>
      <c r="J1148" s="59"/>
      <c r="K1148" s="58">
        <v>1891</v>
      </c>
      <c r="L1148" s="58">
        <v>1342</v>
      </c>
      <c r="M1148" s="59">
        <v>10</v>
      </c>
      <c r="N1148" s="59">
        <v>10</v>
      </c>
      <c r="O1148" s="59" t="s">
        <v>3578</v>
      </c>
      <c r="P1148" s="58">
        <v>184</v>
      </c>
      <c r="Q1148" s="59">
        <v>0</v>
      </c>
      <c r="R1148" s="59">
        <v>0</v>
      </c>
      <c r="S1148" s="60">
        <f>tblJTL[[#This Row],[timeStamp]]/86400000+DATE(1970,1,1)+TIME(9,0,0)</f>
        <v>46296.420005810185</v>
      </c>
      <c r="T1148" s="57">
        <f>tblJTL[[#This Row],[timeStamp]]+tblJTL[[#This Row],[elapsed]]</f>
        <v>1790816688691</v>
      </c>
      <c r="U1148" s="61">
        <f>(tblJTL[[#This Row],[timeStamp]]-'17_分析サンプル'!$E$18)/1000</f>
        <v>288.322</v>
      </c>
      <c r="V1148" s="57">
        <f>INT(tblJTL[[#This Row],[経過秒]]/60)</f>
        <v>4</v>
      </c>
      <c r="W1148" s="57">
        <f>IF(OR(tblJTL[[#This Row],[success]]=FALSE,tblJTL[[#This Row],[success]]="false"),1,0)</f>
        <v>0</v>
      </c>
      <c r="X1148" s="57">
        <f>IF(AND(tblJTL[[#This Row],[経過秒]]&gt;='17_分析サンプル'!$E$11,tblJTL[[#This Row],[経過秒]]&lt;'17_分析サンプル'!$E$12),1,0)</f>
        <v>1</v>
      </c>
    </row>
    <row r="1149" spans="2:24" ht="14.4" x14ac:dyDescent="0.3">
      <c r="B1149" s="57">
        <v>1790816689096</v>
      </c>
      <c r="C1149" s="58">
        <v>180</v>
      </c>
      <c r="D1149" s="59" t="s">
        <v>1658</v>
      </c>
      <c r="E1149" s="59" t="s">
        <v>1577</v>
      </c>
      <c r="F1149" s="59" t="s">
        <v>2275</v>
      </c>
      <c r="G1149" s="59" t="s">
        <v>3583</v>
      </c>
      <c r="H1149" s="59" t="s">
        <v>2281</v>
      </c>
      <c r="I1149" s="59" t="b">
        <v>1</v>
      </c>
      <c r="J1149" s="59"/>
      <c r="K1149" s="58">
        <v>1889</v>
      </c>
      <c r="L1149" s="58">
        <v>1342</v>
      </c>
      <c r="M1149" s="59">
        <v>10</v>
      </c>
      <c r="N1149" s="59">
        <v>10</v>
      </c>
      <c r="O1149" s="59" t="s">
        <v>3578</v>
      </c>
      <c r="P1149" s="58">
        <v>174</v>
      </c>
      <c r="Q1149" s="59">
        <v>0</v>
      </c>
      <c r="R1149" s="59">
        <v>0</v>
      </c>
      <c r="S1149" s="60">
        <f>tblJTL[[#This Row],[timeStamp]]/86400000+DATE(1970,1,1)+TIME(9,0,0)</f>
        <v>46296.420012685187</v>
      </c>
      <c r="T1149" s="57">
        <f>tblJTL[[#This Row],[timeStamp]]+tblJTL[[#This Row],[elapsed]]</f>
        <v>1790816689276</v>
      </c>
      <c r="U1149" s="61">
        <f>(tblJTL[[#This Row],[timeStamp]]-'17_分析サンプル'!$E$18)/1000</f>
        <v>288.916</v>
      </c>
      <c r="V1149" s="57">
        <f>INT(tblJTL[[#This Row],[経過秒]]/60)</f>
        <v>4</v>
      </c>
      <c r="W1149" s="57">
        <f>IF(OR(tblJTL[[#This Row],[success]]=FALSE,tblJTL[[#This Row],[success]]="false"),1,0)</f>
        <v>0</v>
      </c>
      <c r="X1149" s="57">
        <f>IF(AND(tblJTL[[#This Row],[経過秒]]&gt;='17_分析サンプル'!$E$11,tblJTL[[#This Row],[経過秒]]&lt;'17_分析サンプル'!$E$12),1,0)</f>
        <v>1</v>
      </c>
    </row>
    <row r="1150" spans="2:24" ht="14.4" x14ac:dyDescent="0.3">
      <c r="B1150" s="57">
        <v>1790816688053</v>
      </c>
      <c r="C1150" s="58">
        <v>1514</v>
      </c>
      <c r="D1150" s="59" t="s">
        <v>1677</v>
      </c>
      <c r="E1150" s="59" t="s">
        <v>3579</v>
      </c>
      <c r="F1150" s="59" t="s">
        <v>3580</v>
      </c>
      <c r="G1150" s="59" t="s">
        <v>3587</v>
      </c>
      <c r="H1150" s="59" t="s">
        <v>2281</v>
      </c>
      <c r="I1150" s="59" t="b">
        <v>1</v>
      </c>
      <c r="J1150" s="59"/>
      <c r="K1150" s="58">
        <v>429</v>
      </c>
      <c r="L1150" s="58">
        <v>1478</v>
      </c>
      <c r="M1150" s="59">
        <v>10</v>
      </c>
      <c r="N1150" s="59">
        <v>10</v>
      </c>
      <c r="O1150" s="59" t="s">
        <v>3581</v>
      </c>
      <c r="P1150" s="58">
        <v>1507</v>
      </c>
      <c r="Q1150" s="59">
        <v>0</v>
      </c>
      <c r="R1150" s="59">
        <v>0</v>
      </c>
      <c r="S1150" s="60">
        <f>tblJTL[[#This Row],[timeStamp]]/86400000+DATE(1970,1,1)+TIME(9,0,0)</f>
        <v>46296.420000613427</v>
      </c>
      <c r="T1150" s="57">
        <f>tblJTL[[#This Row],[timeStamp]]+tblJTL[[#This Row],[elapsed]]</f>
        <v>1790816689567</v>
      </c>
      <c r="U1150" s="61">
        <f>(tblJTL[[#This Row],[timeStamp]]-'17_分析サンプル'!$E$18)/1000</f>
        <v>287.87299999999999</v>
      </c>
      <c r="V1150" s="57">
        <f>INT(tblJTL[[#This Row],[経過秒]]/60)</f>
        <v>4</v>
      </c>
      <c r="W1150" s="57">
        <f>IF(OR(tblJTL[[#This Row],[success]]=FALSE,tblJTL[[#This Row],[success]]="false"),1,0)</f>
        <v>0</v>
      </c>
      <c r="X1150" s="57">
        <f>IF(AND(tblJTL[[#This Row],[経過秒]]&gt;='17_分析サンプル'!$E$11,tblJTL[[#This Row],[経過秒]]&lt;'17_分析サンプル'!$E$12),1,0)</f>
        <v>1</v>
      </c>
    </row>
    <row r="1151" spans="2:24" ht="14.4" x14ac:dyDescent="0.3">
      <c r="B1151" s="57">
        <v>1790816689536</v>
      </c>
      <c r="C1151" s="58">
        <v>157</v>
      </c>
      <c r="D1151" s="59" t="s">
        <v>1658</v>
      </c>
      <c r="E1151" s="59" t="s">
        <v>1577</v>
      </c>
      <c r="F1151" s="59" t="s">
        <v>2275</v>
      </c>
      <c r="G1151" s="59" t="s">
        <v>3582</v>
      </c>
      <c r="H1151" s="59" t="s">
        <v>2281</v>
      </c>
      <c r="I1151" s="59" t="b">
        <v>1</v>
      </c>
      <c r="J1151" s="59"/>
      <c r="K1151" s="58">
        <v>1825</v>
      </c>
      <c r="L1151" s="58">
        <v>1342</v>
      </c>
      <c r="M1151" s="59">
        <v>10</v>
      </c>
      <c r="N1151" s="59">
        <v>10</v>
      </c>
      <c r="O1151" s="59" t="s">
        <v>3578</v>
      </c>
      <c r="P1151" s="58">
        <v>152</v>
      </c>
      <c r="Q1151" s="59">
        <v>0</v>
      </c>
      <c r="R1151" s="59">
        <v>0</v>
      </c>
      <c r="S1151" s="60">
        <f>tblJTL[[#This Row],[timeStamp]]/86400000+DATE(1970,1,1)+TIME(9,0,0)</f>
        <v>46296.420017777782</v>
      </c>
      <c r="T1151" s="57">
        <f>tblJTL[[#This Row],[timeStamp]]+tblJTL[[#This Row],[elapsed]]</f>
        <v>1790816689693</v>
      </c>
      <c r="U1151" s="61">
        <f>(tblJTL[[#This Row],[timeStamp]]-'17_分析サンプル'!$E$18)/1000</f>
        <v>289.35599999999999</v>
      </c>
      <c r="V1151" s="57">
        <f>INT(tblJTL[[#This Row],[経過秒]]/60)</f>
        <v>4</v>
      </c>
      <c r="W1151" s="57">
        <f>IF(OR(tblJTL[[#This Row],[success]]=FALSE,tblJTL[[#This Row],[success]]="false"),1,0)</f>
        <v>0</v>
      </c>
      <c r="X1151" s="57">
        <f>IF(AND(tblJTL[[#This Row],[経過秒]]&gt;='17_分析サンプル'!$E$11,tblJTL[[#This Row],[経過秒]]&lt;'17_分析サンプル'!$E$12),1,0)</f>
        <v>1</v>
      </c>
    </row>
    <row r="1152" spans="2:24" ht="14.4" x14ac:dyDescent="0.3">
      <c r="B1152" s="57">
        <v>1790816689482</v>
      </c>
      <c r="C1152" s="58">
        <v>249</v>
      </c>
      <c r="D1152" s="59" t="s">
        <v>1658</v>
      </c>
      <c r="E1152" s="59" t="s">
        <v>1577</v>
      </c>
      <c r="F1152" s="59" t="s">
        <v>2275</v>
      </c>
      <c r="G1152" s="59" t="s">
        <v>3584</v>
      </c>
      <c r="H1152" s="59" t="s">
        <v>2281</v>
      </c>
      <c r="I1152" s="59" t="b">
        <v>1</v>
      </c>
      <c r="J1152" s="59"/>
      <c r="K1152" s="58">
        <v>1898</v>
      </c>
      <c r="L1152" s="58">
        <v>1342</v>
      </c>
      <c r="M1152" s="59">
        <v>10</v>
      </c>
      <c r="N1152" s="59">
        <v>10</v>
      </c>
      <c r="O1152" s="59" t="s">
        <v>3578</v>
      </c>
      <c r="P1152" s="58">
        <v>246</v>
      </c>
      <c r="Q1152" s="59">
        <v>0</v>
      </c>
      <c r="R1152" s="59">
        <v>0</v>
      </c>
      <c r="S1152" s="60">
        <f>tblJTL[[#This Row],[timeStamp]]/86400000+DATE(1970,1,1)+TIME(9,0,0)</f>
        <v>46296.420017152777</v>
      </c>
      <c r="T1152" s="57">
        <f>tblJTL[[#This Row],[timeStamp]]+tblJTL[[#This Row],[elapsed]]</f>
        <v>1790816689731</v>
      </c>
      <c r="U1152" s="61">
        <f>(tblJTL[[#This Row],[timeStamp]]-'17_分析サンプル'!$E$18)/1000</f>
        <v>289.30200000000002</v>
      </c>
      <c r="V1152" s="57">
        <f>INT(tblJTL[[#This Row],[経過秒]]/60)</f>
        <v>4</v>
      </c>
      <c r="W1152" s="57">
        <f>IF(OR(tblJTL[[#This Row],[success]]=FALSE,tblJTL[[#This Row],[success]]="false"),1,0)</f>
        <v>0</v>
      </c>
      <c r="X1152" s="57">
        <f>IF(AND(tblJTL[[#This Row],[経過秒]]&gt;='17_分析サンプル'!$E$11,tblJTL[[#This Row],[経過秒]]&lt;'17_分析サンプル'!$E$12),1,0)</f>
        <v>1</v>
      </c>
    </row>
    <row r="1153" spans="2:24" ht="14.4" x14ac:dyDescent="0.3">
      <c r="B1153" s="57">
        <v>1790816689594</v>
      </c>
      <c r="C1153" s="58">
        <v>218</v>
      </c>
      <c r="D1153" s="59" t="s">
        <v>1658</v>
      </c>
      <c r="E1153" s="59" t="s">
        <v>1577</v>
      </c>
      <c r="F1153" s="59" t="s">
        <v>2275</v>
      </c>
      <c r="G1153" s="59" t="s">
        <v>3588</v>
      </c>
      <c r="H1153" s="59" t="s">
        <v>2281</v>
      </c>
      <c r="I1153" s="59" t="b">
        <v>1</v>
      </c>
      <c r="J1153" s="59"/>
      <c r="K1153" s="58">
        <v>1866</v>
      </c>
      <c r="L1153" s="58">
        <v>1342</v>
      </c>
      <c r="M1153" s="59">
        <v>10</v>
      </c>
      <c r="N1153" s="59">
        <v>10</v>
      </c>
      <c r="O1153" s="59" t="s">
        <v>3578</v>
      </c>
      <c r="P1153" s="58">
        <v>215</v>
      </c>
      <c r="Q1153" s="59">
        <v>0</v>
      </c>
      <c r="R1153" s="59">
        <v>0</v>
      </c>
      <c r="S1153" s="60">
        <f>tblJTL[[#This Row],[timeStamp]]/86400000+DATE(1970,1,1)+TIME(9,0,0)</f>
        <v>46296.420018449076</v>
      </c>
      <c r="T1153" s="57">
        <f>tblJTL[[#This Row],[timeStamp]]+tblJTL[[#This Row],[elapsed]]</f>
        <v>1790816689812</v>
      </c>
      <c r="U1153" s="61">
        <f>(tblJTL[[#This Row],[timeStamp]]-'17_分析サンプル'!$E$18)/1000</f>
        <v>289.41399999999999</v>
      </c>
      <c r="V1153" s="57">
        <f>INT(tblJTL[[#This Row],[経過秒]]/60)</f>
        <v>4</v>
      </c>
      <c r="W1153" s="57">
        <f>IF(OR(tblJTL[[#This Row],[success]]=FALSE,tblJTL[[#This Row],[success]]="false"),1,0)</f>
        <v>0</v>
      </c>
      <c r="X1153" s="57">
        <f>IF(AND(tblJTL[[#This Row],[経過秒]]&gt;='17_分析サンプル'!$E$11,tblJTL[[#This Row],[経過秒]]&lt;'17_分析サンプル'!$E$12),1,0)</f>
        <v>1</v>
      </c>
    </row>
    <row r="1154" spans="2:24" ht="14.4" x14ac:dyDescent="0.3">
      <c r="B1154" s="57">
        <v>1790816688509</v>
      </c>
      <c r="C1154" s="58">
        <v>1496</v>
      </c>
      <c r="D1154" s="59" t="s">
        <v>1677</v>
      </c>
      <c r="E1154" s="59" t="s">
        <v>3579</v>
      </c>
      <c r="F1154" s="59" t="s">
        <v>3580</v>
      </c>
      <c r="G1154" s="59" t="s">
        <v>3586</v>
      </c>
      <c r="H1154" s="59" t="s">
        <v>2281</v>
      </c>
      <c r="I1154" s="59" t="b">
        <v>1</v>
      </c>
      <c r="J1154" s="59"/>
      <c r="K1154" s="58">
        <v>432</v>
      </c>
      <c r="L1154" s="58">
        <v>1478</v>
      </c>
      <c r="M1154" s="59">
        <v>10</v>
      </c>
      <c r="N1154" s="59">
        <v>10</v>
      </c>
      <c r="O1154" s="59" t="s">
        <v>3581</v>
      </c>
      <c r="P1154" s="58">
        <v>1488</v>
      </c>
      <c r="Q1154" s="59">
        <v>0</v>
      </c>
      <c r="R1154" s="59">
        <v>0</v>
      </c>
      <c r="S1154" s="60">
        <f>tblJTL[[#This Row],[timeStamp]]/86400000+DATE(1970,1,1)+TIME(9,0,0)</f>
        <v>46296.420005891203</v>
      </c>
      <c r="T1154" s="57">
        <f>tblJTL[[#This Row],[timeStamp]]+tblJTL[[#This Row],[elapsed]]</f>
        <v>1790816690005</v>
      </c>
      <c r="U1154" s="61">
        <f>(tblJTL[[#This Row],[timeStamp]]-'17_分析サンプル'!$E$18)/1000</f>
        <v>288.32900000000001</v>
      </c>
      <c r="V1154" s="57">
        <f>INT(tblJTL[[#This Row],[経過秒]]/60)</f>
        <v>4</v>
      </c>
      <c r="W1154" s="57">
        <f>IF(OR(tblJTL[[#This Row],[success]]=FALSE,tblJTL[[#This Row],[success]]="false"),1,0)</f>
        <v>0</v>
      </c>
      <c r="X1154" s="57">
        <f>IF(AND(tblJTL[[#This Row],[経過秒]]&gt;='17_分析サンプル'!$E$11,tblJTL[[#This Row],[経過秒]]&lt;'17_分析サンプル'!$E$12),1,0)</f>
        <v>1</v>
      </c>
    </row>
    <row r="1155" spans="2:24" ht="14.4" x14ac:dyDescent="0.3">
      <c r="B1155" s="57">
        <v>1790816687338</v>
      </c>
      <c r="C1155" s="58">
        <v>3326</v>
      </c>
      <c r="D1155" s="59" t="s">
        <v>1677</v>
      </c>
      <c r="E1155" s="59" t="s">
        <v>3579</v>
      </c>
      <c r="F1155" s="59" t="s">
        <v>3580</v>
      </c>
      <c r="G1155" s="59" t="s">
        <v>3585</v>
      </c>
      <c r="H1155" s="59" t="s">
        <v>2281</v>
      </c>
      <c r="I1155" s="59" t="b">
        <v>1</v>
      </c>
      <c r="J1155" s="59"/>
      <c r="K1155" s="58">
        <v>435</v>
      </c>
      <c r="L1155" s="58">
        <v>1478</v>
      </c>
      <c r="M1155" s="59">
        <v>10</v>
      </c>
      <c r="N1155" s="59">
        <v>10</v>
      </c>
      <c r="O1155" s="59" t="s">
        <v>3581</v>
      </c>
      <c r="P1155" s="58">
        <v>3320</v>
      </c>
      <c r="Q1155" s="59">
        <v>0</v>
      </c>
      <c r="R1155" s="59">
        <v>0</v>
      </c>
      <c r="S1155" s="60">
        <f>tblJTL[[#This Row],[timeStamp]]/86400000+DATE(1970,1,1)+TIME(9,0,0)</f>
        <v>46296.419992337964</v>
      </c>
      <c r="T1155" s="57">
        <f>tblJTL[[#This Row],[timeStamp]]+tblJTL[[#This Row],[elapsed]]</f>
        <v>1790816690664</v>
      </c>
      <c r="U1155" s="61">
        <f>(tblJTL[[#This Row],[timeStamp]]-'17_分析サンプル'!$E$18)/1000</f>
        <v>287.15800000000002</v>
      </c>
      <c r="V1155" s="57">
        <f>INT(tblJTL[[#This Row],[経過秒]]/60)</f>
        <v>4</v>
      </c>
      <c r="W1155" s="57">
        <f>IF(OR(tblJTL[[#This Row],[success]]=FALSE,tblJTL[[#This Row],[success]]="false"),1,0)</f>
        <v>0</v>
      </c>
      <c r="X1155" s="57">
        <f>IF(AND(tblJTL[[#This Row],[経過秒]]&gt;='17_分析サンプル'!$E$11,tblJTL[[#This Row],[経過秒]]&lt;'17_分析サンプル'!$E$12),1,0)</f>
        <v>1</v>
      </c>
    </row>
    <row r="1156" spans="2:24" ht="14.4" x14ac:dyDescent="0.3">
      <c r="B1156" s="57">
        <v>1790816689534</v>
      </c>
      <c r="C1156" s="58">
        <v>1654</v>
      </c>
      <c r="D1156" s="59" t="s">
        <v>1677</v>
      </c>
      <c r="E1156" s="59" t="s">
        <v>3579</v>
      </c>
      <c r="F1156" s="59" t="s">
        <v>3580</v>
      </c>
      <c r="G1156" s="59" t="s">
        <v>2278</v>
      </c>
      <c r="H1156" s="59" t="s">
        <v>2281</v>
      </c>
      <c r="I1156" s="59" t="b">
        <v>1</v>
      </c>
      <c r="J1156" s="59"/>
      <c r="K1156" s="58">
        <v>426</v>
      </c>
      <c r="L1156" s="58">
        <v>1478</v>
      </c>
      <c r="M1156" s="59">
        <v>10</v>
      </c>
      <c r="N1156" s="59">
        <v>10</v>
      </c>
      <c r="O1156" s="59" t="s">
        <v>3581</v>
      </c>
      <c r="P1156" s="58">
        <v>1650</v>
      </c>
      <c r="Q1156" s="59">
        <v>0</v>
      </c>
      <c r="R1156" s="59">
        <v>0</v>
      </c>
      <c r="S1156" s="60">
        <f>tblJTL[[#This Row],[timeStamp]]/86400000+DATE(1970,1,1)+TIME(9,0,0)</f>
        <v>46296.42001775463</v>
      </c>
      <c r="T1156" s="57">
        <f>tblJTL[[#This Row],[timeStamp]]+tblJTL[[#This Row],[elapsed]]</f>
        <v>1790816691188</v>
      </c>
      <c r="U1156" s="61">
        <f>(tblJTL[[#This Row],[timeStamp]]-'17_分析サンプル'!$E$18)/1000</f>
        <v>289.35399999999998</v>
      </c>
      <c r="V1156" s="57">
        <f>INT(tblJTL[[#This Row],[経過秒]]/60)</f>
        <v>4</v>
      </c>
      <c r="W1156" s="57">
        <f>IF(OR(tblJTL[[#This Row],[success]]=FALSE,tblJTL[[#This Row],[success]]="false"),1,0)</f>
        <v>0</v>
      </c>
      <c r="X1156" s="57">
        <f>IF(AND(tblJTL[[#This Row],[経過秒]]&gt;='17_分析サンプル'!$E$11,tblJTL[[#This Row],[経過秒]]&lt;'17_分析サンプル'!$E$12),1,0)</f>
        <v>1</v>
      </c>
    </row>
    <row r="1157" spans="2:24" ht="14.4" x14ac:dyDescent="0.3">
      <c r="B1157" s="57">
        <v>1790816689768</v>
      </c>
      <c r="C1157" s="58">
        <v>1572</v>
      </c>
      <c r="D1157" s="59" t="s">
        <v>1677</v>
      </c>
      <c r="E1157" s="59" t="s">
        <v>3579</v>
      </c>
      <c r="F1157" s="59" t="s">
        <v>3580</v>
      </c>
      <c r="G1157" s="59" t="s">
        <v>3577</v>
      </c>
      <c r="H1157" s="59" t="s">
        <v>2281</v>
      </c>
      <c r="I1157" s="59" t="b">
        <v>1</v>
      </c>
      <c r="J1157" s="59"/>
      <c r="K1157" s="58">
        <v>413</v>
      </c>
      <c r="L1157" s="58">
        <v>1478</v>
      </c>
      <c r="M1157" s="59">
        <v>10</v>
      </c>
      <c r="N1157" s="59">
        <v>10</v>
      </c>
      <c r="O1157" s="59" t="s">
        <v>3581</v>
      </c>
      <c r="P1157" s="58">
        <v>1564</v>
      </c>
      <c r="Q1157" s="59">
        <v>0</v>
      </c>
      <c r="R1157" s="59">
        <v>0</v>
      </c>
      <c r="S1157" s="60">
        <f>tblJTL[[#This Row],[timeStamp]]/86400000+DATE(1970,1,1)+TIME(9,0,0)</f>
        <v>46296.42002046296</v>
      </c>
      <c r="T1157" s="57">
        <f>tblJTL[[#This Row],[timeStamp]]+tblJTL[[#This Row],[elapsed]]</f>
        <v>1790816691340</v>
      </c>
      <c r="U1157" s="61">
        <f>(tblJTL[[#This Row],[timeStamp]]-'17_分析サンプル'!$E$18)/1000</f>
        <v>289.58800000000002</v>
      </c>
      <c r="V1157" s="57">
        <f>INT(tblJTL[[#This Row],[経過秒]]/60)</f>
        <v>4</v>
      </c>
      <c r="W1157" s="57">
        <f>IF(OR(tblJTL[[#This Row],[success]]=FALSE,tblJTL[[#This Row],[success]]="false"),1,0)</f>
        <v>0</v>
      </c>
      <c r="X1157" s="57">
        <f>IF(AND(tblJTL[[#This Row],[経過秒]]&gt;='17_分析サンプル'!$E$11,tblJTL[[#This Row],[経過秒]]&lt;'17_分析サンプル'!$E$12),1,0)</f>
        <v>1</v>
      </c>
    </row>
    <row r="1158" spans="2:24" ht="14.4" x14ac:dyDescent="0.3">
      <c r="B1158" s="57">
        <v>1790816689962</v>
      </c>
      <c r="C1158" s="58">
        <v>1772</v>
      </c>
      <c r="D1158" s="59" t="s">
        <v>1677</v>
      </c>
      <c r="E1158" s="59" t="s">
        <v>3579</v>
      </c>
      <c r="F1158" s="59" t="s">
        <v>3580</v>
      </c>
      <c r="G1158" s="59" t="s">
        <v>3589</v>
      </c>
      <c r="H1158" s="59" t="s">
        <v>2281</v>
      </c>
      <c r="I1158" s="59" t="b">
        <v>1</v>
      </c>
      <c r="J1158" s="59"/>
      <c r="K1158" s="58">
        <v>434</v>
      </c>
      <c r="L1158" s="58">
        <v>1478</v>
      </c>
      <c r="M1158" s="59">
        <v>10</v>
      </c>
      <c r="N1158" s="59">
        <v>10</v>
      </c>
      <c r="O1158" s="59" t="s">
        <v>3581</v>
      </c>
      <c r="P1158" s="58">
        <v>1770</v>
      </c>
      <c r="Q1158" s="59">
        <v>0</v>
      </c>
      <c r="R1158" s="59">
        <v>0</v>
      </c>
      <c r="S1158" s="60">
        <f>tblJTL[[#This Row],[timeStamp]]/86400000+DATE(1970,1,1)+TIME(9,0,0)</f>
        <v>46296.420022708335</v>
      </c>
      <c r="T1158" s="57">
        <f>tblJTL[[#This Row],[timeStamp]]+tblJTL[[#This Row],[elapsed]]</f>
        <v>1790816691734</v>
      </c>
      <c r="U1158" s="61">
        <f>(tblJTL[[#This Row],[timeStamp]]-'17_分析サンプル'!$E$18)/1000</f>
        <v>289.78199999999998</v>
      </c>
      <c r="V1158" s="57">
        <f>INT(tblJTL[[#This Row],[経過秒]]/60)</f>
        <v>4</v>
      </c>
      <c r="W1158" s="57">
        <f>IF(OR(tblJTL[[#This Row],[success]]=FALSE,tblJTL[[#This Row],[success]]="false"),1,0)</f>
        <v>0</v>
      </c>
      <c r="X1158" s="57">
        <f>IF(AND(tblJTL[[#This Row],[経過秒]]&gt;='17_分析サンプル'!$E$11,tblJTL[[#This Row],[経過秒]]&lt;'17_分析サンプル'!$E$12),1,0)</f>
        <v>1</v>
      </c>
    </row>
    <row r="1159" spans="2:24" ht="14.4" x14ac:dyDescent="0.3">
      <c r="B1159" s="57">
        <v>1790816691498</v>
      </c>
      <c r="C1159" s="58">
        <v>332</v>
      </c>
      <c r="D1159" s="59" t="s">
        <v>1658</v>
      </c>
      <c r="E1159" s="59" t="s">
        <v>1577</v>
      </c>
      <c r="F1159" s="59" t="s">
        <v>2275</v>
      </c>
      <c r="G1159" s="59" t="s">
        <v>3587</v>
      </c>
      <c r="H1159" s="59" t="s">
        <v>2281</v>
      </c>
      <c r="I1159" s="59" t="b">
        <v>1</v>
      </c>
      <c r="J1159" s="59"/>
      <c r="K1159" s="58">
        <v>1835</v>
      </c>
      <c r="L1159" s="58">
        <v>1342</v>
      </c>
      <c r="M1159" s="59">
        <v>10</v>
      </c>
      <c r="N1159" s="59">
        <v>10</v>
      </c>
      <c r="O1159" s="59" t="s">
        <v>3578</v>
      </c>
      <c r="P1159" s="58">
        <v>325</v>
      </c>
      <c r="Q1159" s="59">
        <v>0</v>
      </c>
      <c r="R1159" s="59">
        <v>57</v>
      </c>
      <c r="S1159" s="60">
        <f>tblJTL[[#This Row],[timeStamp]]/86400000+DATE(1970,1,1)+TIME(9,0,0)</f>
        <v>46296.420040486111</v>
      </c>
      <c r="T1159" s="57">
        <f>tblJTL[[#This Row],[timeStamp]]+tblJTL[[#This Row],[elapsed]]</f>
        <v>1790816691830</v>
      </c>
      <c r="U1159" s="61">
        <f>(tblJTL[[#This Row],[timeStamp]]-'17_分析サンプル'!$E$18)/1000</f>
        <v>291.31799999999998</v>
      </c>
      <c r="V1159" s="57">
        <f>INT(tblJTL[[#This Row],[経過秒]]/60)</f>
        <v>4</v>
      </c>
      <c r="W1159" s="57">
        <f>IF(OR(tblJTL[[#This Row],[success]]=FALSE,tblJTL[[#This Row],[success]]="false"),1,0)</f>
        <v>0</v>
      </c>
      <c r="X1159" s="57">
        <f>IF(AND(tblJTL[[#This Row],[経過秒]]&gt;='17_分析サンプル'!$E$11,tblJTL[[#This Row],[経過秒]]&lt;'17_分析サンプル'!$E$12),1,0)</f>
        <v>1</v>
      </c>
    </row>
    <row r="1160" spans="2:24" ht="14.4" x14ac:dyDescent="0.3">
      <c r="B1160" s="57">
        <v>1790816691930</v>
      </c>
      <c r="C1160" s="58">
        <v>166</v>
      </c>
      <c r="D1160" s="59" t="s">
        <v>1658</v>
      </c>
      <c r="E1160" s="59" t="s">
        <v>1577</v>
      </c>
      <c r="F1160" s="59" t="s">
        <v>2275</v>
      </c>
      <c r="G1160" s="59" t="s">
        <v>3586</v>
      </c>
      <c r="H1160" s="59" t="s">
        <v>2281</v>
      </c>
      <c r="I1160" s="59" t="b">
        <v>1</v>
      </c>
      <c r="J1160" s="59"/>
      <c r="K1160" s="58">
        <v>1876</v>
      </c>
      <c r="L1160" s="58">
        <v>1342</v>
      </c>
      <c r="M1160" s="59">
        <v>10</v>
      </c>
      <c r="N1160" s="59">
        <v>10</v>
      </c>
      <c r="O1160" s="59" t="s">
        <v>3578</v>
      </c>
      <c r="P1160" s="58">
        <v>164</v>
      </c>
      <c r="Q1160" s="59">
        <v>0</v>
      </c>
      <c r="R1160" s="59">
        <v>0</v>
      </c>
      <c r="S1160" s="60">
        <f>tblJTL[[#This Row],[timeStamp]]/86400000+DATE(1970,1,1)+TIME(9,0,0)</f>
        <v>46296.420045486113</v>
      </c>
      <c r="T1160" s="57">
        <f>tblJTL[[#This Row],[timeStamp]]+tblJTL[[#This Row],[elapsed]]</f>
        <v>1790816692096</v>
      </c>
      <c r="U1160" s="61">
        <f>(tblJTL[[#This Row],[timeStamp]]-'17_分析サンプル'!$E$18)/1000</f>
        <v>291.75</v>
      </c>
      <c r="V1160" s="57">
        <f>INT(tblJTL[[#This Row],[経過秒]]/60)</f>
        <v>4</v>
      </c>
      <c r="W1160" s="57">
        <f>IF(OR(tblJTL[[#This Row],[success]]=FALSE,tblJTL[[#This Row],[success]]="false"),1,0)</f>
        <v>0</v>
      </c>
      <c r="X1160" s="57">
        <f>IF(AND(tblJTL[[#This Row],[経過秒]]&gt;='17_分析サンプル'!$E$11,tblJTL[[#This Row],[経過秒]]&lt;'17_分析サンプル'!$E$12),1,0)</f>
        <v>1</v>
      </c>
    </row>
    <row r="1161" spans="2:24" ht="14.4" x14ac:dyDescent="0.3">
      <c r="B1161" s="57">
        <v>1790816692494</v>
      </c>
      <c r="C1161" s="58">
        <v>116</v>
      </c>
      <c r="D1161" s="59" t="s">
        <v>1658</v>
      </c>
      <c r="E1161" s="59" t="s">
        <v>1577</v>
      </c>
      <c r="F1161" s="59" t="s">
        <v>2275</v>
      </c>
      <c r="G1161" s="59" t="s">
        <v>2278</v>
      </c>
      <c r="H1161" s="59" t="s">
        <v>2281</v>
      </c>
      <c r="I1161" s="59" t="b">
        <v>1</v>
      </c>
      <c r="J1161" s="59"/>
      <c r="K1161" s="58">
        <v>1862</v>
      </c>
      <c r="L1161" s="58">
        <v>1342</v>
      </c>
      <c r="M1161" s="59">
        <v>10</v>
      </c>
      <c r="N1161" s="59">
        <v>10</v>
      </c>
      <c r="O1161" s="59" t="s">
        <v>3578</v>
      </c>
      <c r="P1161" s="58">
        <v>109</v>
      </c>
      <c r="Q1161" s="59">
        <v>0</v>
      </c>
      <c r="R1161" s="59">
        <v>0</v>
      </c>
      <c r="S1161" s="60">
        <f>tblJTL[[#This Row],[timeStamp]]/86400000+DATE(1970,1,1)+TIME(9,0,0)</f>
        <v>46296.420052013884</v>
      </c>
      <c r="T1161" s="57">
        <f>tblJTL[[#This Row],[timeStamp]]+tblJTL[[#This Row],[elapsed]]</f>
        <v>1790816692610</v>
      </c>
      <c r="U1161" s="61">
        <f>(tblJTL[[#This Row],[timeStamp]]-'17_分析サンプル'!$E$18)/1000</f>
        <v>292.31400000000002</v>
      </c>
      <c r="V1161" s="57">
        <f>INT(tblJTL[[#This Row],[経過秒]]/60)</f>
        <v>4</v>
      </c>
      <c r="W1161" s="57">
        <f>IF(OR(tblJTL[[#This Row],[success]]=FALSE,tblJTL[[#This Row],[success]]="false"),1,0)</f>
        <v>0</v>
      </c>
      <c r="X1161" s="57">
        <f>IF(AND(tblJTL[[#This Row],[経過秒]]&gt;='17_分析サンプル'!$E$11,tblJTL[[#This Row],[経過秒]]&lt;'17_分析サンプル'!$E$12),1,0)</f>
        <v>1</v>
      </c>
    </row>
    <row r="1162" spans="2:24" ht="14.4" x14ac:dyDescent="0.3">
      <c r="B1162" s="57">
        <v>1790816692367</v>
      </c>
      <c r="C1162" s="58">
        <v>275</v>
      </c>
      <c r="D1162" s="59" t="s">
        <v>1658</v>
      </c>
      <c r="E1162" s="59" t="s">
        <v>1577</v>
      </c>
      <c r="F1162" s="59" t="s">
        <v>2275</v>
      </c>
      <c r="G1162" s="59" t="s">
        <v>3585</v>
      </c>
      <c r="H1162" s="59" t="s">
        <v>2281</v>
      </c>
      <c r="I1162" s="59" t="b">
        <v>1</v>
      </c>
      <c r="J1162" s="59"/>
      <c r="K1162" s="58">
        <v>1873</v>
      </c>
      <c r="L1162" s="58">
        <v>1342</v>
      </c>
      <c r="M1162" s="59">
        <v>10</v>
      </c>
      <c r="N1162" s="59">
        <v>10</v>
      </c>
      <c r="O1162" s="59" t="s">
        <v>3578</v>
      </c>
      <c r="P1162" s="58">
        <v>269</v>
      </c>
      <c r="Q1162" s="59">
        <v>0</v>
      </c>
      <c r="R1162" s="59">
        <v>0</v>
      </c>
      <c r="S1162" s="60">
        <f>tblJTL[[#This Row],[timeStamp]]/86400000+DATE(1970,1,1)+TIME(9,0,0)</f>
        <v>46296.42005054398</v>
      </c>
      <c r="T1162" s="57">
        <f>tblJTL[[#This Row],[timeStamp]]+tblJTL[[#This Row],[elapsed]]</f>
        <v>1790816692642</v>
      </c>
      <c r="U1162" s="61">
        <f>(tblJTL[[#This Row],[timeStamp]]-'17_分析サンプル'!$E$18)/1000</f>
        <v>292.18700000000001</v>
      </c>
      <c r="V1162" s="57">
        <f>INT(tblJTL[[#This Row],[経過秒]]/60)</f>
        <v>4</v>
      </c>
      <c r="W1162" s="57">
        <f>IF(OR(tblJTL[[#This Row],[success]]=FALSE,tblJTL[[#This Row],[success]]="false"),1,0)</f>
        <v>0</v>
      </c>
      <c r="X1162" s="57">
        <f>IF(AND(tblJTL[[#This Row],[経過秒]]&gt;='17_分析サンプル'!$E$11,tblJTL[[#This Row],[経過秒]]&lt;'17_分析サンプル'!$E$12),1,0)</f>
        <v>1</v>
      </c>
    </row>
    <row r="1163" spans="2:24" ht="14.4" x14ac:dyDescent="0.3">
      <c r="B1163" s="57">
        <v>1790816691210</v>
      </c>
      <c r="C1163" s="58">
        <v>1463</v>
      </c>
      <c r="D1163" s="59" t="s">
        <v>1677</v>
      </c>
      <c r="E1163" s="59" t="s">
        <v>3579</v>
      </c>
      <c r="F1163" s="59" t="s">
        <v>3580</v>
      </c>
      <c r="G1163" s="59" t="s">
        <v>3583</v>
      </c>
      <c r="H1163" s="59" t="s">
        <v>2281</v>
      </c>
      <c r="I1163" s="59" t="b">
        <v>1</v>
      </c>
      <c r="J1163" s="59"/>
      <c r="K1163" s="58">
        <v>432</v>
      </c>
      <c r="L1163" s="58">
        <v>1478</v>
      </c>
      <c r="M1163" s="59">
        <v>10</v>
      </c>
      <c r="N1163" s="59">
        <v>10</v>
      </c>
      <c r="O1163" s="59" t="s">
        <v>3581</v>
      </c>
      <c r="P1163" s="58">
        <v>1460</v>
      </c>
      <c r="Q1163" s="59">
        <v>0</v>
      </c>
      <c r="R1163" s="59">
        <v>0</v>
      </c>
      <c r="S1163" s="60">
        <f>tblJTL[[#This Row],[timeStamp]]/86400000+DATE(1970,1,1)+TIME(9,0,0)</f>
        <v>46296.420037152777</v>
      </c>
      <c r="T1163" s="57">
        <f>tblJTL[[#This Row],[timeStamp]]+tblJTL[[#This Row],[elapsed]]</f>
        <v>1790816692673</v>
      </c>
      <c r="U1163" s="61">
        <f>(tblJTL[[#This Row],[timeStamp]]-'17_分析サンプル'!$E$18)/1000</f>
        <v>291.02999999999997</v>
      </c>
      <c r="V1163" s="57">
        <f>INT(tblJTL[[#This Row],[経過秒]]/60)</f>
        <v>4</v>
      </c>
      <c r="W1163" s="57">
        <f>IF(OR(tblJTL[[#This Row],[success]]=FALSE,tblJTL[[#This Row],[success]]="false"),1,0)</f>
        <v>0</v>
      </c>
      <c r="X1163" s="57">
        <f>IF(AND(tblJTL[[#This Row],[経過秒]]&gt;='17_分析サンプル'!$E$11,tblJTL[[#This Row],[経過秒]]&lt;'17_分析サンプル'!$E$12),1,0)</f>
        <v>1</v>
      </c>
    </row>
    <row r="1164" spans="2:24" ht="14.4" x14ac:dyDescent="0.3">
      <c r="B1164" s="57">
        <v>1790816691163</v>
      </c>
      <c r="C1164" s="58">
        <v>1614</v>
      </c>
      <c r="D1164" s="59" t="s">
        <v>1677</v>
      </c>
      <c r="E1164" s="59" t="s">
        <v>3579</v>
      </c>
      <c r="F1164" s="59" t="s">
        <v>3580</v>
      </c>
      <c r="G1164" s="59" t="s">
        <v>3584</v>
      </c>
      <c r="H1164" s="59" t="s">
        <v>2281</v>
      </c>
      <c r="I1164" s="59" t="b">
        <v>1</v>
      </c>
      <c r="J1164" s="59"/>
      <c r="K1164" s="58">
        <v>430</v>
      </c>
      <c r="L1164" s="58">
        <v>1478</v>
      </c>
      <c r="M1164" s="59">
        <v>10</v>
      </c>
      <c r="N1164" s="59">
        <v>10</v>
      </c>
      <c r="O1164" s="59" t="s">
        <v>3581</v>
      </c>
      <c r="P1164" s="58">
        <v>1606</v>
      </c>
      <c r="Q1164" s="59">
        <v>0</v>
      </c>
      <c r="R1164" s="59">
        <v>0</v>
      </c>
      <c r="S1164" s="60">
        <f>tblJTL[[#This Row],[timeStamp]]/86400000+DATE(1970,1,1)+TIME(9,0,0)</f>
        <v>46296.420036608797</v>
      </c>
      <c r="T1164" s="57">
        <f>tblJTL[[#This Row],[timeStamp]]+tblJTL[[#This Row],[elapsed]]</f>
        <v>1790816692777</v>
      </c>
      <c r="U1164" s="61">
        <f>(tblJTL[[#This Row],[timeStamp]]-'17_分析サンプル'!$E$18)/1000</f>
        <v>290.983</v>
      </c>
      <c r="V1164" s="57">
        <f>INT(tblJTL[[#This Row],[経過秒]]/60)</f>
        <v>4</v>
      </c>
      <c r="W1164" s="57">
        <f>IF(OR(tblJTL[[#This Row],[success]]=FALSE,tblJTL[[#This Row],[success]]="false"),1,0)</f>
        <v>0</v>
      </c>
      <c r="X1164" s="57">
        <f>IF(AND(tblJTL[[#This Row],[経過秒]]&gt;='17_分析サンプル'!$E$11,tblJTL[[#This Row],[経過秒]]&lt;'17_分析サンプル'!$E$12),1,0)</f>
        <v>1</v>
      </c>
    </row>
    <row r="1165" spans="2:24" ht="14.4" x14ac:dyDescent="0.3">
      <c r="B1165" s="57">
        <v>1790816692466</v>
      </c>
      <c r="C1165" s="58">
        <v>1429</v>
      </c>
      <c r="D1165" s="59" t="s">
        <v>1677</v>
      </c>
      <c r="E1165" s="59" t="s">
        <v>3579</v>
      </c>
      <c r="F1165" s="59" t="s">
        <v>3580</v>
      </c>
      <c r="G1165" s="59" t="s">
        <v>3582</v>
      </c>
      <c r="H1165" s="59" t="s">
        <v>2281</v>
      </c>
      <c r="I1165" s="59" t="b">
        <v>1</v>
      </c>
      <c r="J1165" s="59"/>
      <c r="K1165" s="58">
        <v>428</v>
      </c>
      <c r="L1165" s="58">
        <v>1478</v>
      </c>
      <c r="M1165" s="59">
        <v>10</v>
      </c>
      <c r="N1165" s="59">
        <v>10</v>
      </c>
      <c r="O1165" s="59" t="s">
        <v>3581</v>
      </c>
      <c r="P1165" s="58">
        <v>1426</v>
      </c>
      <c r="Q1165" s="59">
        <v>0</v>
      </c>
      <c r="R1165" s="59">
        <v>0</v>
      </c>
      <c r="S1165" s="60">
        <f>tblJTL[[#This Row],[timeStamp]]/86400000+DATE(1970,1,1)+TIME(9,0,0)</f>
        <v>46296.420051689813</v>
      </c>
      <c r="T1165" s="57">
        <f>tblJTL[[#This Row],[timeStamp]]+tblJTL[[#This Row],[elapsed]]</f>
        <v>1790816693895</v>
      </c>
      <c r="U1165" s="61">
        <f>(tblJTL[[#This Row],[timeStamp]]-'17_分析サンプル'!$E$18)/1000</f>
        <v>292.286</v>
      </c>
      <c r="V1165" s="57">
        <f>INT(tblJTL[[#This Row],[経過秒]]/60)</f>
        <v>4</v>
      </c>
      <c r="W1165" s="57">
        <f>IF(OR(tblJTL[[#This Row],[success]]=FALSE,tblJTL[[#This Row],[success]]="false"),1,0)</f>
        <v>0</v>
      </c>
      <c r="X1165" s="57">
        <f>IF(AND(tblJTL[[#This Row],[経過秒]]&gt;='17_分析サンプル'!$E$11,tblJTL[[#This Row],[経過秒]]&lt;'17_分析サンプル'!$E$12),1,0)</f>
        <v>1</v>
      </c>
    </row>
    <row r="1166" spans="2:24" ht="14.4" x14ac:dyDescent="0.3">
      <c r="B1166" s="57">
        <v>1790816694251</v>
      </c>
      <c r="C1166" s="58">
        <v>152</v>
      </c>
      <c r="D1166" s="59" t="s">
        <v>1658</v>
      </c>
      <c r="E1166" s="59" t="s">
        <v>1577</v>
      </c>
      <c r="F1166" s="59" t="s">
        <v>2275</v>
      </c>
      <c r="G1166" s="59" t="s">
        <v>3577</v>
      </c>
      <c r="H1166" s="59" t="s">
        <v>2281</v>
      </c>
      <c r="I1166" s="59" t="b">
        <v>1</v>
      </c>
      <c r="J1166" s="59"/>
      <c r="K1166" s="58">
        <v>1845</v>
      </c>
      <c r="L1166" s="58">
        <v>1342</v>
      </c>
      <c r="M1166" s="59">
        <v>10</v>
      </c>
      <c r="N1166" s="59">
        <v>10</v>
      </c>
      <c r="O1166" s="59" t="s">
        <v>3578</v>
      </c>
      <c r="P1166" s="58">
        <v>148</v>
      </c>
      <c r="Q1166" s="59">
        <v>0</v>
      </c>
      <c r="R1166" s="59">
        <v>0</v>
      </c>
      <c r="S1166" s="60">
        <f>tblJTL[[#This Row],[timeStamp]]/86400000+DATE(1970,1,1)+TIME(9,0,0)</f>
        <v>46296.420072349538</v>
      </c>
      <c r="T1166" s="57">
        <f>tblJTL[[#This Row],[timeStamp]]+tblJTL[[#This Row],[elapsed]]</f>
        <v>1790816694403</v>
      </c>
      <c r="U1166" s="61">
        <f>(tblJTL[[#This Row],[timeStamp]]-'17_分析サンプル'!$E$18)/1000</f>
        <v>294.07100000000003</v>
      </c>
      <c r="V1166" s="57">
        <f>INT(tblJTL[[#This Row],[経過秒]]/60)</f>
        <v>4</v>
      </c>
      <c r="W1166" s="57">
        <f>IF(OR(tblJTL[[#This Row],[success]]=FALSE,tblJTL[[#This Row],[success]]="false"),1,0)</f>
        <v>0</v>
      </c>
      <c r="X1166" s="57">
        <f>IF(AND(tblJTL[[#This Row],[経過秒]]&gt;='17_分析サンプル'!$E$11,tblJTL[[#This Row],[経過秒]]&lt;'17_分析サンプル'!$E$12),1,0)</f>
        <v>1</v>
      </c>
    </row>
    <row r="1167" spans="2:24" ht="14.4" x14ac:dyDescent="0.3">
      <c r="B1167" s="57">
        <v>1790816694334</v>
      </c>
      <c r="C1167" s="58">
        <v>305</v>
      </c>
      <c r="D1167" s="59" t="s">
        <v>1658</v>
      </c>
      <c r="E1167" s="59" t="s">
        <v>1577</v>
      </c>
      <c r="F1167" s="59" t="s">
        <v>2275</v>
      </c>
      <c r="G1167" s="59" t="s">
        <v>3589</v>
      </c>
      <c r="H1167" s="59" t="s">
        <v>2281</v>
      </c>
      <c r="I1167" s="59" t="b">
        <v>1</v>
      </c>
      <c r="J1167" s="59"/>
      <c r="K1167" s="58">
        <v>1857</v>
      </c>
      <c r="L1167" s="58">
        <v>1342</v>
      </c>
      <c r="M1167" s="59">
        <v>10</v>
      </c>
      <c r="N1167" s="59">
        <v>10</v>
      </c>
      <c r="O1167" s="59" t="s">
        <v>3578</v>
      </c>
      <c r="P1167" s="58">
        <v>299</v>
      </c>
      <c r="Q1167" s="59">
        <v>0</v>
      </c>
      <c r="R1167" s="59">
        <v>0</v>
      </c>
      <c r="S1167" s="60">
        <f>tblJTL[[#This Row],[timeStamp]]/86400000+DATE(1970,1,1)+TIME(9,0,0)</f>
        <v>46296.42007331019</v>
      </c>
      <c r="T1167" s="57">
        <f>tblJTL[[#This Row],[timeStamp]]+tblJTL[[#This Row],[elapsed]]</f>
        <v>1790816694639</v>
      </c>
      <c r="U1167" s="61">
        <f>(tblJTL[[#This Row],[timeStamp]]-'17_分析サンプル'!$E$18)/1000</f>
        <v>294.154</v>
      </c>
      <c r="V1167" s="57">
        <f>INT(tblJTL[[#This Row],[経過秒]]/60)</f>
        <v>4</v>
      </c>
      <c r="W1167" s="57">
        <f>IF(OR(tblJTL[[#This Row],[success]]=FALSE,tblJTL[[#This Row],[success]]="false"),1,0)</f>
        <v>0</v>
      </c>
      <c r="X1167" s="57">
        <f>IF(AND(tblJTL[[#This Row],[経過秒]]&gt;='17_分析サンプル'!$E$11,tblJTL[[#This Row],[経過秒]]&lt;'17_分析サンプル'!$E$12),1,0)</f>
        <v>1</v>
      </c>
    </row>
    <row r="1168" spans="2:24" ht="14.4" x14ac:dyDescent="0.3">
      <c r="B1168" s="57">
        <v>1790816695026</v>
      </c>
      <c r="C1168" s="58">
        <v>197</v>
      </c>
      <c r="D1168" s="59" t="s">
        <v>1658</v>
      </c>
      <c r="E1168" s="59" t="s">
        <v>1577</v>
      </c>
      <c r="F1168" s="59" t="s">
        <v>2275</v>
      </c>
      <c r="G1168" s="59" t="s">
        <v>3584</v>
      </c>
      <c r="H1168" s="59" t="s">
        <v>2281</v>
      </c>
      <c r="I1168" s="59" t="b">
        <v>1</v>
      </c>
      <c r="J1168" s="59"/>
      <c r="K1168" s="58">
        <v>1885</v>
      </c>
      <c r="L1168" s="58">
        <v>1342</v>
      </c>
      <c r="M1168" s="59">
        <v>10</v>
      </c>
      <c r="N1168" s="59">
        <v>10</v>
      </c>
      <c r="O1168" s="59" t="s">
        <v>3578</v>
      </c>
      <c r="P1168" s="58">
        <v>193</v>
      </c>
      <c r="Q1168" s="59">
        <v>0</v>
      </c>
      <c r="R1168" s="59">
        <v>0</v>
      </c>
      <c r="S1168" s="60">
        <f>tblJTL[[#This Row],[timeStamp]]/86400000+DATE(1970,1,1)+TIME(9,0,0)</f>
        <v>46296.420081319447</v>
      </c>
      <c r="T1168" s="57">
        <f>tblJTL[[#This Row],[timeStamp]]+tblJTL[[#This Row],[elapsed]]</f>
        <v>1790816695223</v>
      </c>
      <c r="U1168" s="61">
        <f>(tblJTL[[#This Row],[timeStamp]]-'17_分析サンプル'!$E$18)/1000</f>
        <v>294.846</v>
      </c>
      <c r="V1168" s="57">
        <f>INT(tblJTL[[#This Row],[経過秒]]/60)</f>
        <v>4</v>
      </c>
      <c r="W1168" s="57">
        <f>IF(OR(tblJTL[[#This Row],[success]]=FALSE,tblJTL[[#This Row],[success]]="false"),1,0)</f>
        <v>0</v>
      </c>
      <c r="X1168" s="57">
        <f>IF(AND(tblJTL[[#This Row],[経過秒]]&gt;='17_分析サンプル'!$E$11,tblJTL[[#This Row],[経過秒]]&lt;'17_分析サンプル'!$E$12),1,0)</f>
        <v>1</v>
      </c>
    </row>
    <row r="1169" spans="2:24" ht="14.4" x14ac:dyDescent="0.3">
      <c r="B1169" s="57">
        <v>1790816695309</v>
      </c>
      <c r="C1169" s="58">
        <v>29</v>
      </c>
      <c r="D1169" s="59" t="s">
        <v>1658</v>
      </c>
      <c r="E1169" s="59" t="s">
        <v>3590</v>
      </c>
      <c r="F1169" s="59" t="s">
        <v>3591</v>
      </c>
      <c r="G1169" s="59" t="s">
        <v>3583</v>
      </c>
      <c r="H1169" s="59" t="s">
        <v>2281</v>
      </c>
      <c r="I1169" s="59" t="b">
        <v>0</v>
      </c>
      <c r="J1169" s="59" t="s">
        <v>3592</v>
      </c>
      <c r="K1169" s="58">
        <v>237</v>
      </c>
      <c r="L1169" s="58">
        <v>1342</v>
      </c>
      <c r="M1169" s="59">
        <v>10</v>
      </c>
      <c r="N1169" s="59">
        <v>10</v>
      </c>
      <c r="O1169" s="59" t="s">
        <v>3578</v>
      </c>
      <c r="P1169" s="58">
        <v>22</v>
      </c>
      <c r="Q1169" s="59">
        <v>0</v>
      </c>
      <c r="R1169" s="59">
        <v>0</v>
      </c>
      <c r="S1169" s="60">
        <f>tblJTL[[#This Row],[timeStamp]]/86400000+DATE(1970,1,1)+TIME(9,0,0)</f>
        <v>46296.420084594909</v>
      </c>
      <c r="T1169" s="57">
        <f>tblJTL[[#This Row],[timeStamp]]+tblJTL[[#This Row],[elapsed]]</f>
        <v>1790816695338</v>
      </c>
      <c r="U1169" s="61">
        <f>(tblJTL[[#This Row],[timeStamp]]-'17_分析サンプル'!$E$18)/1000</f>
        <v>295.12900000000002</v>
      </c>
      <c r="V1169" s="57">
        <f>INT(tblJTL[[#This Row],[経過秒]]/60)</f>
        <v>4</v>
      </c>
      <c r="W1169" s="57">
        <f>IF(OR(tblJTL[[#This Row],[success]]=FALSE,tblJTL[[#This Row],[success]]="false"),1,0)</f>
        <v>1</v>
      </c>
      <c r="X1169" s="57">
        <f>IF(AND(tblJTL[[#This Row],[経過秒]]&gt;='17_分析サンプル'!$E$11,tblJTL[[#This Row],[経過秒]]&lt;'17_分析サンプル'!$E$12),1,0)</f>
        <v>1</v>
      </c>
    </row>
    <row r="1170" spans="2:24" ht="14.4" x14ac:dyDescent="0.3">
      <c r="B1170" s="57">
        <v>1790816693754</v>
      </c>
      <c r="C1170" s="58">
        <v>1893</v>
      </c>
      <c r="D1170" s="59" t="s">
        <v>1677</v>
      </c>
      <c r="E1170" s="59" t="s">
        <v>3579</v>
      </c>
      <c r="F1170" s="59" t="s">
        <v>3580</v>
      </c>
      <c r="G1170" s="59" t="s">
        <v>3585</v>
      </c>
      <c r="H1170" s="59" t="s">
        <v>2281</v>
      </c>
      <c r="I1170" s="59" t="b">
        <v>1</v>
      </c>
      <c r="J1170" s="59"/>
      <c r="K1170" s="58">
        <v>432</v>
      </c>
      <c r="L1170" s="58">
        <v>1478</v>
      </c>
      <c r="M1170" s="59">
        <v>10</v>
      </c>
      <c r="N1170" s="59">
        <v>10</v>
      </c>
      <c r="O1170" s="59" t="s">
        <v>3581</v>
      </c>
      <c r="P1170" s="58">
        <v>1889</v>
      </c>
      <c r="Q1170" s="59">
        <v>0</v>
      </c>
      <c r="R1170" s="59">
        <v>0</v>
      </c>
      <c r="S1170" s="60">
        <f>tblJTL[[#This Row],[timeStamp]]/86400000+DATE(1970,1,1)+TIME(9,0,0)</f>
        <v>46296.420066597224</v>
      </c>
      <c r="T1170" s="57">
        <f>tblJTL[[#This Row],[timeStamp]]+tblJTL[[#This Row],[elapsed]]</f>
        <v>1790816695647</v>
      </c>
      <c r="U1170" s="61">
        <f>(tblJTL[[#This Row],[timeStamp]]-'17_分析サンプル'!$E$18)/1000</f>
        <v>293.57400000000001</v>
      </c>
      <c r="V1170" s="57">
        <f>INT(tblJTL[[#This Row],[経過秒]]/60)</f>
        <v>4</v>
      </c>
      <c r="W1170" s="57">
        <f>IF(OR(tblJTL[[#This Row],[success]]=FALSE,tblJTL[[#This Row],[success]]="false"),1,0)</f>
        <v>0</v>
      </c>
      <c r="X1170" s="57">
        <f>IF(AND(tblJTL[[#This Row],[経過秒]]&gt;='17_分析サンプル'!$E$11,tblJTL[[#This Row],[経過秒]]&lt;'17_分析サンプル'!$E$12),1,0)</f>
        <v>1</v>
      </c>
    </row>
    <row r="1171" spans="2:24" ht="14.4" x14ac:dyDescent="0.3">
      <c r="B1171" s="57">
        <v>1790816694345</v>
      </c>
      <c r="C1171" s="58">
        <v>1584</v>
      </c>
      <c r="D1171" s="59" t="s">
        <v>1677</v>
      </c>
      <c r="E1171" s="59" t="s">
        <v>3579</v>
      </c>
      <c r="F1171" s="59" t="s">
        <v>3580</v>
      </c>
      <c r="G1171" s="59" t="s">
        <v>3587</v>
      </c>
      <c r="H1171" s="59" t="s">
        <v>2281</v>
      </c>
      <c r="I1171" s="59" t="b">
        <v>1</v>
      </c>
      <c r="J1171" s="59"/>
      <c r="K1171" s="58">
        <v>440</v>
      </c>
      <c r="L1171" s="58">
        <v>1478</v>
      </c>
      <c r="M1171" s="59">
        <v>10</v>
      </c>
      <c r="N1171" s="59">
        <v>10</v>
      </c>
      <c r="O1171" s="59" t="s">
        <v>3581</v>
      </c>
      <c r="P1171" s="58">
        <v>1581</v>
      </c>
      <c r="Q1171" s="59">
        <v>0</v>
      </c>
      <c r="R1171" s="59">
        <v>0</v>
      </c>
      <c r="S1171" s="60">
        <f>tblJTL[[#This Row],[timeStamp]]/86400000+DATE(1970,1,1)+TIME(9,0,0)</f>
        <v>46296.420073437504</v>
      </c>
      <c r="T1171" s="57">
        <f>tblJTL[[#This Row],[timeStamp]]+tblJTL[[#This Row],[elapsed]]</f>
        <v>1790816695929</v>
      </c>
      <c r="U1171" s="61">
        <f>(tblJTL[[#This Row],[timeStamp]]-'17_分析サンプル'!$E$18)/1000</f>
        <v>294.16500000000002</v>
      </c>
      <c r="V1171" s="57">
        <f>INT(tblJTL[[#This Row],[経過秒]]/60)</f>
        <v>4</v>
      </c>
      <c r="W1171" s="57">
        <f>IF(OR(tblJTL[[#This Row],[success]]=FALSE,tblJTL[[#This Row],[success]]="false"),1,0)</f>
        <v>0</v>
      </c>
      <c r="X1171" s="57">
        <f>IF(AND(tblJTL[[#This Row],[経過秒]]&gt;='17_分析サンプル'!$E$11,tblJTL[[#This Row],[経過秒]]&lt;'17_分析サンプル'!$E$12),1,0)</f>
        <v>1</v>
      </c>
    </row>
    <row r="1172" spans="2:24" ht="14.4" x14ac:dyDescent="0.3">
      <c r="B1172" s="57">
        <v>1790816695981</v>
      </c>
      <c r="C1172" s="58">
        <v>226</v>
      </c>
      <c r="D1172" s="59" t="s">
        <v>1658</v>
      </c>
      <c r="E1172" s="59" t="s">
        <v>1577</v>
      </c>
      <c r="F1172" s="59" t="s">
        <v>2275</v>
      </c>
      <c r="G1172" s="59" t="s">
        <v>3582</v>
      </c>
      <c r="H1172" s="59" t="s">
        <v>2281</v>
      </c>
      <c r="I1172" s="59" t="b">
        <v>1</v>
      </c>
      <c r="J1172" s="59"/>
      <c r="K1172" s="58">
        <v>1840</v>
      </c>
      <c r="L1172" s="58">
        <v>1342</v>
      </c>
      <c r="M1172" s="59">
        <v>10</v>
      </c>
      <c r="N1172" s="59">
        <v>10</v>
      </c>
      <c r="O1172" s="59" t="s">
        <v>3578</v>
      </c>
      <c r="P1172" s="58">
        <v>221</v>
      </c>
      <c r="Q1172" s="59">
        <v>0</v>
      </c>
      <c r="R1172" s="59">
        <v>0</v>
      </c>
      <c r="S1172" s="60">
        <f>tblJTL[[#This Row],[timeStamp]]/86400000+DATE(1970,1,1)+TIME(9,0,0)</f>
        <v>46296.420092372689</v>
      </c>
      <c r="T1172" s="57">
        <f>tblJTL[[#This Row],[timeStamp]]+tblJTL[[#This Row],[elapsed]]</f>
        <v>1790816696207</v>
      </c>
      <c r="U1172" s="61">
        <f>(tblJTL[[#This Row],[timeStamp]]-'17_分析サンプル'!$E$18)/1000</f>
        <v>295.80099999999999</v>
      </c>
      <c r="V1172" s="57">
        <f>INT(tblJTL[[#This Row],[経過秒]]/60)</f>
        <v>4</v>
      </c>
      <c r="W1172" s="57">
        <f>IF(OR(tblJTL[[#This Row],[success]]=FALSE,tblJTL[[#This Row],[success]]="false"),1,0)</f>
        <v>0</v>
      </c>
      <c r="X1172" s="57">
        <f>IF(AND(tblJTL[[#This Row],[経過秒]]&gt;='17_分析サンプル'!$E$11,tblJTL[[#This Row],[経過秒]]&lt;'17_分析サンプル'!$E$12),1,0)</f>
        <v>1</v>
      </c>
    </row>
    <row r="1173" spans="2:24" ht="14.4" x14ac:dyDescent="0.3">
      <c r="B1173" s="57">
        <v>1790816692353</v>
      </c>
      <c r="C1173" s="58">
        <v>4565</v>
      </c>
      <c r="D1173" s="59" t="s">
        <v>1677</v>
      </c>
      <c r="E1173" s="59" t="s">
        <v>3579</v>
      </c>
      <c r="F1173" s="59" t="s">
        <v>3580</v>
      </c>
      <c r="G1173" s="59" t="s">
        <v>3588</v>
      </c>
      <c r="H1173" s="59" t="s">
        <v>2281</v>
      </c>
      <c r="I1173" s="59" t="b">
        <v>1</v>
      </c>
      <c r="J1173" s="59"/>
      <c r="K1173" s="58">
        <v>412</v>
      </c>
      <c r="L1173" s="58">
        <v>1478</v>
      </c>
      <c r="M1173" s="59">
        <v>10</v>
      </c>
      <c r="N1173" s="59">
        <v>10</v>
      </c>
      <c r="O1173" s="59" t="s">
        <v>3581</v>
      </c>
      <c r="P1173" s="58">
        <v>4562</v>
      </c>
      <c r="Q1173" s="59">
        <v>0</v>
      </c>
      <c r="R1173" s="59">
        <v>0</v>
      </c>
      <c r="S1173" s="60">
        <f>tblJTL[[#This Row],[timeStamp]]/86400000+DATE(1970,1,1)+TIME(9,0,0)</f>
        <v>46296.420050381945</v>
      </c>
      <c r="T1173" s="57">
        <f>tblJTL[[#This Row],[timeStamp]]+tblJTL[[#This Row],[elapsed]]</f>
        <v>1790816696918</v>
      </c>
      <c r="U1173" s="61">
        <f>(tblJTL[[#This Row],[timeStamp]]-'17_分析サンプル'!$E$18)/1000</f>
        <v>292.173</v>
      </c>
      <c r="V1173" s="57">
        <f>INT(tblJTL[[#This Row],[経過秒]]/60)</f>
        <v>4</v>
      </c>
      <c r="W1173" s="57">
        <f>IF(OR(tblJTL[[#This Row],[success]]=FALSE,tblJTL[[#This Row],[success]]="false"),1,0)</f>
        <v>0</v>
      </c>
      <c r="X1173" s="57">
        <f>IF(AND(tblJTL[[#This Row],[経過秒]]&gt;='17_分析サンプル'!$E$11,tblJTL[[#This Row],[経過秒]]&lt;'17_分析サンプル'!$E$12),1,0)</f>
        <v>1</v>
      </c>
    </row>
    <row r="1174" spans="2:24" ht="14.4" x14ac:dyDescent="0.3">
      <c r="B1174" s="57">
        <v>1790816698084</v>
      </c>
      <c r="C1174" s="58">
        <v>198</v>
      </c>
      <c r="D1174" s="59" t="s">
        <v>1658</v>
      </c>
      <c r="E1174" s="59" t="s">
        <v>1577</v>
      </c>
      <c r="F1174" s="59" t="s">
        <v>2275</v>
      </c>
      <c r="G1174" s="59" t="s">
        <v>3585</v>
      </c>
      <c r="H1174" s="59" t="s">
        <v>2281</v>
      </c>
      <c r="I1174" s="59" t="b">
        <v>1</v>
      </c>
      <c r="J1174" s="59"/>
      <c r="K1174" s="58">
        <v>1900</v>
      </c>
      <c r="L1174" s="58">
        <v>1342</v>
      </c>
      <c r="M1174" s="59">
        <v>10</v>
      </c>
      <c r="N1174" s="59">
        <v>10</v>
      </c>
      <c r="O1174" s="59" t="s">
        <v>3578</v>
      </c>
      <c r="P1174" s="58">
        <v>191</v>
      </c>
      <c r="Q1174" s="59">
        <v>0</v>
      </c>
      <c r="R1174" s="59">
        <v>0</v>
      </c>
      <c r="S1174" s="60">
        <f>tblJTL[[#This Row],[timeStamp]]/86400000+DATE(1970,1,1)+TIME(9,0,0)</f>
        <v>46296.420116712965</v>
      </c>
      <c r="T1174" s="57">
        <f>tblJTL[[#This Row],[timeStamp]]+tblJTL[[#This Row],[elapsed]]</f>
        <v>1790816698282</v>
      </c>
      <c r="U1174" s="61">
        <f>(tblJTL[[#This Row],[timeStamp]]-'17_分析サンプル'!$E$18)/1000</f>
        <v>297.904</v>
      </c>
      <c r="V1174" s="57">
        <f>INT(tblJTL[[#This Row],[経過秒]]/60)</f>
        <v>4</v>
      </c>
      <c r="W1174" s="57">
        <f>IF(OR(tblJTL[[#This Row],[success]]=FALSE,tblJTL[[#This Row],[success]]="false"),1,0)</f>
        <v>0</v>
      </c>
      <c r="X1174" s="57">
        <f>IF(AND(tblJTL[[#This Row],[経過秒]]&gt;='17_分析サンプル'!$E$11,tblJTL[[#This Row],[経過秒]]&lt;'17_分析サンプル'!$E$12),1,0)</f>
        <v>1</v>
      </c>
    </row>
    <row r="1175" spans="2:24" ht="14.4" x14ac:dyDescent="0.3">
      <c r="B1175" s="57">
        <v>1790816696376</v>
      </c>
      <c r="C1175" s="58">
        <v>2005</v>
      </c>
      <c r="D1175" s="59" t="s">
        <v>1677</v>
      </c>
      <c r="E1175" s="59" t="s">
        <v>3579</v>
      </c>
      <c r="F1175" s="59" t="s">
        <v>3580</v>
      </c>
      <c r="G1175" s="59" t="s">
        <v>3589</v>
      </c>
      <c r="H1175" s="59" t="s">
        <v>2281</v>
      </c>
      <c r="I1175" s="59" t="b">
        <v>1</v>
      </c>
      <c r="J1175" s="59"/>
      <c r="K1175" s="58">
        <v>413</v>
      </c>
      <c r="L1175" s="58">
        <v>1478</v>
      </c>
      <c r="M1175" s="59">
        <v>10</v>
      </c>
      <c r="N1175" s="59">
        <v>10</v>
      </c>
      <c r="O1175" s="59" t="s">
        <v>3581</v>
      </c>
      <c r="P1175" s="58">
        <v>2003</v>
      </c>
      <c r="Q1175" s="59">
        <v>0</v>
      </c>
      <c r="R1175" s="59">
        <v>0</v>
      </c>
      <c r="S1175" s="60">
        <f>tblJTL[[#This Row],[timeStamp]]/86400000+DATE(1970,1,1)+TIME(9,0,0)</f>
        <v>46296.420096944443</v>
      </c>
      <c r="T1175" s="57">
        <f>tblJTL[[#This Row],[timeStamp]]+tblJTL[[#This Row],[elapsed]]</f>
        <v>1790816698381</v>
      </c>
      <c r="U1175" s="61">
        <f>(tblJTL[[#This Row],[timeStamp]]-'17_分析サンプル'!$E$18)/1000</f>
        <v>296.19600000000003</v>
      </c>
      <c r="V1175" s="57">
        <f>INT(tblJTL[[#This Row],[経過秒]]/60)</f>
        <v>4</v>
      </c>
      <c r="W1175" s="57">
        <f>IF(OR(tblJTL[[#This Row],[success]]=FALSE,tblJTL[[#This Row],[success]]="false"),1,0)</f>
        <v>0</v>
      </c>
      <c r="X1175" s="57">
        <f>IF(AND(tblJTL[[#This Row],[経過秒]]&gt;='17_分析サンプル'!$E$11,tblJTL[[#This Row],[経過秒]]&lt;'17_分析サンプル'!$E$12),1,0)</f>
        <v>1</v>
      </c>
    </row>
    <row r="1176" spans="2:24" ht="14.4" x14ac:dyDescent="0.3">
      <c r="B1176" s="57">
        <v>1790816698371</v>
      </c>
      <c r="C1176" s="58">
        <v>184</v>
      </c>
      <c r="D1176" s="59" t="s">
        <v>1658</v>
      </c>
      <c r="E1176" s="59" t="s">
        <v>1577</v>
      </c>
      <c r="F1176" s="59" t="s">
        <v>2275</v>
      </c>
      <c r="G1176" s="59" t="s">
        <v>3587</v>
      </c>
      <c r="H1176" s="59" t="s">
        <v>2281</v>
      </c>
      <c r="I1176" s="59" t="b">
        <v>1</v>
      </c>
      <c r="J1176" s="59"/>
      <c r="K1176" s="58">
        <v>1861</v>
      </c>
      <c r="L1176" s="58">
        <v>1342</v>
      </c>
      <c r="M1176" s="59">
        <v>10</v>
      </c>
      <c r="N1176" s="59">
        <v>10</v>
      </c>
      <c r="O1176" s="59" t="s">
        <v>3578</v>
      </c>
      <c r="P1176" s="58">
        <v>181</v>
      </c>
      <c r="Q1176" s="59">
        <v>0</v>
      </c>
      <c r="R1176" s="59">
        <v>0</v>
      </c>
      <c r="S1176" s="60">
        <f>tblJTL[[#This Row],[timeStamp]]/86400000+DATE(1970,1,1)+TIME(9,0,0)</f>
        <v>46296.420120034723</v>
      </c>
      <c r="T1176" s="57">
        <f>tblJTL[[#This Row],[timeStamp]]+tblJTL[[#This Row],[elapsed]]</f>
        <v>1790816698555</v>
      </c>
      <c r="U1176" s="61">
        <f>(tblJTL[[#This Row],[timeStamp]]-'17_分析サンプル'!$E$18)/1000</f>
        <v>298.19099999999997</v>
      </c>
      <c r="V1176" s="57">
        <f>INT(tblJTL[[#This Row],[経過秒]]/60)</f>
        <v>4</v>
      </c>
      <c r="W1176" s="57">
        <f>IF(OR(tblJTL[[#This Row],[success]]=FALSE,tblJTL[[#This Row],[success]]="false"),1,0)</f>
        <v>0</v>
      </c>
      <c r="X1176" s="57">
        <f>IF(AND(tblJTL[[#This Row],[経過秒]]&gt;='17_分析サンプル'!$E$11,tblJTL[[#This Row],[経過秒]]&lt;'17_分析サンプル'!$E$12),1,0)</f>
        <v>1</v>
      </c>
    </row>
    <row r="1177" spans="2:24" ht="14.4" x14ac:dyDescent="0.3">
      <c r="B1177" s="57">
        <v>1790816698617</v>
      </c>
      <c r="C1177" s="58">
        <v>325</v>
      </c>
      <c r="D1177" s="59" t="s">
        <v>1658</v>
      </c>
      <c r="E1177" s="59" t="s">
        <v>1577</v>
      </c>
      <c r="F1177" s="59" t="s">
        <v>2275</v>
      </c>
      <c r="G1177" s="59" t="s">
        <v>3588</v>
      </c>
      <c r="H1177" s="59" t="s">
        <v>2281</v>
      </c>
      <c r="I1177" s="59" t="b">
        <v>1</v>
      </c>
      <c r="J1177" s="59"/>
      <c r="K1177" s="58">
        <v>1826</v>
      </c>
      <c r="L1177" s="58">
        <v>1342</v>
      </c>
      <c r="M1177" s="59">
        <v>10</v>
      </c>
      <c r="N1177" s="59">
        <v>10</v>
      </c>
      <c r="O1177" s="59" t="s">
        <v>3578</v>
      </c>
      <c r="P1177" s="58">
        <v>323</v>
      </c>
      <c r="Q1177" s="59">
        <v>0</v>
      </c>
      <c r="R1177" s="59">
        <v>60</v>
      </c>
      <c r="S1177" s="60">
        <f>tblJTL[[#This Row],[timeStamp]]/86400000+DATE(1970,1,1)+TIME(9,0,0)</f>
        <v>46296.420122881944</v>
      </c>
      <c r="T1177" s="57">
        <f>tblJTL[[#This Row],[timeStamp]]+tblJTL[[#This Row],[elapsed]]</f>
        <v>1790816698942</v>
      </c>
      <c r="U1177" s="61">
        <f>(tblJTL[[#This Row],[timeStamp]]-'17_分析サンプル'!$E$18)/1000</f>
        <v>298.43700000000001</v>
      </c>
      <c r="V1177" s="57">
        <f>INT(tblJTL[[#This Row],[経過秒]]/60)</f>
        <v>4</v>
      </c>
      <c r="W1177" s="57">
        <f>IF(OR(tblJTL[[#This Row],[success]]=FALSE,tblJTL[[#This Row],[success]]="false"),1,0)</f>
        <v>0</v>
      </c>
      <c r="X1177" s="57">
        <f>IF(AND(tblJTL[[#This Row],[経過秒]]&gt;='17_分析サンプル'!$E$11,tblJTL[[#This Row],[経過秒]]&lt;'17_分析サンプル'!$E$12),1,0)</f>
        <v>1</v>
      </c>
    </row>
    <row r="1178" spans="2:24" ht="14.4" x14ac:dyDescent="0.3">
      <c r="B1178" s="57">
        <v>1790816696818</v>
      </c>
      <c r="C1178" s="58">
        <v>2176</v>
      </c>
      <c r="D1178" s="59" t="s">
        <v>1677</v>
      </c>
      <c r="E1178" s="59" t="s">
        <v>3579</v>
      </c>
      <c r="F1178" s="59" t="s">
        <v>3580</v>
      </c>
      <c r="G1178" s="59" t="s">
        <v>3583</v>
      </c>
      <c r="H1178" s="59" t="s">
        <v>2281</v>
      </c>
      <c r="I1178" s="59" t="b">
        <v>1</v>
      </c>
      <c r="J1178" s="59"/>
      <c r="K1178" s="58">
        <v>438</v>
      </c>
      <c r="L1178" s="58">
        <v>1478</v>
      </c>
      <c r="M1178" s="59">
        <v>10</v>
      </c>
      <c r="N1178" s="59">
        <v>10</v>
      </c>
      <c r="O1178" s="59" t="s">
        <v>3581</v>
      </c>
      <c r="P1178" s="58">
        <v>2170</v>
      </c>
      <c r="Q1178" s="59">
        <v>0</v>
      </c>
      <c r="R1178" s="59">
        <v>0</v>
      </c>
      <c r="S1178" s="60">
        <f>tblJTL[[#This Row],[timeStamp]]/86400000+DATE(1970,1,1)+TIME(9,0,0)</f>
        <v>46296.42010206019</v>
      </c>
      <c r="T1178" s="57">
        <f>tblJTL[[#This Row],[timeStamp]]+tblJTL[[#This Row],[elapsed]]</f>
        <v>1790816698994</v>
      </c>
      <c r="U1178" s="61">
        <f>(tblJTL[[#This Row],[timeStamp]]-'17_分析サンプル'!$E$18)/1000</f>
        <v>296.63799999999998</v>
      </c>
      <c r="V1178" s="57">
        <f>INT(tblJTL[[#This Row],[経過秒]]/60)</f>
        <v>4</v>
      </c>
      <c r="W1178" s="57">
        <f>IF(OR(tblJTL[[#This Row],[success]]=FALSE,tblJTL[[#This Row],[success]]="false"),1,0)</f>
        <v>0</v>
      </c>
      <c r="X1178" s="57">
        <f>IF(AND(tblJTL[[#This Row],[経過秒]]&gt;='17_分析サンプル'!$E$11,tblJTL[[#This Row],[経過秒]]&lt;'17_分析サンプル'!$E$12),1,0)</f>
        <v>1</v>
      </c>
    </row>
    <row r="1179" spans="2:24" ht="14.4" x14ac:dyDescent="0.3">
      <c r="B1179" s="57">
        <v>1790816697233</v>
      </c>
      <c r="C1179" s="58">
        <v>1857</v>
      </c>
      <c r="D1179" s="59" t="s">
        <v>1677</v>
      </c>
      <c r="E1179" s="59" t="s">
        <v>3579</v>
      </c>
      <c r="F1179" s="59" t="s">
        <v>3580</v>
      </c>
      <c r="G1179" s="59" t="s">
        <v>3584</v>
      </c>
      <c r="H1179" s="59" t="s">
        <v>2281</v>
      </c>
      <c r="I1179" s="59" t="b">
        <v>1</v>
      </c>
      <c r="J1179" s="59"/>
      <c r="K1179" s="58">
        <v>418</v>
      </c>
      <c r="L1179" s="58">
        <v>1478</v>
      </c>
      <c r="M1179" s="59">
        <v>10</v>
      </c>
      <c r="N1179" s="59">
        <v>10</v>
      </c>
      <c r="O1179" s="59" t="s">
        <v>3581</v>
      </c>
      <c r="P1179" s="58">
        <v>1855</v>
      </c>
      <c r="Q1179" s="59">
        <v>0</v>
      </c>
      <c r="R1179" s="59">
        <v>0</v>
      </c>
      <c r="S1179" s="60">
        <f>tblJTL[[#This Row],[timeStamp]]/86400000+DATE(1970,1,1)+TIME(9,0,0)</f>
        <v>46296.420106863428</v>
      </c>
      <c r="T1179" s="57">
        <f>tblJTL[[#This Row],[timeStamp]]+tblJTL[[#This Row],[elapsed]]</f>
        <v>1790816699090</v>
      </c>
      <c r="U1179" s="61">
        <f>(tblJTL[[#This Row],[timeStamp]]-'17_分析サンプル'!$E$18)/1000</f>
        <v>297.053</v>
      </c>
      <c r="V1179" s="57">
        <f>INT(tblJTL[[#This Row],[経過秒]]/60)</f>
        <v>4</v>
      </c>
      <c r="W1179" s="57">
        <f>IF(OR(tblJTL[[#This Row],[success]]=FALSE,tblJTL[[#This Row],[success]]="false"),1,0)</f>
        <v>0</v>
      </c>
      <c r="X1179" s="57">
        <f>IF(AND(tblJTL[[#This Row],[経過秒]]&gt;='17_分析サンプル'!$E$11,tblJTL[[#This Row],[経過秒]]&lt;'17_分析サンプル'!$E$12),1,0)</f>
        <v>1</v>
      </c>
    </row>
    <row r="1180" spans="2:24" ht="14.4" x14ac:dyDescent="0.3">
      <c r="B1180" s="57">
        <v>1790816697222</v>
      </c>
      <c r="C1180" s="58">
        <v>2150</v>
      </c>
      <c r="D1180" s="59" t="s">
        <v>1677</v>
      </c>
      <c r="E1180" s="59" t="s">
        <v>3579</v>
      </c>
      <c r="F1180" s="59" t="s">
        <v>3580</v>
      </c>
      <c r="G1180" s="59" t="s">
        <v>3577</v>
      </c>
      <c r="H1180" s="59" t="s">
        <v>2281</v>
      </c>
      <c r="I1180" s="59" t="b">
        <v>1</v>
      </c>
      <c r="J1180" s="59"/>
      <c r="K1180" s="58">
        <v>422</v>
      </c>
      <c r="L1180" s="58">
        <v>1478</v>
      </c>
      <c r="M1180" s="59">
        <v>10</v>
      </c>
      <c r="N1180" s="59">
        <v>10</v>
      </c>
      <c r="O1180" s="59" t="s">
        <v>3581</v>
      </c>
      <c r="P1180" s="58">
        <v>2142</v>
      </c>
      <c r="Q1180" s="59">
        <v>0</v>
      </c>
      <c r="R1180" s="59">
        <v>0</v>
      </c>
      <c r="S1180" s="60">
        <f>tblJTL[[#This Row],[timeStamp]]/86400000+DATE(1970,1,1)+TIME(9,0,0)</f>
        <v>46296.420106736114</v>
      </c>
      <c r="T1180" s="57">
        <f>tblJTL[[#This Row],[timeStamp]]+tblJTL[[#This Row],[elapsed]]</f>
        <v>1790816699372</v>
      </c>
      <c r="U1180" s="61">
        <f>(tblJTL[[#This Row],[timeStamp]]-'17_分析サンプル'!$E$18)/1000</f>
        <v>297.04199999999997</v>
      </c>
      <c r="V1180" s="57">
        <f>INT(tblJTL[[#This Row],[経過秒]]/60)</f>
        <v>4</v>
      </c>
      <c r="W1180" s="57">
        <f>IF(OR(tblJTL[[#This Row],[success]]=FALSE,tblJTL[[#This Row],[success]]="false"),1,0)</f>
        <v>0</v>
      </c>
      <c r="X1180" s="57">
        <f>IF(AND(tblJTL[[#This Row],[経過秒]]&gt;='17_分析サンプル'!$E$11,tblJTL[[#This Row],[経過秒]]&lt;'17_分析サンプル'!$E$12),1,0)</f>
        <v>1</v>
      </c>
    </row>
    <row r="1181" spans="2:24" ht="14.4" x14ac:dyDescent="0.3">
      <c r="B1181" s="57">
        <v>1790816698193</v>
      </c>
      <c r="C1181" s="58">
        <v>1851</v>
      </c>
      <c r="D1181" s="59" t="s">
        <v>1677</v>
      </c>
      <c r="E1181" s="59" t="s">
        <v>3579</v>
      </c>
      <c r="F1181" s="59" t="s">
        <v>3580</v>
      </c>
      <c r="G1181" s="59" t="s">
        <v>3582</v>
      </c>
      <c r="H1181" s="59" t="s">
        <v>2281</v>
      </c>
      <c r="I1181" s="59" t="b">
        <v>1</v>
      </c>
      <c r="J1181" s="59"/>
      <c r="K1181" s="58">
        <v>430</v>
      </c>
      <c r="L1181" s="58">
        <v>1478</v>
      </c>
      <c r="M1181" s="59">
        <v>10</v>
      </c>
      <c r="N1181" s="59">
        <v>10</v>
      </c>
      <c r="O1181" s="59" t="s">
        <v>3581</v>
      </c>
      <c r="P1181" s="58">
        <v>1843</v>
      </c>
      <c r="Q1181" s="59">
        <v>0</v>
      </c>
      <c r="R1181" s="59">
        <v>0</v>
      </c>
      <c r="S1181" s="60">
        <f>tblJTL[[#This Row],[timeStamp]]/86400000+DATE(1970,1,1)+TIME(9,0,0)</f>
        <v>46296.420117974536</v>
      </c>
      <c r="T1181" s="57">
        <f>tblJTL[[#This Row],[timeStamp]]+tblJTL[[#This Row],[elapsed]]</f>
        <v>1790816700044</v>
      </c>
      <c r="U1181" s="61">
        <f>(tblJTL[[#This Row],[timeStamp]]-'17_分析サンプル'!$E$18)/1000</f>
        <v>298.01299999999998</v>
      </c>
      <c r="V1181" s="57">
        <f>INT(tblJTL[[#This Row],[経過秒]]/60)</f>
        <v>4</v>
      </c>
      <c r="W1181" s="57">
        <f>IF(OR(tblJTL[[#This Row],[success]]=FALSE,tblJTL[[#This Row],[success]]="false"),1,0)</f>
        <v>0</v>
      </c>
      <c r="X1181" s="57">
        <f>IF(AND(tblJTL[[#This Row],[経過秒]]&gt;='17_分析サンプル'!$E$11,tblJTL[[#This Row],[経過秒]]&lt;'17_分析サンプル'!$E$12),1,0)</f>
        <v>1</v>
      </c>
    </row>
    <row r="1182" spans="2:24" ht="14.4" x14ac:dyDescent="0.3">
      <c r="B1182" s="57">
        <v>1790816700436</v>
      </c>
      <c r="C1182" s="58">
        <v>216</v>
      </c>
      <c r="D1182" s="59" t="s">
        <v>1658</v>
      </c>
      <c r="E1182" s="59" t="s">
        <v>1577</v>
      </c>
      <c r="F1182" s="59" t="s">
        <v>2275</v>
      </c>
      <c r="G1182" s="59" t="s">
        <v>3584</v>
      </c>
      <c r="H1182" s="59" t="s">
        <v>2281</v>
      </c>
      <c r="I1182" s="59" t="b">
        <v>1</v>
      </c>
      <c r="J1182" s="59"/>
      <c r="K1182" s="58">
        <v>1821</v>
      </c>
      <c r="L1182" s="58">
        <v>1342</v>
      </c>
      <c r="M1182" s="59">
        <v>10</v>
      </c>
      <c r="N1182" s="59">
        <v>10</v>
      </c>
      <c r="O1182" s="59" t="s">
        <v>3578</v>
      </c>
      <c r="P1182" s="58">
        <v>209</v>
      </c>
      <c r="Q1182" s="59">
        <v>0</v>
      </c>
      <c r="R1182" s="59">
        <v>0</v>
      </c>
      <c r="S1182" s="60">
        <f>tblJTL[[#This Row],[timeStamp]]/86400000+DATE(1970,1,1)+TIME(9,0,0)</f>
        <v>46296.420143935189</v>
      </c>
      <c r="T1182" s="57">
        <f>tblJTL[[#This Row],[timeStamp]]+tblJTL[[#This Row],[elapsed]]</f>
        <v>1790816700652</v>
      </c>
      <c r="U1182" s="61">
        <f>(tblJTL[[#This Row],[timeStamp]]-'17_分析サンプル'!$E$18)/1000</f>
        <v>300.25599999999997</v>
      </c>
      <c r="V1182" s="57">
        <f>INT(tblJTL[[#This Row],[経過秒]]/60)</f>
        <v>5</v>
      </c>
      <c r="W1182" s="57">
        <f>IF(OR(tblJTL[[#This Row],[success]]=FALSE,tblJTL[[#This Row],[success]]="false"),1,0)</f>
        <v>0</v>
      </c>
      <c r="X1182" s="57">
        <f>IF(AND(tblJTL[[#This Row],[経過秒]]&gt;='17_分析サンプル'!$E$11,tblJTL[[#This Row],[経過秒]]&lt;'17_分析サンプル'!$E$12),1,0)</f>
        <v>1</v>
      </c>
    </row>
    <row r="1183" spans="2:24" ht="14.4" x14ac:dyDescent="0.3">
      <c r="B1183" s="57">
        <v>1790816700663</v>
      </c>
      <c r="C1183" s="58">
        <v>148</v>
      </c>
      <c r="D1183" s="59" t="s">
        <v>1658</v>
      </c>
      <c r="E1183" s="59" t="s">
        <v>1577</v>
      </c>
      <c r="F1183" s="59" t="s">
        <v>2275</v>
      </c>
      <c r="G1183" s="59" t="s">
        <v>3589</v>
      </c>
      <c r="H1183" s="59" t="s">
        <v>2281</v>
      </c>
      <c r="I1183" s="59" t="b">
        <v>1</v>
      </c>
      <c r="J1183" s="59"/>
      <c r="K1183" s="58">
        <v>1882</v>
      </c>
      <c r="L1183" s="58">
        <v>1342</v>
      </c>
      <c r="M1183" s="59">
        <v>10</v>
      </c>
      <c r="N1183" s="59">
        <v>10</v>
      </c>
      <c r="O1183" s="59" t="s">
        <v>3578</v>
      </c>
      <c r="P1183" s="58">
        <v>144</v>
      </c>
      <c r="Q1183" s="59">
        <v>0</v>
      </c>
      <c r="R1183" s="59">
        <v>0</v>
      </c>
      <c r="S1183" s="60">
        <f>tblJTL[[#This Row],[timeStamp]]/86400000+DATE(1970,1,1)+TIME(9,0,0)</f>
        <v>46296.420146562501</v>
      </c>
      <c r="T1183" s="57">
        <f>tblJTL[[#This Row],[timeStamp]]+tblJTL[[#This Row],[elapsed]]</f>
        <v>1790816700811</v>
      </c>
      <c r="U1183" s="61">
        <f>(tblJTL[[#This Row],[timeStamp]]-'17_分析サンプル'!$E$18)/1000</f>
        <v>300.483</v>
      </c>
      <c r="V1183" s="57">
        <f>INT(tblJTL[[#This Row],[経過秒]]/60)</f>
        <v>5</v>
      </c>
      <c r="W1183" s="57">
        <f>IF(OR(tblJTL[[#This Row],[success]]=FALSE,tblJTL[[#This Row],[success]]="false"),1,0)</f>
        <v>0</v>
      </c>
      <c r="X1183" s="57">
        <f>IF(AND(tblJTL[[#This Row],[経過秒]]&gt;='17_分析サンプル'!$E$11,tblJTL[[#This Row],[経過秒]]&lt;'17_分析サンプル'!$E$12),1,0)</f>
        <v>1</v>
      </c>
    </row>
    <row r="1184" spans="2:24" ht="14.4" x14ac:dyDescent="0.3">
      <c r="B1184" s="57">
        <v>1790816701092</v>
      </c>
      <c r="C1184" s="58">
        <v>312</v>
      </c>
      <c r="D1184" s="59" t="s">
        <v>1658</v>
      </c>
      <c r="E1184" s="59" t="s">
        <v>1577</v>
      </c>
      <c r="F1184" s="59" t="s">
        <v>2275</v>
      </c>
      <c r="G1184" s="59" t="s">
        <v>3583</v>
      </c>
      <c r="H1184" s="59" t="s">
        <v>2281</v>
      </c>
      <c r="I1184" s="59" t="b">
        <v>1</v>
      </c>
      <c r="J1184" s="59"/>
      <c r="K1184" s="58">
        <v>1829</v>
      </c>
      <c r="L1184" s="58">
        <v>1342</v>
      </c>
      <c r="M1184" s="59">
        <v>10</v>
      </c>
      <c r="N1184" s="59">
        <v>10</v>
      </c>
      <c r="O1184" s="59" t="s">
        <v>3578</v>
      </c>
      <c r="P1184" s="58">
        <v>307</v>
      </c>
      <c r="Q1184" s="59">
        <v>0</v>
      </c>
      <c r="R1184" s="59">
        <v>0</v>
      </c>
      <c r="S1184" s="60">
        <f>tblJTL[[#This Row],[timeStamp]]/86400000+DATE(1970,1,1)+TIME(9,0,0)</f>
        <v>46296.420151527782</v>
      </c>
      <c r="T1184" s="57">
        <f>tblJTL[[#This Row],[timeStamp]]+tblJTL[[#This Row],[elapsed]]</f>
        <v>1790816701404</v>
      </c>
      <c r="U1184" s="61">
        <f>(tblJTL[[#This Row],[timeStamp]]-'17_分析サンプル'!$E$18)/1000</f>
        <v>300.91199999999998</v>
      </c>
      <c r="V1184" s="57">
        <f>INT(tblJTL[[#This Row],[経過秒]]/60)</f>
        <v>5</v>
      </c>
      <c r="W1184" s="57">
        <f>IF(OR(tblJTL[[#This Row],[success]]=FALSE,tblJTL[[#This Row],[success]]="false"),1,0)</f>
        <v>0</v>
      </c>
      <c r="X1184" s="57">
        <f>IF(AND(tblJTL[[#This Row],[経過秒]]&gt;='17_分析サンプル'!$E$11,tblJTL[[#This Row],[経過秒]]&lt;'17_分析サンプル'!$E$12),1,0)</f>
        <v>1</v>
      </c>
    </row>
    <row r="1185" spans="2:24" ht="14.4" x14ac:dyDescent="0.3">
      <c r="B1185" s="57">
        <v>1790816700194</v>
      </c>
      <c r="C1185" s="58">
        <v>2156</v>
      </c>
      <c r="D1185" s="59" t="s">
        <v>1677</v>
      </c>
      <c r="E1185" s="59" t="s">
        <v>3579</v>
      </c>
      <c r="F1185" s="59" t="s">
        <v>3580</v>
      </c>
      <c r="G1185" s="59" t="s">
        <v>3588</v>
      </c>
      <c r="H1185" s="59" t="s">
        <v>2281</v>
      </c>
      <c r="I1185" s="59" t="b">
        <v>1</v>
      </c>
      <c r="J1185" s="59"/>
      <c r="K1185" s="58">
        <v>414</v>
      </c>
      <c r="L1185" s="58">
        <v>1478</v>
      </c>
      <c r="M1185" s="59">
        <v>10</v>
      </c>
      <c r="N1185" s="59">
        <v>10</v>
      </c>
      <c r="O1185" s="59" t="s">
        <v>3581</v>
      </c>
      <c r="P1185" s="58">
        <v>2151</v>
      </c>
      <c r="Q1185" s="59">
        <v>0</v>
      </c>
      <c r="R1185" s="59">
        <v>0</v>
      </c>
      <c r="S1185" s="60">
        <f>tblJTL[[#This Row],[timeStamp]]/86400000+DATE(1970,1,1)+TIME(9,0,0)</f>
        <v>46296.420141134258</v>
      </c>
      <c r="T1185" s="57">
        <f>tblJTL[[#This Row],[timeStamp]]+tblJTL[[#This Row],[elapsed]]</f>
        <v>1790816702350</v>
      </c>
      <c r="U1185" s="61">
        <f>(tblJTL[[#This Row],[timeStamp]]-'17_分析サンプル'!$E$18)/1000</f>
        <v>300.01400000000001</v>
      </c>
      <c r="V1185" s="57">
        <f>INT(tblJTL[[#This Row],[経過秒]]/60)</f>
        <v>5</v>
      </c>
      <c r="W1185" s="57">
        <f>IF(OR(tblJTL[[#This Row],[success]]=FALSE,tblJTL[[#This Row],[success]]="false"),1,0)</f>
        <v>0</v>
      </c>
      <c r="X1185" s="57">
        <f>IF(AND(tblJTL[[#This Row],[経過秒]]&gt;='17_分析サンプル'!$E$11,tblJTL[[#This Row],[経過秒]]&lt;'17_分析サンプル'!$E$12),1,0)</f>
        <v>1</v>
      </c>
    </row>
    <row r="1186" spans="2:24" ht="14.4" x14ac:dyDescent="0.3">
      <c r="B1186" s="57">
        <v>1790816702336</v>
      </c>
      <c r="C1186" s="58">
        <v>187</v>
      </c>
      <c r="D1186" s="59" t="s">
        <v>1658</v>
      </c>
      <c r="E1186" s="59" t="s">
        <v>1577</v>
      </c>
      <c r="F1186" s="59" t="s">
        <v>2275</v>
      </c>
      <c r="G1186" s="59" t="s">
        <v>3577</v>
      </c>
      <c r="H1186" s="59" t="s">
        <v>2281</v>
      </c>
      <c r="I1186" s="59" t="b">
        <v>1</v>
      </c>
      <c r="J1186" s="59"/>
      <c r="K1186" s="58">
        <v>1892</v>
      </c>
      <c r="L1186" s="58">
        <v>1342</v>
      </c>
      <c r="M1186" s="59">
        <v>10</v>
      </c>
      <c r="N1186" s="59">
        <v>10</v>
      </c>
      <c r="O1186" s="59" t="s">
        <v>3578</v>
      </c>
      <c r="P1186" s="58">
        <v>183</v>
      </c>
      <c r="Q1186" s="59">
        <v>0</v>
      </c>
      <c r="R1186" s="59">
        <v>0</v>
      </c>
      <c r="S1186" s="60">
        <f>tblJTL[[#This Row],[timeStamp]]/86400000+DATE(1970,1,1)+TIME(9,0,0)</f>
        <v>46296.420165925927</v>
      </c>
      <c r="T1186" s="57">
        <f>tblJTL[[#This Row],[timeStamp]]+tblJTL[[#This Row],[elapsed]]</f>
        <v>1790816702523</v>
      </c>
      <c r="U1186" s="61">
        <f>(tblJTL[[#This Row],[timeStamp]]-'17_分析サンプル'!$E$18)/1000</f>
        <v>302.15600000000001</v>
      </c>
      <c r="V1186" s="57">
        <f>INT(tblJTL[[#This Row],[経過秒]]/60)</f>
        <v>5</v>
      </c>
      <c r="W1186" s="57">
        <f>IF(OR(tblJTL[[#This Row],[success]]=FALSE,tblJTL[[#This Row],[success]]="false"),1,0)</f>
        <v>0</v>
      </c>
      <c r="X1186" s="57">
        <f>IF(AND(tblJTL[[#This Row],[経過秒]]&gt;='17_分析サンプル'!$E$11,tblJTL[[#This Row],[経過秒]]&lt;'17_分析サンプル'!$E$12),1,0)</f>
        <v>1</v>
      </c>
    </row>
    <row r="1187" spans="2:24" ht="14.4" x14ac:dyDescent="0.3">
      <c r="B1187" s="57">
        <v>1790816702997</v>
      </c>
      <c r="C1187" s="58">
        <v>54</v>
      </c>
      <c r="D1187" s="59" t="s">
        <v>1677</v>
      </c>
      <c r="E1187" s="59" t="s">
        <v>3590</v>
      </c>
      <c r="F1187" s="59" t="s">
        <v>3591</v>
      </c>
      <c r="G1187" s="59" t="s">
        <v>3584</v>
      </c>
      <c r="H1187" s="59" t="s">
        <v>2281</v>
      </c>
      <c r="I1187" s="59" t="b">
        <v>0</v>
      </c>
      <c r="J1187" s="59" t="s">
        <v>3593</v>
      </c>
      <c r="K1187" s="58">
        <v>237</v>
      </c>
      <c r="L1187" s="58">
        <v>1478</v>
      </c>
      <c r="M1187" s="59">
        <v>10</v>
      </c>
      <c r="N1187" s="59">
        <v>10</v>
      </c>
      <c r="O1187" s="59" t="s">
        <v>3581</v>
      </c>
      <c r="P1187" s="58">
        <v>50</v>
      </c>
      <c r="Q1187" s="59">
        <v>0</v>
      </c>
      <c r="R1187" s="59">
        <v>0</v>
      </c>
      <c r="S1187" s="60">
        <f>tblJTL[[#This Row],[timeStamp]]/86400000+DATE(1970,1,1)+TIME(9,0,0)</f>
        <v>46296.420173576393</v>
      </c>
      <c r="T1187" s="57">
        <f>tblJTL[[#This Row],[timeStamp]]+tblJTL[[#This Row],[elapsed]]</f>
        <v>1790816703051</v>
      </c>
      <c r="U1187" s="61">
        <f>(tblJTL[[#This Row],[timeStamp]]-'17_分析サンプル'!$E$18)/1000</f>
        <v>302.81700000000001</v>
      </c>
      <c r="V1187" s="57">
        <f>INT(tblJTL[[#This Row],[経過秒]]/60)</f>
        <v>5</v>
      </c>
      <c r="W1187" s="57">
        <f>IF(OR(tblJTL[[#This Row],[success]]=FALSE,tblJTL[[#This Row],[success]]="false"),1,0)</f>
        <v>1</v>
      </c>
      <c r="X1187" s="57">
        <f>IF(AND(tblJTL[[#This Row],[経過秒]]&gt;='17_分析サンプル'!$E$11,tblJTL[[#This Row],[経過秒]]&lt;'17_分析サンプル'!$E$12),1,0)</f>
        <v>1</v>
      </c>
    </row>
    <row r="1188" spans="2:24" ht="14.4" x14ac:dyDescent="0.3">
      <c r="B1188" s="57">
        <v>1790816702823</v>
      </c>
      <c r="C1188" s="58">
        <v>236</v>
      </c>
      <c r="D1188" s="59" t="s">
        <v>1658</v>
      </c>
      <c r="E1188" s="59" t="s">
        <v>1577</v>
      </c>
      <c r="F1188" s="59" t="s">
        <v>2275</v>
      </c>
      <c r="G1188" s="59" t="s">
        <v>3582</v>
      </c>
      <c r="H1188" s="59" t="s">
        <v>2281</v>
      </c>
      <c r="I1188" s="59" t="b">
        <v>1</v>
      </c>
      <c r="J1188" s="59"/>
      <c r="K1188" s="58">
        <v>1867</v>
      </c>
      <c r="L1188" s="58">
        <v>1342</v>
      </c>
      <c r="M1188" s="59">
        <v>10</v>
      </c>
      <c r="N1188" s="59">
        <v>10</v>
      </c>
      <c r="O1188" s="59" t="s">
        <v>3578</v>
      </c>
      <c r="P1188" s="58">
        <v>232</v>
      </c>
      <c r="Q1188" s="59">
        <v>0</v>
      </c>
      <c r="R1188" s="59">
        <v>0</v>
      </c>
      <c r="S1188" s="60">
        <f>tblJTL[[#This Row],[timeStamp]]/86400000+DATE(1970,1,1)+TIME(9,0,0)</f>
        <v>46296.420171562495</v>
      </c>
      <c r="T1188" s="57">
        <f>tblJTL[[#This Row],[timeStamp]]+tblJTL[[#This Row],[elapsed]]</f>
        <v>1790816703059</v>
      </c>
      <c r="U1188" s="61">
        <f>(tblJTL[[#This Row],[timeStamp]]-'17_分析サンプル'!$E$18)/1000</f>
        <v>302.64299999999997</v>
      </c>
      <c r="V1188" s="57">
        <f>INT(tblJTL[[#This Row],[経過秒]]/60)</f>
        <v>5</v>
      </c>
      <c r="W1188" s="57">
        <f>IF(OR(tblJTL[[#This Row],[success]]=FALSE,tblJTL[[#This Row],[success]]="false"),1,0)</f>
        <v>0</v>
      </c>
      <c r="X1188" s="57">
        <f>IF(AND(tblJTL[[#This Row],[経過秒]]&gt;='17_分析サンプル'!$E$11,tblJTL[[#This Row],[経過秒]]&lt;'17_分析サンプル'!$E$12),1,0)</f>
        <v>1</v>
      </c>
    </row>
    <row r="1189" spans="2:24" ht="14.4" x14ac:dyDescent="0.3">
      <c r="B1189" s="57">
        <v>1790816703059</v>
      </c>
      <c r="C1189" s="58">
        <v>81</v>
      </c>
      <c r="D1189" s="59" t="s">
        <v>1677</v>
      </c>
      <c r="E1189" s="59" t="s">
        <v>3590</v>
      </c>
      <c r="F1189" s="59" t="s">
        <v>3591</v>
      </c>
      <c r="G1189" s="59" t="s">
        <v>3589</v>
      </c>
      <c r="H1189" s="59" t="s">
        <v>2281</v>
      </c>
      <c r="I1189" s="59" t="b">
        <v>0</v>
      </c>
      <c r="J1189" s="59" t="s">
        <v>3593</v>
      </c>
      <c r="K1189" s="58">
        <v>237</v>
      </c>
      <c r="L1189" s="58">
        <v>1478</v>
      </c>
      <c r="M1189" s="59">
        <v>10</v>
      </c>
      <c r="N1189" s="59">
        <v>10</v>
      </c>
      <c r="O1189" s="59" t="s">
        <v>3581</v>
      </c>
      <c r="P1189" s="58">
        <v>78</v>
      </c>
      <c r="Q1189" s="59">
        <v>0</v>
      </c>
      <c r="R1189" s="59">
        <v>41</v>
      </c>
      <c r="S1189" s="60">
        <f>tblJTL[[#This Row],[timeStamp]]/86400000+DATE(1970,1,1)+TIME(9,0,0)</f>
        <v>46296.420174293977</v>
      </c>
      <c r="T1189" s="57">
        <f>tblJTL[[#This Row],[timeStamp]]+tblJTL[[#This Row],[elapsed]]</f>
        <v>1790816703140</v>
      </c>
      <c r="U1189" s="61">
        <f>(tblJTL[[#This Row],[timeStamp]]-'17_分析サンプル'!$E$18)/1000</f>
        <v>302.87900000000002</v>
      </c>
      <c r="V1189" s="57">
        <f>INT(tblJTL[[#This Row],[経過秒]]/60)</f>
        <v>5</v>
      </c>
      <c r="W1189" s="57">
        <f>IF(OR(tblJTL[[#This Row],[success]]=FALSE,tblJTL[[#This Row],[success]]="false"),1,0)</f>
        <v>1</v>
      </c>
      <c r="X1189" s="57">
        <f>IF(AND(tblJTL[[#This Row],[経過秒]]&gt;='17_分析サンプル'!$E$11,tblJTL[[#This Row],[経過秒]]&lt;'17_分析サンプル'!$E$12),1,0)</f>
        <v>1</v>
      </c>
    </row>
    <row r="1190" spans="2:24" ht="14.4" x14ac:dyDescent="0.3">
      <c r="B1190" s="57">
        <v>1790816700995</v>
      </c>
      <c r="C1190" s="58">
        <v>2234</v>
      </c>
      <c r="D1190" s="59" t="s">
        <v>1677</v>
      </c>
      <c r="E1190" s="59" t="s">
        <v>3579</v>
      </c>
      <c r="F1190" s="59" t="s">
        <v>3580</v>
      </c>
      <c r="G1190" s="59" t="s">
        <v>3585</v>
      </c>
      <c r="H1190" s="59" t="s">
        <v>2281</v>
      </c>
      <c r="I1190" s="59" t="b">
        <v>1</v>
      </c>
      <c r="J1190" s="59"/>
      <c r="K1190" s="58">
        <v>412</v>
      </c>
      <c r="L1190" s="58">
        <v>1478</v>
      </c>
      <c r="M1190" s="59">
        <v>10</v>
      </c>
      <c r="N1190" s="59">
        <v>10</v>
      </c>
      <c r="O1190" s="59" t="s">
        <v>3581</v>
      </c>
      <c r="P1190" s="58">
        <v>2228</v>
      </c>
      <c r="Q1190" s="59">
        <v>0</v>
      </c>
      <c r="R1190" s="59">
        <v>0</v>
      </c>
      <c r="S1190" s="60">
        <f>tblJTL[[#This Row],[timeStamp]]/86400000+DATE(1970,1,1)+TIME(9,0,0)</f>
        <v>46296.420150405094</v>
      </c>
      <c r="T1190" s="57">
        <f>tblJTL[[#This Row],[timeStamp]]+tblJTL[[#This Row],[elapsed]]</f>
        <v>1790816703229</v>
      </c>
      <c r="U1190" s="61">
        <f>(tblJTL[[#This Row],[timeStamp]]-'17_分析サンプル'!$E$18)/1000</f>
        <v>300.815</v>
      </c>
      <c r="V1190" s="57">
        <f>INT(tblJTL[[#This Row],[経過秒]]/60)</f>
        <v>5</v>
      </c>
      <c r="W1190" s="57">
        <f>IF(OR(tblJTL[[#This Row],[success]]=FALSE,tblJTL[[#This Row],[success]]="false"),1,0)</f>
        <v>0</v>
      </c>
      <c r="X1190" s="57">
        <f>IF(AND(tblJTL[[#This Row],[経過秒]]&gt;='17_分析サンプル'!$E$11,tblJTL[[#This Row],[経過秒]]&lt;'17_分析サンプル'!$E$12),1,0)</f>
        <v>1</v>
      </c>
    </row>
    <row r="1191" spans="2:24" ht="14.4" x14ac:dyDescent="0.3">
      <c r="B1191" s="57">
        <v>1790816701432</v>
      </c>
      <c r="C1191" s="58">
        <v>2191</v>
      </c>
      <c r="D1191" s="59" t="s">
        <v>1677</v>
      </c>
      <c r="E1191" s="59" t="s">
        <v>3579</v>
      </c>
      <c r="F1191" s="59" t="s">
        <v>3580</v>
      </c>
      <c r="G1191" s="59" t="s">
        <v>3587</v>
      </c>
      <c r="H1191" s="59" t="s">
        <v>2281</v>
      </c>
      <c r="I1191" s="59" t="b">
        <v>1</v>
      </c>
      <c r="J1191" s="59"/>
      <c r="K1191" s="58">
        <v>417</v>
      </c>
      <c r="L1191" s="58">
        <v>1478</v>
      </c>
      <c r="M1191" s="59">
        <v>10</v>
      </c>
      <c r="N1191" s="59">
        <v>10</v>
      </c>
      <c r="O1191" s="59" t="s">
        <v>3581</v>
      </c>
      <c r="P1191" s="58">
        <v>2187</v>
      </c>
      <c r="Q1191" s="59">
        <v>0</v>
      </c>
      <c r="R1191" s="59">
        <v>0</v>
      </c>
      <c r="S1191" s="60">
        <f>tblJTL[[#This Row],[timeStamp]]/86400000+DATE(1970,1,1)+TIME(9,0,0)</f>
        <v>46296.420155462962</v>
      </c>
      <c r="T1191" s="57">
        <f>tblJTL[[#This Row],[timeStamp]]+tblJTL[[#This Row],[elapsed]]</f>
        <v>1790816703623</v>
      </c>
      <c r="U1191" s="61">
        <f>(tblJTL[[#This Row],[timeStamp]]-'17_分析サンプル'!$E$18)/1000</f>
        <v>301.25200000000001</v>
      </c>
      <c r="V1191" s="57">
        <f>INT(tblJTL[[#This Row],[経過秒]]/60)</f>
        <v>5</v>
      </c>
      <c r="W1191" s="57">
        <f>IF(OR(tblJTL[[#This Row],[success]]=FALSE,tblJTL[[#This Row],[success]]="false"),1,0)</f>
        <v>0</v>
      </c>
      <c r="X1191" s="57">
        <f>IF(AND(tblJTL[[#This Row],[経過秒]]&gt;='17_分析サンプル'!$E$11,tblJTL[[#This Row],[経過秒]]&lt;'17_分析サンプル'!$E$12),1,0)</f>
        <v>1</v>
      </c>
    </row>
    <row r="1192" spans="2:24" ht="14.4" x14ac:dyDescent="0.3">
      <c r="B1192" s="57">
        <v>1790816704429</v>
      </c>
      <c r="C1192" s="58">
        <v>32</v>
      </c>
      <c r="D1192" s="59" t="s">
        <v>1658</v>
      </c>
      <c r="E1192" s="59" t="s">
        <v>3590</v>
      </c>
      <c r="F1192" s="59" t="s">
        <v>3591</v>
      </c>
      <c r="G1192" s="59" t="s">
        <v>3589</v>
      </c>
      <c r="H1192" s="59" t="s">
        <v>2281</v>
      </c>
      <c r="I1192" s="59" t="b">
        <v>0</v>
      </c>
      <c r="J1192" s="59" t="s">
        <v>3592</v>
      </c>
      <c r="K1192" s="58">
        <v>237</v>
      </c>
      <c r="L1192" s="58">
        <v>1342</v>
      </c>
      <c r="M1192" s="59">
        <v>10</v>
      </c>
      <c r="N1192" s="59">
        <v>10</v>
      </c>
      <c r="O1192" s="59" t="s">
        <v>3578</v>
      </c>
      <c r="P1192" s="58">
        <v>24</v>
      </c>
      <c r="Q1192" s="59">
        <v>0</v>
      </c>
      <c r="R1192" s="59">
        <v>0</v>
      </c>
      <c r="S1192" s="60">
        <f>tblJTL[[#This Row],[timeStamp]]/86400000+DATE(1970,1,1)+TIME(9,0,0)</f>
        <v>46296.420190150464</v>
      </c>
      <c r="T1192" s="57">
        <f>tblJTL[[#This Row],[timeStamp]]+tblJTL[[#This Row],[elapsed]]</f>
        <v>1790816704461</v>
      </c>
      <c r="U1192" s="61">
        <f>(tblJTL[[#This Row],[timeStamp]]-'17_分析サンプル'!$E$18)/1000</f>
        <v>304.24900000000002</v>
      </c>
      <c r="V1192" s="57">
        <f>INT(tblJTL[[#This Row],[経過秒]]/60)</f>
        <v>5</v>
      </c>
      <c r="W1192" s="57">
        <f>IF(OR(tblJTL[[#This Row],[success]]=FALSE,tblJTL[[#This Row],[success]]="false"),1,0)</f>
        <v>1</v>
      </c>
      <c r="X1192" s="57">
        <f>IF(AND(tblJTL[[#This Row],[経過秒]]&gt;='17_分析サンプル'!$E$11,tblJTL[[#This Row],[経過秒]]&lt;'17_分析サンプル'!$E$12),1,0)</f>
        <v>1</v>
      </c>
    </row>
    <row r="1193" spans="2:24" ht="14.4" x14ac:dyDescent="0.3">
      <c r="B1193" s="57">
        <v>1790816704343</v>
      </c>
      <c r="C1193" s="58">
        <v>211</v>
      </c>
      <c r="D1193" s="59" t="s">
        <v>1658</v>
      </c>
      <c r="E1193" s="59" t="s">
        <v>1577</v>
      </c>
      <c r="F1193" s="59" t="s">
        <v>2275</v>
      </c>
      <c r="G1193" s="59" t="s">
        <v>3584</v>
      </c>
      <c r="H1193" s="59" t="s">
        <v>2281</v>
      </c>
      <c r="I1193" s="59" t="b">
        <v>1</v>
      </c>
      <c r="J1193" s="59"/>
      <c r="K1193" s="58">
        <v>1862</v>
      </c>
      <c r="L1193" s="58">
        <v>1342</v>
      </c>
      <c r="M1193" s="59">
        <v>10</v>
      </c>
      <c r="N1193" s="59">
        <v>10</v>
      </c>
      <c r="O1193" s="59" t="s">
        <v>3578</v>
      </c>
      <c r="P1193" s="58">
        <v>207</v>
      </c>
      <c r="Q1193" s="59">
        <v>0</v>
      </c>
      <c r="R1193" s="59">
        <v>0</v>
      </c>
      <c r="S1193" s="60">
        <f>tblJTL[[#This Row],[timeStamp]]/86400000+DATE(1970,1,1)+TIME(9,0,0)</f>
        <v>46296.420189155091</v>
      </c>
      <c r="T1193" s="57">
        <f>tblJTL[[#This Row],[timeStamp]]+tblJTL[[#This Row],[elapsed]]</f>
        <v>1790816704554</v>
      </c>
      <c r="U1193" s="61">
        <f>(tblJTL[[#This Row],[timeStamp]]-'17_分析サンプル'!$E$18)/1000</f>
        <v>304.16300000000001</v>
      </c>
      <c r="V1193" s="57">
        <f>INT(tblJTL[[#This Row],[経過秒]]/60)</f>
        <v>5</v>
      </c>
      <c r="W1193" s="57">
        <f>IF(OR(tblJTL[[#This Row],[success]]=FALSE,tblJTL[[#This Row],[success]]="false"),1,0)</f>
        <v>0</v>
      </c>
      <c r="X1193" s="57">
        <f>IF(AND(tblJTL[[#This Row],[経過秒]]&gt;='17_分析サンプル'!$E$11,tblJTL[[#This Row],[経過秒]]&lt;'17_分析サンプル'!$E$12),1,0)</f>
        <v>1</v>
      </c>
    </row>
    <row r="1194" spans="2:24" ht="14.4" x14ac:dyDescent="0.3">
      <c r="B1194" s="57">
        <v>1790816705302</v>
      </c>
      <c r="C1194" s="58">
        <v>26</v>
      </c>
      <c r="D1194" s="59" t="s">
        <v>1658</v>
      </c>
      <c r="E1194" s="59" t="s">
        <v>3590</v>
      </c>
      <c r="F1194" s="59" t="s">
        <v>3591</v>
      </c>
      <c r="G1194" s="59" t="s">
        <v>3585</v>
      </c>
      <c r="H1194" s="59" t="s">
        <v>2281</v>
      </c>
      <c r="I1194" s="59" t="b">
        <v>0</v>
      </c>
      <c r="J1194" s="59" t="s">
        <v>3592</v>
      </c>
      <c r="K1194" s="58">
        <v>237</v>
      </c>
      <c r="L1194" s="58">
        <v>1342</v>
      </c>
      <c r="M1194" s="59">
        <v>10</v>
      </c>
      <c r="N1194" s="59">
        <v>10</v>
      </c>
      <c r="O1194" s="59" t="s">
        <v>3578</v>
      </c>
      <c r="P1194" s="58">
        <v>23</v>
      </c>
      <c r="Q1194" s="59">
        <v>0</v>
      </c>
      <c r="R1194" s="59">
        <v>0</v>
      </c>
      <c r="S1194" s="60">
        <f>tblJTL[[#This Row],[timeStamp]]/86400000+DATE(1970,1,1)+TIME(9,0,0)</f>
        <v>46296.42020025463</v>
      </c>
      <c r="T1194" s="57">
        <f>tblJTL[[#This Row],[timeStamp]]+tblJTL[[#This Row],[elapsed]]</f>
        <v>1790816705328</v>
      </c>
      <c r="U1194" s="61">
        <f>(tblJTL[[#This Row],[timeStamp]]-'17_分析サンプル'!$E$18)/1000</f>
        <v>305.12200000000001</v>
      </c>
      <c r="V1194" s="57">
        <f>INT(tblJTL[[#This Row],[経過秒]]/60)</f>
        <v>5</v>
      </c>
      <c r="W1194" s="57">
        <f>IF(OR(tblJTL[[#This Row],[success]]=FALSE,tblJTL[[#This Row],[success]]="false"),1,0)</f>
        <v>1</v>
      </c>
      <c r="X1194" s="57">
        <f>IF(AND(tblJTL[[#This Row],[経過秒]]&gt;='17_分析サンプル'!$E$11,tblJTL[[#This Row],[経過秒]]&lt;'17_分析サンプル'!$E$12),1,0)</f>
        <v>1</v>
      </c>
    </row>
    <row r="1195" spans="2:24" ht="14.4" x14ac:dyDescent="0.3">
      <c r="B1195" s="57">
        <v>1790816705146</v>
      </c>
      <c r="C1195" s="58">
        <v>346</v>
      </c>
      <c r="D1195" s="59" t="s">
        <v>1658</v>
      </c>
      <c r="E1195" s="59" t="s">
        <v>1577</v>
      </c>
      <c r="F1195" s="59" t="s">
        <v>2275</v>
      </c>
      <c r="G1195" s="59" t="s">
        <v>3588</v>
      </c>
      <c r="H1195" s="59" t="s">
        <v>2281</v>
      </c>
      <c r="I1195" s="59" t="b">
        <v>1</v>
      </c>
      <c r="J1195" s="59"/>
      <c r="K1195" s="58">
        <v>1892</v>
      </c>
      <c r="L1195" s="58">
        <v>1342</v>
      </c>
      <c r="M1195" s="59">
        <v>10</v>
      </c>
      <c r="N1195" s="59">
        <v>10</v>
      </c>
      <c r="O1195" s="59" t="s">
        <v>3578</v>
      </c>
      <c r="P1195" s="58">
        <v>344</v>
      </c>
      <c r="Q1195" s="59">
        <v>0</v>
      </c>
      <c r="R1195" s="59">
        <v>0</v>
      </c>
      <c r="S1195" s="60">
        <f>tblJTL[[#This Row],[timeStamp]]/86400000+DATE(1970,1,1)+TIME(9,0,0)</f>
        <v>46296.420198449079</v>
      </c>
      <c r="T1195" s="57">
        <f>tblJTL[[#This Row],[timeStamp]]+tblJTL[[#This Row],[elapsed]]</f>
        <v>1790816705492</v>
      </c>
      <c r="U1195" s="61">
        <f>(tblJTL[[#This Row],[timeStamp]]-'17_分析サンプル'!$E$18)/1000</f>
        <v>304.96600000000001</v>
      </c>
      <c r="V1195" s="57">
        <f>INT(tblJTL[[#This Row],[経過秒]]/60)</f>
        <v>5</v>
      </c>
      <c r="W1195" s="57">
        <f>IF(OR(tblJTL[[#This Row],[success]]=FALSE,tblJTL[[#This Row],[success]]="false"),1,0)</f>
        <v>0</v>
      </c>
      <c r="X1195" s="57">
        <f>IF(AND(tblJTL[[#This Row],[経過秒]]&gt;='17_分析サンプル'!$E$11,tblJTL[[#This Row],[経過秒]]&lt;'17_分析サンプル'!$E$12),1,0)</f>
        <v>1</v>
      </c>
    </row>
    <row r="1196" spans="2:24" ht="14.4" x14ac:dyDescent="0.3">
      <c r="B1196" s="57">
        <v>1790816705596</v>
      </c>
      <c r="C1196" s="58">
        <v>231</v>
      </c>
      <c r="D1196" s="59" t="s">
        <v>1658</v>
      </c>
      <c r="E1196" s="59" t="s">
        <v>1577</v>
      </c>
      <c r="F1196" s="59" t="s">
        <v>2275</v>
      </c>
      <c r="G1196" s="59" t="s">
        <v>3587</v>
      </c>
      <c r="H1196" s="59" t="s">
        <v>2281</v>
      </c>
      <c r="I1196" s="59" t="b">
        <v>1</v>
      </c>
      <c r="J1196" s="59"/>
      <c r="K1196" s="58">
        <v>1853</v>
      </c>
      <c r="L1196" s="58">
        <v>1342</v>
      </c>
      <c r="M1196" s="59">
        <v>10</v>
      </c>
      <c r="N1196" s="59">
        <v>10</v>
      </c>
      <c r="O1196" s="59" t="s">
        <v>3578</v>
      </c>
      <c r="P1196" s="58">
        <v>225</v>
      </c>
      <c r="Q1196" s="59">
        <v>0</v>
      </c>
      <c r="R1196" s="59">
        <v>0</v>
      </c>
      <c r="S1196" s="60">
        <f>tblJTL[[#This Row],[timeStamp]]/86400000+DATE(1970,1,1)+TIME(9,0,0)</f>
        <v>46296.420203657406</v>
      </c>
      <c r="T1196" s="57">
        <f>tblJTL[[#This Row],[timeStamp]]+tblJTL[[#This Row],[elapsed]]</f>
        <v>1790816705827</v>
      </c>
      <c r="U1196" s="61">
        <f>(tblJTL[[#This Row],[timeStamp]]-'17_分析サンプル'!$E$18)/1000</f>
        <v>305.416</v>
      </c>
      <c r="V1196" s="57">
        <f>INT(tblJTL[[#This Row],[経過秒]]/60)</f>
        <v>5</v>
      </c>
      <c r="W1196" s="57">
        <f>IF(OR(tblJTL[[#This Row],[success]]=FALSE,tblJTL[[#This Row],[success]]="false"),1,0)</f>
        <v>0</v>
      </c>
      <c r="X1196" s="57">
        <f>IF(AND(tblJTL[[#This Row],[経過秒]]&gt;='17_分析サンプル'!$E$11,tblJTL[[#This Row],[経過秒]]&lt;'17_分析サンプル'!$E$12),1,0)</f>
        <v>1</v>
      </c>
    </row>
    <row r="1197" spans="2:24" ht="14.4" x14ac:dyDescent="0.3">
      <c r="B1197" s="57">
        <v>1790816704385</v>
      </c>
      <c r="C1197" s="58">
        <v>1976</v>
      </c>
      <c r="D1197" s="59" t="s">
        <v>1677</v>
      </c>
      <c r="E1197" s="59" t="s">
        <v>3579</v>
      </c>
      <c r="F1197" s="59" t="s">
        <v>3580</v>
      </c>
      <c r="G1197" s="59" t="s">
        <v>3583</v>
      </c>
      <c r="H1197" s="59" t="s">
        <v>2281</v>
      </c>
      <c r="I1197" s="59" t="b">
        <v>1</v>
      </c>
      <c r="J1197" s="59"/>
      <c r="K1197" s="58">
        <v>423</v>
      </c>
      <c r="L1197" s="58">
        <v>1478</v>
      </c>
      <c r="M1197" s="59">
        <v>10</v>
      </c>
      <c r="N1197" s="59">
        <v>10</v>
      </c>
      <c r="O1197" s="59" t="s">
        <v>3581</v>
      </c>
      <c r="P1197" s="58">
        <v>1974</v>
      </c>
      <c r="Q1197" s="59">
        <v>0</v>
      </c>
      <c r="R1197" s="59">
        <v>0</v>
      </c>
      <c r="S1197" s="60">
        <f>tblJTL[[#This Row],[timeStamp]]/86400000+DATE(1970,1,1)+TIME(9,0,0)</f>
        <v>46296.420189641205</v>
      </c>
      <c r="T1197" s="57">
        <f>tblJTL[[#This Row],[timeStamp]]+tblJTL[[#This Row],[elapsed]]</f>
        <v>1790816706361</v>
      </c>
      <c r="U1197" s="61">
        <f>(tblJTL[[#This Row],[timeStamp]]-'17_分析サンプル'!$E$18)/1000</f>
        <v>304.20499999999998</v>
      </c>
      <c r="V1197" s="57">
        <f>INT(tblJTL[[#This Row],[経過秒]]/60)</f>
        <v>5</v>
      </c>
      <c r="W1197" s="57">
        <f>IF(OR(tblJTL[[#This Row],[success]]=FALSE,tblJTL[[#This Row],[success]]="false"),1,0)</f>
        <v>0</v>
      </c>
      <c r="X1197" s="57">
        <f>IF(AND(tblJTL[[#This Row],[経過秒]]&gt;='17_分析サンプル'!$E$11,tblJTL[[#This Row],[経過秒]]&lt;'17_分析サンプル'!$E$12),1,0)</f>
        <v>1</v>
      </c>
    </row>
    <row r="1198" spans="2:24" ht="14.4" x14ac:dyDescent="0.3">
      <c r="B1198" s="57">
        <v>1790816705828</v>
      </c>
      <c r="C1198" s="58">
        <v>2104</v>
      </c>
      <c r="D1198" s="59" t="s">
        <v>1677</v>
      </c>
      <c r="E1198" s="59" t="s">
        <v>3579</v>
      </c>
      <c r="F1198" s="59" t="s">
        <v>3580</v>
      </c>
      <c r="G1198" s="59" t="s">
        <v>3582</v>
      </c>
      <c r="H1198" s="59" t="s">
        <v>2281</v>
      </c>
      <c r="I1198" s="59" t="b">
        <v>1</v>
      </c>
      <c r="J1198" s="59"/>
      <c r="K1198" s="58">
        <v>438</v>
      </c>
      <c r="L1198" s="58">
        <v>1478</v>
      </c>
      <c r="M1198" s="59">
        <v>10</v>
      </c>
      <c r="N1198" s="59">
        <v>10</v>
      </c>
      <c r="O1198" s="59" t="s">
        <v>3581</v>
      </c>
      <c r="P1198" s="58">
        <v>2099</v>
      </c>
      <c r="Q1198" s="59">
        <v>0</v>
      </c>
      <c r="R1198" s="59">
        <v>0</v>
      </c>
      <c r="S1198" s="60">
        <f>tblJTL[[#This Row],[timeStamp]]/86400000+DATE(1970,1,1)+TIME(9,0,0)</f>
        <v>46296.420206342591</v>
      </c>
      <c r="T1198" s="57">
        <f>tblJTL[[#This Row],[timeStamp]]+tblJTL[[#This Row],[elapsed]]</f>
        <v>1790816707932</v>
      </c>
      <c r="U1198" s="61">
        <f>(tblJTL[[#This Row],[timeStamp]]-'17_分析サンプル'!$E$18)/1000</f>
        <v>305.64800000000002</v>
      </c>
      <c r="V1198" s="57">
        <f>INT(tblJTL[[#This Row],[経過秒]]/60)</f>
        <v>5</v>
      </c>
      <c r="W1198" s="57">
        <f>IF(OR(tblJTL[[#This Row],[success]]=FALSE,tblJTL[[#This Row],[success]]="false"),1,0)</f>
        <v>0</v>
      </c>
      <c r="X1198" s="57">
        <f>IF(AND(tblJTL[[#This Row],[経過秒]]&gt;='17_分析サンプル'!$E$11,tblJTL[[#This Row],[経過秒]]&lt;'17_分析サンプル'!$E$12),1,0)</f>
        <v>1</v>
      </c>
    </row>
    <row r="1199" spans="2:24" ht="14.4" x14ac:dyDescent="0.3">
      <c r="B1199" s="57">
        <v>1790816707138</v>
      </c>
      <c r="C1199" s="58">
        <v>942</v>
      </c>
      <c r="D1199" s="59" t="s">
        <v>1677</v>
      </c>
      <c r="E1199" s="59" t="s">
        <v>3579</v>
      </c>
      <c r="F1199" s="59" t="s">
        <v>3580</v>
      </c>
      <c r="G1199" s="59" t="s">
        <v>3588</v>
      </c>
      <c r="H1199" s="59" t="s">
        <v>2281</v>
      </c>
      <c r="I1199" s="59" t="b">
        <v>1</v>
      </c>
      <c r="J1199" s="59"/>
      <c r="K1199" s="58">
        <v>416</v>
      </c>
      <c r="L1199" s="58">
        <v>1478</v>
      </c>
      <c r="M1199" s="59">
        <v>10</v>
      </c>
      <c r="N1199" s="59">
        <v>10</v>
      </c>
      <c r="O1199" s="59" t="s">
        <v>3581</v>
      </c>
      <c r="P1199" s="58">
        <v>936</v>
      </c>
      <c r="Q1199" s="59">
        <v>0</v>
      </c>
      <c r="R1199" s="59">
        <v>0</v>
      </c>
      <c r="S1199" s="60">
        <f>tblJTL[[#This Row],[timeStamp]]/86400000+DATE(1970,1,1)+TIME(9,0,0)</f>
        <v>46296.420221504624</v>
      </c>
      <c r="T1199" s="57">
        <f>tblJTL[[#This Row],[timeStamp]]+tblJTL[[#This Row],[elapsed]]</f>
        <v>1790816708080</v>
      </c>
      <c r="U1199" s="61">
        <f>(tblJTL[[#This Row],[timeStamp]]-'17_分析サンプル'!$E$18)/1000</f>
        <v>306.95800000000003</v>
      </c>
      <c r="V1199" s="57">
        <f>INT(tblJTL[[#This Row],[経過秒]]/60)</f>
        <v>5</v>
      </c>
      <c r="W1199" s="57">
        <f>IF(OR(tblJTL[[#This Row],[success]]=FALSE,tblJTL[[#This Row],[success]]="false"),1,0)</f>
        <v>0</v>
      </c>
      <c r="X1199" s="57">
        <f>IF(AND(tblJTL[[#This Row],[経過秒]]&gt;='17_分析サンプル'!$E$11,tblJTL[[#This Row],[経過秒]]&lt;'17_分析サンプル'!$E$12),1,0)</f>
        <v>1</v>
      </c>
    </row>
    <row r="1200" spans="2:24" ht="14.4" x14ac:dyDescent="0.3">
      <c r="B1200" s="57">
        <v>1790816708359</v>
      </c>
      <c r="C1200" s="58">
        <v>212</v>
      </c>
      <c r="D1200" s="59" t="s">
        <v>1658</v>
      </c>
      <c r="E1200" s="59" t="s">
        <v>1577</v>
      </c>
      <c r="F1200" s="59" t="s">
        <v>2275</v>
      </c>
      <c r="G1200" s="59" t="s">
        <v>3583</v>
      </c>
      <c r="H1200" s="59" t="s">
        <v>2281</v>
      </c>
      <c r="I1200" s="59" t="b">
        <v>1</v>
      </c>
      <c r="J1200" s="59"/>
      <c r="K1200" s="58">
        <v>1865</v>
      </c>
      <c r="L1200" s="58">
        <v>1342</v>
      </c>
      <c r="M1200" s="59">
        <v>10</v>
      </c>
      <c r="N1200" s="59">
        <v>10</v>
      </c>
      <c r="O1200" s="59" t="s">
        <v>3578</v>
      </c>
      <c r="P1200" s="58">
        <v>204</v>
      </c>
      <c r="Q1200" s="59">
        <v>0</v>
      </c>
      <c r="R1200" s="59">
        <v>0</v>
      </c>
      <c r="S1200" s="60">
        <f>tblJTL[[#This Row],[timeStamp]]/86400000+DATE(1970,1,1)+TIME(9,0,0)</f>
        <v>46296.420235636571</v>
      </c>
      <c r="T1200" s="57">
        <f>tblJTL[[#This Row],[timeStamp]]+tblJTL[[#This Row],[elapsed]]</f>
        <v>1790816708571</v>
      </c>
      <c r="U1200" s="61">
        <f>(tblJTL[[#This Row],[timeStamp]]-'17_分析サンプル'!$E$18)/1000</f>
        <v>308.17899999999997</v>
      </c>
      <c r="V1200" s="57">
        <f>INT(tblJTL[[#This Row],[経過秒]]/60)</f>
        <v>5</v>
      </c>
      <c r="W1200" s="57">
        <f>IF(OR(tblJTL[[#This Row],[success]]=FALSE,tblJTL[[#This Row],[success]]="false"),1,0)</f>
        <v>0</v>
      </c>
      <c r="X1200" s="57">
        <f>IF(AND(tblJTL[[#This Row],[経過秒]]&gt;='17_分析サンプル'!$E$11,tblJTL[[#This Row],[経過秒]]&lt;'17_分析サンプル'!$E$12),1,0)</f>
        <v>1</v>
      </c>
    </row>
    <row r="1201" spans="2:24" ht="14.4" x14ac:dyDescent="0.3">
      <c r="B1201" s="57">
        <v>1790816707485</v>
      </c>
      <c r="C1201" s="58">
        <v>1159</v>
      </c>
      <c r="D1201" s="59" t="s">
        <v>1677</v>
      </c>
      <c r="E1201" s="59" t="s">
        <v>3579</v>
      </c>
      <c r="F1201" s="59" t="s">
        <v>3580</v>
      </c>
      <c r="G1201" s="59" t="s">
        <v>3585</v>
      </c>
      <c r="H1201" s="59" t="s">
        <v>2281</v>
      </c>
      <c r="I1201" s="59" t="b">
        <v>1</v>
      </c>
      <c r="J1201" s="59"/>
      <c r="K1201" s="58">
        <v>433</v>
      </c>
      <c r="L1201" s="58">
        <v>1478</v>
      </c>
      <c r="M1201" s="59">
        <v>10</v>
      </c>
      <c r="N1201" s="59">
        <v>10</v>
      </c>
      <c r="O1201" s="59" t="s">
        <v>3581</v>
      </c>
      <c r="P1201" s="58">
        <v>1156</v>
      </c>
      <c r="Q1201" s="59">
        <v>0</v>
      </c>
      <c r="R1201" s="59">
        <v>0</v>
      </c>
      <c r="S1201" s="60">
        <f>tblJTL[[#This Row],[timeStamp]]/86400000+DATE(1970,1,1)+TIME(9,0,0)</f>
        <v>46296.420225520837</v>
      </c>
      <c r="T1201" s="57">
        <f>tblJTL[[#This Row],[timeStamp]]+tblJTL[[#This Row],[elapsed]]</f>
        <v>1790816708644</v>
      </c>
      <c r="U1201" s="61">
        <f>(tblJTL[[#This Row],[timeStamp]]-'17_分析サンプル'!$E$18)/1000</f>
        <v>307.30500000000001</v>
      </c>
      <c r="V1201" s="57">
        <f>INT(tblJTL[[#This Row],[経過秒]]/60)</f>
        <v>5</v>
      </c>
      <c r="W1201" s="57">
        <f>IF(OR(tblJTL[[#This Row],[success]]=FALSE,tblJTL[[#This Row],[success]]="false"),1,0)</f>
        <v>0</v>
      </c>
      <c r="X1201" s="57">
        <f>IF(AND(tblJTL[[#This Row],[経過秒]]&gt;='17_分析サンプル'!$E$11,tblJTL[[#This Row],[経過秒]]&lt;'17_分析サンプル'!$E$12),1,0)</f>
        <v>1</v>
      </c>
    </row>
    <row r="1202" spans="2:24" ht="14.4" x14ac:dyDescent="0.3">
      <c r="B1202" s="57">
        <v>1790816706904</v>
      </c>
      <c r="C1202" s="58">
        <v>2223</v>
      </c>
      <c r="D1202" s="59" t="s">
        <v>1677</v>
      </c>
      <c r="E1202" s="59" t="s">
        <v>3579</v>
      </c>
      <c r="F1202" s="59" t="s">
        <v>3580</v>
      </c>
      <c r="G1202" s="59" t="s">
        <v>3589</v>
      </c>
      <c r="H1202" s="59" t="s">
        <v>2281</v>
      </c>
      <c r="I1202" s="59" t="b">
        <v>1</v>
      </c>
      <c r="J1202" s="59"/>
      <c r="K1202" s="58">
        <v>421</v>
      </c>
      <c r="L1202" s="58">
        <v>1478</v>
      </c>
      <c r="M1202" s="59">
        <v>10</v>
      </c>
      <c r="N1202" s="59">
        <v>10</v>
      </c>
      <c r="O1202" s="59" t="s">
        <v>3581</v>
      </c>
      <c r="P1202" s="58">
        <v>2215</v>
      </c>
      <c r="Q1202" s="59">
        <v>0</v>
      </c>
      <c r="R1202" s="59">
        <v>0</v>
      </c>
      <c r="S1202" s="60">
        <f>tblJTL[[#This Row],[timeStamp]]/86400000+DATE(1970,1,1)+TIME(9,0,0)</f>
        <v>46296.420218796295</v>
      </c>
      <c r="T1202" s="57">
        <f>tblJTL[[#This Row],[timeStamp]]+tblJTL[[#This Row],[elapsed]]</f>
        <v>1790816709127</v>
      </c>
      <c r="U1202" s="61">
        <f>(tblJTL[[#This Row],[timeStamp]]-'17_分析サンプル'!$E$18)/1000</f>
        <v>306.72399999999999</v>
      </c>
      <c r="V1202" s="57">
        <f>INT(tblJTL[[#This Row],[経過秒]]/60)</f>
        <v>5</v>
      </c>
      <c r="W1202" s="57">
        <f>IF(OR(tblJTL[[#This Row],[success]]=FALSE,tblJTL[[#This Row],[success]]="false"),1,0)</f>
        <v>0</v>
      </c>
      <c r="X1202" s="57">
        <f>IF(AND(tblJTL[[#This Row],[経過秒]]&gt;='17_分析サンプル'!$E$11,tblJTL[[#This Row],[経過秒]]&lt;'17_分析サンプル'!$E$12),1,0)</f>
        <v>1</v>
      </c>
    </row>
    <row r="1203" spans="2:24" ht="14.4" x14ac:dyDescent="0.3">
      <c r="B1203" s="57">
        <v>1790816708979</v>
      </c>
      <c r="C1203" s="58">
        <v>331</v>
      </c>
      <c r="D1203" s="59" t="s">
        <v>1658</v>
      </c>
      <c r="E1203" s="59" t="s">
        <v>1577</v>
      </c>
      <c r="F1203" s="59" t="s">
        <v>2275</v>
      </c>
      <c r="G1203" s="59" t="s">
        <v>3582</v>
      </c>
      <c r="H1203" s="59" t="s">
        <v>2281</v>
      </c>
      <c r="I1203" s="59" t="b">
        <v>1</v>
      </c>
      <c r="J1203" s="59"/>
      <c r="K1203" s="58">
        <v>1820</v>
      </c>
      <c r="L1203" s="58">
        <v>1342</v>
      </c>
      <c r="M1203" s="59">
        <v>10</v>
      </c>
      <c r="N1203" s="59">
        <v>10</v>
      </c>
      <c r="O1203" s="59" t="s">
        <v>3578</v>
      </c>
      <c r="P1203" s="58">
        <v>326</v>
      </c>
      <c r="Q1203" s="59">
        <v>0</v>
      </c>
      <c r="R1203" s="59">
        <v>0</v>
      </c>
      <c r="S1203" s="60">
        <f>tblJTL[[#This Row],[timeStamp]]/86400000+DATE(1970,1,1)+TIME(9,0,0)</f>
        <v>46296.420242812499</v>
      </c>
      <c r="T1203" s="57">
        <f>tblJTL[[#This Row],[timeStamp]]+tblJTL[[#This Row],[elapsed]]</f>
        <v>1790816709310</v>
      </c>
      <c r="U1203" s="61">
        <f>(tblJTL[[#This Row],[timeStamp]]-'17_分析サンプル'!$E$18)/1000</f>
        <v>308.79899999999998</v>
      </c>
      <c r="V1203" s="57">
        <f>INT(tblJTL[[#This Row],[経過秒]]/60)</f>
        <v>5</v>
      </c>
      <c r="W1203" s="57">
        <f>IF(OR(tblJTL[[#This Row],[success]]=FALSE,tblJTL[[#This Row],[success]]="false"),1,0)</f>
        <v>0</v>
      </c>
      <c r="X1203" s="57">
        <f>IF(AND(tblJTL[[#This Row],[経過秒]]&gt;='17_分析サンプル'!$E$11,tblJTL[[#This Row],[経過秒]]&lt;'17_分析サンプル'!$E$12),1,0)</f>
        <v>1</v>
      </c>
    </row>
    <row r="1204" spans="2:24" ht="14.4" x14ac:dyDescent="0.3">
      <c r="B1204" s="57">
        <v>1790816705464</v>
      </c>
      <c r="C1204" s="58">
        <v>4012</v>
      </c>
      <c r="D1204" s="59" t="s">
        <v>1677</v>
      </c>
      <c r="E1204" s="59" t="s">
        <v>3579</v>
      </c>
      <c r="F1204" s="59" t="s">
        <v>3580</v>
      </c>
      <c r="G1204" s="59" t="s">
        <v>3577</v>
      </c>
      <c r="H1204" s="59" t="s">
        <v>2281</v>
      </c>
      <c r="I1204" s="59" t="b">
        <v>1</v>
      </c>
      <c r="J1204" s="59"/>
      <c r="K1204" s="58">
        <v>431</v>
      </c>
      <c r="L1204" s="58">
        <v>1478</v>
      </c>
      <c r="M1204" s="59">
        <v>10</v>
      </c>
      <c r="N1204" s="59">
        <v>10</v>
      </c>
      <c r="O1204" s="59" t="s">
        <v>3581</v>
      </c>
      <c r="P1204" s="58">
        <v>4010</v>
      </c>
      <c r="Q1204" s="59">
        <v>0</v>
      </c>
      <c r="R1204" s="59">
        <v>43</v>
      </c>
      <c r="S1204" s="60">
        <f>tblJTL[[#This Row],[timeStamp]]/86400000+DATE(1970,1,1)+TIME(9,0,0)</f>
        <v>46296.42020212963</v>
      </c>
      <c r="T1204" s="57">
        <f>tblJTL[[#This Row],[timeStamp]]+tblJTL[[#This Row],[elapsed]]</f>
        <v>1790816709476</v>
      </c>
      <c r="U1204" s="61">
        <f>(tblJTL[[#This Row],[timeStamp]]-'17_分析サンプル'!$E$18)/1000</f>
        <v>305.28399999999999</v>
      </c>
      <c r="V1204" s="57">
        <f>INT(tblJTL[[#This Row],[経過秒]]/60)</f>
        <v>5</v>
      </c>
      <c r="W1204" s="57">
        <f>IF(OR(tblJTL[[#This Row],[success]]=FALSE,tblJTL[[#This Row],[success]]="false"),1,0)</f>
        <v>0</v>
      </c>
      <c r="X1204" s="57">
        <f>IF(AND(tblJTL[[#This Row],[経過秒]]&gt;='17_分析サンプル'!$E$11,tblJTL[[#This Row],[経過秒]]&lt;'17_分析サンプル'!$E$12),1,0)</f>
        <v>1</v>
      </c>
    </row>
    <row r="1205" spans="2:24" ht="14.4" x14ac:dyDescent="0.3">
      <c r="B1205" s="57">
        <v>1790816708696</v>
      </c>
      <c r="C1205" s="58">
        <v>985</v>
      </c>
      <c r="D1205" s="59" t="s">
        <v>1677</v>
      </c>
      <c r="E1205" s="59" t="s">
        <v>3579</v>
      </c>
      <c r="F1205" s="59" t="s">
        <v>3580</v>
      </c>
      <c r="G1205" s="59" t="s">
        <v>3587</v>
      </c>
      <c r="H1205" s="59" t="s">
        <v>2281</v>
      </c>
      <c r="I1205" s="59" t="b">
        <v>1</v>
      </c>
      <c r="J1205" s="59"/>
      <c r="K1205" s="58">
        <v>438</v>
      </c>
      <c r="L1205" s="58">
        <v>1478</v>
      </c>
      <c r="M1205" s="59">
        <v>10</v>
      </c>
      <c r="N1205" s="59">
        <v>10</v>
      </c>
      <c r="O1205" s="59" t="s">
        <v>3581</v>
      </c>
      <c r="P1205" s="58">
        <v>977</v>
      </c>
      <c r="Q1205" s="59">
        <v>0</v>
      </c>
      <c r="R1205" s="59">
        <v>0</v>
      </c>
      <c r="S1205" s="60">
        <f>tblJTL[[#This Row],[timeStamp]]/86400000+DATE(1970,1,1)+TIME(9,0,0)</f>
        <v>46296.420239537038</v>
      </c>
      <c r="T1205" s="57">
        <f>tblJTL[[#This Row],[timeStamp]]+tblJTL[[#This Row],[elapsed]]</f>
        <v>1790816709681</v>
      </c>
      <c r="U1205" s="61">
        <f>(tblJTL[[#This Row],[timeStamp]]-'17_分析サンプル'!$E$18)/1000</f>
        <v>308.51600000000002</v>
      </c>
      <c r="V1205" s="57">
        <f>INT(tblJTL[[#This Row],[経過秒]]/60)</f>
        <v>5</v>
      </c>
      <c r="W1205" s="57">
        <f>IF(OR(tblJTL[[#This Row],[success]]=FALSE,tblJTL[[#This Row],[success]]="false"),1,0)</f>
        <v>0</v>
      </c>
      <c r="X1205" s="57">
        <f>IF(AND(tblJTL[[#This Row],[経過秒]]&gt;='17_分析サンプル'!$E$11,tblJTL[[#This Row],[経過秒]]&lt;'17_分析サンプル'!$E$12),1,0)</f>
        <v>1</v>
      </c>
    </row>
    <row r="1206" spans="2:24" ht="14.4" x14ac:dyDescent="0.3">
      <c r="B1206" s="57">
        <v>1790816706400</v>
      </c>
      <c r="C1206" s="58">
        <v>3642</v>
      </c>
      <c r="D1206" s="59" t="s">
        <v>1677</v>
      </c>
      <c r="E1206" s="59" t="s">
        <v>3579</v>
      </c>
      <c r="F1206" s="59" t="s">
        <v>3580</v>
      </c>
      <c r="G1206" s="59" t="s">
        <v>3584</v>
      </c>
      <c r="H1206" s="59" t="s">
        <v>2281</v>
      </c>
      <c r="I1206" s="59" t="b">
        <v>1</v>
      </c>
      <c r="J1206" s="59"/>
      <c r="K1206" s="58">
        <v>431</v>
      </c>
      <c r="L1206" s="58">
        <v>1478</v>
      </c>
      <c r="M1206" s="59">
        <v>10</v>
      </c>
      <c r="N1206" s="59">
        <v>10</v>
      </c>
      <c r="O1206" s="59" t="s">
        <v>3581</v>
      </c>
      <c r="P1206" s="58">
        <v>3635</v>
      </c>
      <c r="Q1206" s="59">
        <v>0</v>
      </c>
      <c r="R1206" s="59">
        <v>0</v>
      </c>
      <c r="S1206" s="60">
        <f>tblJTL[[#This Row],[timeStamp]]/86400000+DATE(1970,1,1)+TIME(9,0,0)</f>
        <v>46296.420212962963</v>
      </c>
      <c r="T1206" s="57">
        <f>tblJTL[[#This Row],[timeStamp]]+tblJTL[[#This Row],[elapsed]]</f>
        <v>1790816710042</v>
      </c>
      <c r="U1206" s="61">
        <f>(tblJTL[[#This Row],[timeStamp]]-'17_分析サンプル'!$E$18)/1000</f>
        <v>306.22000000000003</v>
      </c>
      <c r="V1206" s="57">
        <f>INT(tblJTL[[#This Row],[経過秒]]/60)</f>
        <v>5</v>
      </c>
      <c r="W1206" s="57">
        <f>IF(OR(tblJTL[[#This Row],[success]]=FALSE,tblJTL[[#This Row],[success]]="false"),1,0)</f>
        <v>0</v>
      </c>
      <c r="X1206" s="57">
        <f>IF(AND(tblJTL[[#This Row],[経過秒]]&gt;='17_分析サンプル'!$E$11,tblJTL[[#This Row],[経過秒]]&lt;'17_分析サンプル'!$E$12),1,0)</f>
        <v>1</v>
      </c>
    </row>
    <row r="1207" spans="2:24" ht="14.4" x14ac:dyDescent="0.3">
      <c r="B1207" s="57">
        <v>1790816710041</v>
      </c>
      <c r="C1207" s="58">
        <v>436</v>
      </c>
      <c r="D1207" s="59" t="s">
        <v>1658</v>
      </c>
      <c r="E1207" s="59" t="s">
        <v>1577</v>
      </c>
      <c r="F1207" s="59" t="s">
        <v>2275</v>
      </c>
      <c r="G1207" s="59" t="s">
        <v>3588</v>
      </c>
      <c r="H1207" s="59" t="s">
        <v>2281</v>
      </c>
      <c r="I1207" s="59" t="b">
        <v>1</v>
      </c>
      <c r="J1207" s="59"/>
      <c r="K1207" s="58">
        <v>1886</v>
      </c>
      <c r="L1207" s="58">
        <v>1342</v>
      </c>
      <c r="M1207" s="59">
        <v>10</v>
      </c>
      <c r="N1207" s="59">
        <v>10</v>
      </c>
      <c r="O1207" s="59" t="s">
        <v>3578</v>
      </c>
      <c r="P1207" s="58">
        <v>432</v>
      </c>
      <c r="Q1207" s="59">
        <v>0</v>
      </c>
      <c r="R1207" s="59">
        <v>0</v>
      </c>
      <c r="S1207" s="60">
        <f>tblJTL[[#This Row],[timeStamp]]/86400000+DATE(1970,1,1)+TIME(9,0,0)</f>
        <v>46296.420255104167</v>
      </c>
      <c r="T1207" s="57">
        <f>tblJTL[[#This Row],[timeStamp]]+tblJTL[[#This Row],[elapsed]]</f>
        <v>1790816710477</v>
      </c>
      <c r="U1207" s="61">
        <f>(tblJTL[[#This Row],[timeStamp]]-'17_分析サンプル'!$E$18)/1000</f>
        <v>309.86099999999999</v>
      </c>
      <c r="V1207" s="57">
        <f>INT(tblJTL[[#This Row],[経過秒]]/60)</f>
        <v>5</v>
      </c>
      <c r="W1207" s="57">
        <f>IF(OR(tblJTL[[#This Row],[success]]=FALSE,tblJTL[[#This Row],[success]]="false"),1,0)</f>
        <v>0</v>
      </c>
      <c r="X1207" s="57">
        <f>IF(AND(tblJTL[[#This Row],[経過秒]]&gt;='17_分析サンプル'!$E$11,tblJTL[[#This Row],[経過秒]]&lt;'17_分析サンプル'!$E$12),1,0)</f>
        <v>1</v>
      </c>
    </row>
    <row r="1208" spans="2:24" ht="14.4" x14ac:dyDescent="0.3">
      <c r="B1208" s="57">
        <v>1790816710443</v>
      </c>
      <c r="C1208" s="58">
        <v>272</v>
      </c>
      <c r="D1208" s="59" t="s">
        <v>1658</v>
      </c>
      <c r="E1208" s="59" t="s">
        <v>1577</v>
      </c>
      <c r="F1208" s="59" t="s">
        <v>2275</v>
      </c>
      <c r="G1208" s="59" t="s">
        <v>3585</v>
      </c>
      <c r="H1208" s="59" t="s">
        <v>2281</v>
      </c>
      <c r="I1208" s="59" t="b">
        <v>1</v>
      </c>
      <c r="J1208" s="59"/>
      <c r="K1208" s="58">
        <v>1896</v>
      </c>
      <c r="L1208" s="58">
        <v>1342</v>
      </c>
      <c r="M1208" s="59">
        <v>10</v>
      </c>
      <c r="N1208" s="59">
        <v>10</v>
      </c>
      <c r="O1208" s="59" t="s">
        <v>3578</v>
      </c>
      <c r="P1208" s="58">
        <v>268</v>
      </c>
      <c r="Q1208" s="59">
        <v>0</v>
      </c>
      <c r="R1208" s="59">
        <v>0</v>
      </c>
      <c r="S1208" s="60">
        <f>tblJTL[[#This Row],[timeStamp]]/86400000+DATE(1970,1,1)+TIME(9,0,0)</f>
        <v>46296.420259756946</v>
      </c>
      <c r="T1208" s="57">
        <f>tblJTL[[#This Row],[timeStamp]]+tblJTL[[#This Row],[elapsed]]</f>
        <v>1790816710715</v>
      </c>
      <c r="U1208" s="61">
        <f>(tblJTL[[#This Row],[timeStamp]]-'17_分析サンプル'!$E$18)/1000</f>
        <v>310.26299999999998</v>
      </c>
      <c r="V1208" s="57">
        <f>INT(tblJTL[[#This Row],[経過秒]]/60)</f>
        <v>5</v>
      </c>
      <c r="W1208" s="57">
        <f>IF(OR(tblJTL[[#This Row],[success]]=FALSE,tblJTL[[#This Row],[success]]="false"),1,0)</f>
        <v>0</v>
      </c>
      <c r="X1208" s="57">
        <f>IF(AND(tblJTL[[#This Row],[経過秒]]&gt;='17_分析サンプル'!$E$11,tblJTL[[#This Row],[経過秒]]&lt;'17_分析サンプル'!$E$12),1,0)</f>
        <v>1</v>
      </c>
    </row>
    <row r="1209" spans="2:24" ht="14.4" x14ac:dyDescent="0.3">
      <c r="B1209" s="57">
        <v>1790816711215</v>
      </c>
      <c r="C1209" s="58">
        <v>118</v>
      </c>
      <c r="D1209" s="59" t="s">
        <v>1658</v>
      </c>
      <c r="E1209" s="59" t="s">
        <v>1577</v>
      </c>
      <c r="F1209" s="59" t="s">
        <v>2275</v>
      </c>
      <c r="G1209" s="59" t="s">
        <v>3577</v>
      </c>
      <c r="H1209" s="59" t="s">
        <v>2281</v>
      </c>
      <c r="I1209" s="59" t="b">
        <v>1</v>
      </c>
      <c r="J1209" s="59"/>
      <c r="K1209" s="58">
        <v>1876</v>
      </c>
      <c r="L1209" s="58">
        <v>1342</v>
      </c>
      <c r="M1209" s="59">
        <v>10</v>
      </c>
      <c r="N1209" s="59">
        <v>10</v>
      </c>
      <c r="O1209" s="59" t="s">
        <v>3578</v>
      </c>
      <c r="P1209" s="58">
        <v>114</v>
      </c>
      <c r="Q1209" s="59">
        <v>0</v>
      </c>
      <c r="R1209" s="59">
        <v>0</v>
      </c>
      <c r="S1209" s="60">
        <f>tblJTL[[#This Row],[timeStamp]]/86400000+DATE(1970,1,1)+TIME(9,0,0)</f>
        <v>46296.420268692134</v>
      </c>
      <c r="T1209" s="57">
        <f>tblJTL[[#This Row],[timeStamp]]+tblJTL[[#This Row],[elapsed]]</f>
        <v>1790816711333</v>
      </c>
      <c r="U1209" s="61">
        <f>(tblJTL[[#This Row],[timeStamp]]-'17_分析サンプル'!$E$18)/1000</f>
        <v>311.03500000000003</v>
      </c>
      <c r="V1209" s="57">
        <f>INT(tblJTL[[#This Row],[経過秒]]/60)</f>
        <v>5</v>
      </c>
      <c r="W1209" s="57">
        <f>IF(OR(tblJTL[[#This Row],[success]]=FALSE,tblJTL[[#This Row],[success]]="false"),1,0)</f>
        <v>0</v>
      </c>
      <c r="X1209" s="57">
        <f>IF(AND(tblJTL[[#This Row],[経過秒]]&gt;='17_分析サンプル'!$E$11,tblJTL[[#This Row],[経過秒]]&lt;'17_分析サンプル'!$E$12),1,0)</f>
        <v>1</v>
      </c>
    </row>
    <row r="1210" spans="2:24" ht="14.4" x14ac:dyDescent="0.3">
      <c r="B1210" s="57">
        <v>1790816711480</v>
      </c>
      <c r="C1210" s="58">
        <v>219</v>
      </c>
      <c r="D1210" s="59" t="s">
        <v>1658</v>
      </c>
      <c r="E1210" s="59" t="s">
        <v>1577</v>
      </c>
      <c r="F1210" s="59" t="s">
        <v>2275</v>
      </c>
      <c r="G1210" s="59" t="s">
        <v>3589</v>
      </c>
      <c r="H1210" s="59" t="s">
        <v>2281</v>
      </c>
      <c r="I1210" s="59" t="b">
        <v>1</v>
      </c>
      <c r="J1210" s="59"/>
      <c r="K1210" s="58">
        <v>1821</v>
      </c>
      <c r="L1210" s="58">
        <v>1342</v>
      </c>
      <c r="M1210" s="59">
        <v>10</v>
      </c>
      <c r="N1210" s="59">
        <v>10</v>
      </c>
      <c r="O1210" s="59" t="s">
        <v>3578</v>
      </c>
      <c r="P1210" s="58">
        <v>211</v>
      </c>
      <c r="Q1210" s="59">
        <v>0</v>
      </c>
      <c r="R1210" s="59">
        <v>0</v>
      </c>
      <c r="S1210" s="60">
        <f>tblJTL[[#This Row],[timeStamp]]/86400000+DATE(1970,1,1)+TIME(9,0,0)</f>
        <v>46296.420271759256</v>
      </c>
      <c r="T1210" s="57">
        <f>tblJTL[[#This Row],[timeStamp]]+tblJTL[[#This Row],[elapsed]]</f>
        <v>1790816711699</v>
      </c>
      <c r="U1210" s="61">
        <f>(tblJTL[[#This Row],[timeStamp]]-'17_分析サンプル'!$E$18)/1000</f>
        <v>311.3</v>
      </c>
      <c r="V1210" s="57">
        <f>INT(tblJTL[[#This Row],[経過秒]]/60)</f>
        <v>5</v>
      </c>
      <c r="W1210" s="57">
        <f>IF(OR(tblJTL[[#This Row],[success]]=FALSE,tblJTL[[#This Row],[success]]="false"),1,0)</f>
        <v>0</v>
      </c>
      <c r="X1210" s="57">
        <f>IF(AND(tblJTL[[#This Row],[経過秒]]&gt;='17_分析サンプル'!$E$11,tblJTL[[#This Row],[経過秒]]&lt;'17_分析サンプル'!$E$12),1,0)</f>
        <v>1</v>
      </c>
    </row>
    <row r="1211" spans="2:24" ht="14.4" x14ac:dyDescent="0.3">
      <c r="B1211" s="57">
        <v>1790816711684</v>
      </c>
      <c r="C1211" s="58">
        <v>153</v>
      </c>
      <c r="D1211" s="59" t="s">
        <v>1658</v>
      </c>
      <c r="E1211" s="59" t="s">
        <v>1577</v>
      </c>
      <c r="F1211" s="59" t="s">
        <v>2275</v>
      </c>
      <c r="G1211" s="59" t="s">
        <v>3584</v>
      </c>
      <c r="H1211" s="59" t="s">
        <v>2281</v>
      </c>
      <c r="I1211" s="59" t="b">
        <v>1</v>
      </c>
      <c r="J1211" s="59"/>
      <c r="K1211" s="58">
        <v>1861</v>
      </c>
      <c r="L1211" s="58">
        <v>1342</v>
      </c>
      <c r="M1211" s="59">
        <v>10</v>
      </c>
      <c r="N1211" s="59">
        <v>10</v>
      </c>
      <c r="O1211" s="59" t="s">
        <v>3578</v>
      </c>
      <c r="P1211" s="58">
        <v>150</v>
      </c>
      <c r="Q1211" s="59">
        <v>0</v>
      </c>
      <c r="R1211" s="59">
        <v>0</v>
      </c>
      <c r="S1211" s="60">
        <f>tblJTL[[#This Row],[timeStamp]]/86400000+DATE(1970,1,1)+TIME(9,0,0)</f>
        <v>46296.42027412037</v>
      </c>
      <c r="T1211" s="57">
        <f>tblJTL[[#This Row],[timeStamp]]+tblJTL[[#This Row],[elapsed]]</f>
        <v>1790816711837</v>
      </c>
      <c r="U1211" s="61">
        <f>(tblJTL[[#This Row],[timeStamp]]-'17_分析サンプル'!$E$18)/1000</f>
        <v>311.50400000000002</v>
      </c>
      <c r="V1211" s="57">
        <f>INT(tblJTL[[#This Row],[経過秒]]/60)</f>
        <v>5</v>
      </c>
      <c r="W1211" s="57">
        <f>IF(OR(tblJTL[[#This Row],[success]]=FALSE,tblJTL[[#This Row],[success]]="false"),1,0)</f>
        <v>0</v>
      </c>
      <c r="X1211" s="57">
        <f>IF(AND(tblJTL[[#This Row],[経過秒]]&gt;='17_分析サンプル'!$E$11,tblJTL[[#This Row],[経過秒]]&lt;'17_分析サンプル'!$E$12),1,0)</f>
        <v>1</v>
      </c>
    </row>
    <row r="1212" spans="2:24" ht="14.4" x14ac:dyDescent="0.3">
      <c r="B1212" s="57">
        <v>1790816709822</v>
      </c>
      <c r="C1212" s="58">
        <v>2860</v>
      </c>
      <c r="D1212" s="59" t="s">
        <v>1677</v>
      </c>
      <c r="E1212" s="59" t="s">
        <v>3579</v>
      </c>
      <c r="F1212" s="59" t="s">
        <v>3580</v>
      </c>
      <c r="G1212" s="59" t="s">
        <v>3583</v>
      </c>
      <c r="H1212" s="59" t="s">
        <v>2281</v>
      </c>
      <c r="I1212" s="59" t="b">
        <v>1</v>
      </c>
      <c r="J1212" s="59"/>
      <c r="K1212" s="58">
        <v>419</v>
      </c>
      <c r="L1212" s="58">
        <v>1478</v>
      </c>
      <c r="M1212" s="59">
        <v>10</v>
      </c>
      <c r="N1212" s="59">
        <v>10</v>
      </c>
      <c r="O1212" s="59" t="s">
        <v>3581</v>
      </c>
      <c r="P1212" s="58">
        <v>2853</v>
      </c>
      <c r="Q1212" s="59">
        <v>0</v>
      </c>
      <c r="R1212" s="59">
        <v>0</v>
      </c>
      <c r="S1212" s="60">
        <f>tblJTL[[#This Row],[timeStamp]]/86400000+DATE(1970,1,1)+TIME(9,0,0)</f>
        <v>46296.420252569442</v>
      </c>
      <c r="T1212" s="57">
        <f>tblJTL[[#This Row],[timeStamp]]+tblJTL[[#This Row],[elapsed]]</f>
        <v>1790816712682</v>
      </c>
      <c r="U1212" s="61">
        <f>(tblJTL[[#This Row],[timeStamp]]-'17_分析サンプル'!$E$18)/1000</f>
        <v>309.642</v>
      </c>
      <c r="V1212" s="57">
        <f>INT(tblJTL[[#This Row],[経過秒]]/60)</f>
        <v>5</v>
      </c>
      <c r="W1212" s="57">
        <f>IF(OR(tblJTL[[#This Row],[success]]=FALSE,tblJTL[[#This Row],[success]]="false"),1,0)</f>
        <v>0</v>
      </c>
      <c r="X1212" s="57">
        <f>IF(AND(tblJTL[[#This Row],[経過秒]]&gt;='17_分析サンプル'!$E$11,tblJTL[[#This Row],[経過秒]]&lt;'17_分析サンプル'!$E$12),1,0)</f>
        <v>1</v>
      </c>
    </row>
    <row r="1213" spans="2:24" ht="14.4" x14ac:dyDescent="0.3">
      <c r="B1213" s="57">
        <v>1790816712508</v>
      </c>
      <c r="C1213" s="58">
        <v>269</v>
      </c>
      <c r="D1213" s="59" t="s">
        <v>1658</v>
      </c>
      <c r="E1213" s="59" t="s">
        <v>1577</v>
      </c>
      <c r="F1213" s="59" t="s">
        <v>2275</v>
      </c>
      <c r="G1213" s="59" t="s">
        <v>3587</v>
      </c>
      <c r="H1213" s="59" t="s">
        <v>2281</v>
      </c>
      <c r="I1213" s="59" t="b">
        <v>1</v>
      </c>
      <c r="J1213" s="59"/>
      <c r="K1213" s="58">
        <v>1820</v>
      </c>
      <c r="L1213" s="58">
        <v>1342</v>
      </c>
      <c r="M1213" s="59">
        <v>10</v>
      </c>
      <c r="N1213" s="59">
        <v>10</v>
      </c>
      <c r="O1213" s="59" t="s">
        <v>3578</v>
      </c>
      <c r="P1213" s="58">
        <v>267</v>
      </c>
      <c r="Q1213" s="59">
        <v>0</v>
      </c>
      <c r="R1213" s="59">
        <v>0</v>
      </c>
      <c r="S1213" s="60">
        <f>tblJTL[[#This Row],[timeStamp]]/86400000+DATE(1970,1,1)+TIME(9,0,0)</f>
        <v>46296.420283657411</v>
      </c>
      <c r="T1213" s="57">
        <f>tblJTL[[#This Row],[timeStamp]]+tblJTL[[#This Row],[elapsed]]</f>
        <v>1790816712777</v>
      </c>
      <c r="U1213" s="61">
        <f>(tblJTL[[#This Row],[timeStamp]]-'17_分析サンプル'!$E$18)/1000</f>
        <v>312.32799999999997</v>
      </c>
      <c r="V1213" s="57">
        <f>INT(tblJTL[[#This Row],[経過秒]]/60)</f>
        <v>5</v>
      </c>
      <c r="W1213" s="57">
        <f>IF(OR(tblJTL[[#This Row],[success]]=FALSE,tblJTL[[#This Row],[success]]="false"),1,0)</f>
        <v>0</v>
      </c>
      <c r="X1213" s="57">
        <f>IF(AND(tblJTL[[#This Row],[経過秒]]&gt;='17_分析サンプル'!$E$11,tblJTL[[#This Row],[経過秒]]&lt;'17_分析サンプル'!$E$12),1,0)</f>
        <v>1</v>
      </c>
    </row>
    <row r="1214" spans="2:24" ht="14.4" x14ac:dyDescent="0.3">
      <c r="B1214" s="57">
        <v>1790816711949</v>
      </c>
      <c r="C1214" s="58">
        <v>1251</v>
      </c>
      <c r="D1214" s="59" t="s">
        <v>1677</v>
      </c>
      <c r="E1214" s="59" t="s">
        <v>3579</v>
      </c>
      <c r="F1214" s="59" t="s">
        <v>3580</v>
      </c>
      <c r="G1214" s="59" t="s">
        <v>3585</v>
      </c>
      <c r="H1214" s="59" t="s">
        <v>2281</v>
      </c>
      <c r="I1214" s="59" t="b">
        <v>1</v>
      </c>
      <c r="J1214" s="59"/>
      <c r="K1214" s="58">
        <v>426</v>
      </c>
      <c r="L1214" s="58">
        <v>1478</v>
      </c>
      <c r="M1214" s="59">
        <v>10</v>
      </c>
      <c r="N1214" s="59">
        <v>10</v>
      </c>
      <c r="O1214" s="59" t="s">
        <v>3581</v>
      </c>
      <c r="P1214" s="58">
        <v>1245</v>
      </c>
      <c r="Q1214" s="59">
        <v>0</v>
      </c>
      <c r="R1214" s="59">
        <v>0</v>
      </c>
      <c r="S1214" s="60">
        <f>tblJTL[[#This Row],[timeStamp]]/86400000+DATE(1970,1,1)+TIME(9,0,0)</f>
        <v>46296.420277187499</v>
      </c>
      <c r="T1214" s="57">
        <f>tblJTL[[#This Row],[timeStamp]]+tblJTL[[#This Row],[elapsed]]</f>
        <v>1790816713200</v>
      </c>
      <c r="U1214" s="61">
        <f>(tblJTL[[#This Row],[timeStamp]]-'17_分析サンプル'!$E$18)/1000</f>
        <v>311.76900000000001</v>
      </c>
      <c r="V1214" s="57">
        <f>INT(tblJTL[[#This Row],[経過秒]]/60)</f>
        <v>5</v>
      </c>
      <c r="W1214" s="57">
        <f>IF(OR(tblJTL[[#This Row],[success]]=FALSE,tblJTL[[#This Row],[success]]="false"),1,0)</f>
        <v>0</v>
      </c>
      <c r="X1214" s="57">
        <f>IF(AND(tblJTL[[#This Row],[経過秒]]&gt;='17_分析サンプル'!$E$11,tblJTL[[#This Row],[経過秒]]&lt;'17_分析サンプル'!$E$12),1,0)</f>
        <v>1</v>
      </c>
    </row>
    <row r="1215" spans="2:24" ht="14.4" x14ac:dyDescent="0.3">
      <c r="B1215" s="57">
        <v>1790816711611</v>
      </c>
      <c r="C1215" s="58">
        <v>1739</v>
      </c>
      <c r="D1215" s="59" t="s">
        <v>1677</v>
      </c>
      <c r="E1215" s="59" t="s">
        <v>3579</v>
      </c>
      <c r="F1215" s="59" t="s">
        <v>3580</v>
      </c>
      <c r="G1215" s="59" t="s">
        <v>3582</v>
      </c>
      <c r="H1215" s="59" t="s">
        <v>2281</v>
      </c>
      <c r="I1215" s="59" t="b">
        <v>1</v>
      </c>
      <c r="J1215" s="59"/>
      <c r="K1215" s="58">
        <v>419</v>
      </c>
      <c r="L1215" s="58">
        <v>1478</v>
      </c>
      <c r="M1215" s="59">
        <v>10</v>
      </c>
      <c r="N1215" s="59">
        <v>10</v>
      </c>
      <c r="O1215" s="59" t="s">
        <v>3581</v>
      </c>
      <c r="P1215" s="58">
        <v>1733</v>
      </c>
      <c r="Q1215" s="59">
        <v>0</v>
      </c>
      <c r="R1215" s="59">
        <v>0</v>
      </c>
      <c r="S1215" s="60">
        <f>tblJTL[[#This Row],[timeStamp]]/86400000+DATE(1970,1,1)+TIME(9,0,0)</f>
        <v>46296.420273275464</v>
      </c>
      <c r="T1215" s="57">
        <f>tblJTL[[#This Row],[timeStamp]]+tblJTL[[#This Row],[elapsed]]</f>
        <v>1790816713350</v>
      </c>
      <c r="U1215" s="61">
        <f>(tblJTL[[#This Row],[timeStamp]]-'17_分析サンプル'!$E$18)/1000</f>
        <v>311.43099999999998</v>
      </c>
      <c r="V1215" s="57">
        <f>INT(tblJTL[[#This Row],[経過秒]]/60)</f>
        <v>5</v>
      </c>
      <c r="W1215" s="57">
        <f>IF(OR(tblJTL[[#This Row],[success]]=FALSE,tblJTL[[#This Row],[success]]="false"),1,0)</f>
        <v>0</v>
      </c>
      <c r="X1215" s="57">
        <f>IF(AND(tblJTL[[#This Row],[経過秒]]&gt;='17_分析サンプル'!$E$11,tblJTL[[#This Row],[経過秒]]&lt;'17_分析サンプル'!$E$12),1,0)</f>
        <v>1</v>
      </c>
    </row>
    <row r="1216" spans="2:24" ht="14.4" x14ac:dyDescent="0.3">
      <c r="B1216" s="57">
        <v>1790816713869</v>
      </c>
      <c r="C1216" s="58">
        <v>93</v>
      </c>
      <c r="D1216" s="59" t="s">
        <v>1658</v>
      </c>
      <c r="E1216" s="59" t="s">
        <v>1577</v>
      </c>
      <c r="F1216" s="59" t="s">
        <v>2275</v>
      </c>
      <c r="G1216" s="59" t="s">
        <v>3583</v>
      </c>
      <c r="H1216" s="59" t="s">
        <v>2281</v>
      </c>
      <c r="I1216" s="59" t="b">
        <v>1</v>
      </c>
      <c r="J1216" s="59"/>
      <c r="K1216" s="58">
        <v>1827</v>
      </c>
      <c r="L1216" s="58">
        <v>1342</v>
      </c>
      <c r="M1216" s="59">
        <v>10</v>
      </c>
      <c r="N1216" s="59">
        <v>10</v>
      </c>
      <c r="O1216" s="59" t="s">
        <v>3578</v>
      </c>
      <c r="P1216" s="58">
        <v>91</v>
      </c>
      <c r="Q1216" s="59">
        <v>0</v>
      </c>
      <c r="R1216" s="59">
        <v>0</v>
      </c>
      <c r="S1216" s="60">
        <f>tblJTL[[#This Row],[timeStamp]]/86400000+DATE(1970,1,1)+TIME(9,0,0)</f>
        <v>46296.420299409721</v>
      </c>
      <c r="T1216" s="57">
        <f>tblJTL[[#This Row],[timeStamp]]+tblJTL[[#This Row],[elapsed]]</f>
        <v>1790816713962</v>
      </c>
      <c r="U1216" s="61">
        <f>(tblJTL[[#This Row],[timeStamp]]-'17_分析サンプル'!$E$18)/1000</f>
        <v>313.68900000000002</v>
      </c>
      <c r="V1216" s="57">
        <f>INT(tblJTL[[#This Row],[経過秒]]/60)</f>
        <v>5</v>
      </c>
      <c r="W1216" s="57">
        <f>IF(OR(tblJTL[[#This Row],[success]]=FALSE,tblJTL[[#This Row],[success]]="false"),1,0)</f>
        <v>0</v>
      </c>
      <c r="X1216" s="57">
        <f>IF(AND(tblJTL[[#This Row],[経過秒]]&gt;='17_分析サンプル'!$E$11,tblJTL[[#This Row],[経過秒]]&lt;'17_分析サンプル'!$E$12),1,0)</f>
        <v>1</v>
      </c>
    </row>
    <row r="1217" spans="2:24" ht="14.4" x14ac:dyDescent="0.3">
      <c r="B1217" s="57">
        <v>1790816712549</v>
      </c>
      <c r="C1217" s="58">
        <v>1547</v>
      </c>
      <c r="D1217" s="59" t="s">
        <v>1677</v>
      </c>
      <c r="E1217" s="59" t="s">
        <v>3579</v>
      </c>
      <c r="F1217" s="59" t="s">
        <v>3580</v>
      </c>
      <c r="G1217" s="59" t="s">
        <v>3588</v>
      </c>
      <c r="H1217" s="59" t="s">
        <v>2281</v>
      </c>
      <c r="I1217" s="59" t="b">
        <v>1</v>
      </c>
      <c r="J1217" s="59"/>
      <c r="K1217" s="58">
        <v>431</v>
      </c>
      <c r="L1217" s="58">
        <v>1478</v>
      </c>
      <c r="M1217" s="59">
        <v>10</v>
      </c>
      <c r="N1217" s="59">
        <v>10</v>
      </c>
      <c r="O1217" s="59" t="s">
        <v>3581</v>
      </c>
      <c r="P1217" s="58">
        <v>1539</v>
      </c>
      <c r="Q1217" s="59">
        <v>0</v>
      </c>
      <c r="R1217" s="59">
        <v>0</v>
      </c>
      <c r="S1217" s="60">
        <f>tblJTL[[#This Row],[timeStamp]]/86400000+DATE(1970,1,1)+TIME(9,0,0)</f>
        <v>46296.420284131949</v>
      </c>
      <c r="T1217" s="57">
        <f>tblJTL[[#This Row],[timeStamp]]+tblJTL[[#This Row],[elapsed]]</f>
        <v>1790816714096</v>
      </c>
      <c r="U1217" s="61">
        <f>(tblJTL[[#This Row],[timeStamp]]-'17_分析サンプル'!$E$18)/1000</f>
        <v>312.36900000000003</v>
      </c>
      <c r="V1217" s="57">
        <f>INT(tblJTL[[#This Row],[経過秒]]/60)</f>
        <v>5</v>
      </c>
      <c r="W1217" s="57">
        <f>IF(OR(tblJTL[[#This Row],[success]]=FALSE,tblJTL[[#This Row],[success]]="false"),1,0)</f>
        <v>0</v>
      </c>
      <c r="X1217" s="57">
        <f>IF(AND(tblJTL[[#This Row],[経過秒]]&gt;='17_分析サンプル'!$E$11,tblJTL[[#This Row],[経過秒]]&lt;'17_分析サンプル'!$E$12),1,0)</f>
        <v>1</v>
      </c>
    </row>
    <row r="1218" spans="2:24" ht="14.4" x14ac:dyDescent="0.3">
      <c r="B1218" s="57">
        <v>1790816713694</v>
      </c>
      <c r="C1218" s="58">
        <v>526</v>
      </c>
      <c r="D1218" s="59" t="s">
        <v>1677</v>
      </c>
      <c r="E1218" s="59" t="s">
        <v>3579</v>
      </c>
      <c r="F1218" s="59" t="s">
        <v>3580</v>
      </c>
      <c r="G1218" s="59" t="s">
        <v>3589</v>
      </c>
      <c r="H1218" s="59" t="s">
        <v>2281</v>
      </c>
      <c r="I1218" s="59" t="b">
        <v>1</v>
      </c>
      <c r="J1218" s="59"/>
      <c r="K1218" s="58">
        <v>425</v>
      </c>
      <c r="L1218" s="58">
        <v>1478</v>
      </c>
      <c r="M1218" s="59">
        <v>10</v>
      </c>
      <c r="N1218" s="59">
        <v>10</v>
      </c>
      <c r="O1218" s="59" t="s">
        <v>3581</v>
      </c>
      <c r="P1218" s="58">
        <v>522</v>
      </c>
      <c r="Q1218" s="59">
        <v>0</v>
      </c>
      <c r="R1218" s="59">
        <v>0</v>
      </c>
      <c r="S1218" s="60">
        <f>tblJTL[[#This Row],[timeStamp]]/86400000+DATE(1970,1,1)+TIME(9,0,0)</f>
        <v>46296.420297384262</v>
      </c>
      <c r="T1218" s="57">
        <f>tblJTL[[#This Row],[timeStamp]]+tblJTL[[#This Row],[elapsed]]</f>
        <v>1790816714220</v>
      </c>
      <c r="U1218" s="61">
        <f>(tblJTL[[#This Row],[timeStamp]]-'17_分析サンプル'!$E$18)/1000</f>
        <v>313.51400000000001</v>
      </c>
      <c r="V1218" s="57">
        <f>INT(tblJTL[[#This Row],[経過秒]]/60)</f>
        <v>5</v>
      </c>
      <c r="W1218" s="57">
        <f>IF(OR(tblJTL[[#This Row],[success]]=FALSE,tblJTL[[#This Row],[success]]="false"),1,0)</f>
        <v>0</v>
      </c>
      <c r="X1218" s="57">
        <f>IF(AND(tblJTL[[#This Row],[経過秒]]&gt;='17_分析サンプル'!$E$11,tblJTL[[#This Row],[経過秒]]&lt;'17_分析サンプル'!$E$12),1,0)</f>
        <v>1</v>
      </c>
    </row>
    <row r="1219" spans="2:24" ht="14.4" x14ac:dyDescent="0.3">
      <c r="B1219" s="57">
        <v>1790816713472</v>
      </c>
      <c r="C1219" s="58">
        <v>1584</v>
      </c>
      <c r="D1219" s="59" t="s">
        <v>1677</v>
      </c>
      <c r="E1219" s="59" t="s">
        <v>3579</v>
      </c>
      <c r="F1219" s="59" t="s">
        <v>3580</v>
      </c>
      <c r="G1219" s="59" t="s">
        <v>3584</v>
      </c>
      <c r="H1219" s="59" t="s">
        <v>2281</v>
      </c>
      <c r="I1219" s="59" t="b">
        <v>1</v>
      </c>
      <c r="J1219" s="59"/>
      <c r="K1219" s="58">
        <v>436</v>
      </c>
      <c r="L1219" s="58">
        <v>1478</v>
      </c>
      <c r="M1219" s="59">
        <v>10</v>
      </c>
      <c r="N1219" s="59">
        <v>10</v>
      </c>
      <c r="O1219" s="59" t="s">
        <v>3581</v>
      </c>
      <c r="P1219" s="58">
        <v>1577</v>
      </c>
      <c r="Q1219" s="59">
        <v>0</v>
      </c>
      <c r="R1219" s="59">
        <v>0</v>
      </c>
      <c r="S1219" s="60">
        <f>tblJTL[[#This Row],[timeStamp]]/86400000+DATE(1970,1,1)+TIME(9,0,0)</f>
        <v>46296.420294814816</v>
      </c>
      <c r="T1219" s="57">
        <f>tblJTL[[#This Row],[timeStamp]]+tblJTL[[#This Row],[elapsed]]</f>
        <v>1790816715056</v>
      </c>
      <c r="U1219" s="61">
        <f>(tblJTL[[#This Row],[timeStamp]]-'17_分析サンプル'!$E$18)/1000</f>
        <v>313.29199999999997</v>
      </c>
      <c r="V1219" s="57">
        <f>INT(tblJTL[[#This Row],[経過秒]]/60)</f>
        <v>5</v>
      </c>
      <c r="W1219" s="57">
        <f>IF(OR(tblJTL[[#This Row],[success]]=FALSE,tblJTL[[#This Row],[success]]="false"),1,0)</f>
        <v>0</v>
      </c>
      <c r="X1219" s="57">
        <f>IF(AND(tblJTL[[#This Row],[経過秒]]&gt;='17_分析サンプル'!$E$11,tblJTL[[#This Row],[経過秒]]&lt;'17_分析サンプル'!$E$12),1,0)</f>
        <v>1</v>
      </c>
    </row>
    <row r="1220" spans="2:24" ht="14.4" x14ac:dyDescent="0.3">
      <c r="B1220" s="57">
        <v>1790816715270</v>
      </c>
      <c r="C1220" s="58">
        <v>222</v>
      </c>
      <c r="D1220" s="59" t="s">
        <v>1658</v>
      </c>
      <c r="E1220" s="59" t="s">
        <v>1577</v>
      </c>
      <c r="F1220" s="59" t="s">
        <v>2275</v>
      </c>
      <c r="G1220" s="59" t="s">
        <v>3589</v>
      </c>
      <c r="H1220" s="59" t="s">
        <v>2281</v>
      </c>
      <c r="I1220" s="59" t="b">
        <v>1</v>
      </c>
      <c r="J1220" s="59"/>
      <c r="K1220" s="58">
        <v>1890</v>
      </c>
      <c r="L1220" s="58">
        <v>1342</v>
      </c>
      <c r="M1220" s="59">
        <v>10</v>
      </c>
      <c r="N1220" s="59">
        <v>10</v>
      </c>
      <c r="O1220" s="59" t="s">
        <v>3578</v>
      </c>
      <c r="P1220" s="58">
        <v>217</v>
      </c>
      <c r="Q1220" s="59">
        <v>0</v>
      </c>
      <c r="R1220" s="59">
        <v>0</v>
      </c>
      <c r="S1220" s="60">
        <f>tblJTL[[#This Row],[timeStamp]]/86400000+DATE(1970,1,1)+TIME(9,0,0)</f>
        <v>46296.420315625001</v>
      </c>
      <c r="T1220" s="57">
        <f>tblJTL[[#This Row],[timeStamp]]+tblJTL[[#This Row],[elapsed]]</f>
        <v>1790816715492</v>
      </c>
      <c r="U1220" s="61">
        <f>(tblJTL[[#This Row],[timeStamp]]-'17_分析サンプル'!$E$18)/1000</f>
        <v>315.08999999999997</v>
      </c>
      <c r="V1220" s="57">
        <f>INT(tblJTL[[#This Row],[経過秒]]/60)</f>
        <v>5</v>
      </c>
      <c r="W1220" s="57">
        <f>IF(OR(tblJTL[[#This Row],[success]]=FALSE,tblJTL[[#This Row],[success]]="false"),1,0)</f>
        <v>0</v>
      </c>
      <c r="X1220" s="57">
        <f>IF(AND(tblJTL[[#This Row],[経過秒]]&gt;='17_分析サンプル'!$E$11,tblJTL[[#This Row],[経過秒]]&lt;'17_分析サンプル'!$E$12),1,0)</f>
        <v>1</v>
      </c>
    </row>
    <row r="1221" spans="2:24" ht="14.4" x14ac:dyDescent="0.3">
      <c r="B1221" s="57">
        <v>1790816715251</v>
      </c>
      <c r="C1221" s="58">
        <v>268</v>
      </c>
      <c r="D1221" s="59" t="s">
        <v>1658</v>
      </c>
      <c r="E1221" s="59" t="s">
        <v>1577</v>
      </c>
      <c r="F1221" s="59" t="s">
        <v>2275</v>
      </c>
      <c r="G1221" s="59" t="s">
        <v>3582</v>
      </c>
      <c r="H1221" s="59" t="s">
        <v>2281</v>
      </c>
      <c r="I1221" s="59" t="b">
        <v>1</v>
      </c>
      <c r="J1221" s="59"/>
      <c r="K1221" s="58">
        <v>1831</v>
      </c>
      <c r="L1221" s="58">
        <v>1342</v>
      </c>
      <c r="M1221" s="59">
        <v>10</v>
      </c>
      <c r="N1221" s="59">
        <v>10</v>
      </c>
      <c r="O1221" s="59" t="s">
        <v>3578</v>
      </c>
      <c r="P1221" s="58">
        <v>260</v>
      </c>
      <c r="Q1221" s="59">
        <v>0</v>
      </c>
      <c r="R1221" s="59">
        <v>66</v>
      </c>
      <c r="S1221" s="60">
        <f>tblJTL[[#This Row],[timeStamp]]/86400000+DATE(1970,1,1)+TIME(9,0,0)</f>
        <v>46296.420315405092</v>
      </c>
      <c r="T1221" s="57">
        <f>tblJTL[[#This Row],[timeStamp]]+tblJTL[[#This Row],[elapsed]]</f>
        <v>1790816715519</v>
      </c>
      <c r="U1221" s="61">
        <f>(tblJTL[[#This Row],[timeStamp]]-'17_分析サンプル'!$E$18)/1000</f>
        <v>315.07100000000003</v>
      </c>
      <c r="V1221" s="57">
        <f>INT(tblJTL[[#This Row],[経過秒]]/60)</f>
        <v>5</v>
      </c>
      <c r="W1221" s="57">
        <f>IF(OR(tblJTL[[#This Row],[success]]=FALSE,tblJTL[[#This Row],[success]]="false"),1,0)</f>
        <v>0</v>
      </c>
      <c r="X1221" s="57">
        <f>IF(AND(tblJTL[[#This Row],[経過秒]]&gt;='17_分析サンプル'!$E$11,tblJTL[[#This Row],[経過秒]]&lt;'17_分析サンプル'!$E$12),1,0)</f>
        <v>1</v>
      </c>
    </row>
    <row r="1222" spans="2:24" ht="14.4" x14ac:dyDescent="0.3">
      <c r="B1222" s="57">
        <v>1790816714768</v>
      </c>
      <c r="C1222" s="58">
        <v>778</v>
      </c>
      <c r="D1222" s="59" t="s">
        <v>1677</v>
      </c>
      <c r="E1222" s="59" t="s">
        <v>3579</v>
      </c>
      <c r="F1222" s="59" t="s">
        <v>3580</v>
      </c>
      <c r="G1222" s="59" t="s">
        <v>3587</v>
      </c>
      <c r="H1222" s="59" t="s">
        <v>2281</v>
      </c>
      <c r="I1222" s="59" t="b">
        <v>1</v>
      </c>
      <c r="J1222" s="59"/>
      <c r="K1222" s="58">
        <v>434</v>
      </c>
      <c r="L1222" s="58">
        <v>1478</v>
      </c>
      <c r="M1222" s="59">
        <v>10</v>
      </c>
      <c r="N1222" s="59">
        <v>10</v>
      </c>
      <c r="O1222" s="59" t="s">
        <v>3581</v>
      </c>
      <c r="P1222" s="58">
        <v>773</v>
      </c>
      <c r="Q1222" s="59">
        <v>0</v>
      </c>
      <c r="R1222" s="59">
        <v>0</v>
      </c>
      <c r="S1222" s="60">
        <f>tblJTL[[#This Row],[timeStamp]]/86400000+DATE(1970,1,1)+TIME(9,0,0)</f>
        <v>46296.420309814814</v>
      </c>
      <c r="T1222" s="57">
        <f>tblJTL[[#This Row],[timeStamp]]+tblJTL[[#This Row],[elapsed]]</f>
        <v>1790816715546</v>
      </c>
      <c r="U1222" s="61">
        <f>(tblJTL[[#This Row],[timeStamp]]-'17_分析サンプル'!$E$18)/1000</f>
        <v>314.58800000000002</v>
      </c>
      <c r="V1222" s="57">
        <f>INT(tblJTL[[#This Row],[経過秒]]/60)</f>
        <v>5</v>
      </c>
      <c r="W1222" s="57">
        <f>IF(OR(tblJTL[[#This Row],[success]]=FALSE,tblJTL[[#This Row],[success]]="false"),1,0)</f>
        <v>0</v>
      </c>
      <c r="X1222" s="57">
        <f>IF(AND(tblJTL[[#This Row],[経過秒]]&gt;='17_分析サンプル'!$E$11,tblJTL[[#This Row],[経過秒]]&lt;'17_分析サンプル'!$E$12),1,0)</f>
        <v>1</v>
      </c>
    </row>
    <row r="1223" spans="2:24" ht="14.4" x14ac:dyDescent="0.3">
      <c r="B1223" s="57">
        <v>1790816714293</v>
      </c>
      <c r="C1223" s="58">
        <v>1732</v>
      </c>
      <c r="D1223" s="59" t="s">
        <v>1677</v>
      </c>
      <c r="E1223" s="59" t="s">
        <v>3579</v>
      </c>
      <c r="F1223" s="59" t="s">
        <v>3580</v>
      </c>
      <c r="G1223" s="59" t="s">
        <v>3577</v>
      </c>
      <c r="H1223" s="59" t="s">
        <v>2281</v>
      </c>
      <c r="I1223" s="59" t="b">
        <v>1</v>
      </c>
      <c r="J1223" s="59"/>
      <c r="K1223" s="58">
        <v>440</v>
      </c>
      <c r="L1223" s="58">
        <v>1478</v>
      </c>
      <c r="M1223" s="59">
        <v>10</v>
      </c>
      <c r="N1223" s="59">
        <v>10</v>
      </c>
      <c r="O1223" s="59" t="s">
        <v>3581</v>
      </c>
      <c r="P1223" s="58">
        <v>1726</v>
      </c>
      <c r="Q1223" s="59">
        <v>0</v>
      </c>
      <c r="R1223" s="59">
        <v>0</v>
      </c>
      <c r="S1223" s="60">
        <f>tblJTL[[#This Row],[timeStamp]]/86400000+DATE(1970,1,1)+TIME(9,0,0)</f>
        <v>46296.420304317129</v>
      </c>
      <c r="T1223" s="57">
        <f>tblJTL[[#This Row],[timeStamp]]+tblJTL[[#This Row],[elapsed]]</f>
        <v>1790816716025</v>
      </c>
      <c r="U1223" s="61">
        <f>(tblJTL[[#This Row],[timeStamp]]-'17_分析サンプル'!$E$18)/1000</f>
        <v>314.113</v>
      </c>
      <c r="V1223" s="57">
        <f>INT(tblJTL[[#This Row],[経過秒]]/60)</f>
        <v>5</v>
      </c>
      <c r="W1223" s="57">
        <f>IF(OR(tblJTL[[#This Row],[success]]=FALSE,tblJTL[[#This Row],[success]]="false"),1,0)</f>
        <v>0</v>
      </c>
      <c r="X1223" s="57">
        <f>IF(AND(tblJTL[[#This Row],[経過秒]]&gt;='17_分析サンプル'!$E$11,tblJTL[[#This Row],[経過秒]]&lt;'17_分析サンプル'!$E$12),1,0)</f>
        <v>1</v>
      </c>
    </row>
    <row r="1224" spans="2:24" ht="14.4" x14ac:dyDescent="0.3">
      <c r="B1224" s="57">
        <v>1790816716029</v>
      </c>
      <c r="C1224" s="58">
        <v>261</v>
      </c>
      <c r="D1224" s="59" t="s">
        <v>1658</v>
      </c>
      <c r="E1224" s="59" t="s">
        <v>1577</v>
      </c>
      <c r="F1224" s="59" t="s">
        <v>2275</v>
      </c>
      <c r="G1224" s="59" t="s">
        <v>3588</v>
      </c>
      <c r="H1224" s="59" t="s">
        <v>2281</v>
      </c>
      <c r="I1224" s="59" t="b">
        <v>1</v>
      </c>
      <c r="J1224" s="59"/>
      <c r="K1224" s="58">
        <v>1821</v>
      </c>
      <c r="L1224" s="58">
        <v>1342</v>
      </c>
      <c r="M1224" s="59">
        <v>10</v>
      </c>
      <c r="N1224" s="59">
        <v>10</v>
      </c>
      <c r="O1224" s="59" t="s">
        <v>3578</v>
      </c>
      <c r="P1224" s="58">
        <v>258</v>
      </c>
      <c r="Q1224" s="59">
        <v>0</v>
      </c>
      <c r="R1224" s="59">
        <v>0</v>
      </c>
      <c r="S1224" s="60">
        <f>tblJTL[[#This Row],[timeStamp]]/86400000+DATE(1970,1,1)+TIME(9,0,0)</f>
        <v>46296.420324409723</v>
      </c>
      <c r="T1224" s="57">
        <f>tblJTL[[#This Row],[timeStamp]]+tblJTL[[#This Row],[elapsed]]</f>
        <v>1790816716290</v>
      </c>
      <c r="U1224" s="61">
        <f>(tblJTL[[#This Row],[timeStamp]]-'17_分析サンプル'!$E$18)/1000</f>
        <v>315.84899999999999</v>
      </c>
      <c r="V1224" s="57">
        <f>INT(tblJTL[[#This Row],[経過秒]]/60)</f>
        <v>5</v>
      </c>
      <c r="W1224" s="57">
        <f>IF(OR(tblJTL[[#This Row],[success]]=FALSE,tblJTL[[#This Row],[success]]="false"),1,0)</f>
        <v>0</v>
      </c>
      <c r="X1224" s="57">
        <f>IF(AND(tblJTL[[#This Row],[経過秒]]&gt;='17_分析サンプル'!$E$11,tblJTL[[#This Row],[経過秒]]&lt;'17_分析サンプル'!$E$12),1,0)</f>
        <v>1</v>
      </c>
    </row>
    <row r="1225" spans="2:24" ht="14.4" x14ac:dyDescent="0.3">
      <c r="B1225" s="57">
        <v>1790816716190</v>
      </c>
      <c r="C1225" s="58">
        <v>471</v>
      </c>
      <c r="D1225" s="59" t="s">
        <v>1658</v>
      </c>
      <c r="E1225" s="59" t="s">
        <v>1577</v>
      </c>
      <c r="F1225" s="59" t="s">
        <v>2275</v>
      </c>
      <c r="G1225" s="59" t="s">
        <v>3585</v>
      </c>
      <c r="H1225" s="59" t="s">
        <v>2281</v>
      </c>
      <c r="I1225" s="59" t="b">
        <v>1</v>
      </c>
      <c r="J1225" s="59"/>
      <c r="K1225" s="58">
        <v>1868</v>
      </c>
      <c r="L1225" s="58">
        <v>1342</v>
      </c>
      <c r="M1225" s="59">
        <v>10</v>
      </c>
      <c r="N1225" s="59">
        <v>10</v>
      </c>
      <c r="O1225" s="59" t="s">
        <v>3578</v>
      </c>
      <c r="P1225" s="58">
        <v>468</v>
      </c>
      <c r="Q1225" s="59">
        <v>0</v>
      </c>
      <c r="R1225" s="59">
        <v>0</v>
      </c>
      <c r="S1225" s="60">
        <f>tblJTL[[#This Row],[timeStamp]]/86400000+DATE(1970,1,1)+TIME(9,0,0)</f>
        <v>46296.420326273146</v>
      </c>
      <c r="T1225" s="57">
        <f>tblJTL[[#This Row],[timeStamp]]+tblJTL[[#This Row],[elapsed]]</f>
        <v>1790816716661</v>
      </c>
      <c r="U1225" s="61">
        <f>(tblJTL[[#This Row],[timeStamp]]-'17_分析サンプル'!$E$18)/1000</f>
        <v>316.01</v>
      </c>
      <c r="V1225" s="57">
        <f>INT(tblJTL[[#This Row],[経過秒]]/60)</f>
        <v>5</v>
      </c>
      <c r="W1225" s="57">
        <f>IF(OR(tblJTL[[#This Row],[success]]=FALSE,tblJTL[[#This Row],[success]]="false"),1,0)</f>
        <v>0</v>
      </c>
      <c r="X1225" s="57">
        <f>IF(AND(tblJTL[[#This Row],[経過秒]]&gt;='17_分析サンプル'!$E$11,tblJTL[[#This Row],[経過秒]]&lt;'17_分析サンプル'!$E$12),1,0)</f>
        <v>1</v>
      </c>
    </row>
    <row r="1226" spans="2:24" ht="14.4" x14ac:dyDescent="0.3">
      <c r="B1226" s="57">
        <v>1790816716948</v>
      </c>
      <c r="C1226" s="58">
        <v>40</v>
      </c>
      <c r="D1226" s="59" t="s">
        <v>1658</v>
      </c>
      <c r="E1226" s="59" t="s">
        <v>3590</v>
      </c>
      <c r="F1226" s="59" t="s">
        <v>3591</v>
      </c>
      <c r="G1226" s="59" t="s">
        <v>3584</v>
      </c>
      <c r="H1226" s="59" t="s">
        <v>2281</v>
      </c>
      <c r="I1226" s="59" t="b">
        <v>0</v>
      </c>
      <c r="J1226" s="59" t="s">
        <v>3592</v>
      </c>
      <c r="K1226" s="58">
        <v>237</v>
      </c>
      <c r="L1226" s="58">
        <v>1342</v>
      </c>
      <c r="M1226" s="59">
        <v>10</v>
      </c>
      <c r="N1226" s="59">
        <v>10</v>
      </c>
      <c r="O1226" s="59" t="s">
        <v>3578</v>
      </c>
      <c r="P1226" s="58">
        <v>38</v>
      </c>
      <c r="Q1226" s="59">
        <v>0</v>
      </c>
      <c r="R1226" s="59">
        <v>0</v>
      </c>
      <c r="S1226" s="60">
        <f>tblJTL[[#This Row],[timeStamp]]/86400000+DATE(1970,1,1)+TIME(9,0,0)</f>
        <v>46296.420335046292</v>
      </c>
      <c r="T1226" s="57">
        <f>tblJTL[[#This Row],[timeStamp]]+tblJTL[[#This Row],[elapsed]]</f>
        <v>1790816716988</v>
      </c>
      <c r="U1226" s="61">
        <f>(tblJTL[[#This Row],[timeStamp]]-'17_分析サンプル'!$E$18)/1000</f>
        <v>316.76799999999997</v>
      </c>
      <c r="V1226" s="57">
        <f>INT(tblJTL[[#This Row],[経過秒]]/60)</f>
        <v>5</v>
      </c>
      <c r="W1226" s="57">
        <f>IF(OR(tblJTL[[#This Row],[success]]=FALSE,tblJTL[[#This Row],[success]]="false"),1,0)</f>
        <v>1</v>
      </c>
      <c r="X1226" s="57">
        <f>IF(AND(tblJTL[[#This Row],[経過秒]]&gt;='17_分析サンプル'!$E$11,tblJTL[[#This Row],[経過秒]]&lt;'17_分析サンプル'!$E$12),1,0)</f>
        <v>1</v>
      </c>
    </row>
    <row r="1227" spans="2:24" ht="14.4" x14ac:dyDescent="0.3">
      <c r="B1227" s="57">
        <v>1790816715510</v>
      </c>
      <c r="C1227" s="58">
        <v>1737</v>
      </c>
      <c r="D1227" s="59" t="s">
        <v>1677</v>
      </c>
      <c r="E1227" s="59" t="s">
        <v>3579</v>
      </c>
      <c r="F1227" s="59" t="s">
        <v>3580</v>
      </c>
      <c r="G1227" s="59" t="s">
        <v>3583</v>
      </c>
      <c r="H1227" s="59" t="s">
        <v>2281</v>
      </c>
      <c r="I1227" s="59" t="b">
        <v>1</v>
      </c>
      <c r="J1227" s="59"/>
      <c r="K1227" s="58">
        <v>414</v>
      </c>
      <c r="L1227" s="58">
        <v>1478</v>
      </c>
      <c r="M1227" s="59">
        <v>10</v>
      </c>
      <c r="N1227" s="59">
        <v>10</v>
      </c>
      <c r="O1227" s="59" t="s">
        <v>3581</v>
      </c>
      <c r="P1227" s="58">
        <v>1735</v>
      </c>
      <c r="Q1227" s="59">
        <v>0</v>
      </c>
      <c r="R1227" s="59">
        <v>0</v>
      </c>
      <c r="S1227" s="60">
        <f>tblJTL[[#This Row],[timeStamp]]/86400000+DATE(1970,1,1)+TIME(9,0,0)</f>
        <v>46296.420318402779</v>
      </c>
      <c r="T1227" s="57">
        <f>tblJTL[[#This Row],[timeStamp]]+tblJTL[[#This Row],[elapsed]]</f>
        <v>1790816717247</v>
      </c>
      <c r="U1227" s="61">
        <f>(tblJTL[[#This Row],[timeStamp]]-'17_分析サンプル'!$E$18)/1000</f>
        <v>315.33</v>
      </c>
      <c r="V1227" s="57">
        <f>INT(tblJTL[[#This Row],[経過秒]]/60)</f>
        <v>5</v>
      </c>
      <c r="W1227" s="57">
        <f>IF(OR(tblJTL[[#This Row],[success]]=FALSE,tblJTL[[#This Row],[success]]="false"),1,0)</f>
        <v>0</v>
      </c>
      <c r="X1227" s="57">
        <f>IF(AND(tblJTL[[#This Row],[経過秒]]&gt;='17_分析サンプル'!$E$11,tblJTL[[#This Row],[経過秒]]&lt;'17_分析サンプル'!$E$12),1,0)</f>
        <v>1</v>
      </c>
    </row>
    <row r="1228" spans="2:24" ht="14.4" x14ac:dyDescent="0.3">
      <c r="B1228" s="57">
        <v>1790816718000</v>
      </c>
      <c r="C1228" s="58">
        <v>203</v>
      </c>
      <c r="D1228" s="59" t="s">
        <v>1658</v>
      </c>
      <c r="E1228" s="59" t="s">
        <v>1577</v>
      </c>
      <c r="F1228" s="59" t="s">
        <v>2275</v>
      </c>
      <c r="G1228" s="59" t="s">
        <v>3587</v>
      </c>
      <c r="H1228" s="59" t="s">
        <v>2281</v>
      </c>
      <c r="I1228" s="59" t="b">
        <v>1</v>
      </c>
      <c r="J1228" s="59"/>
      <c r="K1228" s="58">
        <v>1891</v>
      </c>
      <c r="L1228" s="58">
        <v>1342</v>
      </c>
      <c r="M1228" s="59">
        <v>10</v>
      </c>
      <c r="N1228" s="59">
        <v>10</v>
      </c>
      <c r="O1228" s="59" t="s">
        <v>3578</v>
      </c>
      <c r="P1228" s="58">
        <v>199</v>
      </c>
      <c r="Q1228" s="59">
        <v>0</v>
      </c>
      <c r="R1228" s="59">
        <v>0</v>
      </c>
      <c r="S1228" s="60">
        <f>tblJTL[[#This Row],[timeStamp]]/86400000+DATE(1970,1,1)+TIME(9,0,0)</f>
        <v>46296.420347222222</v>
      </c>
      <c r="T1228" s="57">
        <f>tblJTL[[#This Row],[timeStamp]]+tblJTL[[#This Row],[elapsed]]</f>
        <v>1790816718203</v>
      </c>
      <c r="U1228" s="61">
        <f>(tblJTL[[#This Row],[timeStamp]]-'17_分析サンプル'!$E$18)/1000</f>
        <v>317.82</v>
      </c>
      <c r="V1228" s="57">
        <f>INT(tblJTL[[#This Row],[経過秒]]/60)</f>
        <v>5</v>
      </c>
      <c r="W1228" s="57">
        <f>IF(OR(tblJTL[[#This Row],[success]]=FALSE,tblJTL[[#This Row],[success]]="false"),1,0)</f>
        <v>0</v>
      </c>
      <c r="X1228" s="57">
        <f>IF(AND(tblJTL[[#This Row],[経過秒]]&gt;='17_分析サンプル'!$E$11,tblJTL[[#This Row],[経過秒]]&lt;'17_分析サンプル'!$E$12),1,0)</f>
        <v>1</v>
      </c>
    </row>
    <row r="1229" spans="2:24" ht="14.4" x14ac:dyDescent="0.3">
      <c r="B1229" s="57">
        <v>1790816717009</v>
      </c>
      <c r="C1229" s="58">
        <v>1214</v>
      </c>
      <c r="D1229" s="59" t="s">
        <v>1677</v>
      </c>
      <c r="E1229" s="59" t="s">
        <v>3579</v>
      </c>
      <c r="F1229" s="59" t="s">
        <v>3580</v>
      </c>
      <c r="G1229" s="59" t="s">
        <v>3589</v>
      </c>
      <c r="H1229" s="59" t="s">
        <v>2281</v>
      </c>
      <c r="I1229" s="59" t="b">
        <v>1</v>
      </c>
      <c r="J1229" s="59"/>
      <c r="K1229" s="58">
        <v>435</v>
      </c>
      <c r="L1229" s="58">
        <v>1478</v>
      </c>
      <c r="M1229" s="59">
        <v>10</v>
      </c>
      <c r="N1229" s="59">
        <v>10</v>
      </c>
      <c r="O1229" s="59" t="s">
        <v>3581</v>
      </c>
      <c r="P1229" s="58">
        <v>1209</v>
      </c>
      <c r="Q1229" s="59">
        <v>0</v>
      </c>
      <c r="R1229" s="59">
        <v>0</v>
      </c>
      <c r="S1229" s="60">
        <f>tblJTL[[#This Row],[timeStamp]]/86400000+DATE(1970,1,1)+TIME(9,0,0)</f>
        <v>46296.420335752315</v>
      </c>
      <c r="T1229" s="57">
        <f>tblJTL[[#This Row],[timeStamp]]+tblJTL[[#This Row],[elapsed]]</f>
        <v>1790816718223</v>
      </c>
      <c r="U1229" s="61">
        <f>(tblJTL[[#This Row],[timeStamp]]-'17_分析サンプル'!$E$18)/1000</f>
        <v>316.82900000000001</v>
      </c>
      <c r="V1229" s="57">
        <f>INT(tblJTL[[#This Row],[経過秒]]/60)</f>
        <v>5</v>
      </c>
      <c r="W1229" s="57">
        <f>IF(OR(tblJTL[[#This Row],[success]]=FALSE,tblJTL[[#This Row],[success]]="false"),1,0)</f>
        <v>0</v>
      </c>
      <c r="X1229" s="57">
        <f>IF(AND(tblJTL[[#This Row],[経過秒]]&gt;='17_分析サンプル'!$E$11,tblJTL[[#This Row],[経過秒]]&lt;'17_分析サンプル'!$E$12),1,0)</f>
        <v>1</v>
      </c>
    </row>
    <row r="1230" spans="2:24" ht="14.4" x14ac:dyDescent="0.3">
      <c r="B1230" s="57">
        <v>1790816718236</v>
      </c>
      <c r="C1230" s="58">
        <v>157</v>
      </c>
      <c r="D1230" s="59" t="s">
        <v>1658</v>
      </c>
      <c r="E1230" s="59" t="s">
        <v>1577</v>
      </c>
      <c r="F1230" s="59" t="s">
        <v>2275</v>
      </c>
      <c r="G1230" s="59" t="s">
        <v>3577</v>
      </c>
      <c r="H1230" s="59" t="s">
        <v>2281</v>
      </c>
      <c r="I1230" s="59" t="b">
        <v>1</v>
      </c>
      <c r="J1230" s="59"/>
      <c r="K1230" s="58">
        <v>1822</v>
      </c>
      <c r="L1230" s="58">
        <v>1342</v>
      </c>
      <c r="M1230" s="59">
        <v>10</v>
      </c>
      <c r="N1230" s="59">
        <v>10</v>
      </c>
      <c r="O1230" s="59" t="s">
        <v>3578</v>
      </c>
      <c r="P1230" s="58">
        <v>153</v>
      </c>
      <c r="Q1230" s="59">
        <v>0</v>
      </c>
      <c r="R1230" s="59">
        <v>0</v>
      </c>
      <c r="S1230" s="60">
        <f>tblJTL[[#This Row],[timeStamp]]/86400000+DATE(1970,1,1)+TIME(9,0,0)</f>
        <v>46296.420349953703</v>
      </c>
      <c r="T1230" s="57">
        <f>tblJTL[[#This Row],[timeStamp]]+tblJTL[[#This Row],[elapsed]]</f>
        <v>1790816718393</v>
      </c>
      <c r="U1230" s="61">
        <f>(tblJTL[[#This Row],[timeStamp]]-'17_分析サンプル'!$E$18)/1000</f>
        <v>318.05599999999998</v>
      </c>
      <c r="V1230" s="57">
        <f>INT(tblJTL[[#This Row],[経過秒]]/60)</f>
        <v>5</v>
      </c>
      <c r="W1230" s="57">
        <f>IF(OR(tblJTL[[#This Row],[success]]=FALSE,tblJTL[[#This Row],[success]]="false"),1,0)</f>
        <v>0</v>
      </c>
      <c r="X1230" s="57">
        <f>IF(AND(tblJTL[[#This Row],[経過秒]]&gt;='17_分析サンプル'!$E$11,tblJTL[[#This Row],[経過秒]]&lt;'17_分析サンプル'!$E$12),1,0)</f>
        <v>1</v>
      </c>
    </row>
    <row r="1231" spans="2:24" ht="14.4" x14ac:dyDescent="0.3">
      <c r="B1231" s="57">
        <v>1790816718914</v>
      </c>
      <c r="C1231" s="58">
        <v>192</v>
      </c>
      <c r="D1231" s="59" t="s">
        <v>1658</v>
      </c>
      <c r="E1231" s="59" t="s">
        <v>1577</v>
      </c>
      <c r="F1231" s="59" t="s">
        <v>2275</v>
      </c>
      <c r="G1231" s="59" t="s">
        <v>3583</v>
      </c>
      <c r="H1231" s="59" t="s">
        <v>2281</v>
      </c>
      <c r="I1231" s="59" t="b">
        <v>1</v>
      </c>
      <c r="J1231" s="59"/>
      <c r="K1231" s="58">
        <v>1826</v>
      </c>
      <c r="L1231" s="58">
        <v>1342</v>
      </c>
      <c r="M1231" s="59">
        <v>10</v>
      </c>
      <c r="N1231" s="59">
        <v>10</v>
      </c>
      <c r="O1231" s="59" t="s">
        <v>3578</v>
      </c>
      <c r="P1231" s="58">
        <v>189</v>
      </c>
      <c r="Q1231" s="59">
        <v>0</v>
      </c>
      <c r="R1231" s="59">
        <v>0</v>
      </c>
      <c r="S1231" s="60">
        <f>tblJTL[[#This Row],[timeStamp]]/86400000+DATE(1970,1,1)+TIME(9,0,0)</f>
        <v>46296.420357800926</v>
      </c>
      <c r="T1231" s="57">
        <f>tblJTL[[#This Row],[timeStamp]]+tblJTL[[#This Row],[elapsed]]</f>
        <v>1790816719106</v>
      </c>
      <c r="U1231" s="61">
        <f>(tblJTL[[#This Row],[timeStamp]]-'17_分析サンプル'!$E$18)/1000</f>
        <v>318.73399999999998</v>
      </c>
      <c r="V1231" s="57">
        <f>INT(tblJTL[[#This Row],[経過秒]]/60)</f>
        <v>5</v>
      </c>
      <c r="W1231" s="57">
        <f>IF(OR(tblJTL[[#This Row],[success]]=FALSE,tblJTL[[#This Row],[success]]="false"),1,0)</f>
        <v>0</v>
      </c>
      <c r="X1231" s="57">
        <f>IF(AND(tblJTL[[#This Row],[経過秒]]&gt;='17_分析サンプル'!$E$11,tblJTL[[#This Row],[経過秒]]&lt;'17_分析サンプル'!$E$12),1,0)</f>
        <v>1</v>
      </c>
    </row>
    <row r="1232" spans="2:24" ht="14.4" x14ac:dyDescent="0.3">
      <c r="B1232" s="57">
        <v>1790816719545</v>
      </c>
      <c r="C1232" s="58">
        <v>172</v>
      </c>
      <c r="D1232" s="59" t="s">
        <v>1658</v>
      </c>
      <c r="E1232" s="59" t="s">
        <v>1577</v>
      </c>
      <c r="F1232" s="59" t="s">
        <v>2275</v>
      </c>
      <c r="G1232" s="59" t="s">
        <v>3589</v>
      </c>
      <c r="H1232" s="59" t="s">
        <v>2281</v>
      </c>
      <c r="I1232" s="59" t="b">
        <v>1</v>
      </c>
      <c r="J1232" s="59"/>
      <c r="K1232" s="58">
        <v>1877</v>
      </c>
      <c r="L1232" s="58">
        <v>1342</v>
      </c>
      <c r="M1232" s="59">
        <v>10</v>
      </c>
      <c r="N1232" s="59">
        <v>10</v>
      </c>
      <c r="O1232" s="59" t="s">
        <v>3578</v>
      </c>
      <c r="P1232" s="58">
        <v>169</v>
      </c>
      <c r="Q1232" s="59">
        <v>0</v>
      </c>
      <c r="R1232" s="59">
        <v>0</v>
      </c>
      <c r="S1232" s="60">
        <f>tblJTL[[#This Row],[timeStamp]]/86400000+DATE(1970,1,1)+TIME(9,0,0)</f>
        <v>46296.420365104168</v>
      </c>
      <c r="T1232" s="57">
        <f>tblJTL[[#This Row],[timeStamp]]+tblJTL[[#This Row],[elapsed]]</f>
        <v>1790816719717</v>
      </c>
      <c r="U1232" s="61">
        <f>(tblJTL[[#This Row],[timeStamp]]-'17_分析サンプル'!$E$18)/1000</f>
        <v>319.36500000000001</v>
      </c>
      <c r="V1232" s="57">
        <f>INT(tblJTL[[#This Row],[経過秒]]/60)</f>
        <v>5</v>
      </c>
      <c r="W1232" s="57">
        <f>IF(OR(tblJTL[[#This Row],[success]]=FALSE,tblJTL[[#This Row],[success]]="false"),1,0)</f>
        <v>0</v>
      </c>
      <c r="X1232" s="57">
        <f>IF(AND(tblJTL[[#This Row],[経過秒]]&gt;='17_分析サンプル'!$E$11,tblJTL[[#This Row],[経過秒]]&lt;'17_分析サンプル'!$E$12),1,0)</f>
        <v>1</v>
      </c>
    </row>
    <row r="1233" spans="2:24" ht="14.4" x14ac:dyDescent="0.3">
      <c r="B1233" s="57">
        <v>1790816717560</v>
      </c>
      <c r="C1233" s="58">
        <v>2350</v>
      </c>
      <c r="D1233" s="59" t="s">
        <v>1677</v>
      </c>
      <c r="E1233" s="59" t="s">
        <v>3579</v>
      </c>
      <c r="F1233" s="59" t="s">
        <v>3580</v>
      </c>
      <c r="G1233" s="59" t="s">
        <v>3582</v>
      </c>
      <c r="H1233" s="59" t="s">
        <v>2281</v>
      </c>
      <c r="I1233" s="59" t="b">
        <v>1</v>
      </c>
      <c r="J1233" s="59"/>
      <c r="K1233" s="58">
        <v>438</v>
      </c>
      <c r="L1233" s="58">
        <v>1478</v>
      </c>
      <c r="M1233" s="59">
        <v>10</v>
      </c>
      <c r="N1233" s="59">
        <v>10</v>
      </c>
      <c r="O1233" s="59" t="s">
        <v>3581</v>
      </c>
      <c r="P1233" s="58">
        <v>2342</v>
      </c>
      <c r="Q1233" s="59">
        <v>0</v>
      </c>
      <c r="R1233" s="59">
        <v>0</v>
      </c>
      <c r="S1233" s="60">
        <f>tblJTL[[#This Row],[timeStamp]]/86400000+DATE(1970,1,1)+TIME(9,0,0)</f>
        <v>46296.420342129626</v>
      </c>
      <c r="T1233" s="57">
        <f>tblJTL[[#This Row],[timeStamp]]+tblJTL[[#This Row],[elapsed]]</f>
        <v>1790816719910</v>
      </c>
      <c r="U1233" s="61">
        <f>(tblJTL[[#This Row],[timeStamp]]-'17_分析サンプル'!$E$18)/1000</f>
        <v>317.38</v>
      </c>
      <c r="V1233" s="57">
        <f>INT(tblJTL[[#This Row],[経過秒]]/60)</f>
        <v>5</v>
      </c>
      <c r="W1233" s="57">
        <f>IF(OR(tblJTL[[#This Row],[success]]=FALSE,tblJTL[[#This Row],[success]]="false"),1,0)</f>
        <v>0</v>
      </c>
      <c r="X1233" s="57">
        <f>IF(AND(tblJTL[[#This Row],[経過秒]]&gt;='17_分析サンプル'!$E$11,tblJTL[[#This Row],[経過秒]]&lt;'17_分析サンプル'!$E$12),1,0)</f>
        <v>1</v>
      </c>
    </row>
    <row r="1234" spans="2:24" ht="14.4" x14ac:dyDescent="0.3">
      <c r="B1234" s="57">
        <v>1790816717983</v>
      </c>
      <c r="C1234" s="58">
        <v>2323</v>
      </c>
      <c r="D1234" s="59" t="s">
        <v>1677</v>
      </c>
      <c r="E1234" s="59" t="s">
        <v>3579</v>
      </c>
      <c r="F1234" s="59" t="s">
        <v>3580</v>
      </c>
      <c r="G1234" s="59" t="s">
        <v>3585</v>
      </c>
      <c r="H1234" s="59" t="s">
        <v>2281</v>
      </c>
      <c r="I1234" s="59" t="b">
        <v>1</v>
      </c>
      <c r="J1234" s="59"/>
      <c r="K1234" s="58">
        <v>413</v>
      </c>
      <c r="L1234" s="58">
        <v>1478</v>
      </c>
      <c r="M1234" s="59">
        <v>10</v>
      </c>
      <c r="N1234" s="59">
        <v>10</v>
      </c>
      <c r="O1234" s="59" t="s">
        <v>3581</v>
      </c>
      <c r="P1234" s="58">
        <v>2320</v>
      </c>
      <c r="Q1234" s="59">
        <v>0</v>
      </c>
      <c r="R1234" s="59">
        <v>0</v>
      </c>
      <c r="S1234" s="60">
        <f>tblJTL[[#This Row],[timeStamp]]/86400000+DATE(1970,1,1)+TIME(9,0,0)</f>
        <v>46296.420347025458</v>
      </c>
      <c r="T1234" s="57">
        <f>tblJTL[[#This Row],[timeStamp]]+tblJTL[[#This Row],[elapsed]]</f>
        <v>1790816720306</v>
      </c>
      <c r="U1234" s="61">
        <f>(tblJTL[[#This Row],[timeStamp]]-'17_分析サンプル'!$E$18)/1000</f>
        <v>317.803</v>
      </c>
      <c r="V1234" s="57">
        <f>INT(tblJTL[[#This Row],[経過秒]]/60)</f>
        <v>5</v>
      </c>
      <c r="W1234" s="57">
        <f>IF(OR(tblJTL[[#This Row],[success]]=FALSE,tblJTL[[#This Row],[success]]="false"),1,0)</f>
        <v>0</v>
      </c>
      <c r="X1234" s="57">
        <f>IF(AND(tblJTL[[#This Row],[経過秒]]&gt;='17_分析サンプル'!$E$11,tblJTL[[#This Row],[経過秒]]&lt;'17_分析サンプル'!$E$12),1,0)</f>
        <v>1</v>
      </c>
    </row>
    <row r="1235" spans="2:24" ht="14.4" x14ac:dyDescent="0.3">
      <c r="B1235" s="57">
        <v>1790816719571</v>
      </c>
      <c r="C1235" s="58">
        <v>1645</v>
      </c>
      <c r="D1235" s="59" t="s">
        <v>1677</v>
      </c>
      <c r="E1235" s="59" t="s">
        <v>3579</v>
      </c>
      <c r="F1235" s="59" t="s">
        <v>3580</v>
      </c>
      <c r="G1235" s="59" t="s">
        <v>3584</v>
      </c>
      <c r="H1235" s="59" t="s">
        <v>2281</v>
      </c>
      <c r="I1235" s="59" t="b">
        <v>1</v>
      </c>
      <c r="J1235" s="59"/>
      <c r="K1235" s="58">
        <v>431</v>
      </c>
      <c r="L1235" s="58">
        <v>1478</v>
      </c>
      <c r="M1235" s="59">
        <v>10</v>
      </c>
      <c r="N1235" s="59">
        <v>10</v>
      </c>
      <c r="O1235" s="59" t="s">
        <v>3581</v>
      </c>
      <c r="P1235" s="58">
        <v>1640</v>
      </c>
      <c r="Q1235" s="59">
        <v>0</v>
      </c>
      <c r="R1235" s="59">
        <v>0</v>
      </c>
      <c r="S1235" s="60">
        <f>tblJTL[[#This Row],[timeStamp]]/86400000+DATE(1970,1,1)+TIME(9,0,0)</f>
        <v>46296.420365405094</v>
      </c>
      <c r="T1235" s="57">
        <f>tblJTL[[#This Row],[timeStamp]]+tblJTL[[#This Row],[elapsed]]</f>
        <v>1790816721216</v>
      </c>
      <c r="U1235" s="61">
        <f>(tblJTL[[#This Row],[timeStamp]]-'17_分析サンプル'!$E$18)/1000</f>
        <v>319.39100000000002</v>
      </c>
      <c r="V1235" s="57">
        <f>INT(tblJTL[[#This Row],[経過秒]]/60)</f>
        <v>5</v>
      </c>
      <c r="W1235" s="57">
        <f>IF(OR(tblJTL[[#This Row],[success]]=FALSE,tblJTL[[#This Row],[success]]="false"),1,0)</f>
        <v>0</v>
      </c>
      <c r="X1235" s="57">
        <f>IF(AND(tblJTL[[#This Row],[経過秒]]&gt;='17_分析サンプル'!$E$11,tblJTL[[#This Row],[経過秒]]&lt;'17_分析サンプル'!$E$12),1,0)</f>
        <v>1</v>
      </c>
    </row>
    <row r="1236" spans="2:24" ht="14.4" x14ac:dyDescent="0.3">
      <c r="B1236" s="57">
        <v>1790816719181</v>
      </c>
      <c r="C1236" s="58">
        <v>2054</v>
      </c>
      <c r="D1236" s="59" t="s">
        <v>1677</v>
      </c>
      <c r="E1236" s="59" t="s">
        <v>3579</v>
      </c>
      <c r="F1236" s="59" t="s">
        <v>3580</v>
      </c>
      <c r="G1236" s="59" t="s">
        <v>3588</v>
      </c>
      <c r="H1236" s="59" t="s">
        <v>2281</v>
      </c>
      <c r="I1236" s="59" t="b">
        <v>1</v>
      </c>
      <c r="J1236" s="59"/>
      <c r="K1236" s="58">
        <v>414</v>
      </c>
      <c r="L1236" s="58">
        <v>1478</v>
      </c>
      <c r="M1236" s="59">
        <v>10</v>
      </c>
      <c r="N1236" s="59">
        <v>10</v>
      </c>
      <c r="O1236" s="59" t="s">
        <v>3581</v>
      </c>
      <c r="P1236" s="58">
        <v>2049</v>
      </c>
      <c r="Q1236" s="59">
        <v>0</v>
      </c>
      <c r="R1236" s="59">
        <v>0</v>
      </c>
      <c r="S1236" s="60">
        <f>tblJTL[[#This Row],[timeStamp]]/86400000+DATE(1970,1,1)+TIME(9,0,0)</f>
        <v>46296.420360891207</v>
      </c>
      <c r="T1236" s="57">
        <f>tblJTL[[#This Row],[timeStamp]]+tblJTL[[#This Row],[elapsed]]</f>
        <v>1790816721235</v>
      </c>
      <c r="U1236" s="61">
        <f>(tblJTL[[#This Row],[timeStamp]]-'17_分析サンプル'!$E$18)/1000</f>
        <v>319.00099999999998</v>
      </c>
      <c r="V1236" s="57">
        <f>INT(tblJTL[[#This Row],[経過秒]]/60)</f>
        <v>5</v>
      </c>
      <c r="W1236" s="57">
        <f>IF(OR(tblJTL[[#This Row],[success]]=FALSE,tblJTL[[#This Row],[success]]="false"),1,0)</f>
        <v>0</v>
      </c>
      <c r="X1236" s="57">
        <f>IF(AND(tblJTL[[#This Row],[経過秒]]&gt;='17_分析サンプル'!$E$11,tblJTL[[#This Row],[経過秒]]&lt;'17_分析サンプル'!$E$12),1,0)</f>
        <v>1</v>
      </c>
    </row>
    <row r="1237" spans="2:24" ht="14.4" x14ac:dyDescent="0.3">
      <c r="B1237" s="57">
        <v>1790816720939</v>
      </c>
      <c r="C1237" s="58">
        <v>874</v>
      </c>
      <c r="D1237" s="59" t="s">
        <v>1677</v>
      </c>
      <c r="E1237" s="59" t="s">
        <v>3579</v>
      </c>
      <c r="F1237" s="59" t="s">
        <v>3580</v>
      </c>
      <c r="G1237" s="59" t="s">
        <v>3587</v>
      </c>
      <c r="H1237" s="59" t="s">
        <v>2281</v>
      </c>
      <c r="I1237" s="59" t="b">
        <v>1</v>
      </c>
      <c r="J1237" s="59"/>
      <c r="K1237" s="58">
        <v>432</v>
      </c>
      <c r="L1237" s="58">
        <v>1478</v>
      </c>
      <c r="M1237" s="59">
        <v>10</v>
      </c>
      <c r="N1237" s="59">
        <v>10</v>
      </c>
      <c r="O1237" s="59" t="s">
        <v>3581</v>
      </c>
      <c r="P1237" s="58">
        <v>867</v>
      </c>
      <c r="Q1237" s="59">
        <v>0</v>
      </c>
      <c r="R1237" s="59">
        <v>0</v>
      </c>
      <c r="S1237" s="60">
        <f>tblJTL[[#This Row],[timeStamp]]/86400000+DATE(1970,1,1)+TIME(9,0,0)</f>
        <v>46296.420381238422</v>
      </c>
      <c r="T1237" s="57">
        <f>tblJTL[[#This Row],[timeStamp]]+tblJTL[[#This Row],[elapsed]]</f>
        <v>1790816721813</v>
      </c>
      <c r="U1237" s="61">
        <f>(tblJTL[[#This Row],[timeStamp]]-'17_分析サンプル'!$E$18)/1000</f>
        <v>320.75900000000001</v>
      </c>
      <c r="V1237" s="57">
        <f>INT(tblJTL[[#This Row],[経過秒]]/60)</f>
        <v>5</v>
      </c>
      <c r="W1237" s="57">
        <f>IF(OR(tblJTL[[#This Row],[success]]=FALSE,tblJTL[[#This Row],[success]]="false"),1,0)</f>
        <v>0</v>
      </c>
      <c r="X1237" s="57">
        <f>IF(AND(tblJTL[[#This Row],[経過秒]]&gt;='17_分析サンプル'!$E$11,tblJTL[[#This Row],[経過秒]]&lt;'17_分析サンプル'!$E$12),1,0)</f>
        <v>1</v>
      </c>
    </row>
    <row r="1238" spans="2:24" ht="14.4" x14ac:dyDescent="0.3">
      <c r="B1238" s="57">
        <v>1790816722340</v>
      </c>
      <c r="C1238" s="58">
        <v>322</v>
      </c>
      <c r="D1238" s="59" t="s">
        <v>1658</v>
      </c>
      <c r="E1238" s="59" t="s">
        <v>1577</v>
      </c>
      <c r="F1238" s="59" t="s">
        <v>2275</v>
      </c>
      <c r="G1238" s="59" t="s">
        <v>3582</v>
      </c>
      <c r="H1238" s="59" t="s">
        <v>2281</v>
      </c>
      <c r="I1238" s="59" t="b">
        <v>1</v>
      </c>
      <c r="J1238" s="59"/>
      <c r="K1238" s="58">
        <v>1873</v>
      </c>
      <c r="L1238" s="58">
        <v>1342</v>
      </c>
      <c r="M1238" s="59">
        <v>10</v>
      </c>
      <c r="N1238" s="59">
        <v>10</v>
      </c>
      <c r="O1238" s="59" t="s">
        <v>3578</v>
      </c>
      <c r="P1238" s="58">
        <v>316</v>
      </c>
      <c r="Q1238" s="59">
        <v>0</v>
      </c>
      <c r="R1238" s="59">
        <v>0</v>
      </c>
      <c r="S1238" s="60">
        <f>tblJTL[[#This Row],[timeStamp]]/86400000+DATE(1970,1,1)+TIME(9,0,0)</f>
        <v>46296.420397453709</v>
      </c>
      <c r="T1238" s="57">
        <f>tblJTL[[#This Row],[timeStamp]]+tblJTL[[#This Row],[elapsed]]</f>
        <v>1790816722662</v>
      </c>
      <c r="U1238" s="61">
        <f>(tblJTL[[#This Row],[timeStamp]]-'17_分析サンプル'!$E$18)/1000</f>
        <v>322.16000000000003</v>
      </c>
      <c r="V1238" s="57">
        <f>INT(tblJTL[[#This Row],[経過秒]]/60)</f>
        <v>5</v>
      </c>
      <c r="W1238" s="57">
        <f>IF(OR(tblJTL[[#This Row],[success]]=FALSE,tblJTL[[#This Row],[success]]="false"),1,0)</f>
        <v>0</v>
      </c>
      <c r="X1238" s="57">
        <f>IF(AND(tblJTL[[#This Row],[経過秒]]&gt;='17_分析サンプル'!$E$11,tblJTL[[#This Row],[経過秒]]&lt;'17_分析サンプル'!$E$12),1,0)</f>
        <v>1</v>
      </c>
    </row>
    <row r="1239" spans="2:24" ht="14.4" x14ac:dyDescent="0.3">
      <c r="B1239" s="57">
        <v>1790816722818</v>
      </c>
      <c r="C1239" s="58">
        <v>213</v>
      </c>
      <c r="D1239" s="59" t="s">
        <v>1658</v>
      </c>
      <c r="E1239" s="59" t="s">
        <v>1577</v>
      </c>
      <c r="F1239" s="59" t="s">
        <v>2275</v>
      </c>
      <c r="G1239" s="59" t="s">
        <v>3585</v>
      </c>
      <c r="H1239" s="59" t="s">
        <v>2281</v>
      </c>
      <c r="I1239" s="59" t="b">
        <v>1</v>
      </c>
      <c r="J1239" s="59"/>
      <c r="K1239" s="58">
        <v>1871</v>
      </c>
      <c r="L1239" s="58">
        <v>1342</v>
      </c>
      <c r="M1239" s="59">
        <v>10</v>
      </c>
      <c r="N1239" s="59">
        <v>10</v>
      </c>
      <c r="O1239" s="59" t="s">
        <v>3578</v>
      </c>
      <c r="P1239" s="58">
        <v>207</v>
      </c>
      <c r="Q1239" s="59">
        <v>0</v>
      </c>
      <c r="R1239" s="59">
        <v>0</v>
      </c>
      <c r="S1239" s="60">
        <f>tblJTL[[#This Row],[timeStamp]]/86400000+DATE(1970,1,1)+TIME(9,0,0)</f>
        <v>46296.420402986114</v>
      </c>
      <c r="T1239" s="57">
        <f>tblJTL[[#This Row],[timeStamp]]+tblJTL[[#This Row],[elapsed]]</f>
        <v>1790816723031</v>
      </c>
      <c r="U1239" s="61">
        <f>(tblJTL[[#This Row],[timeStamp]]-'17_分析サンプル'!$E$18)/1000</f>
        <v>322.63799999999998</v>
      </c>
      <c r="V1239" s="57">
        <f>INT(tblJTL[[#This Row],[経過秒]]/60)</f>
        <v>5</v>
      </c>
      <c r="W1239" s="57">
        <f>IF(OR(tblJTL[[#This Row],[success]]=FALSE,tblJTL[[#This Row],[success]]="false"),1,0)</f>
        <v>0</v>
      </c>
      <c r="X1239" s="57">
        <f>IF(AND(tblJTL[[#This Row],[経過秒]]&gt;='17_分析サンプル'!$E$11,tblJTL[[#This Row],[経過秒]]&lt;'17_分析サンプル'!$E$12),1,0)</f>
        <v>1</v>
      </c>
    </row>
    <row r="1240" spans="2:24" ht="14.4" x14ac:dyDescent="0.3">
      <c r="B1240" s="57">
        <v>1790816721240</v>
      </c>
      <c r="C1240" s="58">
        <v>1802</v>
      </c>
      <c r="D1240" s="59" t="s">
        <v>1677</v>
      </c>
      <c r="E1240" s="59" t="s">
        <v>3579</v>
      </c>
      <c r="F1240" s="59" t="s">
        <v>3580</v>
      </c>
      <c r="G1240" s="59" t="s">
        <v>3577</v>
      </c>
      <c r="H1240" s="59" t="s">
        <v>2281</v>
      </c>
      <c r="I1240" s="59" t="b">
        <v>1</v>
      </c>
      <c r="J1240" s="59"/>
      <c r="K1240" s="58">
        <v>413</v>
      </c>
      <c r="L1240" s="58">
        <v>1478</v>
      </c>
      <c r="M1240" s="59">
        <v>10</v>
      </c>
      <c r="N1240" s="59">
        <v>10</v>
      </c>
      <c r="O1240" s="59" t="s">
        <v>3581</v>
      </c>
      <c r="P1240" s="58">
        <v>1798</v>
      </c>
      <c r="Q1240" s="59">
        <v>0</v>
      </c>
      <c r="R1240" s="59">
        <v>0</v>
      </c>
      <c r="S1240" s="60">
        <f>tblJTL[[#This Row],[timeStamp]]/86400000+DATE(1970,1,1)+TIME(9,0,0)</f>
        <v>46296.420384722223</v>
      </c>
      <c r="T1240" s="57">
        <f>tblJTL[[#This Row],[timeStamp]]+tblJTL[[#This Row],[elapsed]]</f>
        <v>1790816723042</v>
      </c>
      <c r="U1240" s="61">
        <f>(tblJTL[[#This Row],[timeStamp]]-'17_分析サンプル'!$E$18)/1000</f>
        <v>321.06</v>
      </c>
      <c r="V1240" s="57">
        <f>INT(tblJTL[[#This Row],[経過秒]]/60)</f>
        <v>5</v>
      </c>
      <c r="W1240" s="57">
        <f>IF(OR(tblJTL[[#This Row],[success]]=FALSE,tblJTL[[#This Row],[success]]="false"),1,0)</f>
        <v>0</v>
      </c>
      <c r="X1240" s="57">
        <f>IF(AND(tblJTL[[#This Row],[経過秒]]&gt;='17_分析サンプル'!$E$11,tblJTL[[#This Row],[経過秒]]&lt;'17_分析サンプル'!$E$12),1,0)</f>
        <v>1</v>
      </c>
    </row>
    <row r="1241" spans="2:24" ht="14.4" x14ac:dyDescent="0.3">
      <c r="B1241" s="57">
        <v>1790816720636</v>
      </c>
      <c r="C1241" s="58">
        <v>2416</v>
      </c>
      <c r="D1241" s="59" t="s">
        <v>1677</v>
      </c>
      <c r="E1241" s="59" t="s">
        <v>3579</v>
      </c>
      <c r="F1241" s="59" t="s">
        <v>3580</v>
      </c>
      <c r="G1241" s="59" t="s">
        <v>3583</v>
      </c>
      <c r="H1241" s="59" t="s">
        <v>2281</v>
      </c>
      <c r="I1241" s="59" t="b">
        <v>1</v>
      </c>
      <c r="J1241" s="59"/>
      <c r="K1241" s="58">
        <v>425</v>
      </c>
      <c r="L1241" s="58">
        <v>1478</v>
      </c>
      <c r="M1241" s="59">
        <v>10</v>
      </c>
      <c r="N1241" s="59">
        <v>10</v>
      </c>
      <c r="O1241" s="59" t="s">
        <v>3581</v>
      </c>
      <c r="P1241" s="58">
        <v>2410</v>
      </c>
      <c r="Q1241" s="59">
        <v>0</v>
      </c>
      <c r="R1241" s="59">
        <v>0</v>
      </c>
      <c r="S1241" s="60">
        <f>tblJTL[[#This Row],[timeStamp]]/86400000+DATE(1970,1,1)+TIME(9,0,0)</f>
        <v>46296.420377731483</v>
      </c>
      <c r="T1241" s="57">
        <f>tblJTL[[#This Row],[timeStamp]]+tblJTL[[#This Row],[elapsed]]</f>
        <v>1790816723052</v>
      </c>
      <c r="U1241" s="61">
        <f>(tblJTL[[#This Row],[timeStamp]]-'17_分析サンプル'!$E$18)/1000</f>
        <v>320.45600000000002</v>
      </c>
      <c r="V1241" s="57">
        <f>INT(tblJTL[[#This Row],[経過秒]]/60)</f>
        <v>5</v>
      </c>
      <c r="W1241" s="57">
        <f>IF(OR(tblJTL[[#This Row],[success]]=FALSE,tblJTL[[#This Row],[success]]="false"),1,0)</f>
        <v>0</v>
      </c>
      <c r="X1241" s="57">
        <f>IF(AND(tblJTL[[#This Row],[経過秒]]&gt;='17_分析サンプル'!$E$11,tblJTL[[#This Row],[経過秒]]&lt;'17_分析サンプル'!$E$12),1,0)</f>
        <v>1</v>
      </c>
    </row>
    <row r="1242" spans="2:24" ht="14.4" x14ac:dyDescent="0.3">
      <c r="B1242" s="57">
        <v>1790816694038</v>
      </c>
      <c r="C1242" s="58">
        <v>29041</v>
      </c>
      <c r="D1242" s="59" t="s">
        <v>1677</v>
      </c>
      <c r="E1242" s="59" t="s">
        <v>3594</v>
      </c>
      <c r="F1242" s="59" t="s">
        <v>3595</v>
      </c>
      <c r="G1242" s="59" t="s">
        <v>3586</v>
      </c>
      <c r="H1242" s="59" t="s">
        <v>2281</v>
      </c>
      <c r="I1242" s="59" t="b">
        <v>0</v>
      </c>
      <c r="J1242" s="59" t="s">
        <v>3596</v>
      </c>
      <c r="K1242" s="58">
        <v>262</v>
      </c>
      <c r="L1242" s="58">
        <v>1478</v>
      </c>
      <c r="M1242" s="59">
        <v>10</v>
      </c>
      <c r="N1242" s="59">
        <v>10</v>
      </c>
      <c r="O1242" s="59" t="s">
        <v>3581</v>
      </c>
      <c r="P1242" s="58">
        <v>29040</v>
      </c>
      <c r="Q1242" s="59">
        <v>0</v>
      </c>
      <c r="R1242" s="59">
        <v>0</v>
      </c>
      <c r="S1242" s="60">
        <f>tblJTL[[#This Row],[timeStamp]]/86400000+DATE(1970,1,1)+TIME(9,0,0)</f>
        <v>46296.420069884261</v>
      </c>
      <c r="T1242" s="57">
        <f>tblJTL[[#This Row],[timeStamp]]+tblJTL[[#This Row],[elapsed]]</f>
        <v>1790816723079</v>
      </c>
      <c r="U1242" s="61">
        <f>(tblJTL[[#This Row],[timeStamp]]-'17_分析サンプル'!$E$18)/1000</f>
        <v>293.858</v>
      </c>
      <c r="V1242" s="57">
        <f>INT(tblJTL[[#This Row],[経過秒]]/60)</f>
        <v>4</v>
      </c>
      <c r="W1242" s="57">
        <f>IF(OR(tblJTL[[#This Row],[success]]=FALSE,tblJTL[[#This Row],[success]]="false"),1,0)</f>
        <v>1</v>
      </c>
      <c r="X1242" s="57">
        <f>IF(AND(tblJTL[[#This Row],[経過秒]]&gt;='17_分析サンプル'!$E$11,tblJTL[[#This Row],[経過秒]]&lt;'17_分析サンプル'!$E$12),1,0)</f>
        <v>1</v>
      </c>
    </row>
    <row r="1243" spans="2:24" ht="14.4" x14ac:dyDescent="0.3">
      <c r="B1243" s="57">
        <v>1790816723374</v>
      </c>
      <c r="C1243" s="58">
        <v>403</v>
      </c>
      <c r="D1243" s="59" t="s">
        <v>1658</v>
      </c>
      <c r="E1243" s="59" t="s">
        <v>1577</v>
      </c>
      <c r="F1243" s="59" t="s">
        <v>2275</v>
      </c>
      <c r="G1243" s="59" t="s">
        <v>3584</v>
      </c>
      <c r="H1243" s="59" t="s">
        <v>2281</v>
      </c>
      <c r="I1243" s="59" t="b">
        <v>1</v>
      </c>
      <c r="J1243" s="59"/>
      <c r="K1243" s="58">
        <v>1872</v>
      </c>
      <c r="L1243" s="58">
        <v>1342</v>
      </c>
      <c r="M1243" s="59">
        <v>10</v>
      </c>
      <c r="N1243" s="59">
        <v>10</v>
      </c>
      <c r="O1243" s="59" t="s">
        <v>3578</v>
      </c>
      <c r="P1243" s="58">
        <v>395</v>
      </c>
      <c r="Q1243" s="59">
        <v>0</v>
      </c>
      <c r="R1243" s="59">
        <v>0</v>
      </c>
      <c r="S1243" s="60">
        <f>tblJTL[[#This Row],[timeStamp]]/86400000+DATE(1970,1,1)+TIME(9,0,0)</f>
        <v>46296.420409421291</v>
      </c>
      <c r="T1243" s="57">
        <f>tblJTL[[#This Row],[timeStamp]]+tblJTL[[#This Row],[elapsed]]</f>
        <v>1790816723777</v>
      </c>
      <c r="U1243" s="61">
        <f>(tblJTL[[#This Row],[timeStamp]]-'17_分析サンプル'!$E$18)/1000</f>
        <v>323.19400000000002</v>
      </c>
      <c r="V1243" s="57">
        <f>INT(tblJTL[[#This Row],[経過秒]]/60)</f>
        <v>5</v>
      </c>
      <c r="W1243" s="57">
        <f>IF(OR(tblJTL[[#This Row],[success]]=FALSE,tblJTL[[#This Row],[success]]="false"),1,0)</f>
        <v>0</v>
      </c>
      <c r="X1243" s="57">
        <f>IF(AND(tblJTL[[#This Row],[経過秒]]&gt;='17_分析サンプル'!$E$11,tblJTL[[#This Row],[経過秒]]&lt;'17_分析サンプル'!$E$12),1,0)</f>
        <v>1</v>
      </c>
    </row>
    <row r="1244" spans="2:24" ht="14.4" x14ac:dyDescent="0.3">
      <c r="B1244" s="57">
        <v>1790816721537</v>
      </c>
      <c r="C1244" s="58">
        <v>2310</v>
      </c>
      <c r="D1244" s="59" t="s">
        <v>1677</v>
      </c>
      <c r="E1244" s="59" t="s">
        <v>3579</v>
      </c>
      <c r="F1244" s="59" t="s">
        <v>3580</v>
      </c>
      <c r="G1244" s="59" t="s">
        <v>3589</v>
      </c>
      <c r="H1244" s="59" t="s">
        <v>2281</v>
      </c>
      <c r="I1244" s="59" t="b">
        <v>1</v>
      </c>
      <c r="J1244" s="59"/>
      <c r="K1244" s="58">
        <v>432</v>
      </c>
      <c r="L1244" s="58">
        <v>1478</v>
      </c>
      <c r="M1244" s="59">
        <v>10</v>
      </c>
      <c r="N1244" s="59">
        <v>10</v>
      </c>
      <c r="O1244" s="59" t="s">
        <v>3581</v>
      </c>
      <c r="P1244" s="58">
        <v>2306</v>
      </c>
      <c r="Q1244" s="59">
        <v>0</v>
      </c>
      <c r="R1244" s="59">
        <v>0</v>
      </c>
      <c r="S1244" s="60">
        <f>tblJTL[[#This Row],[timeStamp]]/86400000+DATE(1970,1,1)+TIME(9,0,0)</f>
        <v>46296.42038815972</v>
      </c>
      <c r="T1244" s="57">
        <f>tblJTL[[#This Row],[timeStamp]]+tblJTL[[#This Row],[elapsed]]</f>
        <v>1790816723847</v>
      </c>
      <c r="U1244" s="61">
        <f>(tblJTL[[#This Row],[timeStamp]]-'17_分析サンプル'!$E$18)/1000</f>
        <v>321.35700000000003</v>
      </c>
      <c r="V1244" s="57">
        <f>INT(tblJTL[[#This Row],[経過秒]]/60)</f>
        <v>5</v>
      </c>
      <c r="W1244" s="57">
        <f>IF(OR(tblJTL[[#This Row],[success]]=FALSE,tblJTL[[#This Row],[success]]="false"),1,0)</f>
        <v>0</v>
      </c>
      <c r="X1244" s="57">
        <f>IF(AND(tblJTL[[#This Row],[経過秒]]&gt;='17_分析サンプル'!$E$11,tblJTL[[#This Row],[経過秒]]&lt;'17_分析サンプル'!$E$12),1,0)</f>
        <v>1</v>
      </c>
    </row>
    <row r="1245" spans="2:24" ht="14.4" x14ac:dyDescent="0.3">
      <c r="B1245" s="57">
        <v>1790816695071</v>
      </c>
      <c r="C1245" s="58">
        <v>29038</v>
      </c>
      <c r="D1245" s="59" t="s">
        <v>1677</v>
      </c>
      <c r="E1245" s="59" t="s">
        <v>3594</v>
      </c>
      <c r="F1245" s="59" t="s">
        <v>3595</v>
      </c>
      <c r="G1245" s="59" t="s">
        <v>2278</v>
      </c>
      <c r="H1245" s="59" t="s">
        <v>2281</v>
      </c>
      <c r="I1245" s="59" t="b">
        <v>0</v>
      </c>
      <c r="J1245" s="59" t="s">
        <v>3596</v>
      </c>
      <c r="K1245" s="58">
        <v>262</v>
      </c>
      <c r="L1245" s="58">
        <v>1478</v>
      </c>
      <c r="M1245" s="59">
        <v>10</v>
      </c>
      <c r="N1245" s="59">
        <v>10</v>
      </c>
      <c r="O1245" s="59" t="s">
        <v>3581</v>
      </c>
      <c r="P1245" s="58">
        <v>29037</v>
      </c>
      <c r="Q1245" s="59">
        <v>0</v>
      </c>
      <c r="R1245" s="59">
        <v>0</v>
      </c>
      <c r="S1245" s="60">
        <f>tblJTL[[#This Row],[timeStamp]]/86400000+DATE(1970,1,1)+TIME(9,0,0)</f>
        <v>46296.420081840275</v>
      </c>
      <c r="T1245" s="57">
        <f>tblJTL[[#This Row],[timeStamp]]+tblJTL[[#This Row],[elapsed]]</f>
        <v>1790816724109</v>
      </c>
      <c r="U1245" s="61">
        <f>(tblJTL[[#This Row],[timeStamp]]-'17_分析サンプル'!$E$18)/1000</f>
        <v>294.89100000000002</v>
      </c>
      <c r="V1245" s="57">
        <f>INT(tblJTL[[#This Row],[経過秒]]/60)</f>
        <v>4</v>
      </c>
      <c r="W1245" s="57">
        <f>IF(OR(tblJTL[[#This Row],[success]]=FALSE,tblJTL[[#This Row],[success]]="false"),1,0)</f>
        <v>1</v>
      </c>
      <c r="X1245" s="57">
        <f>IF(AND(tblJTL[[#This Row],[経過秒]]&gt;='17_分析サンプル'!$E$11,tblJTL[[#This Row],[経過秒]]&lt;'17_分析サンプル'!$E$12),1,0)</f>
        <v>1</v>
      </c>
    </row>
    <row r="1246" spans="2:24" ht="14.4" x14ac:dyDescent="0.3">
      <c r="B1246" s="57">
        <v>1790816723990</v>
      </c>
      <c r="C1246" s="58">
        <v>277</v>
      </c>
      <c r="D1246" s="59" t="s">
        <v>1658</v>
      </c>
      <c r="E1246" s="59" t="s">
        <v>1577</v>
      </c>
      <c r="F1246" s="59" t="s">
        <v>2275</v>
      </c>
      <c r="G1246" s="59" t="s">
        <v>3588</v>
      </c>
      <c r="H1246" s="59" t="s">
        <v>2281</v>
      </c>
      <c r="I1246" s="59" t="b">
        <v>1</v>
      </c>
      <c r="J1246" s="59"/>
      <c r="K1246" s="58">
        <v>1848</v>
      </c>
      <c r="L1246" s="58">
        <v>1342</v>
      </c>
      <c r="M1246" s="59">
        <v>10</v>
      </c>
      <c r="N1246" s="59">
        <v>10</v>
      </c>
      <c r="O1246" s="59" t="s">
        <v>3578</v>
      </c>
      <c r="P1246" s="58">
        <v>273</v>
      </c>
      <c r="Q1246" s="59">
        <v>0</v>
      </c>
      <c r="R1246" s="59">
        <v>0</v>
      </c>
      <c r="S1246" s="60">
        <f>tblJTL[[#This Row],[timeStamp]]/86400000+DATE(1970,1,1)+TIME(9,0,0)</f>
        <v>46296.420416550929</v>
      </c>
      <c r="T1246" s="57">
        <f>tblJTL[[#This Row],[timeStamp]]+tblJTL[[#This Row],[elapsed]]</f>
        <v>1790816724267</v>
      </c>
      <c r="U1246" s="61">
        <f>(tblJTL[[#This Row],[timeStamp]]-'17_分析サンプル'!$E$18)/1000</f>
        <v>323.81</v>
      </c>
      <c r="V1246" s="57">
        <f>INT(tblJTL[[#This Row],[経過秒]]/60)</f>
        <v>5</v>
      </c>
      <c r="W1246" s="57">
        <f>IF(OR(tblJTL[[#This Row],[success]]=FALSE,tblJTL[[#This Row],[success]]="false"),1,0)</f>
        <v>0</v>
      </c>
      <c r="X1246" s="57">
        <f>IF(AND(tblJTL[[#This Row],[経過秒]]&gt;='17_分析サンプル'!$E$11,tblJTL[[#This Row],[経過秒]]&lt;'17_分析サンプル'!$E$12),1,0)</f>
        <v>1</v>
      </c>
    </row>
    <row r="1247" spans="2:24" ht="14.4" x14ac:dyDescent="0.3">
      <c r="B1247" s="57">
        <v>1790816724369</v>
      </c>
      <c r="C1247" s="58">
        <v>321</v>
      </c>
      <c r="D1247" s="59" t="s">
        <v>1658</v>
      </c>
      <c r="E1247" s="59" t="s">
        <v>1577</v>
      </c>
      <c r="F1247" s="59" t="s">
        <v>2275</v>
      </c>
      <c r="G1247" s="59" t="s">
        <v>3587</v>
      </c>
      <c r="H1247" s="59" t="s">
        <v>2281</v>
      </c>
      <c r="I1247" s="59" t="b">
        <v>1</v>
      </c>
      <c r="J1247" s="59"/>
      <c r="K1247" s="58">
        <v>1839</v>
      </c>
      <c r="L1247" s="58">
        <v>1342</v>
      </c>
      <c r="M1247" s="59">
        <v>10</v>
      </c>
      <c r="N1247" s="59">
        <v>10</v>
      </c>
      <c r="O1247" s="59" t="s">
        <v>3578</v>
      </c>
      <c r="P1247" s="58">
        <v>313</v>
      </c>
      <c r="Q1247" s="59">
        <v>0</v>
      </c>
      <c r="R1247" s="59">
        <v>0</v>
      </c>
      <c r="S1247" s="60">
        <f>tblJTL[[#This Row],[timeStamp]]/86400000+DATE(1970,1,1)+TIME(9,0,0)</f>
        <v>46296.420420937502</v>
      </c>
      <c r="T1247" s="57">
        <f>tblJTL[[#This Row],[timeStamp]]+tblJTL[[#This Row],[elapsed]]</f>
        <v>1790816724690</v>
      </c>
      <c r="U1247" s="61">
        <f>(tblJTL[[#This Row],[timeStamp]]-'17_分析サンプル'!$E$18)/1000</f>
        <v>324.18900000000002</v>
      </c>
      <c r="V1247" s="57">
        <f>INT(tblJTL[[#This Row],[経過秒]]/60)</f>
        <v>5</v>
      </c>
      <c r="W1247" s="57">
        <f>IF(OR(tblJTL[[#This Row],[success]]=FALSE,tblJTL[[#This Row],[success]]="false"),1,0)</f>
        <v>0</v>
      </c>
      <c r="X1247" s="57">
        <f>IF(AND(tblJTL[[#This Row],[経過秒]]&gt;='17_分析サンプル'!$E$11,tblJTL[[#This Row],[経過秒]]&lt;'17_分析サンプル'!$E$12),1,0)</f>
        <v>1</v>
      </c>
    </row>
    <row r="1248" spans="2:24" ht="14.4" x14ac:dyDescent="0.3">
      <c r="B1248" s="57">
        <v>1790816724439</v>
      </c>
      <c r="C1248" s="58">
        <v>526</v>
      </c>
      <c r="D1248" s="59" t="s">
        <v>1658</v>
      </c>
      <c r="E1248" s="59" t="s">
        <v>1577</v>
      </c>
      <c r="F1248" s="59" t="s">
        <v>2275</v>
      </c>
      <c r="G1248" s="59" t="s">
        <v>3577</v>
      </c>
      <c r="H1248" s="59" t="s">
        <v>2281</v>
      </c>
      <c r="I1248" s="59" t="b">
        <v>1</v>
      </c>
      <c r="J1248" s="59"/>
      <c r="K1248" s="58">
        <v>1886</v>
      </c>
      <c r="L1248" s="58">
        <v>1342</v>
      </c>
      <c r="M1248" s="59">
        <v>10</v>
      </c>
      <c r="N1248" s="59">
        <v>10</v>
      </c>
      <c r="O1248" s="59" t="s">
        <v>3578</v>
      </c>
      <c r="P1248" s="58">
        <v>524</v>
      </c>
      <c r="Q1248" s="59">
        <v>0</v>
      </c>
      <c r="R1248" s="59">
        <v>0</v>
      </c>
      <c r="S1248" s="60">
        <f>tblJTL[[#This Row],[timeStamp]]/86400000+DATE(1970,1,1)+TIME(9,0,0)</f>
        <v>46296.42042174768</v>
      </c>
      <c r="T1248" s="57">
        <f>tblJTL[[#This Row],[timeStamp]]+tblJTL[[#This Row],[elapsed]]</f>
        <v>1790816724965</v>
      </c>
      <c r="U1248" s="61">
        <f>(tblJTL[[#This Row],[timeStamp]]-'17_分析サンプル'!$E$18)/1000</f>
        <v>324.25900000000001</v>
      </c>
      <c r="V1248" s="57">
        <f>INT(tblJTL[[#This Row],[経過秒]]/60)</f>
        <v>5</v>
      </c>
      <c r="W1248" s="57">
        <f>IF(OR(tblJTL[[#This Row],[success]]=FALSE,tblJTL[[#This Row],[success]]="false"),1,0)</f>
        <v>0</v>
      </c>
      <c r="X1248" s="57">
        <f>IF(AND(tblJTL[[#This Row],[経過秒]]&gt;='17_分析サンプル'!$E$11,tblJTL[[#This Row],[経過秒]]&lt;'17_分析サンプル'!$E$12),1,0)</f>
        <v>1</v>
      </c>
    </row>
    <row r="1249" spans="2:24" ht="14.4" x14ac:dyDescent="0.3">
      <c r="B1249" s="57">
        <v>1790816724760</v>
      </c>
      <c r="C1249" s="58">
        <v>287</v>
      </c>
      <c r="D1249" s="59" t="s">
        <v>1658</v>
      </c>
      <c r="E1249" s="59" t="s">
        <v>1577</v>
      </c>
      <c r="F1249" s="59" t="s">
        <v>2275</v>
      </c>
      <c r="G1249" s="59" t="s">
        <v>3586</v>
      </c>
      <c r="H1249" s="59" t="s">
        <v>2281</v>
      </c>
      <c r="I1249" s="59" t="b">
        <v>1</v>
      </c>
      <c r="J1249" s="59"/>
      <c r="K1249" s="58">
        <v>1861</v>
      </c>
      <c r="L1249" s="58">
        <v>1342</v>
      </c>
      <c r="M1249" s="59">
        <v>10</v>
      </c>
      <c r="N1249" s="59">
        <v>10</v>
      </c>
      <c r="O1249" s="59" t="s">
        <v>3578</v>
      </c>
      <c r="P1249" s="58">
        <v>280</v>
      </c>
      <c r="Q1249" s="59">
        <v>0</v>
      </c>
      <c r="R1249" s="59">
        <v>0</v>
      </c>
      <c r="S1249" s="60">
        <f>tblJTL[[#This Row],[timeStamp]]/86400000+DATE(1970,1,1)+TIME(9,0,0)</f>
        <v>46296.420425462959</v>
      </c>
      <c r="T1249" s="57">
        <f>tblJTL[[#This Row],[timeStamp]]+tblJTL[[#This Row],[elapsed]]</f>
        <v>1790816725047</v>
      </c>
      <c r="U1249" s="61">
        <f>(tblJTL[[#This Row],[timeStamp]]-'17_分析サンプル'!$E$18)/1000</f>
        <v>324.58</v>
      </c>
      <c r="V1249" s="57">
        <f>INT(tblJTL[[#This Row],[経過秒]]/60)</f>
        <v>5</v>
      </c>
      <c r="W1249" s="57">
        <f>IF(OR(tblJTL[[#This Row],[success]]=FALSE,tblJTL[[#This Row],[success]]="false"),1,0)</f>
        <v>0</v>
      </c>
      <c r="X1249" s="57">
        <f>IF(AND(tblJTL[[#This Row],[経過秒]]&gt;='17_分析サンプル'!$E$11,tblJTL[[#This Row],[経過秒]]&lt;'17_分析サンプル'!$E$12),1,0)</f>
        <v>1</v>
      </c>
    </row>
    <row r="1250" spans="2:24" ht="14.4" x14ac:dyDescent="0.3">
      <c r="B1250" s="57">
        <v>1790816723952</v>
      </c>
      <c r="C1250" s="58">
        <v>1331</v>
      </c>
      <c r="D1250" s="59" t="s">
        <v>1677</v>
      </c>
      <c r="E1250" s="59" t="s">
        <v>3579</v>
      </c>
      <c r="F1250" s="59" t="s">
        <v>3580</v>
      </c>
      <c r="G1250" s="59" t="s">
        <v>3582</v>
      </c>
      <c r="H1250" s="59" t="s">
        <v>2281</v>
      </c>
      <c r="I1250" s="59" t="b">
        <v>1</v>
      </c>
      <c r="J1250" s="59"/>
      <c r="K1250" s="58">
        <v>415</v>
      </c>
      <c r="L1250" s="58">
        <v>1478</v>
      </c>
      <c r="M1250" s="59">
        <v>10</v>
      </c>
      <c r="N1250" s="59">
        <v>10</v>
      </c>
      <c r="O1250" s="59" t="s">
        <v>3581</v>
      </c>
      <c r="P1250" s="58">
        <v>1327</v>
      </c>
      <c r="Q1250" s="59">
        <v>0</v>
      </c>
      <c r="R1250" s="59">
        <v>0</v>
      </c>
      <c r="S1250" s="60">
        <f>tblJTL[[#This Row],[timeStamp]]/86400000+DATE(1970,1,1)+TIME(9,0,0)</f>
        <v>46296.420416111112</v>
      </c>
      <c r="T1250" s="57">
        <f>tblJTL[[#This Row],[timeStamp]]+tblJTL[[#This Row],[elapsed]]</f>
        <v>1790816725283</v>
      </c>
      <c r="U1250" s="61">
        <f>(tblJTL[[#This Row],[timeStamp]]-'17_分析サンプル'!$E$18)/1000</f>
        <v>323.77199999999999</v>
      </c>
      <c r="V1250" s="57">
        <f>INT(tblJTL[[#This Row],[経過秒]]/60)</f>
        <v>5</v>
      </c>
      <c r="W1250" s="57">
        <f>IF(OR(tblJTL[[#This Row],[success]]=FALSE,tblJTL[[#This Row],[success]]="false"),1,0)</f>
        <v>0</v>
      </c>
      <c r="X1250" s="57">
        <f>IF(AND(tblJTL[[#This Row],[経過秒]]&gt;='17_分析サンプル'!$E$11,tblJTL[[#This Row],[経過秒]]&lt;'17_分析サンプル'!$E$12),1,0)</f>
        <v>1</v>
      </c>
    </row>
    <row r="1251" spans="2:24" ht="14.4" x14ac:dyDescent="0.3">
      <c r="B1251" s="57">
        <v>1790816725389</v>
      </c>
      <c r="C1251" s="58">
        <v>309</v>
      </c>
      <c r="D1251" s="59" t="s">
        <v>1658</v>
      </c>
      <c r="E1251" s="59" t="s">
        <v>1577</v>
      </c>
      <c r="F1251" s="59" t="s">
        <v>2275</v>
      </c>
      <c r="G1251" s="59" t="s">
        <v>2278</v>
      </c>
      <c r="H1251" s="59" t="s">
        <v>2281</v>
      </c>
      <c r="I1251" s="59" t="b">
        <v>1</v>
      </c>
      <c r="J1251" s="59"/>
      <c r="K1251" s="58">
        <v>1883</v>
      </c>
      <c r="L1251" s="58">
        <v>1342</v>
      </c>
      <c r="M1251" s="59">
        <v>10</v>
      </c>
      <c r="N1251" s="59">
        <v>10</v>
      </c>
      <c r="O1251" s="59" t="s">
        <v>3578</v>
      </c>
      <c r="P1251" s="58">
        <v>304</v>
      </c>
      <c r="Q1251" s="59">
        <v>0</v>
      </c>
      <c r="R1251" s="59">
        <v>69</v>
      </c>
      <c r="S1251" s="60">
        <f>tblJTL[[#This Row],[timeStamp]]/86400000+DATE(1970,1,1)+TIME(9,0,0)</f>
        <v>46296.420432743056</v>
      </c>
      <c r="T1251" s="57">
        <f>tblJTL[[#This Row],[timeStamp]]+tblJTL[[#This Row],[elapsed]]</f>
        <v>1790816725698</v>
      </c>
      <c r="U1251" s="61">
        <f>(tblJTL[[#This Row],[timeStamp]]-'17_分析サンプル'!$E$18)/1000</f>
        <v>325.209</v>
      </c>
      <c r="V1251" s="57">
        <f>INT(tblJTL[[#This Row],[経過秒]]/60)</f>
        <v>5</v>
      </c>
      <c r="W1251" s="57">
        <f>IF(OR(tblJTL[[#This Row],[success]]=FALSE,tblJTL[[#This Row],[success]]="false"),1,0)</f>
        <v>0</v>
      </c>
      <c r="X1251" s="57">
        <f>IF(AND(tblJTL[[#This Row],[経過秒]]&gt;='17_分析サンプル'!$E$11,tblJTL[[#This Row],[経過秒]]&lt;'17_分析サンプル'!$E$12),1,0)</f>
        <v>1</v>
      </c>
    </row>
    <row r="1252" spans="2:24" ht="14.4" x14ac:dyDescent="0.3">
      <c r="B1252" s="57">
        <v>1790816725371</v>
      </c>
      <c r="C1252" s="58">
        <v>347</v>
      </c>
      <c r="D1252" s="59" t="s">
        <v>1677</v>
      </c>
      <c r="E1252" s="59" t="s">
        <v>3579</v>
      </c>
      <c r="F1252" s="59" t="s">
        <v>3580</v>
      </c>
      <c r="G1252" s="59" t="s">
        <v>3588</v>
      </c>
      <c r="H1252" s="59" t="s">
        <v>2281</v>
      </c>
      <c r="I1252" s="59" t="b">
        <v>1</v>
      </c>
      <c r="J1252" s="59"/>
      <c r="K1252" s="58">
        <v>439</v>
      </c>
      <c r="L1252" s="58">
        <v>1478</v>
      </c>
      <c r="M1252" s="59">
        <v>10</v>
      </c>
      <c r="N1252" s="59">
        <v>10</v>
      </c>
      <c r="O1252" s="59" t="s">
        <v>3581</v>
      </c>
      <c r="P1252" s="58">
        <v>339</v>
      </c>
      <c r="Q1252" s="59">
        <v>0</v>
      </c>
      <c r="R1252" s="59">
        <v>0</v>
      </c>
      <c r="S1252" s="60">
        <f>tblJTL[[#This Row],[timeStamp]]/86400000+DATE(1970,1,1)+TIME(9,0,0)</f>
        <v>46296.420432534724</v>
      </c>
      <c r="T1252" s="57">
        <f>tblJTL[[#This Row],[timeStamp]]+tblJTL[[#This Row],[elapsed]]</f>
        <v>1790816725718</v>
      </c>
      <c r="U1252" s="61">
        <f>(tblJTL[[#This Row],[timeStamp]]-'17_分析サンプル'!$E$18)/1000</f>
        <v>325.19099999999997</v>
      </c>
      <c r="V1252" s="57">
        <f>INT(tblJTL[[#This Row],[経過秒]]/60)</f>
        <v>5</v>
      </c>
      <c r="W1252" s="57">
        <f>IF(OR(tblJTL[[#This Row],[success]]=FALSE,tblJTL[[#This Row],[success]]="false"),1,0)</f>
        <v>0</v>
      </c>
      <c r="X1252" s="57">
        <f>IF(AND(tblJTL[[#This Row],[経過秒]]&gt;='17_分析サンプル'!$E$11,tblJTL[[#This Row],[経過秒]]&lt;'17_分析サンプル'!$E$12),1,0)</f>
        <v>1</v>
      </c>
    </row>
    <row r="1253" spans="2:24" ht="14.4" x14ac:dyDescent="0.3">
      <c r="B1253" s="57">
        <v>1790816725711</v>
      </c>
      <c r="C1253" s="58">
        <v>132</v>
      </c>
      <c r="D1253" s="59" t="s">
        <v>1658</v>
      </c>
      <c r="E1253" s="59" t="s">
        <v>1577</v>
      </c>
      <c r="F1253" s="59" t="s">
        <v>2275</v>
      </c>
      <c r="G1253" s="59" t="s">
        <v>3583</v>
      </c>
      <c r="H1253" s="59" t="s">
        <v>2281</v>
      </c>
      <c r="I1253" s="59" t="b">
        <v>1</v>
      </c>
      <c r="J1253" s="59"/>
      <c r="K1253" s="58">
        <v>1886</v>
      </c>
      <c r="L1253" s="58">
        <v>1342</v>
      </c>
      <c r="M1253" s="59">
        <v>10</v>
      </c>
      <c r="N1253" s="59">
        <v>10</v>
      </c>
      <c r="O1253" s="59" t="s">
        <v>3578</v>
      </c>
      <c r="P1253" s="58">
        <v>129</v>
      </c>
      <c r="Q1253" s="59">
        <v>0</v>
      </c>
      <c r="R1253" s="59">
        <v>0</v>
      </c>
      <c r="S1253" s="60">
        <f>tblJTL[[#This Row],[timeStamp]]/86400000+DATE(1970,1,1)+TIME(9,0,0)</f>
        <v>46296.420436469911</v>
      </c>
      <c r="T1253" s="57">
        <f>tblJTL[[#This Row],[timeStamp]]+tblJTL[[#This Row],[elapsed]]</f>
        <v>1790816725843</v>
      </c>
      <c r="U1253" s="61">
        <f>(tblJTL[[#This Row],[timeStamp]]-'17_分析サンプル'!$E$18)/1000</f>
        <v>325.53100000000001</v>
      </c>
      <c r="V1253" s="57">
        <f>INT(tblJTL[[#This Row],[経過秒]]/60)</f>
        <v>5</v>
      </c>
      <c r="W1253" s="57">
        <f>IF(OR(tblJTL[[#This Row],[success]]=FALSE,tblJTL[[#This Row],[success]]="false"),1,0)</f>
        <v>0</v>
      </c>
      <c r="X1253" s="57">
        <f>IF(AND(tblJTL[[#This Row],[経過秒]]&gt;='17_分析サンプル'!$E$11,tblJTL[[#This Row],[経過秒]]&lt;'17_分析サンプル'!$E$12),1,0)</f>
        <v>1</v>
      </c>
    </row>
    <row r="1254" spans="2:24" ht="14.4" x14ac:dyDescent="0.3">
      <c r="B1254" s="57">
        <v>1790816726790</v>
      </c>
      <c r="C1254" s="58">
        <v>239</v>
      </c>
      <c r="D1254" s="59" t="s">
        <v>1658</v>
      </c>
      <c r="E1254" s="59" t="s">
        <v>1577</v>
      </c>
      <c r="F1254" s="59" t="s">
        <v>2275</v>
      </c>
      <c r="G1254" s="59" t="s">
        <v>3589</v>
      </c>
      <c r="H1254" s="59" t="s">
        <v>2281</v>
      </c>
      <c r="I1254" s="59" t="b">
        <v>1</v>
      </c>
      <c r="J1254" s="59"/>
      <c r="K1254" s="58">
        <v>1820</v>
      </c>
      <c r="L1254" s="58">
        <v>1342</v>
      </c>
      <c r="M1254" s="59">
        <v>10</v>
      </c>
      <c r="N1254" s="59">
        <v>10</v>
      </c>
      <c r="O1254" s="59" t="s">
        <v>3578</v>
      </c>
      <c r="P1254" s="58">
        <v>234</v>
      </c>
      <c r="Q1254" s="59">
        <v>0</v>
      </c>
      <c r="R1254" s="59">
        <v>0</v>
      </c>
      <c r="S1254" s="60">
        <f>tblJTL[[#This Row],[timeStamp]]/86400000+DATE(1970,1,1)+TIME(9,0,0)</f>
        <v>46296.420448958335</v>
      </c>
      <c r="T1254" s="57">
        <f>tblJTL[[#This Row],[timeStamp]]+tblJTL[[#This Row],[elapsed]]</f>
        <v>1790816727029</v>
      </c>
      <c r="U1254" s="61">
        <f>(tblJTL[[#This Row],[timeStamp]]-'17_分析サンプル'!$E$18)/1000</f>
        <v>326.61</v>
      </c>
      <c r="V1254" s="57">
        <f>INT(tblJTL[[#This Row],[経過秒]]/60)</f>
        <v>5</v>
      </c>
      <c r="W1254" s="57">
        <f>IF(OR(tblJTL[[#This Row],[success]]=FALSE,tblJTL[[#This Row],[success]]="false"),1,0)</f>
        <v>0</v>
      </c>
      <c r="X1254" s="57">
        <f>IF(AND(tblJTL[[#This Row],[経過秒]]&gt;='17_分析サンプル'!$E$11,tblJTL[[#This Row],[経過秒]]&lt;'17_分析サンプル'!$E$12),1,0)</f>
        <v>1</v>
      </c>
    </row>
    <row r="1255" spans="2:24" ht="14.4" x14ac:dyDescent="0.3">
      <c r="B1255" s="57">
        <v>1790816726079</v>
      </c>
      <c r="C1255" s="58">
        <v>987</v>
      </c>
      <c r="D1255" s="59" t="s">
        <v>1677</v>
      </c>
      <c r="E1255" s="59" t="s">
        <v>3579</v>
      </c>
      <c r="F1255" s="59" t="s">
        <v>3580</v>
      </c>
      <c r="G1255" s="59" t="s">
        <v>3577</v>
      </c>
      <c r="H1255" s="59" t="s">
        <v>2281</v>
      </c>
      <c r="I1255" s="59" t="b">
        <v>1</v>
      </c>
      <c r="J1255" s="59"/>
      <c r="K1255" s="58">
        <v>439</v>
      </c>
      <c r="L1255" s="58">
        <v>1478</v>
      </c>
      <c r="M1255" s="59">
        <v>10</v>
      </c>
      <c r="N1255" s="59">
        <v>10</v>
      </c>
      <c r="O1255" s="59" t="s">
        <v>3581</v>
      </c>
      <c r="P1255" s="58">
        <v>982</v>
      </c>
      <c r="Q1255" s="59">
        <v>0</v>
      </c>
      <c r="R1255" s="59">
        <v>0</v>
      </c>
      <c r="S1255" s="60">
        <f>tblJTL[[#This Row],[timeStamp]]/86400000+DATE(1970,1,1)+TIME(9,0,0)</f>
        <v>46296.420440729169</v>
      </c>
      <c r="T1255" s="57">
        <f>tblJTL[[#This Row],[timeStamp]]+tblJTL[[#This Row],[elapsed]]</f>
        <v>1790816727066</v>
      </c>
      <c r="U1255" s="61">
        <f>(tblJTL[[#This Row],[timeStamp]]-'17_分析サンプル'!$E$18)/1000</f>
        <v>325.899</v>
      </c>
      <c r="V1255" s="57">
        <f>INT(tblJTL[[#This Row],[経過秒]]/60)</f>
        <v>5</v>
      </c>
      <c r="W1255" s="57">
        <f>IF(OR(tblJTL[[#This Row],[success]]=FALSE,tblJTL[[#This Row],[success]]="false"),1,0)</f>
        <v>0</v>
      </c>
      <c r="X1255" s="57">
        <f>IF(AND(tblJTL[[#This Row],[経過秒]]&gt;='17_分析サンプル'!$E$11,tblJTL[[#This Row],[経過秒]]&lt;'17_分析サンプル'!$E$12),1,0)</f>
        <v>1</v>
      </c>
    </row>
    <row r="1256" spans="2:24" ht="14.4" x14ac:dyDescent="0.3">
      <c r="B1256" s="57">
        <v>1790816726803</v>
      </c>
      <c r="C1256" s="58">
        <v>339</v>
      </c>
      <c r="D1256" s="59" t="s">
        <v>1658</v>
      </c>
      <c r="E1256" s="59" t="s">
        <v>1577</v>
      </c>
      <c r="F1256" s="59" t="s">
        <v>2275</v>
      </c>
      <c r="G1256" s="59" t="s">
        <v>3588</v>
      </c>
      <c r="H1256" s="59" t="s">
        <v>2281</v>
      </c>
      <c r="I1256" s="59" t="b">
        <v>1</v>
      </c>
      <c r="J1256" s="59"/>
      <c r="K1256" s="58">
        <v>1877</v>
      </c>
      <c r="L1256" s="58">
        <v>1342</v>
      </c>
      <c r="M1256" s="59">
        <v>10</v>
      </c>
      <c r="N1256" s="59">
        <v>10</v>
      </c>
      <c r="O1256" s="59" t="s">
        <v>3578</v>
      </c>
      <c r="P1256" s="58">
        <v>333</v>
      </c>
      <c r="Q1256" s="59">
        <v>0</v>
      </c>
      <c r="R1256" s="59">
        <v>0</v>
      </c>
      <c r="S1256" s="60">
        <f>tblJTL[[#This Row],[timeStamp]]/86400000+DATE(1970,1,1)+TIME(9,0,0)</f>
        <v>46296.420449108795</v>
      </c>
      <c r="T1256" s="57">
        <f>tblJTL[[#This Row],[timeStamp]]+tblJTL[[#This Row],[elapsed]]</f>
        <v>1790816727142</v>
      </c>
      <c r="U1256" s="61">
        <f>(tblJTL[[#This Row],[timeStamp]]-'17_分析サンプル'!$E$18)/1000</f>
        <v>326.62299999999999</v>
      </c>
      <c r="V1256" s="57">
        <f>INT(tblJTL[[#This Row],[経過秒]]/60)</f>
        <v>5</v>
      </c>
      <c r="W1256" s="57">
        <f>IF(OR(tblJTL[[#This Row],[success]]=FALSE,tblJTL[[#This Row],[success]]="false"),1,0)</f>
        <v>0</v>
      </c>
      <c r="X1256" s="57">
        <f>IF(AND(tblJTL[[#This Row],[経過秒]]&gt;='17_分析サンプル'!$E$11,tblJTL[[#This Row],[経過秒]]&lt;'17_分析サンプル'!$E$12),1,0)</f>
        <v>1</v>
      </c>
    </row>
    <row r="1257" spans="2:24" ht="14.4" x14ac:dyDescent="0.3">
      <c r="B1257" s="57">
        <v>1790816725657</v>
      </c>
      <c r="C1257" s="58">
        <v>1518</v>
      </c>
      <c r="D1257" s="59" t="s">
        <v>1677</v>
      </c>
      <c r="E1257" s="59" t="s">
        <v>3579</v>
      </c>
      <c r="F1257" s="59" t="s">
        <v>3580</v>
      </c>
      <c r="G1257" s="59" t="s">
        <v>3585</v>
      </c>
      <c r="H1257" s="59" t="s">
        <v>2281</v>
      </c>
      <c r="I1257" s="59" t="b">
        <v>1</v>
      </c>
      <c r="J1257" s="59"/>
      <c r="K1257" s="58">
        <v>416</v>
      </c>
      <c r="L1257" s="58">
        <v>1478</v>
      </c>
      <c r="M1257" s="59">
        <v>10</v>
      </c>
      <c r="N1257" s="59">
        <v>10</v>
      </c>
      <c r="O1257" s="59" t="s">
        <v>3581</v>
      </c>
      <c r="P1257" s="58">
        <v>1510</v>
      </c>
      <c r="Q1257" s="59">
        <v>0</v>
      </c>
      <c r="R1257" s="59">
        <v>0</v>
      </c>
      <c r="S1257" s="60">
        <f>tblJTL[[#This Row],[timeStamp]]/86400000+DATE(1970,1,1)+TIME(9,0,0)</f>
        <v>46296.420435844906</v>
      </c>
      <c r="T1257" s="57">
        <f>tblJTL[[#This Row],[timeStamp]]+tblJTL[[#This Row],[elapsed]]</f>
        <v>1790816727175</v>
      </c>
      <c r="U1257" s="61">
        <f>(tblJTL[[#This Row],[timeStamp]]-'17_分析サンプル'!$E$18)/1000</f>
        <v>325.47699999999998</v>
      </c>
      <c r="V1257" s="57">
        <f>INT(tblJTL[[#This Row],[経過秒]]/60)</f>
        <v>5</v>
      </c>
      <c r="W1257" s="57">
        <f>IF(OR(tblJTL[[#This Row],[success]]=FALSE,tblJTL[[#This Row],[success]]="false"),1,0)</f>
        <v>0</v>
      </c>
      <c r="X1257" s="57">
        <f>IF(AND(tblJTL[[#This Row],[経過秒]]&gt;='17_分析サンプル'!$E$11,tblJTL[[#This Row],[経過秒]]&lt;'17_分析サンプル'!$E$12),1,0)</f>
        <v>1</v>
      </c>
    </row>
    <row r="1258" spans="2:24" ht="14.4" x14ac:dyDescent="0.3">
      <c r="B1258" s="57">
        <v>1790816725746</v>
      </c>
      <c r="C1258" s="58">
        <v>1480</v>
      </c>
      <c r="D1258" s="59" t="s">
        <v>1677</v>
      </c>
      <c r="E1258" s="59" t="s">
        <v>3579</v>
      </c>
      <c r="F1258" s="59" t="s">
        <v>3580</v>
      </c>
      <c r="G1258" s="59" t="s">
        <v>3587</v>
      </c>
      <c r="H1258" s="59" t="s">
        <v>2281</v>
      </c>
      <c r="I1258" s="59" t="b">
        <v>1</v>
      </c>
      <c r="J1258" s="59"/>
      <c r="K1258" s="58">
        <v>431</v>
      </c>
      <c r="L1258" s="58">
        <v>1478</v>
      </c>
      <c r="M1258" s="59">
        <v>10</v>
      </c>
      <c r="N1258" s="59">
        <v>10</v>
      </c>
      <c r="O1258" s="59" t="s">
        <v>3581</v>
      </c>
      <c r="P1258" s="58">
        <v>1477</v>
      </c>
      <c r="Q1258" s="59">
        <v>0</v>
      </c>
      <c r="R1258" s="59">
        <v>0</v>
      </c>
      <c r="S1258" s="60">
        <f>tblJTL[[#This Row],[timeStamp]]/86400000+DATE(1970,1,1)+TIME(9,0,0)</f>
        <v>46296.420436875</v>
      </c>
      <c r="T1258" s="57">
        <f>tblJTL[[#This Row],[timeStamp]]+tblJTL[[#This Row],[elapsed]]</f>
        <v>1790816727226</v>
      </c>
      <c r="U1258" s="61">
        <f>(tblJTL[[#This Row],[timeStamp]]-'17_分析サンプル'!$E$18)/1000</f>
        <v>325.56599999999997</v>
      </c>
      <c r="V1258" s="57">
        <f>INT(tblJTL[[#This Row],[経過秒]]/60)</f>
        <v>5</v>
      </c>
      <c r="W1258" s="57">
        <f>IF(OR(tblJTL[[#This Row],[success]]=FALSE,tblJTL[[#This Row],[success]]="false"),1,0)</f>
        <v>0</v>
      </c>
      <c r="X1258" s="57">
        <f>IF(AND(tblJTL[[#This Row],[経過秒]]&gt;='17_分析サンプル'!$E$11,tblJTL[[#This Row],[経過秒]]&lt;'17_分析サンプル'!$E$12),1,0)</f>
        <v>1</v>
      </c>
    </row>
    <row r="1259" spans="2:24" ht="14.4" x14ac:dyDescent="0.3">
      <c r="B1259" s="57">
        <v>1790816725690</v>
      </c>
      <c r="C1259" s="58">
        <v>2327</v>
      </c>
      <c r="D1259" s="59" t="s">
        <v>1677</v>
      </c>
      <c r="E1259" s="59" t="s">
        <v>3579</v>
      </c>
      <c r="F1259" s="59" t="s">
        <v>3580</v>
      </c>
      <c r="G1259" s="59" t="s">
        <v>3584</v>
      </c>
      <c r="H1259" s="59" t="s">
        <v>2281</v>
      </c>
      <c r="I1259" s="59" t="b">
        <v>1</v>
      </c>
      <c r="J1259" s="59"/>
      <c r="K1259" s="58">
        <v>410</v>
      </c>
      <c r="L1259" s="58">
        <v>1478</v>
      </c>
      <c r="M1259" s="59">
        <v>10</v>
      </c>
      <c r="N1259" s="59">
        <v>10</v>
      </c>
      <c r="O1259" s="59" t="s">
        <v>3581</v>
      </c>
      <c r="P1259" s="58">
        <v>2324</v>
      </c>
      <c r="Q1259" s="59">
        <v>0</v>
      </c>
      <c r="R1259" s="59">
        <v>0</v>
      </c>
      <c r="S1259" s="60">
        <f>tblJTL[[#This Row],[timeStamp]]/86400000+DATE(1970,1,1)+TIME(9,0,0)</f>
        <v>46296.42043622685</v>
      </c>
      <c r="T1259" s="57">
        <f>tblJTL[[#This Row],[timeStamp]]+tblJTL[[#This Row],[elapsed]]</f>
        <v>1790816728017</v>
      </c>
      <c r="U1259" s="61">
        <f>(tblJTL[[#This Row],[timeStamp]]-'17_分析サンプル'!$E$18)/1000</f>
        <v>325.51</v>
      </c>
      <c r="V1259" s="57">
        <f>INT(tblJTL[[#This Row],[経過秒]]/60)</f>
        <v>5</v>
      </c>
      <c r="W1259" s="57">
        <f>IF(OR(tblJTL[[#This Row],[success]]=FALSE,tblJTL[[#This Row],[success]]="false"),1,0)</f>
        <v>0</v>
      </c>
      <c r="X1259" s="57">
        <f>IF(AND(tblJTL[[#This Row],[経過秒]]&gt;='17_分析サンプル'!$E$11,tblJTL[[#This Row],[経過秒]]&lt;'17_分析サンプル'!$E$12),1,0)</f>
        <v>1</v>
      </c>
    </row>
    <row r="1260" spans="2:24" ht="14.4" x14ac:dyDescent="0.3">
      <c r="B1260" s="57">
        <v>1790816728085</v>
      </c>
      <c r="C1260" s="58">
        <v>250</v>
      </c>
      <c r="D1260" s="59" t="s">
        <v>1658</v>
      </c>
      <c r="E1260" s="59" t="s">
        <v>1577</v>
      </c>
      <c r="F1260" s="59" t="s">
        <v>2275</v>
      </c>
      <c r="G1260" s="59" t="s">
        <v>3582</v>
      </c>
      <c r="H1260" s="59" t="s">
        <v>2281</v>
      </c>
      <c r="I1260" s="59" t="b">
        <v>1</v>
      </c>
      <c r="J1260" s="59"/>
      <c r="K1260" s="58">
        <v>1868</v>
      </c>
      <c r="L1260" s="58">
        <v>1342</v>
      </c>
      <c r="M1260" s="59">
        <v>10</v>
      </c>
      <c r="N1260" s="59">
        <v>10</v>
      </c>
      <c r="O1260" s="59" t="s">
        <v>3578</v>
      </c>
      <c r="P1260" s="58">
        <v>246</v>
      </c>
      <c r="Q1260" s="59">
        <v>0</v>
      </c>
      <c r="R1260" s="59">
        <v>0</v>
      </c>
      <c r="S1260" s="60">
        <f>tblJTL[[#This Row],[timeStamp]]/86400000+DATE(1970,1,1)+TIME(9,0,0)</f>
        <v>46296.420463946764</v>
      </c>
      <c r="T1260" s="57">
        <f>tblJTL[[#This Row],[timeStamp]]+tblJTL[[#This Row],[elapsed]]</f>
        <v>1790816728335</v>
      </c>
      <c r="U1260" s="61">
        <f>(tblJTL[[#This Row],[timeStamp]]-'17_分析サンプル'!$E$18)/1000</f>
        <v>327.90499999999997</v>
      </c>
      <c r="V1260" s="57">
        <f>INT(tblJTL[[#This Row],[経過秒]]/60)</f>
        <v>5</v>
      </c>
      <c r="W1260" s="57">
        <f>IF(OR(tblJTL[[#This Row],[success]]=FALSE,tblJTL[[#This Row],[success]]="false"),1,0)</f>
        <v>0</v>
      </c>
      <c r="X1260" s="57">
        <f>IF(AND(tblJTL[[#This Row],[経過秒]]&gt;='17_分析サンプル'!$E$11,tblJTL[[#This Row],[経過秒]]&lt;'17_分析サンプル'!$E$12),1,0)</f>
        <v>1</v>
      </c>
    </row>
    <row r="1261" spans="2:24" ht="14.4" x14ac:dyDescent="0.3">
      <c r="B1261" s="57">
        <v>1790816726941</v>
      </c>
      <c r="C1261" s="58">
        <v>1586</v>
      </c>
      <c r="D1261" s="59" t="s">
        <v>1677</v>
      </c>
      <c r="E1261" s="59" t="s">
        <v>3579</v>
      </c>
      <c r="F1261" s="59" t="s">
        <v>3580</v>
      </c>
      <c r="G1261" s="59" t="s">
        <v>3586</v>
      </c>
      <c r="H1261" s="59" t="s">
        <v>2281</v>
      </c>
      <c r="I1261" s="59" t="b">
        <v>1</v>
      </c>
      <c r="J1261" s="59"/>
      <c r="K1261" s="58">
        <v>420</v>
      </c>
      <c r="L1261" s="58">
        <v>1478</v>
      </c>
      <c r="M1261" s="59">
        <v>10</v>
      </c>
      <c r="N1261" s="59">
        <v>10</v>
      </c>
      <c r="O1261" s="59" t="s">
        <v>3581</v>
      </c>
      <c r="P1261" s="58">
        <v>1579</v>
      </c>
      <c r="Q1261" s="59">
        <v>0</v>
      </c>
      <c r="R1261" s="59">
        <v>0</v>
      </c>
      <c r="S1261" s="60">
        <f>tblJTL[[#This Row],[timeStamp]]/86400000+DATE(1970,1,1)+TIME(9,0,0)</f>
        <v>46296.42045070602</v>
      </c>
      <c r="T1261" s="57">
        <f>tblJTL[[#This Row],[timeStamp]]+tblJTL[[#This Row],[elapsed]]</f>
        <v>1790816728527</v>
      </c>
      <c r="U1261" s="61">
        <f>(tblJTL[[#This Row],[timeStamp]]-'17_分析サンプル'!$E$18)/1000</f>
        <v>326.76100000000002</v>
      </c>
      <c r="V1261" s="57">
        <f>INT(tblJTL[[#This Row],[経過秒]]/60)</f>
        <v>5</v>
      </c>
      <c r="W1261" s="57">
        <f>IF(OR(tblJTL[[#This Row],[success]]=FALSE,tblJTL[[#This Row],[success]]="false"),1,0)</f>
        <v>0</v>
      </c>
      <c r="X1261" s="57">
        <f>IF(AND(tblJTL[[#This Row],[経過秒]]&gt;='17_分析サンプル'!$E$11,tblJTL[[#This Row],[経過秒]]&lt;'17_分析サンプル'!$E$12),1,0)</f>
        <v>1</v>
      </c>
    </row>
    <row r="1262" spans="2:24" ht="14.4" x14ac:dyDescent="0.3">
      <c r="B1262" s="57">
        <v>1790816728807</v>
      </c>
      <c r="C1262" s="58">
        <v>191</v>
      </c>
      <c r="D1262" s="59" t="s">
        <v>1658</v>
      </c>
      <c r="E1262" s="59" t="s">
        <v>1577</v>
      </c>
      <c r="F1262" s="59" t="s">
        <v>2275</v>
      </c>
      <c r="G1262" s="59" t="s">
        <v>3585</v>
      </c>
      <c r="H1262" s="59" t="s">
        <v>2281</v>
      </c>
      <c r="I1262" s="59" t="b">
        <v>1</v>
      </c>
      <c r="J1262" s="59"/>
      <c r="K1262" s="58">
        <v>1827</v>
      </c>
      <c r="L1262" s="58">
        <v>1342</v>
      </c>
      <c r="M1262" s="59">
        <v>10</v>
      </c>
      <c r="N1262" s="59">
        <v>10</v>
      </c>
      <c r="O1262" s="59" t="s">
        <v>3578</v>
      </c>
      <c r="P1262" s="58">
        <v>187</v>
      </c>
      <c r="Q1262" s="59">
        <v>0</v>
      </c>
      <c r="R1262" s="59">
        <v>0</v>
      </c>
      <c r="S1262" s="60">
        <f>tblJTL[[#This Row],[timeStamp]]/86400000+DATE(1970,1,1)+TIME(9,0,0)</f>
        <v>46296.420472303245</v>
      </c>
      <c r="T1262" s="57">
        <f>tblJTL[[#This Row],[timeStamp]]+tblJTL[[#This Row],[elapsed]]</f>
        <v>1790816728998</v>
      </c>
      <c r="U1262" s="61">
        <f>(tblJTL[[#This Row],[timeStamp]]-'17_分析サンプル'!$E$18)/1000</f>
        <v>328.62700000000001</v>
      </c>
      <c r="V1262" s="57">
        <f>INT(tblJTL[[#This Row],[経過秒]]/60)</f>
        <v>5</v>
      </c>
      <c r="W1262" s="57">
        <f>IF(OR(tblJTL[[#This Row],[success]]=FALSE,tblJTL[[#This Row],[success]]="false"),1,0)</f>
        <v>0</v>
      </c>
      <c r="X1262" s="57">
        <f>IF(AND(tblJTL[[#This Row],[経過秒]]&gt;='17_分析サンプル'!$E$11,tblJTL[[#This Row],[経過秒]]&lt;'17_分析サンプル'!$E$12),1,0)</f>
        <v>1</v>
      </c>
    </row>
    <row r="1263" spans="2:24" ht="14.4" x14ac:dyDescent="0.3">
      <c r="B1263" s="57">
        <v>1790816728137</v>
      </c>
      <c r="C1263" s="58">
        <v>1227</v>
      </c>
      <c r="D1263" s="59" t="s">
        <v>1677</v>
      </c>
      <c r="E1263" s="59" t="s">
        <v>3579</v>
      </c>
      <c r="F1263" s="59" t="s">
        <v>3580</v>
      </c>
      <c r="G1263" s="59" t="s">
        <v>2278</v>
      </c>
      <c r="H1263" s="59" t="s">
        <v>2281</v>
      </c>
      <c r="I1263" s="59" t="b">
        <v>1</v>
      </c>
      <c r="J1263" s="59"/>
      <c r="K1263" s="58">
        <v>420</v>
      </c>
      <c r="L1263" s="58">
        <v>1478</v>
      </c>
      <c r="M1263" s="59">
        <v>10</v>
      </c>
      <c r="N1263" s="59">
        <v>10</v>
      </c>
      <c r="O1263" s="59" t="s">
        <v>3581</v>
      </c>
      <c r="P1263" s="58">
        <v>1222</v>
      </c>
      <c r="Q1263" s="59">
        <v>0</v>
      </c>
      <c r="R1263" s="59">
        <v>0</v>
      </c>
      <c r="S1263" s="60">
        <f>tblJTL[[#This Row],[timeStamp]]/86400000+DATE(1970,1,1)+TIME(9,0,0)</f>
        <v>46296.42046454861</v>
      </c>
      <c r="T1263" s="57">
        <f>tblJTL[[#This Row],[timeStamp]]+tblJTL[[#This Row],[elapsed]]</f>
        <v>1790816729364</v>
      </c>
      <c r="U1263" s="61">
        <f>(tblJTL[[#This Row],[timeStamp]]-'17_分析サンプル'!$E$18)/1000</f>
        <v>327.95699999999999</v>
      </c>
      <c r="V1263" s="57">
        <f>INT(tblJTL[[#This Row],[経過秒]]/60)</f>
        <v>5</v>
      </c>
      <c r="W1263" s="57">
        <f>IF(OR(tblJTL[[#This Row],[success]]=FALSE,tblJTL[[#This Row],[success]]="false"),1,0)</f>
        <v>0</v>
      </c>
      <c r="X1263" s="57">
        <f>IF(AND(tblJTL[[#This Row],[経過秒]]&gt;='17_分析サンプル'!$E$11,tblJTL[[#This Row],[経過秒]]&lt;'17_分析サンプル'!$E$12),1,0)</f>
        <v>1</v>
      </c>
    </row>
    <row r="1264" spans="2:24" ht="14.4" x14ac:dyDescent="0.3">
      <c r="B1264" s="57">
        <v>1790816729295</v>
      </c>
      <c r="C1264" s="58">
        <v>267</v>
      </c>
      <c r="D1264" s="59" t="s">
        <v>1658</v>
      </c>
      <c r="E1264" s="59" t="s">
        <v>1577</v>
      </c>
      <c r="F1264" s="59" t="s">
        <v>2275</v>
      </c>
      <c r="G1264" s="59" t="s">
        <v>3587</v>
      </c>
      <c r="H1264" s="59" t="s">
        <v>2281</v>
      </c>
      <c r="I1264" s="59" t="b">
        <v>1</v>
      </c>
      <c r="J1264" s="59"/>
      <c r="K1264" s="58">
        <v>1890</v>
      </c>
      <c r="L1264" s="58">
        <v>1342</v>
      </c>
      <c r="M1264" s="59">
        <v>10</v>
      </c>
      <c r="N1264" s="59">
        <v>10</v>
      </c>
      <c r="O1264" s="59" t="s">
        <v>3578</v>
      </c>
      <c r="P1264" s="58">
        <v>265</v>
      </c>
      <c r="Q1264" s="59">
        <v>0</v>
      </c>
      <c r="R1264" s="59">
        <v>0</v>
      </c>
      <c r="S1264" s="60">
        <f>tblJTL[[#This Row],[timeStamp]]/86400000+DATE(1970,1,1)+TIME(9,0,0)</f>
        <v>46296.420477951389</v>
      </c>
      <c r="T1264" s="57">
        <f>tblJTL[[#This Row],[timeStamp]]+tblJTL[[#This Row],[elapsed]]</f>
        <v>1790816729562</v>
      </c>
      <c r="U1264" s="61">
        <f>(tblJTL[[#This Row],[timeStamp]]-'17_分析サンプル'!$E$18)/1000</f>
        <v>329.11500000000001</v>
      </c>
      <c r="V1264" s="57">
        <f>INT(tblJTL[[#This Row],[経過秒]]/60)</f>
        <v>5</v>
      </c>
      <c r="W1264" s="57">
        <f>IF(OR(tblJTL[[#This Row],[success]]=FALSE,tblJTL[[#This Row],[success]]="false"),1,0)</f>
        <v>0</v>
      </c>
      <c r="X1264" s="57">
        <f>IF(AND(tblJTL[[#This Row],[経過秒]]&gt;='17_分析サンプル'!$E$11,tblJTL[[#This Row],[経過秒]]&lt;'17_分析サンプル'!$E$12),1,0)</f>
        <v>1</v>
      </c>
    </row>
    <row r="1265" spans="2:24" ht="14.4" x14ac:dyDescent="0.3">
      <c r="B1265" s="57">
        <v>1790816728603</v>
      </c>
      <c r="C1265" s="58">
        <v>987</v>
      </c>
      <c r="D1265" s="59" t="s">
        <v>1677</v>
      </c>
      <c r="E1265" s="59" t="s">
        <v>3579</v>
      </c>
      <c r="F1265" s="59" t="s">
        <v>3580</v>
      </c>
      <c r="G1265" s="59" t="s">
        <v>3583</v>
      </c>
      <c r="H1265" s="59" t="s">
        <v>2281</v>
      </c>
      <c r="I1265" s="59" t="b">
        <v>1</v>
      </c>
      <c r="J1265" s="59"/>
      <c r="K1265" s="58">
        <v>437</v>
      </c>
      <c r="L1265" s="58">
        <v>1478</v>
      </c>
      <c r="M1265" s="59">
        <v>10</v>
      </c>
      <c r="N1265" s="59">
        <v>10</v>
      </c>
      <c r="O1265" s="59" t="s">
        <v>3581</v>
      </c>
      <c r="P1265" s="58">
        <v>981</v>
      </c>
      <c r="Q1265" s="59">
        <v>0</v>
      </c>
      <c r="R1265" s="59">
        <v>54</v>
      </c>
      <c r="S1265" s="60">
        <f>tblJTL[[#This Row],[timeStamp]]/86400000+DATE(1970,1,1)+TIME(9,0,0)</f>
        <v>46296.420469942124</v>
      </c>
      <c r="T1265" s="57">
        <f>tblJTL[[#This Row],[timeStamp]]+tblJTL[[#This Row],[elapsed]]</f>
        <v>1790816729590</v>
      </c>
      <c r="U1265" s="61">
        <f>(tblJTL[[#This Row],[timeStamp]]-'17_分析サンプル'!$E$18)/1000</f>
        <v>328.423</v>
      </c>
      <c r="V1265" s="57">
        <f>INT(tblJTL[[#This Row],[経過秒]]/60)</f>
        <v>5</v>
      </c>
      <c r="W1265" s="57">
        <f>IF(OR(tblJTL[[#This Row],[success]]=FALSE,tblJTL[[#This Row],[success]]="false"),1,0)</f>
        <v>0</v>
      </c>
      <c r="X1265" s="57">
        <f>IF(AND(tblJTL[[#This Row],[経過秒]]&gt;='17_分析サンプル'!$E$11,tblJTL[[#This Row],[経過秒]]&lt;'17_分析サンプル'!$E$12),1,0)</f>
        <v>1</v>
      </c>
    </row>
    <row r="1266" spans="2:24" ht="14.4" x14ac:dyDescent="0.3">
      <c r="B1266" s="57">
        <v>1790816729456</v>
      </c>
      <c r="C1266" s="58">
        <v>286</v>
      </c>
      <c r="D1266" s="59" t="s">
        <v>1658</v>
      </c>
      <c r="E1266" s="59" t="s">
        <v>1577</v>
      </c>
      <c r="F1266" s="59" t="s">
        <v>2275</v>
      </c>
      <c r="G1266" s="59" t="s">
        <v>3577</v>
      </c>
      <c r="H1266" s="59" t="s">
        <v>2281</v>
      </c>
      <c r="I1266" s="59" t="b">
        <v>1</v>
      </c>
      <c r="J1266" s="59"/>
      <c r="K1266" s="58">
        <v>1888</v>
      </c>
      <c r="L1266" s="58">
        <v>1342</v>
      </c>
      <c r="M1266" s="59">
        <v>10</v>
      </c>
      <c r="N1266" s="59">
        <v>10</v>
      </c>
      <c r="O1266" s="59" t="s">
        <v>3578</v>
      </c>
      <c r="P1266" s="58">
        <v>284</v>
      </c>
      <c r="Q1266" s="59">
        <v>0</v>
      </c>
      <c r="R1266" s="59">
        <v>0</v>
      </c>
      <c r="S1266" s="60">
        <f>tblJTL[[#This Row],[timeStamp]]/86400000+DATE(1970,1,1)+TIME(9,0,0)</f>
        <v>46296.420479814813</v>
      </c>
      <c r="T1266" s="57">
        <f>tblJTL[[#This Row],[timeStamp]]+tblJTL[[#This Row],[elapsed]]</f>
        <v>1790816729742</v>
      </c>
      <c r="U1266" s="61">
        <f>(tblJTL[[#This Row],[timeStamp]]-'17_分析サンプル'!$E$18)/1000</f>
        <v>329.27600000000001</v>
      </c>
      <c r="V1266" s="57">
        <f>INT(tblJTL[[#This Row],[経過秒]]/60)</f>
        <v>5</v>
      </c>
      <c r="W1266" s="57">
        <f>IF(OR(tblJTL[[#This Row],[success]]=FALSE,tblJTL[[#This Row],[success]]="false"),1,0)</f>
        <v>0</v>
      </c>
      <c r="X1266" s="57">
        <f>IF(AND(tblJTL[[#This Row],[経過秒]]&gt;='17_分析サンプル'!$E$11,tblJTL[[#This Row],[経過秒]]&lt;'17_分析サンプル'!$E$12),1,0)</f>
        <v>1</v>
      </c>
    </row>
    <row r="1267" spans="2:24" ht="14.4" x14ac:dyDescent="0.3">
      <c r="B1267" s="57">
        <v>1790816728917</v>
      </c>
      <c r="C1267" s="58">
        <v>945</v>
      </c>
      <c r="D1267" s="59" t="s">
        <v>1677</v>
      </c>
      <c r="E1267" s="59" t="s">
        <v>3579</v>
      </c>
      <c r="F1267" s="59" t="s">
        <v>3580</v>
      </c>
      <c r="G1267" s="59" t="s">
        <v>3588</v>
      </c>
      <c r="H1267" s="59" t="s">
        <v>2281</v>
      </c>
      <c r="I1267" s="59" t="b">
        <v>1</v>
      </c>
      <c r="J1267" s="59"/>
      <c r="K1267" s="58">
        <v>424</v>
      </c>
      <c r="L1267" s="58">
        <v>1478</v>
      </c>
      <c r="M1267" s="59">
        <v>10</v>
      </c>
      <c r="N1267" s="59">
        <v>10</v>
      </c>
      <c r="O1267" s="59" t="s">
        <v>3581</v>
      </c>
      <c r="P1267" s="58">
        <v>939</v>
      </c>
      <c r="Q1267" s="59">
        <v>0</v>
      </c>
      <c r="R1267" s="59">
        <v>0</v>
      </c>
      <c r="S1267" s="60">
        <f>tblJTL[[#This Row],[timeStamp]]/86400000+DATE(1970,1,1)+TIME(9,0,0)</f>
        <v>46296.420473576392</v>
      </c>
      <c r="T1267" s="57">
        <f>tblJTL[[#This Row],[timeStamp]]+tblJTL[[#This Row],[elapsed]]</f>
        <v>1790816729862</v>
      </c>
      <c r="U1267" s="61">
        <f>(tblJTL[[#This Row],[timeStamp]]-'17_分析サンプル'!$E$18)/1000</f>
        <v>328.73700000000002</v>
      </c>
      <c r="V1267" s="57">
        <f>INT(tblJTL[[#This Row],[経過秒]]/60)</f>
        <v>5</v>
      </c>
      <c r="W1267" s="57">
        <f>IF(OR(tblJTL[[#This Row],[success]]=FALSE,tblJTL[[#This Row],[success]]="false"),1,0)</f>
        <v>0</v>
      </c>
      <c r="X1267" s="57">
        <f>IF(AND(tblJTL[[#This Row],[経過秒]]&gt;='17_分析サンプル'!$E$11,tblJTL[[#This Row],[経過秒]]&lt;'17_分析サンプル'!$E$12),1,0)</f>
        <v>1</v>
      </c>
    </row>
    <row r="1268" spans="2:24" ht="14.4" x14ac:dyDescent="0.3">
      <c r="B1268" s="57">
        <v>1790816730003</v>
      </c>
      <c r="C1268" s="58">
        <v>160</v>
      </c>
      <c r="D1268" s="59" t="s">
        <v>1658</v>
      </c>
      <c r="E1268" s="59" t="s">
        <v>1577</v>
      </c>
      <c r="F1268" s="59" t="s">
        <v>2275</v>
      </c>
      <c r="G1268" s="59" t="s">
        <v>3584</v>
      </c>
      <c r="H1268" s="59" t="s">
        <v>2281</v>
      </c>
      <c r="I1268" s="59" t="b">
        <v>1</v>
      </c>
      <c r="J1268" s="59"/>
      <c r="K1268" s="58">
        <v>1824</v>
      </c>
      <c r="L1268" s="58">
        <v>1342</v>
      </c>
      <c r="M1268" s="59">
        <v>10</v>
      </c>
      <c r="N1268" s="59">
        <v>10</v>
      </c>
      <c r="O1268" s="59" t="s">
        <v>3578</v>
      </c>
      <c r="P1268" s="58">
        <v>154</v>
      </c>
      <c r="Q1268" s="59">
        <v>0</v>
      </c>
      <c r="R1268" s="59">
        <v>0</v>
      </c>
      <c r="S1268" s="60">
        <f>tblJTL[[#This Row],[timeStamp]]/86400000+DATE(1970,1,1)+TIME(9,0,0)</f>
        <v>46296.420486145835</v>
      </c>
      <c r="T1268" s="57">
        <f>tblJTL[[#This Row],[timeStamp]]+tblJTL[[#This Row],[elapsed]]</f>
        <v>1790816730163</v>
      </c>
      <c r="U1268" s="61">
        <f>(tblJTL[[#This Row],[timeStamp]]-'17_分析サンプル'!$E$18)/1000</f>
        <v>329.82299999999998</v>
      </c>
      <c r="V1268" s="57">
        <f>INT(tblJTL[[#This Row],[経過秒]]/60)</f>
        <v>5</v>
      </c>
      <c r="W1268" s="57">
        <f>IF(OR(tblJTL[[#This Row],[success]]=FALSE,tblJTL[[#This Row],[success]]="false"),1,0)</f>
        <v>0</v>
      </c>
      <c r="X1268" s="57">
        <f>IF(AND(tblJTL[[#This Row],[経過秒]]&gt;='17_分析サンプル'!$E$11,tblJTL[[#This Row],[経過秒]]&lt;'17_分析サンプル'!$E$12),1,0)</f>
        <v>1</v>
      </c>
    </row>
    <row r="1269" spans="2:24" ht="14.4" x14ac:dyDescent="0.3">
      <c r="B1269" s="57">
        <v>1790816729937</v>
      </c>
      <c r="C1269" s="58">
        <v>309</v>
      </c>
      <c r="D1269" s="59" t="s">
        <v>1658</v>
      </c>
      <c r="E1269" s="59" t="s">
        <v>1577</v>
      </c>
      <c r="F1269" s="59" t="s">
        <v>2275</v>
      </c>
      <c r="G1269" s="59" t="s">
        <v>3586</v>
      </c>
      <c r="H1269" s="59" t="s">
        <v>2281</v>
      </c>
      <c r="I1269" s="59" t="b">
        <v>1</v>
      </c>
      <c r="J1269" s="59"/>
      <c r="K1269" s="58">
        <v>1821</v>
      </c>
      <c r="L1269" s="58">
        <v>1342</v>
      </c>
      <c r="M1269" s="59">
        <v>10</v>
      </c>
      <c r="N1269" s="59">
        <v>10</v>
      </c>
      <c r="O1269" s="59" t="s">
        <v>3578</v>
      </c>
      <c r="P1269" s="58">
        <v>305</v>
      </c>
      <c r="Q1269" s="59">
        <v>0</v>
      </c>
      <c r="R1269" s="59">
        <v>0</v>
      </c>
      <c r="S1269" s="60">
        <f>tblJTL[[#This Row],[timeStamp]]/86400000+DATE(1970,1,1)+TIME(9,0,0)</f>
        <v>46296.420485381939</v>
      </c>
      <c r="T1269" s="57">
        <f>tblJTL[[#This Row],[timeStamp]]+tblJTL[[#This Row],[elapsed]]</f>
        <v>1790816730246</v>
      </c>
      <c r="U1269" s="61">
        <f>(tblJTL[[#This Row],[timeStamp]]-'17_分析サンプル'!$E$18)/1000</f>
        <v>329.75700000000001</v>
      </c>
      <c r="V1269" s="57">
        <f>INT(tblJTL[[#This Row],[経過秒]]/60)</f>
        <v>5</v>
      </c>
      <c r="W1269" s="57">
        <f>IF(OR(tblJTL[[#This Row],[success]]=FALSE,tblJTL[[#This Row],[success]]="false"),1,0)</f>
        <v>0</v>
      </c>
      <c r="X1269" s="57">
        <f>IF(AND(tblJTL[[#This Row],[経過秒]]&gt;='17_分析サンプル'!$E$11,tblJTL[[#This Row],[経過秒]]&lt;'17_分析サンプル'!$E$12),1,0)</f>
        <v>1</v>
      </c>
    </row>
    <row r="1270" spans="2:24" ht="14.4" x14ac:dyDescent="0.3">
      <c r="B1270" s="57">
        <v>1790816728959</v>
      </c>
      <c r="C1270" s="58">
        <v>1765</v>
      </c>
      <c r="D1270" s="59" t="s">
        <v>1677</v>
      </c>
      <c r="E1270" s="59" t="s">
        <v>3579</v>
      </c>
      <c r="F1270" s="59" t="s">
        <v>3580</v>
      </c>
      <c r="G1270" s="59" t="s">
        <v>3589</v>
      </c>
      <c r="H1270" s="59" t="s">
        <v>2281</v>
      </c>
      <c r="I1270" s="59" t="b">
        <v>1</v>
      </c>
      <c r="J1270" s="59"/>
      <c r="K1270" s="58">
        <v>413</v>
      </c>
      <c r="L1270" s="58">
        <v>1478</v>
      </c>
      <c r="M1270" s="59">
        <v>10</v>
      </c>
      <c r="N1270" s="59">
        <v>10</v>
      </c>
      <c r="O1270" s="59" t="s">
        <v>3581</v>
      </c>
      <c r="P1270" s="58">
        <v>1761</v>
      </c>
      <c r="Q1270" s="59">
        <v>0</v>
      </c>
      <c r="R1270" s="59">
        <v>0</v>
      </c>
      <c r="S1270" s="60">
        <f>tblJTL[[#This Row],[timeStamp]]/86400000+DATE(1970,1,1)+TIME(9,0,0)</f>
        <v>46296.420474062499</v>
      </c>
      <c r="T1270" s="57">
        <f>tblJTL[[#This Row],[timeStamp]]+tblJTL[[#This Row],[elapsed]]</f>
        <v>1790816730724</v>
      </c>
      <c r="U1270" s="61">
        <f>(tblJTL[[#This Row],[timeStamp]]-'17_分析サンプル'!$E$18)/1000</f>
        <v>328.779</v>
      </c>
      <c r="V1270" s="57">
        <f>INT(tblJTL[[#This Row],[経過秒]]/60)</f>
        <v>5</v>
      </c>
      <c r="W1270" s="57">
        <f>IF(OR(tblJTL[[#This Row],[success]]=FALSE,tblJTL[[#This Row],[success]]="false"),1,0)</f>
        <v>0</v>
      </c>
      <c r="X1270" s="57">
        <f>IF(AND(tblJTL[[#This Row],[経過秒]]&gt;='17_分析サンプル'!$E$11,tblJTL[[#This Row],[経過秒]]&lt;'17_分析サンプル'!$E$12),1,0)</f>
        <v>1</v>
      </c>
    </row>
    <row r="1271" spans="2:24" ht="14.4" x14ac:dyDescent="0.3">
      <c r="B1271" s="57">
        <v>1790816730807</v>
      </c>
      <c r="C1271" s="58">
        <v>297</v>
      </c>
      <c r="D1271" s="59" t="s">
        <v>1658</v>
      </c>
      <c r="E1271" s="59" t="s">
        <v>1577</v>
      </c>
      <c r="F1271" s="59" t="s">
        <v>2275</v>
      </c>
      <c r="G1271" s="59" t="s">
        <v>3583</v>
      </c>
      <c r="H1271" s="59" t="s">
        <v>2281</v>
      </c>
      <c r="I1271" s="59" t="b">
        <v>1</v>
      </c>
      <c r="J1271" s="59"/>
      <c r="K1271" s="58">
        <v>1893</v>
      </c>
      <c r="L1271" s="58">
        <v>1342</v>
      </c>
      <c r="M1271" s="59">
        <v>10</v>
      </c>
      <c r="N1271" s="59">
        <v>10</v>
      </c>
      <c r="O1271" s="59" t="s">
        <v>3578</v>
      </c>
      <c r="P1271" s="58">
        <v>294</v>
      </c>
      <c r="Q1271" s="59">
        <v>0</v>
      </c>
      <c r="R1271" s="59">
        <v>0</v>
      </c>
      <c r="S1271" s="60">
        <f>tblJTL[[#This Row],[timeStamp]]/86400000+DATE(1970,1,1)+TIME(9,0,0)</f>
        <v>46296.420495451384</v>
      </c>
      <c r="T1271" s="57">
        <f>tblJTL[[#This Row],[timeStamp]]+tblJTL[[#This Row],[elapsed]]</f>
        <v>1790816731104</v>
      </c>
      <c r="U1271" s="61">
        <f>(tblJTL[[#This Row],[timeStamp]]-'17_分析サンプル'!$E$18)/1000</f>
        <v>330.62700000000001</v>
      </c>
      <c r="V1271" s="57">
        <f>INT(tblJTL[[#This Row],[経過秒]]/60)</f>
        <v>5</v>
      </c>
      <c r="W1271" s="57">
        <f>IF(OR(tblJTL[[#This Row],[success]]=FALSE,tblJTL[[#This Row],[success]]="false"),1,0)</f>
        <v>0</v>
      </c>
      <c r="X1271" s="57">
        <f>IF(AND(tblJTL[[#This Row],[経過秒]]&gt;='17_分析サンプル'!$E$11,tblJTL[[#This Row],[経過秒]]&lt;'17_分析サンプル'!$E$12),1,0)</f>
        <v>1</v>
      </c>
    </row>
    <row r="1272" spans="2:24" ht="14.4" x14ac:dyDescent="0.3">
      <c r="B1272" s="57">
        <v>1790816730885</v>
      </c>
      <c r="C1272" s="58">
        <v>321</v>
      </c>
      <c r="D1272" s="59" t="s">
        <v>1658</v>
      </c>
      <c r="E1272" s="59" t="s">
        <v>1577</v>
      </c>
      <c r="F1272" s="59" t="s">
        <v>2275</v>
      </c>
      <c r="G1272" s="59" t="s">
        <v>2278</v>
      </c>
      <c r="H1272" s="59" t="s">
        <v>2281</v>
      </c>
      <c r="I1272" s="59" t="b">
        <v>1</v>
      </c>
      <c r="J1272" s="59"/>
      <c r="K1272" s="58">
        <v>1849</v>
      </c>
      <c r="L1272" s="58">
        <v>1342</v>
      </c>
      <c r="M1272" s="59">
        <v>10</v>
      </c>
      <c r="N1272" s="59">
        <v>10</v>
      </c>
      <c r="O1272" s="59" t="s">
        <v>3578</v>
      </c>
      <c r="P1272" s="58">
        <v>315</v>
      </c>
      <c r="Q1272" s="59">
        <v>0</v>
      </c>
      <c r="R1272" s="59">
        <v>0</v>
      </c>
      <c r="S1272" s="60">
        <f>tblJTL[[#This Row],[timeStamp]]/86400000+DATE(1970,1,1)+TIME(9,0,0)</f>
        <v>46296.420496354171</v>
      </c>
      <c r="T1272" s="57">
        <f>tblJTL[[#This Row],[timeStamp]]+tblJTL[[#This Row],[elapsed]]</f>
        <v>1790816731206</v>
      </c>
      <c r="U1272" s="61">
        <f>(tblJTL[[#This Row],[timeStamp]]-'17_分析サンプル'!$E$18)/1000</f>
        <v>330.70499999999998</v>
      </c>
      <c r="V1272" s="57">
        <f>INT(tblJTL[[#This Row],[経過秒]]/60)</f>
        <v>5</v>
      </c>
      <c r="W1272" s="57">
        <f>IF(OR(tblJTL[[#This Row],[success]]=FALSE,tblJTL[[#This Row],[success]]="false"),1,0)</f>
        <v>0</v>
      </c>
      <c r="X1272" s="57">
        <f>IF(AND(tblJTL[[#This Row],[経過秒]]&gt;='17_分析サンプル'!$E$11,tblJTL[[#This Row],[経過秒]]&lt;'17_分析サンプル'!$E$12),1,0)</f>
        <v>1</v>
      </c>
    </row>
    <row r="1273" spans="2:24" ht="14.4" x14ac:dyDescent="0.3">
      <c r="B1273" s="57">
        <v>1790816729927</v>
      </c>
      <c r="C1273" s="58">
        <v>1412</v>
      </c>
      <c r="D1273" s="59" t="s">
        <v>1677</v>
      </c>
      <c r="E1273" s="59" t="s">
        <v>3579</v>
      </c>
      <c r="F1273" s="59" t="s">
        <v>3580</v>
      </c>
      <c r="G1273" s="59" t="s">
        <v>3582</v>
      </c>
      <c r="H1273" s="59" t="s">
        <v>2281</v>
      </c>
      <c r="I1273" s="59" t="b">
        <v>1</v>
      </c>
      <c r="J1273" s="59"/>
      <c r="K1273" s="58">
        <v>438</v>
      </c>
      <c r="L1273" s="58">
        <v>1478</v>
      </c>
      <c r="M1273" s="59">
        <v>10</v>
      </c>
      <c r="N1273" s="59">
        <v>10</v>
      </c>
      <c r="O1273" s="59" t="s">
        <v>3581</v>
      </c>
      <c r="P1273" s="58">
        <v>1405</v>
      </c>
      <c r="Q1273" s="59">
        <v>0</v>
      </c>
      <c r="R1273" s="59">
        <v>0</v>
      </c>
      <c r="S1273" s="60">
        <f>tblJTL[[#This Row],[timeStamp]]/86400000+DATE(1970,1,1)+TIME(9,0,0)</f>
        <v>46296.420485266208</v>
      </c>
      <c r="T1273" s="57">
        <f>tblJTL[[#This Row],[timeStamp]]+tblJTL[[#This Row],[elapsed]]</f>
        <v>1790816731339</v>
      </c>
      <c r="U1273" s="61">
        <f>(tblJTL[[#This Row],[timeStamp]]-'17_分析サンプル'!$E$18)/1000</f>
        <v>329.74700000000001</v>
      </c>
      <c r="V1273" s="57">
        <f>INT(tblJTL[[#This Row],[経過秒]]/60)</f>
        <v>5</v>
      </c>
      <c r="W1273" s="57">
        <f>IF(OR(tblJTL[[#This Row],[success]]=FALSE,tblJTL[[#This Row],[success]]="false"),1,0)</f>
        <v>0</v>
      </c>
      <c r="X1273" s="57">
        <f>IF(AND(tblJTL[[#This Row],[経過秒]]&gt;='17_分析サンプル'!$E$11,tblJTL[[#This Row],[経過秒]]&lt;'17_分析サンプル'!$E$12),1,0)</f>
        <v>1</v>
      </c>
    </row>
    <row r="1274" spans="2:24" ht="14.4" x14ac:dyDescent="0.3">
      <c r="B1274" s="57">
        <v>1790816731982</v>
      </c>
      <c r="C1274" s="58">
        <v>229</v>
      </c>
      <c r="D1274" s="59" t="s">
        <v>1658</v>
      </c>
      <c r="E1274" s="59" t="s">
        <v>1577</v>
      </c>
      <c r="F1274" s="59" t="s">
        <v>2275</v>
      </c>
      <c r="G1274" s="59" t="s">
        <v>3588</v>
      </c>
      <c r="H1274" s="59" t="s">
        <v>2281</v>
      </c>
      <c r="I1274" s="59" t="b">
        <v>1</v>
      </c>
      <c r="J1274" s="59"/>
      <c r="K1274" s="58">
        <v>1826</v>
      </c>
      <c r="L1274" s="58">
        <v>1342</v>
      </c>
      <c r="M1274" s="59">
        <v>10</v>
      </c>
      <c r="N1274" s="59">
        <v>10</v>
      </c>
      <c r="O1274" s="59" t="s">
        <v>3578</v>
      </c>
      <c r="P1274" s="58">
        <v>225</v>
      </c>
      <c r="Q1274" s="59">
        <v>0</v>
      </c>
      <c r="R1274" s="59">
        <v>0</v>
      </c>
      <c r="S1274" s="60">
        <f>tblJTL[[#This Row],[timeStamp]]/86400000+DATE(1970,1,1)+TIME(9,0,0)</f>
        <v>46296.420509050928</v>
      </c>
      <c r="T1274" s="57">
        <f>tblJTL[[#This Row],[timeStamp]]+tblJTL[[#This Row],[elapsed]]</f>
        <v>1790816732211</v>
      </c>
      <c r="U1274" s="61">
        <f>(tblJTL[[#This Row],[timeStamp]]-'17_分析サンプル'!$E$18)/1000</f>
        <v>331.80200000000002</v>
      </c>
      <c r="V1274" s="57">
        <f>INT(tblJTL[[#This Row],[経過秒]]/60)</f>
        <v>5</v>
      </c>
      <c r="W1274" s="57">
        <f>IF(OR(tblJTL[[#This Row],[success]]=FALSE,tblJTL[[#This Row],[success]]="false"),1,0)</f>
        <v>0</v>
      </c>
      <c r="X1274" s="57">
        <f>IF(AND(tblJTL[[#This Row],[経過秒]]&gt;='17_分析サンプル'!$E$11,tblJTL[[#This Row],[経過秒]]&lt;'17_分析サンプル'!$E$12),1,0)</f>
        <v>1</v>
      </c>
    </row>
    <row r="1275" spans="2:24" ht="14.4" x14ac:dyDescent="0.3">
      <c r="B1275" s="57">
        <v>1790816732086</v>
      </c>
      <c r="C1275" s="58">
        <v>217</v>
      </c>
      <c r="D1275" s="59" t="s">
        <v>1658</v>
      </c>
      <c r="E1275" s="59" t="s">
        <v>1577</v>
      </c>
      <c r="F1275" s="59" t="s">
        <v>2275</v>
      </c>
      <c r="G1275" s="59" t="s">
        <v>3589</v>
      </c>
      <c r="H1275" s="59" t="s">
        <v>2281</v>
      </c>
      <c r="I1275" s="59" t="b">
        <v>1</v>
      </c>
      <c r="J1275" s="59"/>
      <c r="K1275" s="58">
        <v>1897</v>
      </c>
      <c r="L1275" s="58">
        <v>1342</v>
      </c>
      <c r="M1275" s="59">
        <v>10</v>
      </c>
      <c r="N1275" s="59">
        <v>10</v>
      </c>
      <c r="O1275" s="59" t="s">
        <v>3578</v>
      </c>
      <c r="P1275" s="58">
        <v>209</v>
      </c>
      <c r="Q1275" s="59">
        <v>0</v>
      </c>
      <c r="R1275" s="59">
        <v>0</v>
      </c>
      <c r="S1275" s="60">
        <f>tblJTL[[#This Row],[timeStamp]]/86400000+DATE(1970,1,1)+TIME(9,0,0)</f>
        <v>46296.420510254626</v>
      </c>
      <c r="T1275" s="57">
        <f>tblJTL[[#This Row],[timeStamp]]+tblJTL[[#This Row],[elapsed]]</f>
        <v>1790816732303</v>
      </c>
      <c r="U1275" s="61">
        <f>(tblJTL[[#This Row],[timeStamp]]-'17_分析サンプル'!$E$18)/1000</f>
        <v>331.90600000000001</v>
      </c>
      <c r="V1275" s="57">
        <f>INT(tblJTL[[#This Row],[経過秒]]/60)</f>
        <v>5</v>
      </c>
      <c r="W1275" s="57">
        <f>IF(OR(tblJTL[[#This Row],[success]]=FALSE,tblJTL[[#This Row],[success]]="false"),1,0)</f>
        <v>0</v>
      </c>
      <c r="X1275" s="57">
        <f>IF(AND(tblJTL[[#This Row],[経過秒]]&gt;='17_分析サンプル'!$E$11,tblJTL[[#This Row],[経過秒]]&lt;'17_分析サンプル'!$E$12),1,0)</f>
        <v>1</v>
      </c>
    </row>
    <row r="1276" spans="2:24" ht="14.4" x14ac:dyDescent="0.3">
      <c r="B1276" s="57">
        <v>1790816731100</v>
      </c>
      <c r="C1276" s="58">
        <v>1511</v>
      </c>
      <c r="D1276" s="59" t="s">
        <v>1677</v>
      </c>
      <c r="E1276" s="59" t="s">
        <v>3579</v>
      </c>
      <c r="F1276" s="59" t="s">
        <v>3580</v>
      </c>
      <c r="G1276" s="59" t="s">
        <v>3585</v>
      </c>
      <c r="H1276" s="59" t="s">
        <v>2281</v>
      </c>
      <c r="I1276" s="59" t="b">
        <v>1</v>
      </c>
      <c r="J1276" s="59"/>
      <c r="K1276" s="58">
        <v>413</v>
      </c>
      <c r="L1276" s="58">
        <v>1478</v>
      </c>
      <c r="M1276" s="59">
        <v>10</v>
      </c>
      <c r="N1276" s="59">
        <v>10</v>
      </c>
      <c r="O1276" s="59" t="s">
        <v>3581</v>
      </c>
      <c r="P1276" s="58">
        <v>1503</v>
      </c>
      <c r="Q1276" s="59">
        <v>0</v>
      </c>
      <c r="R1276" s="59">
        <v>0</v>
      </c>
      <c r="S1276" s="60">
        <f>tblJTL[[#This Row],[timeStamp]]/86400000+DATE(1970,1,1)+TIME(9,0,0)</f>
        <v>46296.420498842592</v>
      </c>
      <c r="T1276" s="57">
        <f>tblJTL[[#This Row],[timeStamp]]+tblJTL[[#This Row],[elapsed]]</f>
        <v>1790816732611</v>
      </c>
      <c r="U1276" s="61">
        <f>(tblJTL[[#This Row],[timeStamp]]-'17_分析サンプル'!$E$18)/1000</f>
        <v>330.92</v>
      </c>
      <c r="V1276" s="57">
        <f>INT(tblJTL[[#This Row],[経過秒]]/60)</f>
        <v>5</v>
      </c>
      <c r="W1276" s="57">
        <f>IF(OR(tblJTL[[#This Row],[success]]=FALSE,tblJTL[[#This Row],[success]]="false"),1,0)</f>
        <v>0</v>
      </c>
      <c r="X1276" s="57">
        <f>IF(AND(tblJTL[[#This Row],[経過秒]]&gt;='17_分析サンプル'!$E$11,tblJTL[[#This Row],[経過秒]]&lt;'17_分析サンプル'!$E$12),1,0)</f>
        <v>1</v>
      </c>
    </row>
    <row r="1277" spans="2:24" ht="14.4" x14ac:dyDescent="0.3">
      <c r="B1277" s="57">
        <v>1790816731698</v>
      </c>
      <c r="C1277" s="58">
        <v>1205</v>
      </c>
      <c r="D1277" s="59" t="s">
        <v>1677</v>
      </c>
      <c r="E1277" s="59" t="s">
        <v>3579</v>
      </c>
      <c r="F1277" s="59" t="s">
        <v>3580</v>
      </c>
      <c r="G1277" s="59" t="s">
        <v>3587</v>
      </c>
      <c r="H1277" s="59" t="s">
        <v>2281</v>
      </c>
      <c r="I1277" s="59" t="b">
        <v>1</v>
      </c>
      <c r="J1277" s="59"/>
      <c r="K1277" s="58">
        <v>420</v>
      </c>
      <c r="L1277" s="58">
        <v>1478</v>
      </c>
      <c r="M1277" s="59">
        <v>10</v>
      </c>
      <c r="N1277" s="59">
        <v>10</v>
      </c>
      <c r="O1277" s="59" t="s">
        <v>3581</v>
      </c>
      <c r="P1277" s="58">
        <v>1203</v>
      </c>
      <c r="Q1277" s="59">
        <v>0</v>
      </c>
      <c r="R1277" s="59">
        <v>0</v>
      </c>
      <c r="S1277" s="60">
        <f>tblJTL[[#This Row],[timeStamp]]/86400000+DATE(1970,1,1)+TIME(9,0,0)</f>
        <v>46296.42050576389</v>
      </c>
      <c r="T1277" s="57">
        <f>tblJTL[[#This Row],[timeStamp]]+tblJTL[[#This Row],[elapsed]]</f>
        <v>1790816732903</v>
      </c>
      <c r="U1277" s="61">
        <f>(tblJTL[[#This Row],[timeStamp]]-'17_分析サンプル'!$E$18)/1000</f>
        <v>331.51799999999997</v>
      </c>
      <c r="V1277" s="57">
        <f>INT(tblJTL[[#This Row],[経過秒]]/60)</f>
        <v>5</v>
      </c>
      <c r="W1277" s="57">
        <f>IF(OR(tblJTL[[#This Row],[success]]=FALSE,tblJTL[[#This Row],[success]]="false"),1,0)</f>
        <v>0</v>
      </c>
      <c r="X1277" s="57">
        <f>IF(AND(tblJTL[[#This Row],[経過秒]]&gt;='17_分析サンプル'!$E$11,tblJTL[[#This Row],[経過秒]]&lt;'17_分析サンプル'!$E$12),1,0)</f>
        <v>1</v>
      </c>
    </row>
    <row r="1278" spans="2:24" ht="14.4" x14ac:dyDescent="0.3">
      <c r="B1278" s="57">
        <v>1790816733190</v>
      </c>
      <c r="C1278" s="58">
        <v>133</v>
      </c>
      <c r="D1278" s="59" t="s">
        <v>1658</v>
      </c>
      <c r="E1278" s="59" t="s">
        <v>1577</v>
      </c>
      <c r="F1278" s="59" t="s">
        <v>2275</v>
      </c>
      <c r="G1278" s="59" t="s">
        <v>3582</v>
      </c>
      <c r="H1278" s="59" t="s">
        <v>2281</v>
      </c>
      <c r="I1278" s="59" t="b">
        <v>1</v>
      </c>
      <c r="J1278" s="59"/>
      <c r="K1278" s="58">
        <v>1885</v>
      </c>
      <c r="L1278" s="58">
        <v>1342</v>
      </c>
      <c r="M1278" s="59">
        <v>10</v>
      </c>
      <c r="N1278" s="59">
        <v>10</v>
      </c>
      <c r="O1278" s="59" t="s">
        <v>3578</v>
      </c>
      <c r="P1278" s="58">
        <v>128</v>
      </c>
      <c r="Q1278" s="59">
        <v>0</v>
      </c>
      <c r="R1278" s="59">
        <v>0</v>
      </c>
      <c r="S1278" s="60">
        <f>tblJTL[[#This Row],[timeStamp]]/86400000+DATE(1970,1,1)+TIME(9,0,0)</f>
        <v>46296.420523032408</v>
      </c>
      <c r="T1278" s="57">
        <f>tblJTL[[#This Row],[timeStamp]]+tblJTL[[#This Row],[elapsed]]</f>
        <v>1790816733323</v>
      </c>
      <c r="U1278" s="61">
        <f>(tblJTL[[#This Row],[timeStamp]]-'17_分析サンプル'!$E$18)/1000</f>
        <v>333.01</v>
      </c>
      <c r="V1278" s="57">
        <f>INT(tblJTL[[#This Row],[経過秒]]/60)</f>
        <v>5</v>
      </c>
      <c r="W1278" s="57">
        <f>IF(OR(tblJTL[[#This Row],[success]]=FALSE,tblJTL[[#This Row],[success]]="false"),1,0)</f>
        <v>0</v>
      </c>
      <c r="X1278" s="57">
        <f>IF(AND(tblJTL[[#This Row],[経過秒]]&gt;='17_分析サンプル'!$E$11,tblJTL[[#This Row],[経過秒]]&lt;'17_分析サンプル'!$E$12),1,0)</f>
        <v>1</v>
      </c>
    </row>
    <row r="1279" spans="2:24" ht="14.4" x14ac:dyDescent="0.3">
      <c r="B1279" s="57">
        <v>1790816732522</v>
      </c>
      <c r="C1279" s="58">
        <v>885</v>
      </c>
      <c r="D1279" s="59" t="s">
        <v>1677</v>
      </c>
      <c r="E1279" s="59" t="s">
        <v>3579</v>
      </c>
      <c r="F1279" s="59" t="s">
        <v>3580</v>
      </c>
      <c r="G1279" s="59" t="s">
        <v>3586</v>
      </c>
      <c r="H1279" s="59" t="s">
        <v>2281</v>
      </c>
      <c r="I1279" s="59" t="b">
        <v>1</v>
      </c>
      <c r="J1279" s="59"/>
      <c r="K1279" s="58">
        <v>423</v>
      </c>
      <c r="L1279" s="58">
        <v>1478</v>
      </c>
      <c r="M1279" s="59">
        <v>10</v>
      </c>
      <c r="N1279" s="59">
        <v>10</v>
      </c>
      <c r="O1279" s="59" t="s">
        <v>3581</v>
      </c>
      <c r="P1279" s="58">
        <v>881</v>
      </c>
      <c r="Q1279" s="59">
        <v>0</v>
      </c>
      <c r="R1279" s="59">
        <v>0</v>
      </c>
      <c r="S1279" s="60">
        <f>tblJTL[[#This Row],[timeStamp]]/86400000+DATE(1970,1,1)+TIME(9,0,0)</f>
        <v>46296.420515300924</v>
      </c>
      <c r="T1279" s="57">
        <f>tblJTL[[#This Row],[timeStamp]]+tblJTL[[#This Row],[elapsed]]</f>
        <v>1790816733407</v>
      </c>
      <c r="U1279" s="61">
        <f>(tblJTL[[#This Row],[timeStamp]]-'17_分析サンプル'!$E$18)/1000</f>
        <v>332.34199999999998</v>
      </c>
      <c r="V1279" s="57">
        <f>INT(tblJTL[[#This Row],[経過秒]]/60)</f>
        <v>5</v>
      </c>
      <c r="W1279" s="57">
        <f>IF(OR(tblJTL[[#This Row],[success]]=FALSE,tblJTL[[#This Row],[success]]="false"),1,0)</f>
        <v>0</v>
      </c>
      <c r="X1279" s="57">
        <f>IF(AND(tblJTL[[#This Row],[経過秒]]&gt;='17_分析サンプル'!$E$11,tblJTL[[#This Row],[経過秒]]&lt;'17_分析サンプル'!$E$12),1,0)</f>
        <v>1</v>
      </c>
    </row>
    <row r="1280" spans="2:24" ht="14.4" x14ac:dyDescent="0.3">
      <c r="B1280" s="57">
        <v>1790816732291</v>
      </c>
      <c r="C1280" s="58">
        <v>1405</v>
      </c>
      <c r="D1280" s="59" t="s">
        <v>1677</v>
      </c>
      <c r="E1280" s="59" t="s">
        <v>3579</v>
      </c>
      <c r="F1280" s="59" t="s">
        <v>3580</v>
      </c>
      <c r="G1280" s="59" t="s">
        <v>3577</v>
      </c>
      <c r="H1280" s="59" t="s">
        <v>2281</v>
      </c>
      <c r="I1280" s="59" t="b">
        <v>1</v>
      </c>
      <c r="J1280" s="59"/>
      <c r="K1280" s="58">
        <v>423</v>
      </c>
      <c r="L1280" s="58">
        <v>1478</v>
      </c>
      <c r="M1280" s="59">
        <v>10</v>
      </c>
      <c r="N1280" s="59">
        <v>10</v>
      </c>
      <c r="O1280" s="59" t="s">
        <v>3581</v>
      </c>
      <c r="P1280" s="58">
        <v>1401</v>
      </c>
      <c r="Q1280" s="59">
        <v>0</v>
      </c>
      <c r="R1280" s="59">
        <v>0</v>
      </c>
      <c r="S1280" s="60">
        <f>tblJTL[[#This Row],[timeStamp]]/86400000+DATE(1970,1,1)+TIME(9,0,0)</f>
        <v>46296.420512627315</v>
      </c>
      <c r="T1280" s="57">
        <f>tblJTL[[#This Row],[timeStamp]]+tblJTL[[#This Row],[elapsed]]</f>
        <v>1790816733696</v>
      </c>
      <c r="U1280" s="61">
        <f>(tblJTL[[#This Row],[timeStamp]]-'17_分析サンプル'!$E$18)/1000</f>
        <v>332.11099999999999</v>
      </c>
      <c r="V1280" s="57">
        <f>INT(tblJTL[[#This Row],[経過秒]]/60)</f>
        <v>5</v>
      </c>
      <c r="W1280" s="57">
        <f>IF(OR(tblJTL[[#This Row],[success]]=FALSE,tblJTL[[#This Row],[success]]="false"),1,0)</f>
        <v>0</v>
      </c>
      <c r="X1280" s="57">
        <f>IF(AND(tblJTL[[#This Row],[経過秒]]&gt;='17_分析サンプル'!$E$11,tblJTL[[#This Row],[経過秒]]&lt;'17_分析サンプル'!$E$12),1,0)</f>
        <v>1</v>
      </c>
    </row>
    <row r="1281" spans="2:24" ht="14.4" x14ac:dyDescent="0.3">
      <c r="B1281" s="57">
        <v>1790816733490</v>
      </c>
      <c r="C1281" s="58">
        <v>698</v>
      </c>
      <c r="D1281" s="59" t="s">
        <v>1677</v>
      </c>
      <c r="E1281" s="59" t="s">
        <v>3579</v>
      </c>
      <c r="F1281" s="59" t="s">
        <v>3580</v>
      </c>
      <c r="G1281" s="59" t="s">
        <v>3588</v>
      </c>
      <c r="H1281" s="59" t="s">
        <v>2281</v>
      </c>
      <c r="I1281" s="59" t="b">
        <v>1</v>
      </c>
      <c r="J1281" s="59"/>
      <c r="K1281" s="58">
        <v>428</v>
      </c>
      <c r="L1281" s="58">
        <v>1478</v>
      </c>
      <c r="M1281" s="59">
        <v>10</v>
      </c>
      <c r="N1281" s="59">
        <v>10</v>
      </c>
      <c r="O1281" s="59" t="s">
        <v>3581</v>
      </c>
      <c r="P1281" s="58">
        <v>696</v>
      </c>
      <c r="Q1281" s="59">
        <v>0</v>
      </c>
      <c r="R1281" s="59">
        <v>0</v>
      </c>
      <c r="S1281" s="60">
        <f>tblJTL[[#This Row],[timeStamp]]/86400000+DATE(1970,1,1)+TIME(9,0,0)</f>
        <v>46296.420526504633</v>
      </c>
      <c r="T1281" s="57">
        <f>tblJTL[[#This Row],[timeStamp]]+tblJTL[[#This Row],[elapsed]]</f>
        <v>1790816734188</v>
      </c>
      <c r="U1281" s="61">
        <f>(tblJTL[[#This Row],[timeStamp]]-'17_分析サンプル'!$E$18)/1000</f>
        <v>333.31</v>
      </c>
      <c r="V1281" s="57">
        <f>INT(tblJTL[[#This Row],[経過秒]]/60)</f>
        <v>5</v>
      </c>
      <c r="W1281" s="57">
        <f>IF(OR(tblJTL[[#This Row],[success]]=FALSE,tblJTL[[#This Row],[success]]="false"),1,0)</f>
        <v>0</v>
      </c>
      <c r="X1281" s="57">
        <f>IF(AND(tblJTL[[#This Row],[経過秒]]&gt;='17_分析サンプル'!$E$11,tblJTL[[#This Row],[経過秒]]&lt;'17_分析サンプル'!$E$12),1,0)</f>
        <v>1</v>
      </c>
    </row>
    <row r="1282" spans="2:24" ht="14.4" x14ac:dyDescent="0.3">
      <c r="B1282" s="57">
        <v>1790816733646</v>
      </c>
      <c r="C1282" s="58">
        <v>618</v>
      </c>
      <c r="D1282" s="59" t="s">
        <v>1677</v>
      </c>
      <c r="E1282" s="59" t="s">
        <v>3579</v>
      </c>
      <c r="F1282" s="59" t="s">
        <v>3580</v>
      </c>
      <c r="G1282" s="59" t="s">
        <v>3589</v>
      </c>
      <c r="H1282" s="59" t="s">
        <v>2281</v>
      </c>
      <c r="I1282" s="59" t="b">
        <v>1</v>
      </c>
      <c r="J1282" s="59"/>
      <c r="K1282" s="58">
        <v>416</v>
      </c>
      <c r="L1282" s="58">
        <v>1478</v>
      </c>
      <c r="M1282" s="59">
        <v>10</v>
      </c>
      <c r="N1282" s="59">
        <v>10</v>
      </c>
      <c r="O1282" s="59" t="s">
        <v>3581</v>
      </c>
      <c r="P1282" s="58">
        <v>610</v>
      </c>
      <c r="Q1282" s="59">
        <v>0</v>
      </c>
      <c r="R1282" s="59">
        <v>0</v>
      </c>
      <c r="S1282" s="60">
        <f>tblJTL[[#This Row],[timeStamp]]/86400000+DATE(1970,1,1)+TIME(9,0,0)</f>
        <v>46296.420528310184</v>
      </c>
      <c r="T1282" s="57">
        <f>tblJTL[[#This Row],[timeStamp]]+tblJTL[[#This Row],[elapsed]]</f>
        <v>1790816734264</v>
      </c>
      <c r="U1282" s="61">
        <f>(tblJTL[[#This Row],[timeStamp]]-'17_分析サンプル'!$E$18)/1000</f>
        <v>333.46600000000001</v>
      </c>
      <c r="V1282" s="57">
        <f>INT(tblJTL[[#This Row],[経過秒]]/60)</f>
        <v>5</v>
      </c>
      <c r="W1282" s="57">
        <f>IF(OR(tblJTL[[#This Row],[success]]=FALSE,tblJTL[[#This Row],[success]]="false"),1,0)</f>
        <v>0</v>
      </c>
      <c r="X1282" s="57">
        <f>IF(AND(tblJTL[[#This Row],[経過秒]]&gt;='17_分析サンプル'!$E$11,tblJTL[[#This Row],[経過秒]]&lt;'17_分析サンプル'!$E$12),1,0)</f>
        <v>1</v>
      </c>
    </row>
    <row r="1283" spans="2:24" ht="14.4" x14ac:dyDescent="0.3">
      <c r="B1283" s="57">
        <v>1790816733391</v>
      </c>
      <c r="C1283" s="58">
        <v>1577</v>
      </c>
      <c r="D1283" s="59" t="s">
        <v>1677</v>
      </c>
      <c r="E1283" s="59" t="s">
        <v>3579</v>
      </c>
      <c r="F1283" s="59" t="s">
        <v>3580</v>
      </c>
      <c r="G1283" s="59" t="s">
        <v>3583</v>
      </c>
      <c r="H1283" s="59" t="s">
        <v>2281</v>
      </c>
      <c r="I1283" s="59" t="b">
        <v>1</v>
      </c>
      <c r="J1283" s="59"/>
      <c r="K1283" s="58">
        <v>417</v>
      </c>
      <c r="L1283" s="58">
        <v>1478</v>
      </c>
      <c r="M1283" s="59">
        <v>10</v>
      </c>
      <c r="N1283" s="59">
        <v>10</v>
      </c>
      <c r="O1283" s="59" t="s">
        <v>3581</v>
      </c>
      <c r="P1283" s="58">
        <v>1571</v>
      </c>
      <c r="Q1283" s="59">
        <v>0</v>
      </c>
      <c r="R1283" s="59">
        <v>0</v>
      </c>
      <c r="S1283" s="60">
        <f>tblJTL[[#This Row],[timeStamp]]/86400000+DATE(1970,1,1)+TIME(9,0,0)</f>
        <v>46296.420525358801</v>
      </c>
      <c r="T1283" s="57">
        <f>tblJTL[[#This Row],[timeStamp]]+tblJTL[[#This Row],[elapsed]]</f>
        <v>1790816734968</v>
      </c>
      <c r="U1283" s="61">
        <f>(tblJTL[[#This Row],[timeStamp]]-'17_分析サンプル'!$E$18)/1000</f>
        <v>333.21100000000001</v>
      </c>
      <c r="V1283" s="57">
        <f>INT(tblJTL[[#This Row],[経過秒]]/60)</f>
        <v>5</v>
      </c>
      <c r="W1283" s="57">
        <f>IF(OR(tblJTL[[#This Row],[success]]=FALSE,tblJTL[[#This Row],[success]]="false"),1,0)</f>
        <v>0</v>
      </c>
      <c r="X1283" s="57">
        <f>IF(AND(tblJTL[[#This Row],[経過秒]]&gt;='17_分析サンプル'!$E$11,tblJTL[[#This Row],[経過秒]]&lt;'17_分析サンプル'!$E$12),1,0)</f>
        <v>1</v>
      </c>
    </row>
    <row r="1284" spans="2:24" ht="14.4" x14ac:dyDescent="0.3">
      <c r="B1284" s="57">
        <v>1790816734808</v>
      </c>
      <c r="C1284" s="58">
        <v>172</v>
      </c>
      <c r="D1284" s="59" t="s">
        <v>1658</v>
      </c>
      <c r="E1284" s="59" t="s">
        <v>1577</v>
      </c>
      <c r="F1284" s="59" t="s">
        <v>2275</v>
      </c>
      <c r="G1284" s="59" t="s">
        <v>3577</v>
      </c>
      <c r="H1284" s="59" t="s">
        <v>2281</v>
      </c>
      <c r="I1284" s="59" t="b">
        <v>1</v>
      </c>
      <c r="J1284" s="59"/>
      <c r="K1284" s="58">
        <v>1850</v>
      </c>
      <c r="L1284" s="58">
        <v>1342</v>
      </c>
      <c r="M1284" s="59">
        <v>10</v>
      </c>
      <c r="N1284" s="59">
        <v>10</v>
      </c>
      <c r="O1284" s="59" t="s">
        <v>3578</v>
      </c>
      <c r="P1284" s="58">
        <v>169</v>
      </c>
      <c r="Q1284" s="59">
        <v>0</v>
      </c>
      <c r="R1284" s="59">
        <v>0</v>
      </c>
      <c r="S1284" s="60">
        <f>tblJTL[[#This Row],[timeStamp]]/86400000+DATE(1970,1,1)+TIME(9,0,0)</f>
        <v>46296.42054175926</v>
      </c>
      <c r="T1284" s="57">
        <f>tblJTL[[#This Row],[timeStamp]]+tblJTL[[#This Row],[elapsed]]</f>
        <v>1790816734980</v>
      </c>
      <c r="U1284" s="61">
        <f>(tblJTL[[#This Row],[timeStamp]]-'17_分析サンプル'!$E$18)/1000</f>
        <v>334.62799999999999</v>
      </c>
      <c r="V1284" s="57">
        <f>INT(tblJTL[[#This Row],[経過秒]]/60)</f>
        <v>5</v>
      </c>
      <c r="W1284" s="57">
        <f>IF(OR(tblJTL[[#This Row],[success]]=FALSE,tblJTL[[#This Row],[success]]="false"),1,0)</f>
        <v>0</v>
      </c>
      <c r="X1284" s="57">
        <f>IF(AND(tblJTL[[#This Row],[経過秒]]&gt;='17_分析サンプル'!$E$11,tblJTL[[#This Row],[経過秒]]&lt;'17_分析サンプル'!$E$12),1,0)</f>
        <v>1</v>
      </c>
    </row>
    <row r="1285" spans="2:24" ht="14.4" x14ac:dyDescent="0.3">
      <c r="B1285" s="57">
        <v>1790816732680</v>
      </c>
      <c r="C1285" s="58">
        <v>2701</v>
      </c>
      <c r="D1285" s="59" t="s">
        <v>1677</v>
      </c>
      <c r="E1285" s="59" t="s">
        <v>3579</v>
      </c>
      <c r="F1285" s="59" t="s">
        <v>3580</v>
      </c>
      <c r="G1285" s="59" t="s">
        <v>2278</v>
      </c>
      <c r="H1285" s="59" t="s">
        <v>2281</v>
      </c>
      <c r="I1285" s="59" t="b">
        <v>1</v>
      </c>
      <c r="J1285" s="59"/>
      <c r="K1285" s="58">
        <v>414</v>
      </c>
      <c r="L1285" s="58">
        <v>1478</v>
      </c>
      <c r="M1285" s="59">
        <v>10</v>
      </c>
      <c r="N1285" s="59">
        <v>10</v>
      </c>
      <c r="O1285" s="59" t="s">
        <v>3581</v>
      </c>
      <c r="P1285" s="58">
        <v>2696</v>
      </c>
      <c r="Q1285" s="59">
        <v>0</v>
      </c>
      <c r="R1285" s="59">
        <v>0</v>
      </c>
      <c r="S1285" s="60">
        <f>tblJTL[[#This Row],[timeStamp]]/86400000+DATE(1970,1,1)+TIME(9,0,0)</f>
        <v>46296.420517129634</v>
      </c>
      <c r="T1285" s="57">
        <f>tblJTL[[#This Row],[timeStamp]]+tblJTL[[#This Row],[elapsed]]</f>
        <v>1790816735381</v>
      </c>
      <c r="U1285" s="61">
        <f>(tblJTL[[#This Row],[timeStamp]]-'17_分析サンプル'!$E$18)/1000</f>
        <v>332.5</v>
      </c>
      <c r="V1285" s="57">
        <f>INT(tblJTL[[#This Row],[経過秒]]/60)</f>
        <v>5</v>
      </c>
      <c r="W1285" s="57">
        <f>IF(OR(tblJTL[[#This Row],[success]]=FALSE,tblJTL[[#This Row],[success]]="false"),1,0)</f>
        <v>0</v>
      </c>
      <c r="X1285" s="57">
        <f>IF(AND(tblJTL[[#This Row],[経過秒]]&gt;='17_分析サンプル'!$E$11,tblJTL[[#This Row],[経過秒]]&lt;'17_分析サンプル'!$E$12),1,0)</f>
        <v>1</v>
      </c>
    </row>
    <row r="1286" spans="2:24" ht="14.4" x14ac:dyDescent="0.3">
      <c r="B1286" s="57">
        <v>1790816735295</v>
      </c>
      <c r="C1286" s="58">
        <v>237</v>
      </c>
      <c r="D1286" s="59" t="s">
        <v>1658</v>
      </c>
      <c r="E1286" s="59" t="s">
        <v>1577</v>
      </c>
      <c r="F1286" s="59" t="s">
        <v>2275</v>
      </c>
      <c r="G1286" s="59" t="s">
        <v>3588</v>
      </c>
      <c r="H1286" s="59" t="s">
        <v>2281</v>
      </c>
      <c r="I1286" s="59" t="b">
        <v>1</v>
      </c>
      <c r="J1286" s="59"/>
      <c r="K1286" s="58">
        <v>1857</v>
      </c>
      <c r="L1286" s="58">
        <v>1342</v>
      </c>
      <c r="M1286" s="59">
        <v>10</v>
      </c>
      <c r="N1286" s="59">
        <v>10</v>
      </c>
      <c r="O1286" s="59" t="s">
        <v>3578</v>
      </c>
      <c r="P1286" s="58">
        <v>231</v>
      </c>
      <c r="Q1286" s="59">
        <v>0</v>
      </c>
      <c r="R1286" s="59">
        <v>0</v>
      </c>
      <c r="S1286" s="60">
        <f>tblJTL[[#This Row],[timeStamp]]/86400000+DATE(1970,1,1)+TIME(9,0,0)</f>
        <v>46296.420547395828</v>
      </c>
      <c r="T1286" s="57">
        <f>tblJTL[[#This Row],[timeStamp]]+tblJTL[[#This Row],[elapsed]]</f>
        <v>1790816735532</v>
      </c>
      <c r="U1286" s="61">
        <f>(tblJTL[[#This Row],[timeStamp]]-'17_分析サンプル'!$E$18)/1000</f>
        <v>335.11500000000001</v>
      </c>
      <c r="V1286" s="57">
        <f>INT(tblJTL[[#This Row],[経過秒]]/60)</f>
        <v>5</v>
      </c>
      <c r="W1286" s="57">
        <f>IF(OR(tblJTL[[#This Row],[success]]=FALSE,tblJTL[[#This Row],[success]]="false"),1,0)</f>
        <v>0</v>
      </c>
      <c r="X1286" s="57">
        <f>IF(AND(tblJTL[[#This Row],[経過秒]]&gt;='17_分析サンプル'!$E$11,tblJTL[[#This Row],[経過秒]]&lt;'17_分析サンプル'!$E$12),1,0)</f>
        <v>1</v>
      </c>
    </row>
    <row r="1287" spans="2:24" ht="14.4" x14ac:dyDescent="0.3">
      <c r="B1287" s="57">
        <v>1790816735348</v>
      </c>
      <c r="C1287" s="58">
        <v>185</v>
      </c>
      <c r="D1287" s="59" t="s">
        <v>1658</v>
      </c>
      <c r="E1287" s="59" t="s">
        <v>1577</v>
      </c>
      <c r="F1287" s="59" t="s">
        <v>2275</v>
      </c>
      <c r="G1287" s="59" t="s">
        <v>3586</v>
      </c>
      <c r="H1287" s="59" t="s">
        <v>2281</v>
      </c>
      <c r="I1287" s="59" t="b">
        <v>1</v>
      </c>
      <c r="J1287" s="59"/>
      <c r="K1287" s="58">
        <v>1825</v>
      </c>
      <c r="L1287" s="58">
        <v>1342</v>
      </c>
      <c r="M1287" s="59">
        <v>10</v>
      </c>
      <c r="N1287" s="59">
        <v>10</v>
      </c>
      <c r="O1287" s="59" t="s">
        <v>3578</v>
      </c>
      <c r="P1287" s="58">
        <v>181</v>
      </c>
      <c r="Q1287" s="59">
        <v>0</v>
      </c>
      <c r="R1287" s="59">
        <v>0</v>
      </c>
      <c r="S1287" s="60">
        <f>tblJTL[[#This Row],[timeStamp]]/86400000+DATE(1970,1,1)+TIME(9,0,0)</f>
        <v>46296.420548009264</v>
      </c>
      <c r="T1287" s="57">
        <f>tblJTL[[#This Row],[timeStamp]]+tblJTL[[#This Row],[elapsed]]</f>
        <v>1790816735533</v>
      </c>
      <c r="U1287" s="61">
        <f>(tblJTL[[#This Row],[timeStamp]]-'17_分析サンプル'!$E$18)/1000</f>
        <v>335.16800000000001</v>
      </c>
      <c r="V1287" s="57">
        <f>INT(tblJTL[[#This Row],[経過秒]]/60)</f>
        <v>5</v>
      </c>
      <c r="W1287" s="57">
        <f>IF(OR(tblJTL[[#This Row],[success]]=FALSE,tblJTL[[#This Row],[success]]="false"),1,0)</f>
        <v>0</v>
      </c>
      <c r="X1287" s="57">
        <f>IF(AND(tblJTL[[#This Row],[経過秒]]&gt;='17_分析サンプル'!$E$11,tblJTL[[#This Row],[経過秒]]&lt;'17_分析サンプル'!$E$12),1,0)</f>
        <v>1</v>
      </c>
    </row>
    <row r="1288" spans="2:24" ht="14.4" x14ac:dyDescent="0.3">
      <c r="B1288" s="57">
        <v>1790816735493</v>
      </c>
      <c r="C1288" s="58">
        <v>119</v>
      </c>
      <c r="D1288" s="59" t="s">
        <v>1658</v>
      </c>
      <c r="E1288" s="59" t="s">
        <v>1577</v>
      </c>
      <c r="F1288" s="59" t="s">
        <v>2275</v>
      </c>
      <c r="G1288" s="59" t="s">
        <v>3585</v>
      </c>
      <c r="H1288" s="59" t="s">
        <v>2281</v>
      </c>
      <c r="I1288" s="59" t="b">
        <v>1</v>
      </c>
      <c r="J1288" s="59"/>
      <c r="K1288" s="58">
        <v>1839</v>
      </c>
      <c r="L1288" s="58">
        <v>1342</v>
      </c>
      <c r="M1288" s="59">
        <v>10</v>
      </c>
      <c r="N1288" s="59">
        <v>10</v>
      </c>
      <c r="O1288" s="59" t="s">
        <v>3578</v>
      </c>
      <c r="P1288" s="58">
        <v>114</v>
      </c>
      <c r="Q1288" s="59">
        <v>0</v>
      </c>
      <c r="R1288" s="59">
        <v>0</v>
      </c>
      <c r="S1288" s="60">
        <f>tblJTL[[#This Row],[timeStamp]]/86400000+DATE(1970,1,1)+TIME(9,0,0)</f>
        <v>46296.4205496875</v>
      </c>
      <c r="T1288" s="57">
        <f>tblJTL[[#This Row],[timeStamp]]+tblJTL[[#This Row],[elapsed]]</f>
        <v>1790816735612</v>
      </c>
      <c r="U1288" s="61">
        <f>(tblJTL[[#This Row],[timeStamp]]-'17_分析サンプル'!$E$18)/1000</f>
        <v>335.31299999999999</v>
      </c>
      <c r="V1288" s="57">
        <f>INT(tblJTL[[#This Row],[経過秒]]/60)</f>
        <v>5</v>
      </c>
      <c r="W1288" s="57">
        <f>IF(OR(tblJTL[[#This Row],[success]]=FALSE,tblJTL[[#This Row],[success]]="false"),1,0)</f>
        <v>0</v>
      </c>
      <c r="X1288" s="57">
        <f>IF(AND(tblJTL[[#This Row],[経過秒]]&gt;='17_分析サンプル'!$E$11,tblJTL[[#This Row],[経過秒]]&lt;'17_分析サンプル'!$E$12),1,0)</f>
        <v>1</v>
      </c>
    </row>
    <row r="1289" spans="2:24" ht="14.4" x14ac:dyDescent="0.3">
      <c r="B1289" s="57">
        <v>1790816734462</v>
      </c>
      <c r="C1289" s="58">
        <v>1318</v>
      </c>
      <c r="D1289" s="59" t="s">
        <v>1677</v>
      </c>
      <c r="E1289" s="59" t="s">
        <v>3579</v>
      </c>
      <c r="F1289" s="59" t="s">
        <v>3580</v>
      </c>
      <c r="G1289" s="59" t="s">
        <v>3582</v>
      </c>
      <c r="H1289" s="59" t="s">
        <v>2281</v>
      </c>
      <c r="I1289" s="59" t="b">
        <v>1</v>
      </c>
      <c r="J1289" s="59"/>
      <c r="K1289" s="58">
        <v>428</v>
      </c>
      <c r="L1289" s="58">
        <v>1478</v>
      </c>
      <c r="M1289" s="59">
        <v>10</v>
      </c>
      <c r="N1289" s="59">
        <v>10</v>
      </c>
      <c r="O1289" s="59" t="s">
        <v>3581</v>
      </c>
      <c r="P1289" s="58">
        <v>1315</v>
      </c>
      <c r="Q1289" s="59">
        <v>0</v>
      </c>
      <c r="R1289" s="59">
        <v>0</v>
      </c>
      <c r="S1289" s="60">
        <f>tblJTL[[#This Row],[timeStamp]]/86400000+DATE(1970,1,1)+TIME(9,0,0)</f>
        <v>46296.420537754631</v>
      </c>
      <c r="T1289" s="57">
        <f>tblJTL[[#This Row],[timeStamp]]+tblJTL[[#This Row],[elapsed]]</f>
        <v>1790816735780</v>
      </c>
      <c r="U1289" s="61">
        <f>(tblJTL[[#This Row],[timeStamp]]-'17_分析サンプル'!$E$18)/1000</f>
        <v>334.28199999999998</v>
      </c>
      <c r="V1289" s="57">
        <f>INT(tblJTL[[#This Row],[経過秒]]/60)</f>
        <v>5</v>
      </c>
      <c r="W1289" s="57">
        <f>IF(OR(tblJTL[[#This Row],[success]]=FALSE,tblJTL[[#This Row],[success]]="false"),1,0)</f>
        <v>0</v>
      </c>
      <c r="X1289" s="57">
        <f>IF(AND(tblJTL[[#This Row],[経過秒]]&gt;='17_分析サンプル'!$E$11,tblJTL[[#This Row],[経過秒]]&lt;'17_分析サンプル'!$E$12),1,0)</f>
        <v>1</v>
      </c>
    </row>
    <row r="1290" spans="2:24" ht="14.4" x14ac:dyDescent="0.3">
      <c r="B1290" s="57">
        <v>1790816735578</v>
      </c>
      <c r="C1290" s="58">
        <v>233</v>
      </c>
      <c r="D1290" s="59" t="s">
        <v>1658</v>
      </c>
      <c r="E1290" s="59" t="s">
        <v>1577</v>
      </c>
      <c r="F1290" s="59" t="s">
        <v>2275</v>
      </c>
      <c r="G1290" s="59" t="s">
        <v>3587</v>
      </c>
      <c r="H1290" s="59" t="s">
        <v>2281</v>
      </c>
      <c r="I1290" s="59" t="b">
        <v>1</v>
      </c>
      <c r="J1290" s="59"/>
      <c r="K1290" s="58">
        <v>1859</v>
      </c>
      <c r="L1290" s="58">
        <v>1342</v>
      </c>
      <c r="M1290" s="59">
        <v>10</v>
      </c>
      <c r="N1290" s="59">
        <v>10</v>
      </c>
      <c r="O1290" s="59" t="s">
        <v>3578</v>
      </c>
      <c r="P1290" s="58">
        <v>230</v>
      </c>
      <c r="Q1290" s="59">
        <v>0</v>
      </c>
      <c r="R1290" s="59">
        <v>0</v>
      </c>
      <c r="S1290" s="60">
        <f>tblJTL[[#This Row],[timeStamp]]/86400000+DATE(1970,1,1)+TIME(9,0,0)</f>
        <v>46296.420550671297</v>
      </c>
      <c r="T1290" s="57">
        <f>tblJTL[[#This Row],[timeStamp]]+tblJTL[[#This Row],[elapsed]]</f>
        <v>1790816735811</v>
      </c>
      <c r="U1290" s="61">
        <f>(tblJTL[[#This Row],[timeStamp]]-'17_分析サンプル'!$E$18)/1000</f>
        <v>335.39800000000002</v>
      </c>
      <c r="V1290" s="57">
        <f>INT(tblJTL[[#This Row],[経過秒]]/60)</f>
        <v>5</v>
      </c>
      <c r="W1290" s="57">
        <f>IF(OR(tblJTL[[#This Row],[success]]=FALSE,tblJTL[[#This Row],[success]]="false"),1,0)</f>
        <v>0</v>
      </c>
      <c r="X1290" s="57">
        <f>IF(AND(tblJTL[[#This Row],[経過秒]]&gt;='17_分析サンプル'!$E$11,tblJTL[[#This Row],[経過秒]]&lt;'17_分析サンプル'!$E$12),1,0)</f>
        <v>1</v>
      </c>
    </row>
    <row r="1291" spans="2:24" ht="14.4" x14ac:dyDescent="0.3">
      <c r="B1291" s="57">
        <v>1790816736181</v>
      </c>
      <c r="C1291" s="58">
        <v>224</v>
      </c>
      <c r="D1291" s="59" t="s">
        <v>1658</v>
      </c>
      <c r="E1291" s="59" t="s">
        <v>1577</v>
      </c>
      <c r="F1291" s="59" t="s">
        <v>2275</v>
      </c>
      <c r="G1291" s="59" t="s">
        <v>3589</v>
      </c>
      <c r="H1291" s="59" t="s">
        <v>2281</v>
      </c>
      <c r="I1291" s="59" t="b">
        <v>1</v>
      </c>
      <c r="J1291" s="59"/>
      <c r="K1291" s="58">
        <v>1837</v>
      </c>
      <c r="L1291" s="58">
        <v>1342</v>
      </c>
      <c r="M1291" s="59">
        <v>10</v>
      </c>
      <c r="N1291" s="59">
        <v>10</v>
      </c>
      <c r="O1291" s="59" t="s">
        <v>3578</v>
      </c>
      <c r="P1291" s="58">
        <v>220</v>
      </c>
      <c r="Q1291" s="59">
        <v>0</v>
      </c>
      <c r="R1291" s="59">
        <v>0</v>
      </c>
      <c r="S1291" s="60">
        <f>tblJTL[[#This Row],[timeStamp]]/86400000+DATE(1970,1,1)+TIME(9,0,0)</f>
        <v>46296.420557650461</v>
      </c>
      <c r="T1291" s="57">
        <f>tblJTL[[#This Row],[timeStamp]]+tblJTL[[#This Row],[elapsed]]</f>
        <v>1790816736405</v>
      </c>
      <c r="U1291" s="61">
        <f>(tblJTL[[#This Row],[timeStamp]]-'17_分析サンプル'!$E$18)/1000</f>
        <v>336.00099999999998</v>
      </c>
      <c r="V1291" s="57">
        <f>INT(tblJTL[[#This Row],[経過秒]]/60)</f>
        <v>5</v>
      </c>
      <c r="W1291" s="57">
        <f>IF(OR(tblJTL[[#This Row],[success]]=FALSE,tblJTL[[#This Row],[success]]="false"),1,0)</f>
        <v>0</v>
      </c>
      <c r="X1291" s="57">
        <f>IF(AND(tblJTL[[#This Row],[経過秒]]&gt;='17_分析サンプル'!$E$11,tblJTL[[#This Row],[経過秒]]&lt;'17_分析サンプル'!$E$12),1,0)</f>
        <v>1</v>
      </c>
    </row>
    <row r="1292" spans="2:24" ht="14.4" x14ac:dyDescent="0.3">
      <c r="B1292" s="57">
        <v>1790816733104</v>
      </c>
      <c r="C1292" s="58">
        <v>3799</v>
      </c>
      <c r="D1292" s="59" t="s">
        <v>1677</v>
      </c>
      <c r="E1292" s="59" t="s">
        <v>3579</v>
      </c>
      <c r="F1292" s="59" t="s">
        <v>3580</v>
      </c>
      <c r="G1292" s="59" t="s">
        <v>3584</v>
      </c>
      <c r="H1292" s="59" t="s">
        <v>2281</v>
      </c>
      <c r="I1292" s="59" t="b">
        <v>1</v>
      </c>
      <c r="J1292" s="59"/>
      <c r="K1292" s="58">
        <v>440</v>
      </c>
      <c r="L1292" s="58">
        <v>1478</v>
      </c>
      <c r="M1292" s="59">
        <v>10</v>
      </c>
      <c r="N1292" s="59">
        <v>10</v>
      </c>
      <c r="O1292" s="59" t="s">
        <v>3581</v>
      </c>
      <c r="P1292" s="58">
        <v>3791</v>
      </c>
      <c r="Q1292" s="59">
        <v>0</v>
      </c>
      <c r="R1292" s="59">
        <v>51</v>
      </c>
      <c r="S1292" s="60">
        <f>tblJTL[[#This Row],[timeStamp]]/86400000+DATE(1970,1,1)+TIME(9,0,0)</f>
        <v>46296.420522037035</v>
      </c>
      <c r="T1292" s="57">
        <f>tblJTL[[#This Row],[timeStamp]]+tblJTL[[#This Row],[elapsed]]</f>
        <v>1790816736903</v>
      </c>
      <c r="U1292" s="61">
        <f>(tblJTL[[#This Row],[timeStamp]]-'17_分析サンプル'!$E$18)/1000</f>
        <v>332.92399999999998</v>
      </c>
      <c r="V1292" s="57">
        <f>INT(tblJTL[[#This Row],[経過秒]]/60)</f>
        <v>5</v>
      </c>
      <c r="W1292" s="57">
        <f>IF(OR(tblJTL[[#This Row],[success]]=FALSE,tblJTL[[#This Row],[success]]="false"),1,0)</f>
        <v>0</v>
      </c>
      <c r="X1292" s="57">
        <f>IF(AND(tblJTL[[#This Row],[経過秒]]&gt;='17_分析サンプル'!$E$11,tblJTL[[#This Row],[経過秒]]&lt;'17_分析サンプル'!$E$12),1,0)</f>
        <v>1</v>
      </c>
    </row>
    <row r="1293" spans="2:24" ht="14.4" x14ac:dyDescent="0.3">
      <c r="B1293" s="57">
        <v>1790816736777</v>
      </c>
      <c r="C1293" s="58">
        <v>217</v>
      </c>
      <c r="D1293" s="59" t="s">
        <v>1658</v>
      </c>
      <c r="E1293" s="59" t="s">
        <v>1577</v>
      </c>
      <c r="F1293" s="59" t="s">
        <v>2275</v>
      </c>
      <c r="G1293" s="59" t="s">
        <v>3583</v>
      </c>
      <c r="H1293" s="59" t="s">
        <v>2281</v>
      </c>
      <c r="I1293" s="59" t="b">
        <v>1</v>
      </c>
      <c r="J1293" s="59"/>
      <c r="K1293" s="58">
        <v>1835</v>
      </c>
      <c r="L1293" s="58">
        <v>1342</v>
      </c>
      <c r="M1293" s="59">
        <v>10</v>
      </c>
      <c r="N1293" s="59">
        <v>10</v>
      </c>
      <c r="O1293" s="59" t="s">
        <v>3578</v>
      </c>
      <c r="P1293" s="58">
        <v>211</v>
      </c>
      <c r="Q1293" s="59">
        <v>0</v>
      </c>
      <c r="R1293" s="59">
        <v>0</v>
      </c>
      <c r="S1293" s="60">
        <f>tblJTL[[#This Row],[timeStamp]]/86400000+DATE(1970,1,1)+TIME(9,0,0)</f>
        <v>46296.420564548607</v>
      </c>
      <c r="T1293" s="57">
        <f>tblJTL[[#This Row],[timeStamp]]+tblJTL[[#This Row],[elapsed]]</f>
        <v>1790816736994</v>
      </c>
      <c r="U1293" s="61">
        <f>(tblJTL[[#This Row],[timeStamp]]-'17_分析サンプル'!$E$18)/1000</f>
        <v>336.59699999999998</v>
      </c>
      <c r="V1293" s="57">
        <f>INT(tblJTL[[#This Row],[経過秒]]/60)</f>
        <v>5</v>
      </c>
      <c r="W1293" s="57">
        <f>IF(OR(tblJTL[[#This Row],[success]]=FALSE,tblJTL[[#This Row],[success]]="false"),1,0)</f>
        <v>0</v>
      </c>
      <c r="X1293" s="57">
        <f>IF(AND(tblJTL[[#This Row],[経過秒]]&gt;='17_分析サンプル'!$E$11,tblJTL[[#This Row],[経過秒]]&lt;'17_分析サンプル'!$E$12),1,0)</f>
        <v>1</v>
      </c>
    </row>
    <row r="1294" spans="2:24" ht="14.4" x14ac:dyDescent="0.3">
      <c r="B1294" s="57">
        <v>1790816737136</v>
      </c>
      <c r="C1294" s="58">
        <v>306</v>
      </c>
      <c r="D1294" s="59" t="s">
        <v>1658</v>
      </c>
      <c r="E1294" s="59" t="s">
        <v>1577</v>
      </c>
      <c r="F1294" s="59" t="s">
        <v>2275</v>
      </c>
      <c r="G1294" s="59" t="s">
        <v>2278</v>
      </c>
      <c r="H1294" s="59" t="s">
        <v>2281</v>
      </c>
      <c r="I1294" s="59" t="b">
        <v>1</v>
      </c>
      <c r="J1294" s="59"/>
      <c r="K1294" s="58">
        <v>1895</v>
      </c>
      <c r="L1294" s="58">
        <v>1342</v>
      </c>
      <c r="M1294" s="59">
        <v>10</v>
      </c>
      <c r="N1294" s="59">
        <v>10</v>
      </c>
      <c r="O1294" s="59" t="s">
        <v>3578</v>
      </c>
      <c r="P1294" s="58">
        <v>304</v>
      </c>
      <c r="Q1294" s="59">
        <v>0</v>
      </c>
      <c r="R1294" s="59">
        <v>0</v>
      </c>
      <c r="S1294" s="60">
        <f>tblJTL[[#This Row],[timeStamp]]/86400000+DATE(1970,1,1)+TIME(9,0,0)</f>
        <v>46296.420568703703</v>
      </c>
      <c r="T1294" s="57">
        <f>tblJTL[[#This Row],[timeStamp]]+tblJTL[[#This Row],[elapsed]]</f>
        <v>1790816737442</v>
      </c>
      <c r="U1294" s="61">
        <f>(tblJTL[[#This Row],[timeStamp]]-'17_分析サンプル'!$E$18)/1000</f>
        <v>336.95600000000002</v>
      </c>
      <c r="V1294" s="57">
        <f>INT(tblJTL[[#This Row],[経過秒]]/60)</f>
        <v>5</v>
      </c>
      <c r="W1294" s="57">
        <f>IF(OR(tblJTL[[#This Row],[success]]=FALSE,tblJTL[[#This Row],[success]]="false"),1,0)</f>
        <v>0</v>
      </c>
      <c r="X1294" s="57">
        <f>IF(AND(tblJTL[[#This Row],[経過秒]]&gt;='17_分析サンプル'!$E$11,tblJTL[[#This Row],[経過秒]]&lt;'17_分析サンプル'!$E$12),1,0)</f>
        <v>1</v>
      </c>
    </row>
    <row r="1295" spans="2:24" ht="14.4" x14ac:dyDescent="0.3">
      <c r="B1295" s="57">
        <v>1790816736594</v>
      </c>
      <c r="C1295" s="58">
        <v>949</v>
      </c>
      <c r="D1295" s="59" t="s">
        <v>1677</v>
      </c>
      <c r="E1295" s="59" t="s">
        <v>3579</v>
      </c>
      <c r="F1295" s="59" t="s">
        <v>3580</v>
      </c>
      <c r="G1295" s="59" t="s">
        <v>3577</v>
      </c>
      <c r="H1295" s="59" t="s">
        <v>2281</v>
      </c>
      <c r="I1295" s="59" t="b">
        <v>1</v>
      </c>
      <c r="J1295" s="59"/>
      <c r="K1295" s="58">
        <v>425</v>
      </c>
      <c r="L1295" s="58">
        <v>1478</v>
      </c>
      <c r="M1295" s="59">
        <v>10</v>
      </c>
      <c r="N1295" s="59">
        <v>10</v>
      </c>
      <c r="O1295" s="59" t="s">
        <v>3581</v>
      </c>
      <c r="P1295" s="58">
        <v>943</v>
      </c>
      <c r="Q1295" s="59">
        <v>0</v>
      </c>
      <c r="R1295" s="59">
        <v>0</v>
      </c>
      <c r="S1295" s="60">
        <f>tblJTL[[#This Row],[timeStamp]]/86400000+DATE(1970,1,1)+TIME(9,0,0)</f>
        <v>46296.420562430554</v>
      </c>
      <c r="T1295" s="57">
        <f>tblJTL[[#This Row],[timeStamp]]+tblJTL[[#This Row],[elapsed]]</f>
        <v>1790816737543</v>
      </c>
      <c r="U1295" s="61">
        <f>(tblJTL[[#This Row],[timeStamp]]-'17_分析サンプル'!$E$18)/1000</f>
        <v>336.41399999999999</v>
      </c>
      <c r="V1295" s="57">
        <f>INT(tblJTL[[#This Row],[経過秒]]/60)</f>
        <v>5</v>
      </c>
      <c r="W1295" s="57">
        <f>IF(OR(tblJTL[[#This Row],[success]]=FALSE,tblJTL[[#This Row],[success]]="false"),1,0)</f>
        <v>0</v>
      </c>
      <c r="X1295" s="57">
        <f>IF(AND(tblJTL[[#This Row],[経過秒]]&gt;='17_分析サンプル'!$E$11,tblJTL[[#This Row],[経過秒]]&lt;'17_分析サンプル'!$E$12),1,0)</f>
        <v>1</v>
      </c>
    </row>
    <row r="1296" spans="2:24" ht="14.4" x14ac:dyDescent="0.3">
      <c r="B1296" s="57">
        <v>1790816736791</v>
      </c>
      <c r="C1296" s="58">
        <v>1533</v>
      </c>
      <c r="D1296" s="59" t="s">
        <v>1677</v>
      </c>
      <c r="E1296" s="59" t="s">
        <v>3579</v>
      </c>
      <c r="F1296" s="59" t="s">
        <v>3580</v>
      </c>
      <c r="G1296" s="59" t="s">
        <v>3588</v>
      </c>
      <c r="H1296" s="59" t="s">
        <v>2281</v>
      </c>
      <c r="I1296" s="59" t="b">
        <v>1</v>
      </c>
      <c r="J1296" s="59"/>
      <c r="K1296" s="58">
        <v>440</v>
      </c>
      <c r="L1296" s="58">
        <v>1478</v>
      </c>
      <c r="M1296" s="59">
        <v>10</v>
      </c>
      <c r="N1296" s="59">
        <v>10</v>
      </c>
      <c r="O1296" s="59" t="s">
        <v>3581</v>
      </c>
      <c r="P1296" s="58">
        <v>1525</v>
      </c>
      <c r="Q1296" s="59">
        <v>0</v>
      </c>
      <c r="R1296" s="59">
        <v>0</v>
      </c>
      <c r="S1296" s="60">
        <f>tblJTL[[#This Row],[timeStamp]]/86400000+DATE(1970,1,1)+TIME(9,0,0)</f>
        <v>46296.420564710643</v>
      </c>
      <c r="T1296" s="57">
        <f>tblJTL[[#This Row],[timeStamp]]+tblJTL[[#This Row],[elapsed]]</f>
        <v>1790816738324</v>
      </c>
      <c r="U1296" s="61">
        <f>(tblJTL[[#This Row],[timeStamp]]-'17_分析サンプル'!$E$18)/1000</f>
        <v>336.61099999999999</v>
      </c>
      <c r="V1296" s="57">
        <f>INT(tblJTL[[#This Row],[経過秒]]/60)</f>
        <v>5</v>
      </c>
      <c r="W1296" s="57">
        <f>IF(OR(tblJTL[[#This Row],[success]]=FALSE,tblJTL[[#This Row],[success]]="false"),1,0)</f>
        <v>0</v>
      </c>
      <c r="X1296" s="57">
        <f>IF(AND(tblJTL[[#This Row],[経過秒]]&gt;='17_分析サンプル'!$E$11,tblJTL[[#This Row],[経過秒]]&lt;'17_分析サンプル'!$E$12),1,0)</f>
        <v>1</v>
      </c>
    </row>
    <row r="1297" spans="2:24" ht="14.4" x14ac:dyDescent="0.3">
      <c r="B1297" s="57">
        <v>1790816738255</v>
      </c>
      <c r="C1297" s="58">
        <v>242</v>
      </c>
      <c r="D1297" s="59" t="s">
        <v>1658</v>
      </c>
      <c r="E1297" s="59" t="s">
        <v>1577</v>
      </c>
      <c r="F1297" s="59" t="s">
        <v>2275</v>
      </c>
      <c r="G1297" s="59" t="s">
        <v>3582</v>
      </c>
      <c r="H1297" s="59" t="s">
        <v>2281</v>
      </c>
      <c r="I1297" s="59" t="b">
        <v>1</v>
      </c>
      <c r="J1297" s="59"/>
      <c r="K1297" s="58">
        <v>1861</v>
      </c>
      <c r="L1297" s="58">
        <v>1342</v>
      </c>
      <c r="M1297" s="59">
        <v>10</v>
      </c>
      <c r="N1297" s="59">
        <v>10</v>
      </c>
      <c r="O1297" s="59" t="s">
        <v>3578</v>
      </c>
      <c r="P1297" s="58">
        <v>239</v>
      </c>
      <c r="Q1297" s="59">
        <v>0</v>
      </c>
      <c r="R1297" s="59">
        <v>0</v>
      </c>
      <c r="S1297" s="60">
        <f>tblJTL[[#This Row],[timeStamp]]/86400000+DATE(1970,1,1)+TIME(9,0,0)</f>
        <v>46296.420581655097</v>
      </c>
      <c r="T1297" s="57">
        <f>tblJTL[[#This Row],[timeStamp]]+tblJTL[[#This Row],[elapsed]]</f>
        <v>1790816738497</v>
      </c>
      <c r="U1297" s="61">
        <f>(tblJTL[[#This Row],[timeStamp]]-'17_分析サンプル'!$E$18)/1000</f>
        <v>338.07499999999999</v>
      </c>
      <c r="V1297" s="57">
        <f>INT(tblJTL[[#This Row],[経過秒]]/60)</f>
        <v>5</v>
      </c>
      <c r="W1297" s="57">
        <f>IF(OR(tblJTL[[#This Row],[success]]=FALSE,tblJTL[[#This Row],[success]]="false"),1,0)</f>
        <v>0</v>
      </c>
      <c r="X1297" s="57">
        <f>IF(AND(tblJTL[[#This Row],[経過秒]]&gt;='17_分析サンプル'!$E$11,tblJTL[[#This Row],[経過秒]]&lt;'17_分析サンプル'!$E$12),1,0)</f>
        <v>1</v>
      </c>
    </row>
    <row r="1298" spans="2:24" ht="14.4" x14ac:dyDescent="0.3">
      <c r="B1298" s="57">
        <v>1790816738400</v>
      </c>
      <c r="C1298" s="58">
        <v>122</v>
      </c>
      <c r="D1298" s="59" t="s">
        <v>1658</v>
      </c>
      <c r="E1298" s="59" t="s">
        <v>1577</v>
      </c>
      <c r="F1298" s="59" t="s">
        <v>2275</v>
      </c>
      <c r="G1298" s="59" t="s">
        <v>3584</v>
      </c>
      <c r="H1298" s="59" t="s">
        <v>2281</v>
      </c>
      <c r="I1298" s="59" t="b">
        <v>1</v>
      </c>
      <c r="J1298" s="59"/>
      <c r="K1298" s="58">
        <v>1843</v>
      </c>
      <c r="L1298" s="58">
        <v>1342</v>
      </c>
      <c r="M1298" s="59">
        <v>10</v>
      </c>
      <c r="N1298" s="59">
        <v>10</v>
      </c>
      <c r="O1298" s="59" t="s">
        <v>3578</v>
      </c>
      <c r="P1298" s="58">
        <v>116</v>
      </c>
      <c r="Q1298" s="59">
        <v>0</v>
      </c>
      <c r="R1298" s="59">
        <v>0</v>
      </c>
      <c r="S1298" s="60">
        <f>tblJTL[[#This Row],[timeStamp]]/86400000+DATE(1970,1,1)+TIME(9,0,0)</f>
        <v>46296.420583333333</v>
      </c>
      <c r="T1298" s="57">
        <f>tblJTL[[#This Row],[timeStamp]]+tblJTL[[#This Row],[elapsed]]</f>
        <v>1790816738522</v>
      </c>
      <c r="U1298" s="61">
        <f>(tblJTL[[#This Row],[timeStamp]]-'17_分析サンプル'!$E$18)/1000</f>
        <v>338.22</v>
      </c>
      <c r="V1298" s="57">
        <f>INT(tblJTL[[#This Row],[経過秒]]/60)</f>
        <v>5</v>
      </c>
      <c r="W1298" s="57">
        <f>IF(OR(tblJTL[[#This Row],[success]]=FALSE,tblJTL[[#This Row],[success]]="false"),1,0)</f>
        <v>0</v>
      </c>
      <c r="X1298" s="57">
        <f>IF(AND(tblJTL[[#This Row],[経過秒]]&gt;='17_分析サンプル'!$E$11,tblJTL[[#This Row],[経過秒]]&lt;'17_分析サンプル'!$E$12),1,0)</f>
        <v>1</v>
      </c>
    </row>
    <row r="1299" spans="2:24" ht="14.4" x14ac:dyDescent="0.3">
      <c r="B1299" s="57">
        <v>1790816738598</v>
      </c>
      <c r="C1299" s="58">
        <v>201</v>
      </c>
      <c r="D1299" s="59" t="s">
        <v>1658</v>
      </c>
      <c r="E1299" s="59" t="s">
        <v>1577</v>
      </c>
      <c r="F1299" s="59" t="s">
        <v>2275</v>
      </c>
      <c r="G1299" s="59" t="s">
        <v>3577</v>
      </c>
      <c r="H1299" s="59" t="s">
        <v>2281</v>
      </c>
      <c r="I1299" s="59" t="b">
        <v>1</v>
      </c>
      <c r="J1299" s="59"/>
      <c r="K1299" s="58">
        <v>1866</v>
      </c>
      <c r="L1299" s="58">
        <v>1342</v>
      </c>
      <c r="M1299" s="59">
        <v>10</v>
      </c>
      <c r="N1299" s="59">
        <v>10</v>
      </c>
      <c r="O1299" s="59" t="s">
        <v>3578</v>
      </c>
      <c r="P1299" s="58">
        <v>194</v>
      </c>
      <c r="Q1299" s="59">
        <v>0</v>
      </c>
      <c r="R1299" s="59">
        <v>0</v>
      </c>
      <c r="S1299" s="60">
        <f>tblJTL[[#This Row],[timeStamp]]/86400000+DATE(1970,1,1)+TIME(9,0,0)</f>
        <v>46296.420585625005</v>
      </c>
      <c r="T1299" s="57">
        <f>tblJTL[[#This Row],[timeStamp]]+tblJTL[[#This Row],[elapsed]]</f>
        <v>1790816738799</v>
      </c>
      <c r="U1299" s="61">
        <f>(tblJTL[[#This Row],[timeStamp]]-'17_分析サンプル'!$E$18)/1000</f>
        <v>338.41800000000001</v>
      </c>
      <c r="V1299" s="57">
        <f>INT(tblJTL[[#This Row],[経過秒]]/60)</f>
        <v>5</v>
      </c>
      <c r="W1299" s="57">
        <f>IF(OR(tblJTL[[#This Row],[success]]=FALSE,tblJTL[[#This Row],[success]]="false"),1,0)</f>
        <v>0</v>
      </c>
      <c r="X1299" s="57">
        <f>IF(AND(tblJTL[[#This Row],[経過秒]]&gt;='17_分析サンプル'!$E$11,tblJTL[[#This Row],[経過秒]]&lt;'17_分析サンプル'!$E$12),1,0)</f>
        <v>1</v>
      </c>
    </row>
    <row r="1300" spans="2:24" ht="14.4" x14ac:dyDescent="0.3">
      <c r="B1300" s="57">
        <v>1790816737201</v>
      </c>
      <c r="C1300" s="58">
        <v>2212</v>
      </c>
      <c r="D1300" s="59" t="s">
        <v>1677</v>
      </c>
      <c r="E1300" s="59" t="s">
        <v>3579</v>
      </c>
      <c r="F1300" s="59" t="s">
        <v>3580</v>
      </c>
      <c r="G1300" s="59" t="s">
        <v>3585</v>
      </c>
      <c r="H1300" s="59" t="s">
        <v>2281</v>
      </c>
      <c r="I1300" s="59" t="b">
        <v>1</v>
      </c>
      <c r="J1300" s="59"/>
      <c r="K1300" s="58">
        <v>430</v>
      </c>
      <c r="L1300" s="58">
        <v>1478</v>
      </c>
      <c r="M1300" s="59">
        <v>10</v>
      </c>
      <c r="N1300" s="59">
        <v>10</v>
      </c>
      <c r="O1300" s="59" t="s">
        <v>3581</v>
      </c>
      <c r="P1300" s="58">
        <v>2210</v>
      </c>
      <c r="Q1300" s="59">
        <v>0</v>
      </c>
      <c r="R1300" s="59">
        <v>0</v>
      </c>
      <c r="S1300" s="60">
        <f>tblJTL[[#This Row],[timeStamp]]/86400000+DATE(1970,1,1)+TIME(9,0,0)</f>
        <v>46296.420569456022</v>
      </c>
      <c r="T1300" s="57">
        <f>tblJTL[[#This Row],[timeStamp]]+tblJTL[[#This Row],[elapsed]]</f>
        <v>1790816739413</v>
      </c>
      <c r="U1300" s="61">
        <f>(tblJTL[[#This Row],[timeStamp]]-'17_分析サンプル'!$E$18)/1000</f>
        <v>337.02100000000002</v>
      </c>
      <c r="V1300" s="57">
        <f>INT(tblJTL[[#This Row],[経過秒]]/60)</f>
        <v>5</v>
      </c>
      <c r="W1300" s="57">
        <f>IF(OR(tblJTL[[#This Row],[success]]=FALSE,tblJTL[[#This Row],[success]]="false"),1,0)</f>
        <v>0</v>
      </c>
      <c r="X1300" s="57">
        <f>IF(AND(tblJTL[[#This Row],[経過秒]]&gt;='17_分析サンプル'!$E$11,tblJTL[[#This Row],[経過秒]]&lt;'17_分析サンプル'!$E$12),1,0)</f>
        <v>1</v>
      </c>
    </row>
    <row r="1301" spans="2:24" ht="14.4" x14ac:dyDescent="0.3">
      <c r="B1301" s="57">
        <v>1790816738320</v>
      </c>
      <c r="C1301" s="58">
        <v>1108</v>
      </c>
      <c r="D1301" s="59" t="s">
        <v>1677</v>
      </c>
      <c r="E1301" s="59" t="s">
        <v>3579</v>
      </c>
      <c r="F1301" s="59" t="s">
        <v>3580</v>
      </c>
      <c r="G1301" s="59" t="s">
        <v>3587</v>
      </c>
      <c r="H1301" s="59" t="s">
        <v>2281</v>
      </c>
      <c r="I1301" s="59" t="b">
        <v>1</v>
      </c>
      <c r="J1301" s="59"/>
      <c r="K1301" s="58">
        <v>421</v>
      </c>
      <c r="L1301" s="58">
        <v>1478</v>
      </c>
      <c r="M1301" s="59">
        <v>10</v>
      </c>
      <c r="N1301" s="59">
        <v>10</v>
      </c>
      <c r="O1301" s="59" t="s">
        <v>3581</v>
      </c>
      <c r="P1301" s="58">
        <v>1106</v>
      </c>
      <c r="Q1301" s="59">
        <v>0</v>
      </c>
      <c r="R1301" s="59">
        <v>0</v>
      </c>
      <c r="S1301" s="60">
        <f>tblJTL[[#This Row],[timeStamp]]/86400000+DATE(1970,1,1)+TIME(9,0,0)</f>
        <v>46296.420582407409</v>
      </c>
      <c r="T1301" s="57">
        <f>tblJTL[[#This Row],[timeStamp]]+tblJTL[[#This Row],[elapsed]]</f>
        <v>1790816739428</v>
      </c>
      <c r="U1301" s="61">
        <f>(tblJTL[[#This Row],[timeStamp]]-'17_分析サンプル'!$E$18)/1000</f>
        <v>338.14</v>
      </c>
      <c r="V1301" s="57">
        <f>INT(tblJTL[[#This Row],[経過秒]]/60)</f>
        <v>5</v>
      </c>
      <c r="W1301" s="57">
        <f>IF(OR(tblJTL[[#This Row],[success]]=FALSE,tblJTL[[#This Row],[success]]="false"),1,0)</f>
        <v>0</v>
      </c>
      <c r="X1301" s="57">
        <f>IF(AND(tblJTL[[#This Row],[経過秒]]&gt;='17_分析サンプル'!$E$11,tblJTL[[#This Row],[経過秒]]&lt;'17_分析サンプル'!$E$12),1,0)</f>
        <v>1</v>
      </c>
    </row>
    <row r="1302" spans="2:24" ht="14.4" x14ac:dyDescent="0.3">
      <c r="B1302" s="57">
        <v>1790816737774</v>
      </c>
      <c r="C1302" s="58">
        <v>1772</v>
      </c>
      <c r="D1302" s="59" t="s">
        <v>1677</v>
      </c>
      <c r="E1302" s="59" t="s">
        <v>3579</v>
      </c>
      <c r="F1302" s="59" t="s">
        <v>3580</v>
      </c>
      <c r="G1302" s="59" t="s">
        <v>3586</v>
      </c>
      <c r="H1302" s="59" t="s">
        <v>2281</v>
      </c>
      <c r="I1302" s="59" t="b">
        <v>1</v>
      </c>
      <c r="J1302" s="59"/>
      <c r="K1302" s="58">
        <v>415</v>
      </c>
      <c r="L1302" s="58">
        <v>1478</v>
      </c>
      <c r="M1302" s="59">
        <v>10</v>
      </c>
      <c r="N1302" s="59">
        <v>10</v>
      </c>
      <c r="O1302" s="59" t="s">
        <v>3581</v>
      </c>
      <c r="P1302" s="58">
        <v>1768</v>
      </c>
      <c r="Q1302" s="59">
        <v>0</v>
      </c>
      <c r="R1302" s="59">
        <v>0</v>
      </c>
      <c r="S1302" s="60">
        <f>tblJTL[[#This Row],[timeStamp]]/86400000+DATE(1970,1,1)+TIME(9,0,0)</f>
        <v>46296.420576087963</v>
      </c>
      <c r="T1302" s="57">
        <f>tblJTL[[#This Row],[timeStamp]]+tblJTL[[#This Row],[elapsed]]</f>
        <v>1790816739546</v>
      </c>
      <c r="U1302" s="61">
        <f>(tblJTL[[#This Row],[timeStamp]]-'17_分析サンプル'!$E$18)/1000</f>
        <v>337.59399999999999</v>
      </c>
      <c r="V1302" s="57">
        <f>INT(tblJTL[[#This Row],[経過秒]]/60)</f>
        <v>5</v>
      </c>
      <c r="W1302" s="57">
        <f>IF(OR(tblJTL[[#This Row],[success]]=FALSE,tblJTL[[#This Row],[success]]="false"),1,0)</f>
        <v>0</v>
      </c>
      <c r="X1302" s="57">
        <f>IF(AND(tblJTL[[#This Row],[経過秒]]&gt;='17_分析サンプル'!$E$11,tblJTL[[#This Row],[経過秒]]&lt;'17_分析サンプル'!$E$12),1,0)</f>
        <v>1</v>
      </c>
    </row>
    <row r="1303" spans="2:24" ht="14.4" x14ac:dyDescent="0.3">
      <c r="B1303" s="57">
        <v>1790816739281</v>
      </c>
      <c r="C1303" s="58">
        <v>755</v>
      </c>
      <c r="D1303" s="59" t="s">
        <v>1677</v>
      </c>
      <c r="E1303" s="59" t="s">
        <v>3579</v>
      </c>
      <c r="F1303" s="59" t="s">
        <v>3580</v>
      </c>
      <c r="G1303" s="59" t="s">
        <v>2278</v>
      </c>
      <c r="H1303" s="59" t="s">
        <v>2281</v>
      </c>
      <c r="I1303" s="59" t="b">
        <v>1</v>
      </c>
      <c r="J1303" s="59"/>
      <c r="K1303" s="58">
        <v>436</v>
      </c>
      <c r="L1303" s="58">
        <v>1478</v>
      </c>
      <c r="M1303" s="59">
        <v>10</v>
      </c>
      <c r="N1303" s="59">
        <v>10</v>
      </c>
      <c r="O1303" s="59" t="s">
        <v>3581</v>
      </c>
      <c r="P1303" s="58">
        <v>747</v>
      </c>
      <c r="Q1303" s="59">
        <v>0</v>
      </c>
      <c r="R1303" s="59">
        <v>0</v>
      </c>
      <c r="S1303" s="60">
        <f>tblJTL[[#This Row],[timeStamp]]/86400000+DATE(1970,1,1)+TIME(9,0,0)</f>
        <v>46296.420593530092</v>
      </c>
      <c r="T1303" s="57">
        <f>tblJTL[[#This Row],[timeStamp]]+tblJTL[[#This Row],[elapsed]]</f>
        <v>1790816740036</v>
      </c>
      <c r="U1303" s="61">
        <f>(tblJTL[[#This Row],[timeStamp]]-'17_分析サンプル'!$E$18)/1000</f>
        <v>339.101</v>
      </c>
      <c r="V1303" s="57">
        <f>INT(tblJTL[[#This Row],[経過秒]]/60)</f>
        <v>5</v>
      </c>
      <c r="W1303" s="57">
        <f>IF(OR(tblJTL[[#This Row],[success]]=FALSE,tblJTL[[#This Row],[success]]="false"),1,0)</f>
        <v>0</v>
      </c>
      <c r="X1303" s="57">
        <f>IF(AND(tblJTL[[#This Row],[経過秒]]&gt;='17_分析サンプル'!$E$11,tblJTL[[#This Row],[経過秒]]&lt;'17_分析サンプル'!$E$12),1,0)</f>
        <v>1</v>
      </c>
    </row>
    <row r="1304" spans="2:24" ht="14.4" x14ac:dyDescent="0.3">
      <c r="B1304" s="57">
        <v>1790816738940</v>
      </c>
      <c r="C1304" s="58">
        <v>1290</v>
      </c>
      <c r="D1304" s="59" t="s">
        <v>1677</v>
      </c>
      <c r="E1304" s="59" t="s">
        <v>3579</v>
      </c>
      <c r="F1304" s="59" t="s">
        <v>3580</v>
      </c>
      <c r="G1304" s="59" t="s">
        <v>3583</v>
      </c>
      <c r="H1304" s="59" t="s">
        <v>2281</v>
      </c>
      <c r="I1304" s="59" t="b">
        <v>1</v>
      </c>
      <c r="J1304" s="59"/>
      <c r="K1304" s="58">
        <v>440</v>
      </c>
      <c r="L1304" s="58">
        <v>1478</v>
      </c>
      <c r="M1304" s="59">
        <v>10</v>
      </c>
      <c r="N1304" s="59">
        <v>10</v>
      </c>
      <c r="O1304" s="59" t="s">
        <v>3581</v>
      </c>
      <c r="P1304" s="58">
        <v>1287</v>
      </c>
      <c r="Q1304" s="59">
        <v>0</v>
      </c>
      <c r="R1304" s="59">
        <v>0</v>
      </c>
      <c r="S1304" s="60">
        <f>tblJTL[[#This Row],[timeStamp]]/86400000+DATE(1970,1,1)+TIME(9,0,0)</f>
        <v>46296.420589583329</v>
      </c>
      <c r="T1304" s="57">
        <f>tblJTL[[#This Row],[timeStamp]]+tblJTL[[#This Row],[elapsed]]</f>
        <v>1790816740230</v>
      </c>
      <c r="U1304" s="61">
        <f>(tblJTL[[#This Row],[timeStamp]]-'17_分析サンプル'!$E$18)/1000</f>
        <v>338.76</v>
      </c>
      <c r="V1304" s="57">
        <f>INT(tblJTL[[#This Row],[経過秒]]/60)</f>
        <v>5</v>
      </c>
      <c r="W1304" s="57">
        <f>IF(OR(tblJTL[[#This Row],[success]]=FALSE,tblJTL[[#This Row],[success]]="false"),1,0)</f>
        <v>0</v>
      </c>
      <c r="X1304" s="57">
        <f>IF(AND(tblJTL[[#This Row],[経過秒]]&gt;='17_分析サンプル'!$E$11,tblJTL[[#This Row],[経過秒]]&lt;'17_分析サンプル'!$E$12),1,0)</f>
        <v>1</v>
      </c>
    </row>
    <row r="1305" spans="2:24" ht="14.4" x14ac:dyDescent="0.3">
      <c r="B1305" s="57">
        <v>1790816740570</v>
      </c>
      <c r="C1305" s="58">
        <v>236</v>
      </c>
      <c r="D1305" s="59" t="s">
        <v>1658</v>
      </c>
      <c r="E1305" s="59" t="s">
        <v>1577</v>
      </c>
      <c r="F1305" s="59" t="s">
        <v>2275</v>
      </c>
      <c r="G1305" s="59" t="s">
        <v>3587</v>
      </c>
      <c r="H1305" s="59" t="s">
        <v>2281</v>
      </c>
      <c r="I1305" s="59" t="b">
        <v>1</v>
      </c>
      <c r="J1305" s="59"/>
      <c r="K1305" s="58">
        <v>1826</v>
      </c>
      <c r="L1305" s="58">
        <v>1342</v>
      </c>
      <c r="M1305" s="59">
        <v>10</v>
      </c>
      <c r="N1305" s="59">
        <v>10</v>
      </c>
      <c r="O1305" s="59" t="s">
        <v>3578</v>
      </c>
      <c r="P1305" s="58">
        <v>229</v>
      </c>
      <c r="Q1305" s="59">
        <v>0</v>
      </c>
      <c r="R1305" s="59">
        <v>0</v>
      </c>
      <c r="S1305" s="60">
        <f>tblJTL[[#This Row],[timeStamp]]/86400000+DATE(1970,1,1)+TIME(9,0,0)</f>
        <v>46296.420608449072</v>
      </c>
      <c r="T1305" s="57">
        <f>tblJTL[[#This Row],[timeStamp]]+tblJTL[[#This Row],[elapsed]]</f>
        <v>1790816740806</v>
      </c>
      <c r="U1305" s="61">
        <f>(tblJTL[[#This Row],[timeStamp]]-'17_分析サンプル'!$E$18)/1000</f>
        <v>340.39</v>
      </c>
      <c r="V1305" s="57">
        <f>INT(tblJTL[[#This Row],[経過秒]]/60)</f>
        <v>5</v>
      </c>
      <c r="W1305" s="57">
        <f>IF(OR(tblJTL[[#This Row],[success]]=FALSE,tblJTL[[#This Row],[success]]="false"),1,0)</f>
        <v>0</v>
      </c>
      <c r="X1305" s="57">
        <f>IF(AND(tblJTL[[#This Row],[経過秒]]&gt;='17_分析サンプル'!$E$11,tblJTL[[#This Row],[経過秒]]&lt;'17_分析サンプル'!$E$12),1,0)</f>
        <v>1</v>
      </c>
    </row>
    <row r="1306" spans="2:24" ht="14.4" x14ac:dyDescent="0.3">
      <c r="B1306" s="57">
        <v>1790816739307</v>
      </c>
      <c r="C1306" s="58">
        <v>1502</v>
      </c>
      <c r="D1306" s="59" t="s">
        <v>1677</v>
      </c>
      <c r="E1306" s="59" t="s">
        <v>3579</v>
      </c>
      <c r="F1306" s="59" t="s">
        <v>3580</v>
      </c>
      <c r="G1306" s="59" t="s">
        <v>3589</v>
      </c>
      <c r="H1306" s="59" t="s">
        <v>2281</v>
      </c>
      <c r="I1306" s="59" t="b">
        <v>1</v>
      </c>
      <c r="J1306" s="59"/>
      <c r="K1306" s="58">
        <v>420</v>
      </c>
      <c r="L1306" s="58">
        <v>1478</v>
      </c>
      <c r="M1306" s="59">
        <v>10</v>
      </c>
      <c r="N1306" s="59">
        <v>10</v>
      </c>
      <c r="O1306" s="59" t="s">
        <v>3581</v>
      </c>
      <c r="P1306" s="58">
        <v>1497</v>
      </c>
      <c r="Q1306" s="59">
        <v>0</v>
      </c>
      <c r="R1306" s="59">
        <v>0</v>
      </c>
      <c r="S1306" s="60">
        <f>tblJTL[[#This Row],[timeStamp]]/86400000+DATE(1970,1,1)+TIME(9,0,0)</f>
        <v>46296.420593831019</v>
      </c>
      <c r="T1306" s="57">
        <f>tblJTL[[#This Row],[timeStamp]]+tblJTL[[#This Row],[elapsed]]</f>
        <v>1790816740809</v>
      </c>
      <c r="U1306" s="61">
        <f>(tblJTL[[#This Row],[timeStamp]]-'17_分析サンプル'!$E$18)/1000</f>
        <v>339.12700000000001</v>
      </c>
      <c r="V1306" s="57">
        <f>INT(tblJTL[[#This Row],[経過秒]]/60)</f>
        <v>5</v>
      </c>
      <c r="W1306" s="57">
        <f>IF(OR(tblJTL[[#This Row],[success]]=FALSE,tblJTL[[#This Row],[success]]="false"),1,0)</f>
        <v>0</v>
      </c>
      <c r="X1306" s="57">
        <f>IF(AND(tblJTL[[#This Row],[経過秒]]&gt;='17_分析サンプル'!$E$11,tblJTL[[#This Row],[経過秒]]&lt;'17_分析サンプル'!$E$12),1,0)</f>
        <v>1</v>
      </c>
    </row>
    <row r="1307" spans="2:24" ht="14.4" x14ac:dyDescent="0.3">
      <c r="B1307" s="57">
        <v>1790816740728</v>
      </c>
      <c r="C1307" s="58">
        <v>89</v>
      </c>
      <c r="D1307" s="59" t="s">
        <v>1658</v>
      </c>
      <c r="E1307" s="59" t="s">
        <v>1577</v>
      </c>
      <c r="F1307" s="59" t="s">
        <v>2275</v>
      </c>
      <c r="G1307" s="59" t="s">
        <v>3588</v>
      </c>
      <c r="H1307" s="59" t="s">
        <v>2281</v>
      </c>
      <c r="I1307" s="59" t="b">
        <v>1</v>
      </c>
      <c r="J1307" s="59"/>
      <c r="K1307" s="58">
        <v>1851</v>
      </c>
      <c r="L1307" s="58">
        <v>1342</v>
      </c>
      <c r="M1307" s="59">
        <v>10</v>
      </c>
      <c r="N1307" s="59">
        <v>10</v>
      </c>
      <c r="O1307" s="59" t="s">
        <v>3578</v>
      </c>
      <c r="P1307" s="58">
        <v>84</v>
      </c>
      <c r="Q1307" s="59">
        <v>0</v>
      </c>
      <c r="R1307" s="59">
        <v>0</v>
      </c>
      <c r="S1307" s="60">
        <f>tblJTL[[#This Row],[timeStamp]]/86400000+DATE(1970,1,1)+TIME(9,0,0)</f>
        <v>46296.420610277783</v>
      </c>
      <c r="T1307" s="57">
        <f>tblJTL[[#This Row],[timeStamp]]+tblJTL[[#This Row],[elapsed]]</f>
        <v>1790816740817</v>
      </c>
      <c r="U1307" s="61">
        <f>(tblJTL[[#This Row],[timeStamp]]-'17_分析サンプル'!$E$18)/1000</f>
        <v>340.548</v>
      </c>
      <c r="V1307" s="57">
        <f>INT(tblJTL[[#This Row],[経過秒]]/60)</f>
        <v>5</v>
      </c>
      <c r="W1307" s="57">
        <f>IF(OR(tblJTL[[#This Row],[success]]=FALSE,tblJTL[[#This Row],[success]]="false"),1,0)</f>
        <v>0</v>
      </c>
      <c r="X1307" s="57">
        <f>IF(AND(tblJTL[[#This Row],[経過秒]]&gt;='17_分析サンプル'!$E$11,tblJTL[[#This Row],[経過秒]]&lt;'17_分析サンプル'!$E$12),1,0)</f>
        <v>1</v>
      </c>
    </row>
    <row r="1308" spans="2:24" ht="14.4" x14ac:dyDescent="0.3">
      <c r="B1308" s="57">
        <v>1790816739613</v>
      </c>
      <c r="C1308" s="58">
        <v>1236</v>
      </c>
      <c r="D1308" s="59" t="s">
        <v>1677</v>
      </c>
      <c r="E1308" s="59" t="s">
        <v>3579</v>
      </c>
      <c r="F1308" s="59" t="s">
        <v>3580</v>
      </c>
      <c r="G1308" s="59" t="s">
        <v>3582</v>
      </c>
      <c r="H1308" s="59" t="s">
        <v>2281</v>
      </c>
      <c r="I1308" s="59" t="b">
        <v>1</v>
      </c>
      <c r="J1308" s="59"/>
      <c r="K1308" s="58">
        <v>410</v>
      </c>
      <c r="L1308" s="58">
        <v>1478</v>
      </c>
      <c r="M1308" s="59">
        <v>10</v>
      </c>
      <c r="N1308" s="59">
        <v>10</v>
      </c>
      <c r="O1308" s="59" t="s">
        <v>3581</v>
      </c>
      <c r="P1308" s="58">
        <v>1232</v>
      </c>
      <c r="Q1308" s="59">
        <v>0</v>
      </c>
      <c r="R1308" s="59">
        <v>0</v>
      </c>
      <c r="S1308" s="60">
        <f>tblJTL[[#This Row],[timeStamp]]/86400000+DATE(1970,1,1)+TIME(9,0,0)</f>
        <v>46296.420597372686</v>
      </c>
      <c r="T1308" s="57">
        <f>tblJTL[[#This Row],[timeStamp]]+tblJTL[[#This Row],[elapsed]]</f>
        <v>1790816740849</v>
      </c>
      <c r="U1308" s="61">
        <f>(tblJTL[[#This Row],[timeStamp]]-'17_分析サンプル'!$E$18)/1000</f>
        <v>339.43299999999999</v>
      </c>
      <c r="V1308" s="57">
        <f>INT(tblJTL[[#This Row],[経過秒]]/60)</f>
        <v>5</v>
      </c>
      <c r="W1308" s="57">
        <f>IF(OR(tblJTL[[#This Row],[success]]=FALSE,tblJTL[[#This Row],[success]]="false"),1,0)</f>
        <v>0</v>
      </c>
      <c r="X1308" s="57">
        <f>IF(AND(tblJTL[[#This Row],[経過秒]]&gt;='17_分析サンプル'!$E$11,tblJTL[[#This Row],[経過秒]]&lt;'17_分析サンプル'!$E$12),1,0)</f>
        <v>1</v>
      </c>
    </row>
    <row r="1309" spans="2:24" ht="14.4" x14ac:dyDescent="0.3">
      <c r="B1309" s="57">
        <v>1790816740316</v>
      </c>
      <c r="C1309" s="58">
        <v>566</v>
      </c>
      <c r="D1309" s="59" t="s">
        <v>1677</v>
      </c>
      <c r="E1309" s="59" t="s">
        <v>3579</v>
      </c>
      <c r="F1309" s="59" t="s">
        <v>3580</v>
      </c>
      <c r="G1309" s="59" t="s">
        <v>3584</v>
      </c>
      <c r="H1309" s="59" t="s">
        <v>2281</v>
      </c>
      <c r="I1309" s="59" t="b">
        <v>1</v>
      </c>
      <c r="J1309" s="59"/>
      <c r="K1309" s="58">
        <v>420</v>
      </c>
      <c r="L1309" s="58">
        <v>1478</v>
      </c>
      <c r="M1309" s="59">
        <v>10</v>
      </c>
      <c r="N1309" s="59">
        <v>10</v>
      </c>
      <c r="O1309" s="59" t="s">
        <v>3581</v>
      </c>
      <c r="P1309" s="58">
        <v>561</v>
      </c>
      <c r="Q1309" s="59">
        <v>0</v>
      </c>
      <c r="R1309" s="59">
        <v>0</v>
      </c>
      <c r="S1309" s="60">
        <f>tblJTL[[#This Row],[timeStamp]]/86400000+DATE(1970,1,1)+TIME(9,0,0)</f>
        <v>46296.420605509258</v>
      </c>
      <c r="T1309" s="57">
        <f>tblJTL[[#This Row],[timeStamp]]+tblJTL[[#This Row],[elapsed]]</f>
        <v>1790816740882</v>
      </c>
      <c r="U1309" s="61">
        <f>(tblJTL[[#This Row],[timeStamp]]-'17_分析サンプル'!$E$18)/1000</f>
        <v>340.13600000000002</v>
      </c>
      <c r="V1309" s="57">
        <f>INT(tblJTL[[#This Row],[経過秒]]/60)</f>
        <v>5</v>
      </c>
      <c r="W1309" s="57">
        <f>IF(OR(tblJTL[[#This Row],[success]]=FALSE,tblJTL[[#This Row],[success]]="false"),1,0)</f>
        <v>0</v>
      </c>
      <c r="X1309" s="57">
        <f>IF(AND(tblJTL[[#This Row],[経過秒]]&gt;='17_分析サンプル'!$E$11,tblJTL[[#This Row],[経過秒]]&lt;'17_分析サンプル'!$E$12),1,0)</f>
        <v>1</v>
      </c>
    </row>
    <row r="1310" spans="2:24" ht="14.4" x14ac:dyDescent="0.3">
      <c r="B1310" s="57">
        <v>1790816741580</v>
      </c>
      <c r="C1310" s="58">
        <v>166</v>
      </c>
      <c r="D1310" s="59" t="s">
        <v>1658</v>
      </c>
      <c r="E1310" s="59" t="s">
        <v>1577</v>
      </c>
      <c r="F1310" s="59" t="s">
        <v>2275</v>
      </c>
      <c r="G1310" s="59" t="s">
        <v>3585</v>
      </c>
      <c r="H1310" s="59" t="s">
        <v>2281</v>
      </c>
      <c r="I1310" s="59" t="b">
        <v>1</v>
      </c>
      <c r="J1310" s="59"/>
      <c r="K1310" s="58">
        <v>1886</v>
      </c>
      <c r="L1310" s="58">
        <v>1342</v>
      </c>
      <c r="M1310" s="59">
        <v>10</v>
      </c>
      <c r="N1310" s="59">
        <v>10</v>
      </c>
      <c r="O1310" s="59" t="s">
        <v>3578</v>
      </c>
      <c r="P1310" s="58">
        <v>162</v>
      </c>
      <c r="Q1310" s="59">
        <v>0</v>
      </c>
      <c r="R1310" s="59">
        <v>62</v>
      </c>
      <c r="S1310" s="60">
        <f>tblJTL[[#This Row],[timeStamp]]/86400000+DATE(1970,1,1)+TIME(9,0,0)</f>
        <v>46296.420620138888</v>
      </c>
      <c r="T1310" s="57">
        <f>tblJTL[[#This Row],[timeStamp]]+tblJTL[[#This Row],[elapsed]]</f>
        <v>1790816741746</v>
      </c>
      <c r="U1310" s="61">
        <f>(tblJTL[[#This Row],[timeStamp]]-'17_分析サンプル'!$E$18)/1000</f>
        <v>341.4</v>
      </c>
      <c r="V1310" s="57">
        <f>INT(tblJTL[[#This Row],[経過秒]]/60)</f>
        <v>5</v>
      </c>
      <c r="W1310" s="57">
        <f>IF(OR(tblJTL[[#This Row],[success]]=FALSE,tblJTL[[#This Row],[success]]="false"),1,0)</f>
        <v>0</v>
      </c>
      <c r="X1310" s="57">
        <f>IF(AND(tblJTL[[#This Row],[経過秒]]&gt;='17_分析サンプル'!$E$11,tblJTL[[#This Row],[経過秒]]&lt;'17_分析サンプル'!$E$12),1,0)</f>
        <v>1</v>
      </c>
    </row>
    <row r="1311" spans="2:24" ht="14.4" x14ac:dyDescent="0.3">
      <c r="B1311" s="57">
        <v>1790816741948</v>
      </c>
      <c r="C1311" s="58">
        <v>112</v>
      </c>
      <c r="D1311" s="59" t="s">
        <v>1658</v>
      </c>
      <c r="E1311" s="59" t="s">
        <v>1577</v>
      </c>
      <c r="F1311" s="59" t="s">
        <v>2275</v>
      </c>
      <c r="G1311" s="59" t="s">
        <v>3589</v>
      </c>
      <c r="H1311" s="59" t="s">
        <v>2281</v>
      </c>
      <c r="I1311" s="59" t="b">
        <v>1</v>
      </c>
      <c r="J1311" s="59"/>
      <c r="K1311" s="58">
        <v>1877</v>
      </c>
      <c r="L1311" s="58">
        <v>1342</v>
      </c>
      <c r="M1311" s="59">
        <v>10</v>
      </c>
      <c r="N1311" s="59">
        <v>10</v>
      </c>
      <c r="O1311" s="59" t="s">
        <v>3578</v>
      </c>
      <c r="P1311" s="58">
        <v>107</v>
      </c>
      <c r="Q1311" s="59">
        <v>0</v>
      </c>
      <c r="R1311" s="59">
        <v>0</v>
      </c>
      <c r="S1311" s="60">
        <f>tblJTL[[#This Row],[timeStamp]]/86400000+DATE(1970,1,1)+TIME(9,0,0)</f>
        <v>46296.420624398146</v>
      </c>
      <c r="T1311" s="57">
        <f>tblJTL[[#This Row],[timeStamp]]+tblJTL[[#This Row],[elapsed]]</f>
        <v>1790816742060</v>
      </c>
      <c r="U1311" s="61">
        <f>(tblJTL[[#This Row],[timeStamp]]-'17_分析サンプル'!$E$18)/1000</f>
        <v>341.76799999999997</v>
      </c>
      <c r="V1311" s="57">
        <f>INT(tblJTL[[#This Row],[経過秒]]/60)</f>
        <v>5</v>
      </c>
      <c r="W1311" s="57">
        <f>IF(OR(tblJTL[[#This Row],[success]]=FALSE,tblJTL[[#This Row],[success]]="false"),1,0)</f>
        <v>0</v>
      </c>
      <c r="X1311" s="57">
        <f>IF(AND(tblJTL[[#This Row],[経過秒]]&gt;='17_分析サンプル'!$E$11,tblJTL[[#This Row],[経過秒]]&lt;'17_分析サンプル'!$E$12),1,0)</f>
        <v>1</v>
      </c>
    </row>
    <row r="1312" spans="2:24" ht="14.4" x14ac:dyDescent="0.3">
      <c r="B1312" s="57">
        <v>1790816741913</v>
      </c>
      <c r="C1312" s="58">
        <v>192</v>
      </c>
      <c r="D1312" s="59" t="s">
        <v>1677</v>
      </c>
      <c r="E1312" s="59" t="s">
        <v>3579</v>
      </c>
      <c r="F1312" s="59" t="s">
        <v>3580</v>
      </c>
      <c r="G1312" s="59" t="s">
        <v>3587</v>
      </c>
      <c r="H1312" s="59" t="s">
        <v>2281</v>
      </c>
      <c r="I1312" s="59" t="b">
        <v>1</v>
      </c>
      <c r="J1312" s="59"/>
      <c r="K1312" s="58">
        <v>422</v>
      </c>
      <c r="L1312" s="58">
        <v>1478</v>
      </c>
      <c r="M1312" s="59">
        <v>10</v>
      </c>
      <c r="N1312" s="59">
        <v>10</v>
      </c>
      <c r="O1312" s="59" t="s">
        <v>3581</v>
      </c>
      <c r="P1312" s="58">
        <v>186</v>
      </c>
      <c r="Q1312" s="59">
        <v>0</v>
      </c>
      <c r="R1312" s="59">
        <v>0</v>
      </c>
      <c r="S1312" s="60">
        <f>tblJTL[[#This Row],[timeStamp]]/86400000+DATE(1970,1,1)+TIME(9,0,0)</f>
        <v>46296.420623993057</v>
      </c>
      <c r="T1312" s="57">
        <f>tblJTL[[#This Row],[timeStamp]]+tblJTL[[#This Row],[elapsed]]</f>
        <v>1790816742105</v>
      </c>
      <c r="U1312" s="61">
        <f>(tblJTL[[#This Row],[timeStamp]]-'17_分析サンプル'!$E$18)/1000</f>
        <v>341.733</v>
      </c>
      <c r="V1312" s="57">
        <f>INT(tblJTL[[#This Row],[経過秒]]/60)</f>
        <v>5</v>
      </c>
      <c r="W1312" s="57">
        <f>IF(OR(tblJTL[[#This Row],[success]]=FALSE,tblJTL[[#This Row],[success]]="false"),1,0)</f>
        <v>0</v>
      </c>
      <c r="X1312" s="57">
        <f>IF(AND(tblJTL[[#This Row],[経過秒]]&gt;='17_分析サンプル'!$E$11,tblJTL[[#This Row],[経過秒]]&lt;'17_分析サンプル'!$E$12),1,0)</f>
        <v>1</v>
      </c>
    </row>
    <row r="1313" spans="2:24" ht="14.4" x14ac:dyDescent="0.3">
      <c r="B1313" s="57">
        <v>1790816740377</v>
      </c>
      <c r="C1313" s="58">
        <v>1737</v>
      </c>
      <c r="D1313" s="59" t="s">
        <v>1677</v>
      </c>
      <c r="E1313" s="59" t="s">
        <v>3579</v>
      </c>
      <c r="F1313" s="59" t="s">
        <v>3580</v>
      </c>
      <c r="G1313" s="59" t="s">
        <v>3577</v>
      </c>
      <c r="H1313" s="59" t="s">
        <v>2281</v>
      </c>
      <c r="I1313" s="59" t="b">
        <v>1</v>
      </c>
      <c r="J1313" s="59"/>
      <c r="K1313" s="58">
        <v>411</v>
      </c>
      <c r="L1313" s="58">
        <v>1478</v>
      </c>
      <c r="M1313" s="59">
        <v>10</v>
      </c>
      <c r="N1313" s="59">
        <v>10</v>
      </c>
      <c r="O1313" s="59" t="s">
        <v>3581</v>
      </c>
      <c r="P1313" s="58">
        <v>1731</v>
      </c>
      <c r="Q1313" s="59">
        <v>0</v>
      </c>
      <c r="R1313" s="59">
        <v>0</v>
      </c>
      <c r="S1313" s="60">
        <f>tblJTL[[#This Row],[timeStamp]]/86400000+DATE(1970,1,1)+TIME(9,0,0)</f>
        <v>46296.420606215281</v>
      </c>
      <c r="T1313" s="57">
        <f>tblJTL[[#This Row],[timeStamp]]+tblJTL[[#This Row],[elapsed]]</f>
        <v>1790816742114</v>
      </c>
      <c r="U1313" s="61">
        <f>(tblJTL[[#This Row],[timeStamp]]-'17_分析サンプル'!$E$18)/1000</f>
        <v>340.197</v>
      </c>
      <c r="V1313" s="57">
        <f>INT(tblJTL[[#This Row],[経過秒]]/60)</f>
        <v>5</v>
      </c>
      <c r="W1313" s="57">
        <f>IF(OR(tblJTL[[#This Row],[success]]=FALSE,tblJTL[[#This Row],[success]]="false"),1,0)</f>
        <v>0</v>
      </c>
      <c r="X1313" s="57">
        <f>IF(AND(tblJTL[[#This Row],[経過秒]]&gt;='17_分析サンプル'!$E$11,tblJTL[[#This Row],[経過秒]]&lt;'17_分析サンプル'!$E$12),1,0)</f>
        <v>1</v>
      </c>
    </row>
    <row r="1314" spans="2:24" ht="14.4" x14ac:dyDescent="0.3">
      <c r="B1314" s="57">
        <v>1790816742498</v>
      </c>
      <c r="C1314" s="58">
        <v>108</v>
      </c>
      <c r="D1314" s="59" t="s">
        <v>1658</v>
      </c>
      <c r="E1314" s="59" t="s">
        <v>1577</v>
      </c>
      <c r="F1314" s="59" t="s">
        <v>2275</v>
      </c>
      <c r="G1314" s="59" t="s">
        <v>3582</v>
      </c>
      <c r="H1314" s="59" t="s">
        <v>2281</v>
      </c>
      <c r="I1314" s="59" t="b">
        <v>1</v>
      </c>
      <c r="J1314" s="59"/>
      <c r="K1314" s="58">
        <v>1871</v>
      </c>
      <c r="L1314" s="58">
        <v>1342</v>
      </c>
      <c r="M1314" s="59">
        <v>10</v>
      </c>
      <c r="N1314" s="59">
        <v>10</v>
      </c>
      <c r="O1314" s="59" t="s">
        <v>3578</v>
      </c>
      <c r="P1314" s="58">
        <v>100</v>
      </c>
      <c r="Q1314" s="59">
        <v>0</v>
      </c>
      <c r="R1314" s="59">
        <v>0</v>
      </c>
      <c r="S1314" s="60">
        <f>tblJTL[[#This Row],[timeStamp]]/86400000+DATE(1970,1,1)+TIME(9,0,0)</f>
        <v>46296.420630763889</v>
      </c>
      <c r="T1314" s="57">
        <f>tblJTL[[#This Row],[timeStamp]]+tblJTL[[#This Row],[elapsed]]</f>
        <v>1790816742606</v>
      </c>
      <c r="U1314" s="61">
        <f>(tblJTL[[#This Row],[timeStamp]]-'17_分析サンプル'!$E$18)/1000</f>
        <v>342.31799999999998</v>
      </c>
      <c r="V1314" s="57">
        <f>INT(tblJTL[[#This Row],[経過秒]]/60)</f>
        <v>5</v>
      </c>
      <c r="W1314" s="57">
        <f>IF(OR(tblJTL[[#This Row],[success]]=FALSE,tblJTL[[#This Row],[success]]="false"),1,0)</f>
        <v>0</v>
      </c>
      <c r="X1314" s="57">
        <f>IF(AND(tblJTL[[#This Row],[経過秒]]&gt;='17_分析サンプル'!$E$11,tblJTL[[#This Row],[経過秒]]&lt;'17_分析サンプル'!$E$12),1,0)</f>
        <v>1</v>
      </c>
    </row>
    <row r="1315" spans="2:24" ht="14.4" x14ac:dyDescent="0.3">
      <c r="B1315" s="57">
        <v>1790816742439</v>
      </c>
      <c r="C1315" s="58">
        <v>173</v>
      </c>
      <c r="D1315" s="59" t="s">
        <v>1658</v>
      </c>
      <c r="E1315" s="59" t="s">
        <v>1577</v>
      </c>
      <c r="F1315" s="59" t="s">
        <v>2275</v>
      </c>
      <c r="G1315" s="59" t="s">
        <v>3586</v>
      </c>
      <c r="H1315" s="59" t="s">
        <v>2281</v>
      </c>
      <c r="I1315" s="59" t="b">
        <v>1</v>
      </c>
      <c r="J1315" s="59"/>
      <c r="K1315" s="58">
        <v>1896</v>
      </c>
      <c r="L1315" s="58">
        <v>1342</v>
      </c>
      <c r="M1315" s="59">
        <v>10</v>
      </c>
      <c r="N1315" s="59">
        <v>10</v>
      </c>
      <c r="O1315" s="59" t="s">
        <v>3578</v>
      </c>
      <c r="P1315" s="58">
        <v>165</v>
      </c>
      <c r="Q1315" s="59">
        <v>0</v>
      </c>
      <c r="R1315" s="59">
        <v>0</v>
      </c>
      <c r="S1315" s="60">
        <f>tblJTL[[#This Row],[timeStamp]]/86400000+DATE(1970,1,1)+TIME(9,0,0)</f>
        <v>46296.420630081018</v>
      </c>
      <c r="T1315" s="57">
        <f>tblJTL[[#This Row],[timeStamp]]+tblJTL[[#This Row],[elapsed]]</f>
        <v>1790816742612</v>
      </c>
      <c r="U1315" s="61">
        <f>(tblJTL[[#This Row],[timeStamp]]-'17_分析サンプル'!$E$18)/1000</f>
        <v>342.25900000000001</v>
      </c>
      <c r="V1315" s="57">
        <f>INT(tblJTL[[#This Row],[経過秒]]/60)</f>
        <v>5</v>
      </c>
      <c r="W1315" s="57">
        <f>IF(OR(tblJTL[[#This Row],[success]]=FALSE,tblJTL[[#This Row],[success]]="false"),1,0)</f>
        <v>0</v>
      </c>
      <c r="X1315" s="57">
        <f>IF(AND(tblJTL[[#This Row],[経過秒]]&gt;='17_分析サンプル'!$E$11,tblJTL[[#This Row],[経過秒]]&lt;'17_分析サンプル'!$E$12),1,0)</f>
        <v>1</v>
      </c>
    </row>
    <row r="1316" spans="2:24" ht="14.4" x14ac:dyDescent="0.3">
      <c r="B1316" s="57">
        <v>1790816742798</v>
      </c>
      <c r="C1316" s="58">
        <v>122</v>
      </c>
      <c r="D1316" s="59" t="s">
        <v>1658</v>
      </c>
      <c r="E1316" s="59" t="s">
        <v>1577</v>
      </c>
      <c r="F1316" s="59" t="s">
        <v>2275</v>
      </c>
      <c r="G1316" s="59" t="s">
        <v>3583</v>
      </c>
      <c r="H1316" s="59" t="s">
        <v>2281</v>
      </c>
      <c r="I1316" s="59" t="b">
        <v>1</v>
      </c>
      <c r="J1316" s="59"/>
      <c r="K1316" s="58">
        <v>1848</v>
      </c>
      <c r="L1316" s="58">
        <v>1342</v>
      </c>
      <c r="M1316" s="59">
        <v>10</v>
      </c>
      <c r="N1316" s="59">
        <v>10</v>
      </c>
      <c r="O1316" s="59" t="s">
        <v>3578</v>
      </c>
      <c r="P1316" s="58">
        <v>118</v>
      </c>
      <c r="Q1316" s="59">
        <v>0</v>
      </c>
      <c r="R1316" s="59">
        <v>0</v>
      </c>
      <c r="S1316" s="60">
        <f>tblJTL[[#This Row],[timeStamp]]/86400000+DATE(1970,1,1)+TIME(9,0,0)</f>
        <v>46296.420634236114</v>
      </c>
      <c r="T1316" s="57">
        <f>tblJTL[[#This Row],[timeStamp]]+tblJTL[[#This Row],[elapsed]]</f>
        <v>1790816742920</v>
      </c>
      <c r="U1316" s="61">
        <f>(tblJTL[[#This Row],[timeStamp]]-'17_分析サンプル'!$E$18)/1000</f>
        <v>342.61799999999999</v>
      </c>
      <c r="V1316" s="57">
        <f>INT(tblJTL[[#This Row],[経過秒]]/60)</f>
        <v>5</v>
      </c>
      <c r="W1316" s="57">
        <f>IF(OR(tblJTL[[#This Row],[success]]=FALSE,tblJTL[[#This Row],[success]]="false"),1,0)</f>
        <v>0</v>
      </c>
      <c r="X1316" s="57">
        <f>IF(AND(tblJTL[[#This Row],[経過秒]]&gt;='17_分析サンプル'!$E$11,tblJTL[[#This Row],[経過秒]]&lt;'17_分析サンプル'!$E$12),1,0)</f>
        <v>1</v>
      </c>
    </row>
    <row r="1317" spans="2:24" ht="14.4" x14ac:dyDescent="0.3">
      <c r="B1317" s="57">
        <v>1790816742916</v>
      </c>
      <c r="C1317" s="58">
        <v>65</v>
      </c>
      <c r="D1317" s="59" t="s">
        <v>1658</v>
      </c>
      <c r="E1317" s="59" t="s">
        <v>1577</v>
      </c>
      <c r="F1317" s="59" t="s">
        <v>2275</v>
      </c>
      <c r="G1317" s="59" t="s">
        <v>2278</v>
      </c>
      <c r="H1317" s="59" t="s">
        <v>2281</v>
      </c>
      <c r="I1317" s="59" t="b">
        <v>1</v>
      </c>
      <c r="J1317" s="59"/>
      <c r="K1317" s="58">
        <v>1823</v>
      </c>
      <c r="L1317" s="58">
        <v>1342</v>
      </c>
      <c r="M1317" s="59">
        <v>10</v>
      </c>
      <c r="N1317" s="59">
        <v>10</v>
      </c>
      <c r="O1317" s="59" t="s">
        <v>3578</v>
      </c>
      <c r="P1317" s="58">
        <v>57</v>
      </c>
      <c r="Q1317" s="59">
        <v>0</v>
      </c>
      <c r="R1317" s="59">
        <v>0</v>
      </c>
      <c r="S1317" s="60">
        <f>tblJTL[[#This Row],[timeStamp]]/86400000+DATE(1970,1,1)+TIME(9,0,0)</f>
        <v>46296.420635601855</v>
      </c>
      <c r="T1317" s="57">
        <f>tblJTL[[#This Row],[timeStamp]]+tblJTL[[#This Row],[elapsed]]</f>
        <v>1790816742981</v>
      </c>
      <c r="U1317" s="61">
        <f>(tblJTL[[#This Row],[timeStamp]]-'17_分析サンプル'!$E$18)/1000</f>
        <v>342.73599999999999</v>
      </c>
      <c r="V1317" s="57">
        <f>INT(tblJTL[[#This Row],[経過秒]]/60)</f>
        <v>5</v>
      </c>
      <c r="W1317" s="57">
        <f>IF(OR(tblJTL[[#This Row],[success]]=FALSE,tblJTL[[#This Row],[success]]="false"),1,0)</f>
        <v>0</v>
      </c>
      <c r="X1317" s="57">
        <f>IF(AND(tblJTL[[#This Row],[経過秒]]&gt;='17_分析サンプル'!$E$11,tblJTL[[#This Row],[経過秒]]&lt;'17_分析サンプル'!$E$12),1,0)</f>
        <v>1</v>
      </c>
    </row>
    <row r="1318" spans="2:24" ht="14.4" x14ac:dyDescent="0.3">
      <c r="B1318" s="57">
        <v>1790816743417</v>
      </c>
      <c r="C1318" s="58">
        <v>89</v>
      </c>
      <c r="D1318" s="59" t="s">
        <v>1658</v>
      </c>
      <c r="E1318" s="59" t="s">
        <v>1577</v>
      </c>
      <c r="F1318" s="59" t="s">
        <v>2275</v>
      </c>
      <c r="G1318" s="59" t="s">
        <v>3577</v>
      </c>
      <c r="H1318" s="59" t="s">
        <v>2281</v>
      </c>
      <c r="I1318" s="59" t="b">
        <v>1</v>
      </c>
      <c r="J1318" s="59"/>
      <c r="K1318" s="58">
        <v>1883</v>
      </c>
      <c r="L1318" s="58">
        <v>1342</v>
      </c>
      <c r="M1318" s="59">
        <v>10</v>
      </c>
      <c r="N1318" s="59">
        <v>10</v>
      </c>
      <c r="O1318" s="59" t="s">
        <v>3578</v>
      </c>
      <c r="P1318" s="58">
        <v>84</v>
      </c>
      <c r="Q1318" s="59">
        <v>0</v>
      </c>
      <c r="R1318" s="59">
        <v>0</v>
      </c>
      <c r="S1318" s="60">
        <f>tblJTL[[#This Row],[timeStamp]]/86400000+DATE(1970,1,1)+TIME(9,0,0)</f>
        <v>46296.420641400458</v>
      </c>
      <c r="T1318" s="57">
        <f>tblJTL[[#This Row],[timeStamp]]+tblJTL[[#This Row],[elapsed]]</f>
        <v>1790816743506</v>
      </c>
      <c r="U1318" s="61">
        <f>(tblJTL[[#This Row],[timeStamp]]-'17_分析サンプル'!$E$18)/1000</f>
        <v>343.23700000000002</v>
      </c>
      <c r="V1318" s="57">
        <f>INT(tblJTL[[#This Row],[経過秒]]/60)</f>
        <v>5</v>
      </c>
      <c r="W1318" s="57">
        <f>IF(OR(tblJTL[[#This Row],[success]]=FALSE,tblJTL[[#This Row],[success]]="false"),1,0)</f>
        <v>0</v>
      </c>
      <c r="X1318" s="57">
        <f>IF(AND(tblJTL[[#This Row],[経過秒]]&gt;='17_分析サンプル'!$E$11,tblJTL[[#This Row],[経過秒]]&lt;'17_分析サンプル'!$E$12),1,0)</f>
        <v>1</v>
      </c>
    </row>
    <row r="1319" spans="2:24" ht="14.4" x14ac:dyDescent="0.3">
      <c r="B1319" s="57">
        <v>1790816743663</v>
      </c>
      <c r="C1319" s="58">
        <v>328</v>
      </c>
      <c r="D1319" s="59" t="s">
        <v>1677</v>
      </c>
      <c r="E1319" s="59" t="s">
        <v>3579</v>
      </c>
      <c r="F1319" s="59" t="s">
        <v>3580</v>
      </c>
      <c r="G1319" s="59" t="s">
        <v>3588</v>
      </c>
      <c r="H1319" s="59" t="s">
        <v>2281</v>
      </c>
      <c r="I1319" s="59" t="b">
        <v>1</v>
      </c>
      <c r="J1319" s="59"/>
      <c r="K1319" s="58">
        <v>438</v>
      </c>
      <c r="L1319" s="58">
        <v>1478</v>
      </c>
      <c r="M1319" s="59">
        <v>10</v>
      </c>
      <c r="N1319" s="59">
        <v>10</v>
      </c>
      <c r="O1319" s="59" t="s">
        <v>3581</v>
      </c>
      <c r="P1319" s="58">
        <v>323</v>
      </c>
      <c r="Q1319" s="59">
        <v>0</v>
      </c>
      <c r="R1319" s="59">
        <v>0</v>
      </c>
      <c r="S1319" s="60">
        <f>tblJTL[[#This Row],[timeStamp]]/86400000+DATE(1970,1,1)+TIME(9,0,0)</f>
        <v>46296.420644247686</v>
      </c>
      <c r="T1319" s="57">
        <f>tblJTL[[#This Row],[timeStamp]]+tblJTL[[#This Row],[elapsed]]</f>
        <v>1790816743991</v>
      </c>
      <c r="U1319" s="61">
        <f>(tblJTL[[#This Row],[timeStamp]]-'17_分析サンプル'!$E$18)/1000</f>
        <v>343.483</v>
      </c>
      <c r="V1319" s="57">
        <f>INT(tblJTL[[#This Row],[経過秒]]/60)</f>
        <v>5</v>
      </c>
      <c r="W1319" s="57">
        <f>IF(OR(tblJTL[[#This Row],[success]]=FALSE,tblJTL[[#This Row],[success]]="false"),1,0)</f>
        <v>0</v>
      </c>
      <c r="X1319" s="57">
        <f>IF(AND(tblJTL[[#This Row],[経過秒]]&gt;='17_分析サンプル'!$E$11,tblJTL[[#This Row],[経過秒]]&lt;'17_分析サンプル'!$E$12),1,0)</f>
        <v>1</v>
      </c>
    </row>
    <row r="1320" spans="2:24" ht="14.4" x14ac:dyDescent="0.3">
      <c r="B1320" s="57">
        <v>1790816743869</v>
      </c>
      <c r="C1320" s="58">
        <v>126</v>
      </c>
      <c r="D1320" s="59" t="s">
        <v>1658</v>
      </c>
      <c r="E1320" s="59" t="s">
        <v>1577</v>
      </c>
      <c r="F1320" s="59" t="s">
        <v>2275</v>
      </c>
      <c r="G1320" s="59" t="s">
        <v>3584</v>
      </c>
      <c r="H1320" s="59" t="s">
        <v>2281</v>
      </c>
      <c r="I1320" s="59" t="b">
        <v>1</v>
      </c>
      <c r="J1320" s="59"/>
      <c r="K1320" s="58">
        <v>1863</v>
      </c>
      <c r="L1320" s="58">
        <v>1342</v>
      </c>
      <c r="M1320" s="59">
        <v>10</v>
      </c>
      <c r="N1320" s="59">
        <v>10</v>
      </c>
      <c r="O1320" s="59" t="s">
        <v>3578</v>
      </c>
      <c r="P1320" s="58">
        <v>119</v>
      </c>
      <c r="Q1320" s="59">
        <v>0</v>
      </c>
      <c r="R1320" s="59">
        <v>0</v>
      </c>
      <c r="S1320" s="60">
        <f>tblJTL[[#This Row],[timeStamp]]/86400000+DATE(1970,1,1)+TIME(9,0,0)</f>
        <v>46296.420646631945</v>
      </c>
      <c r="T1320" s="57">
        <f>tblJTL[[#This Row],[timeStamp]]+tblJTL[[#This Row],[elapsed]]</f>
        <v>1790816743995</v>
      </c>
      <c r="U1320" s="61">
        <f>(tblJTL[[#This Row],[timeStamp]]-'17_分析サンプル'!$E$18)/1000</f>
        <v>343.68900000000002</v>
      </c>
      <c r="V1320" s="57">
        <f>INT(tblJTL[[#This Row],[経過秒]]/60)</f>
        <v>5</v>
      </c>
      <c r="W1320" s="57">
        <f>IF(OR(tblJTL[[#This Row],[success]]=FALSE,tblJTL[[#This Row],[success]]="false"),1,0)</f>
        <v>0</v>
      </c>
      <c r="X1320" s="57">
        <f>IF(AND(tblJTL[[#This Row],[経過秒]]&gt;='17_分析サンプル'!$E$11,tblJTL[[#This Row],[経過秒]]&lt;'17_分析サンプル'!$E$12),1,0)</f>
        <v>1</v>
      </c>
    </row>
    <row r="1321" spans="2:24" ht="14.4" x14ac:dyDescent="0.3">
      <c r="B1321" s="57">
        <v>1790816743976</v>
      </c>
      <c r="C1321" s="58">
        <v>166</v>
      </c>
      <c r="D1321" s="59" t="s">
        <v>1677</v>
      </c>
      <c r="E1321" s="59" t="s">
        <v>3579</v>
      </c>
      <c r="F1321" s="59" t="s">
        <v>3580</v>
      </c>
      <c r="G1321" s="59" t="s">
        <v>3585</v>
      </c>
      <c r="H1321" s="59" t="s">
        <v>2281</v>
      </c>
      <c r="I1321" s="59" t="b">
        <v>1</v>
      </c>
      <c r="J1321" s="59"/>
      <c r="K1321" s="58">
        <v>424</v>
      </c>
      <c r="L1321" s="58">
        <v>1478</v>
      </c>
      <c r="M1321" s="59">
        <v>10</v>
      </c>
      <c r="N1321" s="59">
        <v>10</v>
      </c>
      <c r="O1321" s="59" t="s">
        <v>3581</v>
      </c>
      <c r="P1321" s="58">
        <v>163</v>
      </c>
      <c r="Q1321" s="59">
        <v>0</v>
      </c>
      <c r="R1321" s="59">
        <v>0</v>
      </c>
      <c r="S1321" s="60">
        <f>tblJTL[[#This Row],[timeStamp]]/86400000+DATE(1970,1,1)+TIME(9,0,0)</f>
        <v>46296.420647870371</v>
      </c>
      <c r="T1321" s="57">
        <f>tblJTL[[#This Row],[timeStamp]]+tblJTL[[#This Row],[elapsed]]</f>
        <v>1790816744142</v>
      </c>
      <c r="U1321" s="61">
        <f>(tblJTL[[#This Row],[timeStamp]]-'17_分析サンプル'!$E$18)/1000</f>
        <v>343.79599999999999</v>
      </c>
      <c r="V1321" s="57">
        <f>INT(tblJTL[[#This Row],[経過秒]]/60)</f>
        <v>5</v>
      </c>
      <c r="W1321" s="57">
        <f>IF(OR(tblJTL[[#This Row],[success]]=FALSE,tblJTL[[#This Row],[success]]="false"),1,0)</f>
        <v>0</v>
      </c>
      <c r="X1321" s="57">
        <f>IF(AND(tblJTL[[#This Row],[経過秒]]&gt;='17_分析サンプル'!$E$11,tblJTL[[#This Row],[経過秒]]&lt;'17_分析サンプル'!$E$12),1,0)</f>
        <v>1</v>
      </c>
    </row>
    <row r="1322" spans="2:24" ht="14.4" x14ac:dyDescent="0.3">
      <c r="B1322" s="57">
        <v>1790816744179</v>
      </c>
      <c r="C1322" s="58">
        <v>84</v>
      </c>
      <c r="D1322" s="59" t="s">
        <v>1658</v>
      </c>
      <c r="E1322" s="59" t="s">
        <v>1577</v>
      </c>
      <c r="F1322" s="59" t="s">
        <v>2275</v>
      </c>
      <c r="G1322" s="59" t="s">
        <v>3587</v>
      </c>
      <c r="H1322" s="59" t="s">
        <v>2281</v>
      </c>
      <c r="I1322" s="59" t="b">
        <v>1</v>
      </c>
      <c r="J1322" s="59"/>
      <c r="K1322" s="58">
        <v>1879</v>
      </c>
      <c r="L1322" s="58">
        <v>1342</v>
      </c>
      <c r="M1322" s="59">
        <v>10</v>
      </c>
      <c r="N1322" s="59">
        <v>10</v>
      </c>
      <c r="O1322" s="59" t="s">
        <v>3578</v>
      </c>
      <c r="P1322" s="58">
        <v>80</v>
      </c>
      <c r="Q1322" s="59">
        <v>0</v>
      </c>
      <c r="R1322" s="59">
        <v>0</v>
      </c>
      <c r="S1322" s="60">
        <f>tblJTL[[#This Row],[timeStamp]]/86400000+DATE(1970,1,1)+TIME(9,0,0)</f>
        <v>46296.420650219909</v>
      </c>
      <c r="T1322" s="57">
        <f>tblJTL[[#This Row],[timeStamp]]+tblJTL[[#This Row],[elapsed]]</f>
        <v>1790816744263</v>
      </c>
      <c r="U1322" s="61">
        <f>(tblJTL[[#This Row],[timeStamp]]-'17_分析サンプル'!$E$18)/1000</f>
        <v>343.99900000000002</v>
      </c>
      <c r="V1322" s="57">
        <f>INT(tblJTL[[#This Row],[経過秒]]/60)</f>
        <v>5</v>
      </c>
      <c r="W1322" s="57">
        <f>IF(OR(tblJTL[[#This Row],[success]]=FALSE,tblJTL[[#This Row],[success]]="false"),1,0)</f>
        <v>0</v>
      </c>
      <c r="X1322" s="57">
        <f>IF(AND(tblJTL[[#This Row],[経過秒]]&gt;='17_分析サンプル'!$E$11,tblJTL[[#This Row],[経過秒]]&lt;'17_分析サンプル'!$E$12),1,0)</f>
        <v>1</v>
      </c>
    </row>
    <row r="1323" spans="2:24" ht="14.4" x14ac:dyDescent="0.3">
      <c r="B1323" s="57">
        <v>1790816744389</v>
      </c>
      <c r="C1323" s="58">
        <v>334</v>
      </c>
      <c r="D1323" s="59" t="s">
        <v>1677</v>
      </c>
      <c r="E1323" s="59" t="s">
        <v>3579</v>
      </c>
      <c r="F1323" s="59" t="s">
        <v>3580</v>
      </c>
      <c r="G1323" s="59" t="s">
        <v>3583</v>
      </c>
      <c r="H1323" s="59" t="s">
        <v>2281</v>
      </c>
      <c r="I1323" s="59" t="b">
        <v>1</v>
      </c>
      <c r="J1323" s="59"/>
      <c r="K1323" s="58">
        <v>440</v>
      </c>
      <c r="L1323" s="58">
        <v>1478</v>
      </c>
      <c r="M1323" s="59">
        <v>10</v>
      </c>
      <c r="N1323" s="59">
        <v>10</v>
      </c>
      <c r="O1323" s="59" t="s">
        <v>3581</v>
      </c>
      <c r="P1323" s="58">
        <v>330</v>
      </c>
      <c r="Q1323" s="59">
        <v>0</v>
      </c>
      <c r="R1323" s="59">
        <v>0</v>
      </c>
      <c r="S1323" s="60">
        <f>tblJTL[[#This Row],[timeStamp]]/86400000+DATE(1970,1,1)+TIME(9,0,0)</f>
        <v>46296.420652650464</v>
      </c>
      <c r="T1323" s="57">
        <f>tblJTL[[#This Row],[timeStamp]]+tblJTL[[#This Row],[elapsed]]</f>
        <v>1790816744723</v>
      </c>
      <c r="U1323" s="61">
        <f>(tblJTL[[#This Row],[timeStamp]]-'17_分析サンプル'!$E$18)/1000</f>
        <v>344.209</v>
      </c>
      <c r="V1323" s="57">
        <f>INT(tblJTL[[#This Row],[経過秒]]/60)</f>
        <v>5</v>
      </c>
      <c r="W1323" s="57">
        <f>IF(OR(tblJTL[[#This Row],[success]]=FALSE,tblJTL[[#This Row],[success]]="false"),1,0)</f>
        <v>0</v>
      </c>
      <c r="X1323" s="57">
        <f>IF(AND(tblJTL[[#This Row],[経過秒]]&gt;='17_分析サンプル'!$E$11,tblJTL[[#This Row],[経過秒]]&lt;'17_分析サンプル'!$E$12),1,0)</f>
        <v>1</v>
      </c>
    </row>
    <row r="1324" spans="2:24" ht="14.4" x14ac:dyDescent="0.3">
      <c r="B1324" s="57">
        <v>1790816744678</v>
      </c>
      <c r="C1324" s="58">
        <v>288</v>
      </c>
      <c r="D1324" s="59" t="s">
        <v>1677</v>
      </c>
      <c r="E1324" s="59" t="s">
        <v>3579</v>
      </c>
      <c r="F1324" s="59" t="s">
        <v>3580</v>
      </c>
      <c r="G1324" s="59" t="s">
        <v>3586</v>
      </c>
      <c r="H1324" s="59" t="s">
        <v>2281</v>
      </c>
      <c r="I1324" s="59" t="b">
        <v>1</v>
      </c>
      <c r="J1324" s="59"/>
      <c r="K1324" s="58">
        <v>430</v>
      </c>
      <c r="L1324" s="58">
        <v>1478</v>
      </c>
      <c r="M1324" s="59">
        <v>10</v>
      </c>
      <c r="N1324" s="59">
        <v>10</v>
      </c>
      <c r="O1324" s="59" t="s">
        <v>3581</v>
      </c>
      <c r="P1324" s="58">
        <v>284</v>
      </c>
      <c r="Q1324" s="59">
        <v>0</v>
      </c>
      <c r="R1324" s="59">
        <v>0</v>
      </c>
      <c r="S1324" s="60">
        <f>tblJTL[[#This Row],[timeStamp]]/86400000+DATE(1970,1,1)+TIME(9,0,0)</f>
        <v>46296.420655995375</v>
      </c>
      <c r="T1324" s="57">
        <f>tblJTL[[#This Row],[timeStamp]]+tblJTL[[#This Row],[elapsed]]</f>
        <v>1790816744966</v>
      </c>
      <c r="U1324" s="61">
        <f>(tblJTL[[#This Row],[timeStamp]]-'17_分析サンプル'!$E$18)/1000</f>
        <v>344.49799999999999</v>
      </c>
      <c r="V1324" s="57">
        <f>INT(tblJTL[[#This Row],[経過秒]]/60)</f>
        <v>5</v>
      </c>
      <c r="W1324" s="57">
        <f>IF(OR(tblJTL[[#This Row],[success]]=FALSE,tblJTL[[#This Row],[success]]="false"),1,0)</f>
        <v>0</v>
      </c>
      <c r="X1324" s="57">
        <f>IF(AND(tblJTL[[#This Row],[経過秒]]&gt;='17_分析サンプル'!$E$11,tblJTL[[#This Row],[経過秒]]&lt;'17_分析サンプル'!$E$12),1,0)</f>
        <v>1</v>
      </c>
    </row>
    <row r="1325" spans="2:24" ht="14.4" x14ac:dyDescent="0.3">
      <c r="B1325" s="57">
        <v>1790816744730</v>
      </c>
      <c r="C1325" s="58">
        <v>240</v>
      </c>
      <c r="D1325" s="59" t="s">
        <v>1677</v>
      </c>
      <c r="E1325" s="59" t="s">
        <v>3579</v>
      </c>
      <c r="F1325" s="59" t="s">
        <v>3580</v>
      </c>
      <c r="G1325" s="59" t="s">
        <v>3577</v>
      </c>
      <c r="H1325" s="59" t="s">
        <v>2281</v>
      </c>
      <c r="I1325" s="59" t="b">
        <v>1</v>
      </c>
      <c r="J1325" s="59"/>
      <c r="K1325" s="58">
        <v>422</v>
      </c>
      <c r="L1325" s="58">
        <v>1478</v>
      </c>
      <c r="M1325" s="59">
        <v>10</v>
      </c>
      <c r="N1325" s="59">
        <v>10</v>
      </c>
      <c r="O1325" s="59" t="s">
        <v>3581</v>
      </c>
      <c r="P1325" s="58">
        <v>232</v>
      </c>
      <c r="Q1325" s="59">
        <v>0</v>
      </c>
      <c r="R1325" s="59">
        <v>0</v>
      </c>
      <c r="S1325" s="60">
        <f>tblJTL[[#This Row],[timeStamp]]/86400000+DATE(1970,1,1)+TIME(9,0,0)</f>
        <v>46296.420656597227</v>
      </c>
      <c r="T1325" s="57">
        <f>tblJTL[[#This Row],[timeStamp]]+tblJTL[[#This Row],[elapsed]]</f>
        <v>1790816744970</v>
      </c>
      <c r="U1325" s="61">
        <f>(tblJTL[[#This Row],[timeStamp]]-'17_分析サンプル'!$E$18)/1000</f>
        <v>344.55</v>
      </c>
      <c r="V1325" s="57">
        <f>INT(tblJTL[[#This Row],[経過秒]]/60)</f>
        <v>5</v>
      </c>
      <c r="W1325" s="57">
        <f>IF(OR(tblJTL[[#This Row],[success]]=FALSE,tblJTL[[#This Row],[success]]="false"),1,0)</f>
        <v>0</v>
      </c>
      <c r="X1325" s="57">
        <f>IF(AND(tblJTL[[#This Row],[経過秒]]&gt;='17_分析サンプル'!$E$11,tblJTL[[#This Row],[経過秒]]&lt;'17_分析サンプル'!$E$12),1,0)</f>
        <v>1</v>
      </c>
    </row>
    <row r="1326" spans="2:24" ht="14.4" x14ac:dyDescent="0.3">
      <c r="B1326" s="57">
        <v>1790816744867</v>
      </c>
      <c r="C1326" s="58">
        <v>200</v>
      </c>
      <c r="D1326" s="59" t="s">
        <v>1677</v>
      </c>
      <c r="E1326" s="59" t="s">
        <v>3579</v>
      </c>
      <c r="F1326" s="59" t="s">
        <v>3580</v>
      </c>
      <c r="G1326" s="59" t="s">
        <v>3589</v>
      </c>
      <c r="H1326" s="59" t="s">
        <v>2281</v>
      </c>
      <c r="I1326" s="59" t="b">
        <v>1</v>
      </c>
      <c r="J1326" s="59"/>
      <c r="K1326" s="58">
        <v>425</v>
      </c>
      <c r="L1326" s="58">
        <v>1478</v>
      </c>
      <c r="M1326" s="59">
        <v>10</v>
      </c>
      <c r="N1326" s="59">
        <v>10</v>
      </c>
      <c r="O1326" s="59" t="s">
        <v>3581</v>
      </c>
      <c r="P1326" s="58">
        <v>198</v>
      </c>
      <c r="Q1326" s="59">
        <v>0</v>
      </c>
      <c r="R1326" s="59">
        <v>0</v>
      </c>
      <c r="S1326" s="60">
        <f>tblJTL[[#This Row],[timeStamp]]/86400000+DATE(1970,1,1)+TIME(9,0,0)</f>
        <v>46296.420658182869</v>
      </c>
      <c r="T1326" s="57">
        <f>tblJTL[[#This Row],[timeStamp]]+tblJTL[[#This Row],[elapsed]]</f>
        <v>1790816745067</v>
      </c>
      <c r="U1326" s="61">
        <f>(tblJTL[[#This Row],[timeStamp]]-'17_分析サンプル'!$E$18)/1000</f>
        <v>344.68700000000001</v>
      </c>
      <c r="V1326" s="57">
        <f>INT(tblJTL[[#This Row],[経過秒]]/60)</f>
        <v>5</v>
      </c>
      <c r="W1326" s="57">
        <f>IF(OR(tblJTL[[#This Row],[success]]=FALSE,tblJTL[[#This Row],[success]]="false"),1,0)</f>
        <v>0</v>
      </c>
      <c r="X1326" s="57">
        <f>IF(AND(tblJTL[[#This Row],[経過秒]]&gt;='17_分析サンプル'!$E$11,tblJTL[[#This Row],[経過秒]]&lt;'17_分析サンプル'!$E$12),1,0)</f>
        <v>1</v>
      </c>
    </row>
    <row r="1327" spans="2:24" ht="14.4" x14ac:dyDescent="0.3">
      <c r="B1327" s="57">
        <v>1790816744895</v>
      </c>
      <c r="C1327" s="58">
        <v>282</v>
      </c>
      <c r="D1327" s="59" t="s">
        <v>1677</v>
      </c>
      <c r="E1327" s="59" t="s">
        <v>3579</v>
      </c>
      <c r="F1327" s="59" t="s">
        <v>3580</v>
      </c>
      <c r="G1327" s="59" t="s">
        <v>3582</v>
      </c>
      <c r="H1327" s="59" t="s">
        <v>2281</v>
      </c>
      <c r="I1327" s="59" t="b">
        <v>1</v>
      </c>
      <c r="J1327" s="59"/>
      <c r="K1327" s="58">
        <v>437</v>
      </c>
      <c r="L1327" s="58">
        <v>1478</v>
      </c>
      <c r="M1327" s="59">
        <v>10</v>
      </c>
      <c r="N1327" s="59">
        <v>10</v>
      </c>
      <c r="O1327" s="59" t="s">
        <v>3581</v>
      </c>
      <c r="P1327" s="58">
        <v>277</v>
      </c>
      <c r="Q1327" s="59">
        <v>0</v>
      </c>
      <c r="R1327" s="59">
        <v>0</v>
      </c>
      <c r="S1327" s="60">
        <f>tblJTL[[#This Row],[timeStamp]]/86400000+DATE(1970,1,1)+TIME(9,0,0)</f>
        <v>46296.420658506948</v>
      </c>
      <c r="T1327" s="57">
        <f>tblJTL[[#This Row],[timeStamp]]+tblJTL[[#This Row],[elapsed]]</f>
        <v>1790816745177</v>
      </c>
      <c r="U1327" s="61">
        <f>(tblJTL[[#This Row],[timeStamp]]-'17_分析サンプル'!$E$18)/1000</f>
        <v>344.71499999999997</v>
      </c>
      <c r="V1327" s="57">
        <f>INT(tblJTL[[#This Row],[経過秒]]/60)</f>
        <v>5</v>
      </c>
      <c r="W1327" s="57">
        <f>IF(OR(tblJTL[[#This Row],[success]]=FALSE,tblJTL[[#This Row],[success]]="false"),1,0)</f>
        <v>0</v>
      </c>
      <c r="X1327" s="57">
        <f>IF(AND(tblJTL[[#This Row],[経過秒]]&gt;='17_分析サンプル'!$E$11,tblJTL[[#This Row],[経過秒]]&lt;'17_分析サンプル'!$E$12),1,0)</f>
        <v>1</v>
      </c>
    </row>
    <row r="1328" spans="2:24" ht="14.4" x14ac:dyDescent="0.3">
      <c r="B1328" s="57">
        <v>1790816745892</v>
      </c>
      <c r="C1328" s="58">
        <v>104</v>
      </c>
      <c r="D1328" s="59" t="s">
        <v>1658</v>
      </c>
      <c r="E1328" s="59" t="s">
        <v>1577</v>
      </c>
      <c r="F1328" s="59" t="s">
        <v>2275</v>
      </c>
      <c r="G1328" s="59" t="s">
        <v>3583</v>
      </c>
      <c r="H1328" s="59" t="s">
        <v>2281</v>
      </c>
      <c r="I1328" s="59" t="b">
        <v>1</v>
      </c>
      <c r="J1328" s="59"/>
      <c r="K1328" s="58">
        <v>1821</v>
      </c>
      <c r="L1328" s="58">
        <v>1342</v>
      </c>
      <c r="M1328" s="59">
        <v>10</v>
      </c>
      <c r="N1328" s="59">
        <v>10</v>
      </c>
      <c r="O1328" s="59" t="s">
        <v>3578</v>
      </c>
      <c r="P1328" s="58">
        <v>101</v>
      </c>
      <c r="Q1328" s="59">
        <v>0</v>
      </c>
      <c r="R1328" s="59">
        <v>0</v>
      </c>
      <c r="S1328" s="60">
        <f>tblJTL[[#This Row],[timeStamp]]/86400000+DATE(1970,1,1)+TIME(9,0,0)</f>
        <v>46296.420670046296</v>
      </c>
      <c r="T1328" s="57">
        <f>tblJTL[[#This Row],[timeStamp]]+tblJTL[[#This Row],[elapsed]]</f>
        <v>1790816745996</v>
      </c>
      <c r="U1328" s="61">
        <f>(tblJTL[[#This Row],[timeStamp]]-'17_分析サンプル'!$E$18)/1000</f>
        <v>345.71199999999999</v>
      </c>
      <c r="V1328" s="57">
        <f>INT(tblJTL[[#This Row],[経過秒]]/60)</f>
        <v>5</v>
      </c>
      <c r="W1328" s="57">
        <f>IF(OR(tblJTL[[#This Row],[success]]=FALSE,tblJTL[[#This Row],[success]]="false"),1,0)</f>
        <v>0</v>
      </c>
      <c r="X1328" s="57">
        <f>IF(AND(tblJTL[[#This Row],[経過秒]]&gt;='17_分析サンプル'!$E$11,tblJTL[[#This Row],[経過秒]]&lt;'17_分析サンプル'!$E$12),1,0)</f>
        <v>1</v>
      </c>
    </row>
    <row r="1329" spans="2:24" ht="14.4" x14ac:dyDescent="0.3">
      <c r="B1329" s="57">
        <v>1790816745937</v>
      </c>
      <c r="C1329" s="58">
        <v>215</v>
      </c>
      <c r="D1329" s="59" t="s">
        <v>1677</v>
      </c>
      <c r="E1329" s="59" t="s">
        <v>3579</v>
      </c>
      <c r="F1329" s="59" t="s">
        <v>3580</v>
      </c>
      <c r="G1329" s="59" t="s">
        <v>2278</v>
      </c>
      <c r="H1329" s="59" t="s">
        <v>2281</v>
      </c>
      <c r="I1329" s="59" t="b">
        <v>1</v>
      </c>
      <c r="J1329" s="59"/>
      <c r="K1329" s="58">
        <v>432</v>
      </c>
      <c r="L1329" s="58">
        <v>1478</v>
      </c>
      <c r="M1329" s="59">
        <v>10</v>
      </c>
      <c r="N1329" s="59">
        <v>10</v>
      </c>
      <c r="O1329" s="59" t="s">
        <v>3581</v>
      </c>
      <c r="P1329" s="58">
        <v>209</v>
      </c>
      <c r="Q1329" s="59">
        <v>0</v>
      </c>
      <c r="R1329" s="59">
        <v>0</v>
      </c>
      <c r="S1329" s="60">
        <f>tblJTL[[#This Row],[timeStamp]]/86400000+DATE(1970,1,1)+TIME(9,0,0)</f>
        <v>46296.420670567131</v>
      </c>
      <c r="T1329" s="57">
        <f>tblJTL[[#This Row],[timeStamp]]+tblJTL[[#This Row],[elapsed]]</f>
        <v>1790816746152</v>
      </c>
      <c r="U1329" s="61">
        <f>(tblJTL[[#This Row],[timeStamp]]-'17_分析サンプル'!$E$18)/1000</f>
        <v>345.75700000000001</v>
      </c>
      <c r="V1329" s="57">
        <f>INT(tblJTL[[#This Row],[経過秒]]/60)</f>
        <v>5</v>
      </c>
      <c r="W1329" s="57">
        <f>IF(OR(tblJTL[[#This Row],[success]]=FALSE,tblJTL[[#This Row],[success]]="false"),1,0)</f>
        <v>0</v>
      </c>
      <c r="X1329" s="57">
        <f>IF(AND(tblJTL[[#This Row],[経過秒]]&gt;='17_分析サンプル'!$E$11,tblJTL[[#This Row],[経過秒]]&lt;'17_分析サンプル'!$E$12),1,0)</f>
        <v>1</v>
      </c>
    </row>
    <row r="1330" spans="2:24" ht="14.4" x14ac:dyDescent="0.3">
      <c r="B1330" s="57">
        <v>1790816746088</v>
      </c>
      <c r="C1330" s="58">
        <v>145</v>
      </c>
      <c r="D1330" s="59" t="s">
        <v>1658</v>
      </c>
      <c r="E1330" s="59" t="s">
        <v>1577</v>
      </c>
      <c r="F1330" s="59" t="s">
        <v>2275</v>
      </c>
      <c r="G1330" s="59" t="s">
        <v>3577</v>
      </c>
      <c r="H1330" s="59" t="s">
        <v>2281</v>
      </c>
      <c r="I1330" s="59" t="b">
        <v>1</v>
      </c>
      <c r="J1330" s="59"/>
      <c r="K1330" s="58">
        <v>1893</v>
      </c>
      <c r="L1330" s="58">
        <v>1342</v>
      </c>
      <c r="M1330" s="59">
        <v>10</v>
      </c>
      <c r="N1330" s="59">
        <v>10</v>
      </c>
      <c r="O1330" s="59" t="s">
        <v>3578</v>
      </c>
      <c r="P1330" s="58">
        <v>141</v>
      </c>
      <c r="Q1330" s="59">
        <v>0</v>
      </c>
      <c r="R1330" s="59">
        <v>0</v>
      </c>
      <c r="S1330" s="60">
        <f>tblJTL[[#This Row],[timeStamp]]/86400000+DATE(1970,1,1)+TIME(9,0,0)</f>
        <v>46296.420672314816</v>
      </c>
      <c r="T1330" s="57">
        <f>tblJTL[[#This Row],[timeStamp]]+tblJTL[[#This Row],[elapsed]]</f>
        <v>1790816746233</v>
      </c>
      <c r="U1330" s="61">
        <f>(tblJTL[[#This Row],[timeStamp]]-'17_分析サンプル'!$E$18)/1000</f>
        <v>345.90800000000002</v>
      </c>
      <c r="V1330" s="57">
        <f>INT(tblJTL[[#This Row],[経過秒]]/60)</f>
        <v>5</v>
      </c>
      <c r="W1330" s="57">
        <f>IF(OR(tblJTL[[#This Row],[success]]=FALSE,tblJTL[[#This Row],[success]]="false"),1,0)</f>
        <v>0</v>
      </c>
      <c r="X1330" s="57">
        <f>IF(AND(tblJTL[[#This Row],[経過秒]]&gt;='17_分析サンプル'!$E$11,tblJTL[[#This Row],[経過秒]]&lt;'17_分析サンプル'!$E$12),1,0)</f>
        <v>1</v>
      </c>
    </row>
    <row r="1331" spans="2:24" ht="14.4" x14ac:dyDescent="0.3">
      <c r="B1331" s="57">
        <v>1790816746103</v>
      </c>
      <c r="C1331" s="58">
        <v>217</v>
      </c>
      <c r="D1331" s="59" t="s">
        <v>1677</v>
      </c>
      <c r="E1331" s="59" t="s">
        <v>3579</v>
      </c>
      <c r="F1331" s="59" t="s">
        <v>3580</v>
      </c>
      <c r="G1331" s="59" t="s">
        <v>3587</v>
      </c>
      <c r="H1331" s="59" t="s">
        <v>2281</v>
      </c>
      <c r="I1331" s="59" t="b">
        <v>1</v>
      </c>
      <c r="J1331" s="59"/>
      <c r="K1331" s="58">
        <v>432</v>
      </c>
      <c r="L1331" s="58">
        <v>1478</v>
      </c>
      <c r="M1331" s="59">
        <v>10</v>
      </c>
      <c r="N1331" s="59">
        <v>10</v>
      </c>
      <c r="O1331" s="59" t="s">
        <v>3581</v>
      </c>
      <c r="P1331" s="58">
        <v>214</v>
      </c>
      <c r="Q1331" s="59">
        <v>0</v>
      </c>
      <c r="R1331" s="59">
        <v>0</v>
      </c>
      <c r="S1331" s="60">
        <f>tblJTL[[#This Row],[timeStamp]]/86400000+DATE(1970,1,1)+TIME(9,0,0)</f>
        <v>46296.420672488428</v>
      </c>
      <c r="T1331" s="57">
        <f>tblJTL[[#This Row],[timeStamp]]+tblJTL[[#This Row],[elapsed]]</f>
        <v>1790816746320</v>
      </c>
      <c r="U1331" s="61">
        <f>(tblJTL[[#This Row],[timeStamp]]-'17_分析サンプル'!$E$18)/1000</f>
        <v>345.923</v>
      </c>
      <c r="V1331" s="57">
        <f>INT(tblJTL[[#This Row],[経過秒]]/60)</f>
        <v>5</v>
      </c>
      <c r="W1331" s="57">
        <f>IF(OR(tblJTL[[#This Row],[success]]=FALSE,tblJTL[[#This Row],[success]]="false"),1,0)</f>
        <v>0</v>
      </c>
      <c r="X1331" s="57">
        <f>IF(AND(tblJTL[[#This Row],[経過秒]]&gt;='17_分析サンプル'!$E$11,tblJTL[[#This Row],[経過秒]]&lt;'17_分析サンプル'!$E$12),1,0)</f>
        <v>1</v>
      </c>
    </row>
    <row r="1332" spans="2:24" ht="14.4" x14ac:dyDescent="0.3">
      <c r="B1332" s="57">
        <v>1790816746887</v>
      </c>
      <c r="C1332" s="58">
        <v>119</v>
      </c>
      <c r="D1332" s="59" t="s">
        <v>1658</v>
      </c>
      <c r="E1332" s="59" t="s">
        <v>1577</v>
      </c>
      <c r="F1332" s="59" t="s">
        <v>2275</v>
      </c>
      <c r="G1332" s="59" t="s">
        <v>3585</v>
      </c>
      <c r="H1332" s="59" t="s">
        <v>2281</v>
      </c>
      <c r="I1332" s="59" t="b">
        <v>1</v>
      </c>
      <c r="J1332" s="59"/>
      <c r="K1332" s="58">
        <v>1886</v>
      </c>
      <c r="L1332" s="58">
        <v>1342</v>
      </c>
      <c r="M1332" s="59">
        <v>10</v>
      </c>
      <c r="N1332" s="59">
        <v>10</v>
      </c>
      <c r="O1332" s="59" t="s">
        <v>3578</v>
      </c>
      <c r="P1332" s="58">
        <v>114</v>
      </c>
      <c r="Q1332" s="59">
        <v>0</v>
      </c>
      <c r="R1332" s="59">
        <v>0</v>
      </c>
      <c r="S1332" s="60">
        <f>tblJTL[[#This Row],[timeStamp]]/86400000+DATE(1970,1,1)+TIME(9,0,0)</f>
        <v>46296.4206815625</v>
      </c>
      <c r="T1332" s="57">
        <f>tblJTL[[#This Row],[timeStamp]]+tblJTL[[#This Row],[elapsed]]</f>
        <v>1790816747006</v>
      </c>
      <c r="U1332" s="61">
        <f>(tblJTL[[#This Row],[timeStamp]]-'17_分析サンプル'!$E$18)/1000</f>
        <v>346.70699999999999</v>
      </c>
      <c r="V1332" s="57">
        <f>INT(tblJTL[[#This Row],[経過秒]]/60)</f>
        <v>5</v>
      </c>
      <c r="W1332" s="57">
        <f>IF(OR(tblJTL[[#This Row],[success]]=FALSE,tblJTL[[#This Row],[success]]="false"),1,0)</f>
        <v>0</v>
      </c>
      <c r="X1332" s="57">
        <f>IF(AND(tblJTL[[#This Row],[経過秒]]&gt;='17_分析サンプル'!$E$11,tblJTL[[#This Row],[経過秒]]&lt;'17_分析サンプル'!$E$12),1,0)</f>
        <v>1</v>
      </c>
    </row>
    <row r="1333" spans="2:24" ht="14.4" x14ac:dyDescent="0.3">
      <c r="B1333" s="57">
        <v>1790816746947</v>
      </c>
      <c r="C1333" s="58">
        <v>90</v>
      </c>
      <c r="D1333" s="59" t="s">
        <v>1658</v>
      </c>
      <c r="E1333" s="59" t="s">
        <v>1577</v>
      </c>
      <c r="F1333" s="59" t="s">
        <v>2275</v>
      </c>
      <c r="G1333" s="59" t="s">
        <v>3589</v>
      </c>
      <c r="H1333" s="59" t="s">
        <v>2281</v>
      </c>
      <c r="I1333" s="59" t="b">
        <v>1</v>
      </c>
      <c r="J1333" s="59"/>
      <c r="K1333" s="58">
        <v>1893</v>
      </c>
      <c r="L1333" s="58">
        <v>1342</v>
      </c>
      <c r="M1333" s="59">
        <v>10</v>
      </c>
      <c r="N1333" s="59">
        <v>10</v>
      </c>
      <c r="O1333" s="59" t="s">
        <v>3578</v>
      </c>
      <c r="P1333" s="58">
        <v>83</v>
      </c>
      <c r="Q1333" s="59">
        <v>0</v>
      </c>
      <c r="R1333" s="59">
        <v>0</v>
      </c>
      <c r="S1333" s="60">
        <f>tblJTL[[#This Row],[timeStamp]]/86400000+DATE(1970,1,1)+TIME(9,0,0)</f>
        <v>46296.420682256939</v>
      </c>
      <c r="T1333" s="57">
        <f>tblJTL[[#This Row],[timeStamp]]+tblJTL[[#This Row],[elapsed]]</f>
        <v>1790816747037</v>
      </c>
      <c r="U1333" s="61">
        <f>(tblJTL[[#This Row],[timeStamp]]-'17_分析サンプル'!$E$18)/1000</f>
        <v>346.767</v>
      </c>
      <c r="V1333" s="57">
        <f>INT(tblJTL[[#This Row],[経過秒]]/60)</f>
        <v>5</v>
      </c>
      <c r="W1333" s="57">
        <f>IF(OR(tblJTL[[#This Row],[success]]=FALSE,tblJTL[[#This Row],[success]]="false"),1,0)</f>
        <v>0</v>
      </c>
      <c r="X1333" s="57">
        <f>IF(AND(tblJTL[[#This Row],[経過秒]]&gt;='17_分析サンプル'!$E$11,tblJTL[[#This Row],[経過秒]]&lt;'17_分析サンプル'!$E$12),1,0)</f>
        <v>1</v>
      </c>
    </row>
    <row r="1334" spans="2:24" ht="14.4" x14ac:dyDescent="0.3">
      <c r="B1334" s="57">
        <v>1790816746938</v>
      </c>
      <c r="C1334" s="58">
        <v>136</v>
      </c>
      <c r="D1334" s="59" t="s">
        <v>1658</v>
      </c>
      <c r="E1334" s="59" t="s">
        <v>1577</v>
      </c>
      <c r="F1334" s="59" t="s">
        <v>2275</v>
      </c>
      <c r="G1334" s="59" t="s">
        <v>3588</v>
      </c>
      <c r="H1334" s="59" t="s">
        <v>2281</v>
      </c>
      <c r="I1334" s="59" t="b">
        <v>1</v>
      </c>
      <c r="J1334" s="59"/>
      <c r="K1334" s="58">
        <v>1826</v>
      </c>
      <c r="L1334" s="58">
        <v>1342</v>
      </c>
      <c r="M1334" s="59">
        <v>10</v>
      </c>
      <c r="N1334" s="59">
        <v>10</v>
      </c>
      <c r="O1334" s="59" t="s">
        <v>3578</v>
      </c>
      <c r="P1334" s="58">
        <v>131</v>
      </c>
      <c r="Q1334" s="59">
        <v>0</v>
      </c>
      <c r="R1334" s="59">
        <v>0</v>
      </c>
      <c r="S1334" s="60">
        <f>tblJTL[[#This Row],[timeStamp]]/86400000+DATE(1970,1,1)+TIME(9,0,0)</f>
        <v>46296.420682152777</v>
      </c>
      <c r="T1334" s="57">
        <f>tblJTL[[#This Row],[timeStamp]]+tblJTL[[#This Row],[elapsed]]</f>
        <v>1790816747074</v>
      </c>
      <c r="U1334" s="61">
        <f>(tblJTL[[#This Row],[timeStamp]]-'17_分析サンプル'!$E$18)/1000</f>
        <v>346.75799999999998</v>
      </c>
      <c r="V1334" s="57">
        <f>INT(tblJTL[[#This Row],[経過秒]]/60)</f>
        <v>5</v>
      </c>
      <c r="W1334" s="57">
        <f>IF(OR(tblJTL[[#This Row],[success]]=FALSE,tblJTL[[#This Row],[success]]="false"),1,0)</f>
        <v>0</v>
      </c>
      <c r="X1334" s="57">
        <f>IF(AND(tblJTL[[#This Row],[経過秒]]&gt;='17_分析サンプル'!$E$11,tblJTL[[#This Row],[経過秒]]&lt;'17_分析サンプル'!$E$12),1,0)</f>
        <v>1</v>
      </c>
    </row>
    <row r="1335" spans="2:24" ht="14.4" x14ac:dyDescent="0.3">
      <c r="B1335" s="57">
        <v>1790816746938</v>
      </c>
      <c r="C1335" s="58">
        <v>182</v>
      </c>
      <c r="D1335" s="59" t="s">
        <v>1677</v>
      </c>
      <c r="E1335" s="59" t="s">
        <v>3579</v>
      </c>
      <c r="F1335" s="59" t="s">
        <v>3580</v>
      </c>
      <c r="G1335" s="59" t="s">
        <v>3584</v>
      </c>
      <c r="H1335" s="59" t="s">
        <v>2281</v>
      </c>
      <c r="I1335" s="59" t="b">
        <v>1</v>
      </c>
      <c r="J1335" s="59"/>
      <c r="K1335" s="58">
        <v>427</v>
      </c>
      <c r="L1335" s="58">
        <v>1478</v>
      </c>
      <c r="M1335" s="59">
        <v>10</v>
      </c>
      <c r="N1335" s="59">
        <v>10</v>
      </c>
      <c r="O1335" s="59" t="s">
        <v>3581</v>
      </c>
      <c r="P1335" s="58">
        <v>174</v>
      </c>
      <c r="Q1335" s="59">
        <v>0</v>
      </c>
      <c r="R1335" s="59">
        <v>0</v>
      </c>
      <c r="S1335" s="60">
        <f>tblJTL[[#This Row],[timeStamp]]/86400000+DATE(1970,1,1)+TIME(9,0,0)</f>
        <v>46296.420682152777</v>
      </c>
      <c r="T1335" s="57">
        <f>tblJTL[[#This Row],[timeStamp]]+tblJTL[[#This Row],[elapsed]]</f>
        <v>1790816747120</v>
      </c>
      <c r="U1335" s="61">
        <f>(tblJTL[[#This Row],[timeStamp]]-'17_分析サンプル'!$E$18)/1000</f>
        <v>346.75799999999998</v>
      </c>
      <c r="V1335" s="57">
        <f>INT(tblJTL[[#This Row],[経過秒]]/60)</f>
        <v>5</v>
      </c>
      <c r="W1335" s="57">
        <f>IF(OR(tblJTL[[#This Row],[success]]=FALSE,tblJTL[[#This Row],[success]]="false"),1,0)</f>
        <v>0</v>
      </c>
      <c r="X1335" s="57">
        <f>IF(AND(tblJTL[[#This Row],[経過秒]]&gt;='17_分析サンプル'!$E$11,tblJTL[[#This Row],[経過秒]]&lt;'17_分析サンプル'!$E$12),1,0)</f>
        <v>1</v>
      </c>
    </row>
    <row r="1336" spans="2:24" ht="14.4" x14ac:dyDescent="0.3">
      <c r="B1336" s="57">
        <v>1790816747112</v>
      </c>
      <c r="C1336" s="58">
        <v>231</v>
      </c>
      <c r="D1336" s="59" t="s">
        <v>1677</v>
      </c>
      <c r="E1336" s="59" t="s">
        <v>3579</v>
      </c>
      <c r="F1336" s="59" t="s">
        <v>3580</v>
      </c>
      <c r="G1336" s="59" t="s">
        <v>3583</v>
      </c>
      <c r="H1336" s="59" t="s">
        <v>2281</v>
      </c>
      <c r="I1336" s="59" t="b">
        <v>1</v>
      </c>
      <c r="J1336" s="59"/>
      <c r="K1336" s="58">
        <v>418</v>
      </c>
      <c r="L1336" s="58">
        <v>1478</v>
      </c>
      <c r="M1336" s="59">
        <v>10</v>
      </c>
      <c r="N1336" s="59">
        <v>10</v>
      </c>
      <c r="O1336" s="59" t="s">
        <v>3581</v>
      </c>
      <c r="P1336" s="58">
        <v>229</v>
      </c>
      <c r="Q1336" s="59">
        <v>0</v>
      </c>
      <c r="R1336" s="59">
        <v>0</v>
      </c>
      <c r="S1336" s="60">
        <f>tblJTL[[#This Row],[timeStamp]]/86400000+DATE(1970,1,1)+TIME(9,0,0)</f>
        <v>46296.420684166667</v>
      </c>
      <c r="T1336" s="57">
        <f>tblJTL[[#This Row],[timeStamp]]+tblJTL[[#This Row],[elapsed]]</f>
        <v>1790816747343</v>
      </c>
      <c r="U1336" s="61">
        <f>(tblJTL[[#This Row],[timeStamp]]-'17_分析サンプル'!$E$18)/1000</f>
        <v>346.93200000000002</v>
      </c>
      <c r="V1336" s="57">
        <f>INT(tblJTL[[#This Row],[経過秒]]/60)</f>
        <v>5</v>
      </c>
      <c r="W1336" s="57">
        <f>IF(OR(tblJTL[[#This Row],[success]]=FALSE,tblJTL[[#This Row],[success]]="false"),1,0)</f>
        <v>0</v>
      </c>
      <c r="X1336" s="57">
        <f>IF(AND(tblJTL[[#This Row],[経過秒]]&gt;='17_分析サンプル'!$E$11,tblJTL[[#This Row],[経過秒]]&lt;'17_分析サンプル'!$E$12),1,0)</f>
        <v>1</v>
      </c>
    </row>
    <row r="1337" spans="2:24" ht="14.4" x14ac:dyDescent="0.3">
      <c r="B1337" s="57">
        <v>1790816747345</v>
      </c>
      <c r="C1337" s="58">
        <v>179</v>
      </c>
      <c r="D1337" s="59" t="s">
        <v>1658</v>
      </c>
      <c r="E1337" s="59" t="s">
        <v>1577</v>
      </c>
      <c r="F1337" s="59" t="s">
        <v>2275</v>
      </c>
      <c r="G1337" s="59" t="s">
        <v>3586</v>
      </c>
      <c r="H1337" s="59" t="s">
        <v>2281</v>
      </c>
      <c r="I1337" s="59" t="b">
        <v>1</v>
      </c>
      <c r="J1337" s="59"/>
      <c r="K1337" s="58">
        <v>1847</v>
      </c>
      <c r="L1337" s="58">
        <v>1342</v>
      </c>
      <c r="M1337" s="59">
        <v>10</v>
      </c>
      <c r="N1337" s="59">
        <v>10</v>
      </c>
      <c r="O1337" s="59" t="s">
        <v>3578</v>
      </c>
      <c r="P1337" s="58">
        <v>172</v>
      </c>
      <c r="Q1337" s="59">
        <v>0</v>
      </c>
      <c r="R1337" s="59">
        <v>66</v>
      </c>
      <c r="S1337" s="60">
        <f>tblJTL[[#This Row],[timeStamp]]/86400000+DATE(1970,1,1)+TIME(9,0,0)</f>
        <v>46296.420686863421</v>
      </c>
      <c r="T1337" s="57">
        <f>tblJTL[[#This Row],[timeStamp]]+tblJTL[[#This Row],[elapsed]]</f>
        <v>1790816747524</v>
      </c>
      <c r="U1337" s="61">
        <f>(tblJTL[[#This Row],[timeStamp]]-'17_分析サンプル'!$E$18)/1000</f>
        <v>347.16500000000002</v>
      </c>
      <c r="V1337" s="57">
        <f>INT(tblJTL[[#This Row],[経過秒]]/60)</f>
        <v>5</v>
      </c>
      <c r="W1337" s="57">
        <f>IF(OR(tblJTL[[#This Row],[success]]=FALSE,tblJTL[[#This Row],[success]]="false"),1,0)</f>
        <v>0</v>
      </c>
      <c r="X1337" s="57">
        <f>IF(AND(tblJTL[[#This Row],[経過秒]]&gt;='17_分析サンプル'!$E$11,tblJTL[[#This Row],[経過秒]]&lt;'17_分析サンプル'!$E$12),1,0)</f>
        <v>1</v>
      </c>
    </row>
    <row r="1338" spans="2:24" ht="14.4" x14ac:dyDescent="0.3">
      <c r="B1338" s="57">
        <v>1790816747362</v>
      </c>
      <c r="C1338" s="58">
        <v>292</v>
      </c>
      <c r="D1338" s="59" t="s">
        <v>1677</v>
      </c>
      <c r="E1338" s="59" t="s">
        <v>3579</v>
      </c>
      <c r="F1338" s="59" t="s">
        <v>3580</v>
      </c>
      <c r="G1338" s="59" t="s">
        <v>3577</v>
      </c>
      <c r="H1338" s="59" t="s">
        <v>2281</v>
      </c>
      <c r="I1338" s="59" t="b">
        <v>1</v>
      </c>
      <c r="J1338" s="59"/>
      <c r="K1338" s="58">
        <v>414</v>
      </c>
      <c r="L1338" s="58">
        <v>1478</v>
      </c>
      <c r="M1338" s="59">
        <v>10</v>
      </c>
      <c r="N1338" s="59">
        <v>10</v>
      </c>
      <c r="O1338" s="59" t="s">
        <v>3581</v>
      </c>
      <c r="P1338" s="58">
        <v>284</v>
      </c>
      <c r="Q1338" s="59">
        <v>0</v>
      </c>
      <c r="R1338" s="59">
        <v>0</v>
      </c>
      <c r="S1338" s="60">
        <f>tblJTL[[#This Row],[timeStamp]]/86400000+DATE(1970,1,1)+TIME(9,0,0)</f>
        <v>46296.420687060185</v>
      </c>
      <c r="T1338" s="57">
        <f>tblJTL[[#This Row],[timeStamp]]+tblJTL[[#This Row],[elapsed]]</f>
        <v>1790816747654</v>
      </c>
      <c r="U1338" s="61">
        <f>(tblJTL[[#This Row],[timeStamp]]-'17_分析サンプル'!$E$18)/1000</f>
        <v>347.18200000000002</v>
      </c>
      <c r="V1338" s="57">
        <f>INT(tblJTL[[#This Row],[経過秒]]/60)</f>
        <v>5</v>
      </c>
      <c r="W1338" s="57">
        <f>IF(OR(tblJTL[[#This Row],[success]]=FALSE,tblJTL[[#This Row],[success]]="false"),1,0)</f>
        <v>0</v>
      </c>
      <c r="X1338" s="57">
        <f>IF(AND(tblJTL[[#This Row],[経過秒]]&gt;='17_分析サンプル'!$E$11,tblJTL[[#This Row],[経過秒]]&lt;'17_分析サンプル'!$E$12),1,0)</f>
        <v>1</v>
      </c>
    </row>
    <row r="1339" spans="2:24" ht="14.4" x14ac:dyDescent="0.3">
      <c r="B1339" s="57">
        <v>1790816747584</v>
      </c>
      <c r="C1339" s="58">
        <v>144</v>
      </c>
      <c r="D1339" s="59" t="s">
        <v>1658</v>
      </c>
      <c r="E1339" s="59" t="s">
        <v>1577</v>
      </c>
      <c r="F1339" s="59" t="s">
        <v>2275</v>
      </c>
      <c r="G1339" s="59" t="s">
        <v>3582</v>
      </c>
      <c r="H1339" s="59" t="s">
        <v>2281</v>
      </c>
      <c r="I1339" s="59" t="b">
        <v>1</v>
      </c>
      <c r="J1339" s="59"/>
      <c r="K1339" s="58">
        <v>1880</v>
      </c>
      <c r="L1339" s="58">
        <v>1342</v>
      </c>
      <c r="M1339" s="59">
        <v>10</v>
      </c>
      <c r="N1339" s="59">
        <v>10</v>
      </c>
      <c r="O1339" s="59" t="s">
        <v>3578</v>
      </c>
      <c r="P1339" s="58">
        <v>142</v>
      </c>
      <c r="Q1339" s="59">
        <v>0</v>
      </c>
      <c r="R1339" s="59">
        <v>0</v>
      </c>
      <c r="S1339" s="60">
        <f>tblJTL[[#This Row],[timeStamp]]/86400000+DATE(1970,1,1)+TIME(9,0,0)</f>
        <v>46296.420689629631</v>
      </c>
      <c r="T1339" s="57">
        <f>tblJTL[[#This Row],[timeStamp]]+tblJTL[[#This Row],[elapsed]]</f>
        <v>1790816747728</v>
      </c>
      <c r="U1339" s="61">
        <f>(tblJTL[[#This Row],[timeStamp]]-'17_分析サンプル'!$E$18)/1000</f>
        <v>347.404</v>
      </c>
      <c r="V1339" s="57">
        <f>INT(tblJTL[[#This Row],[経過秒]]/60)</f>
        <v>5</v>
      </c>
      <c r="W1339" s="57">
        <f>IF(OR(tblJTL[[#This Row],[success]]=FALSE,tblJTL[[#This Row],[success]]="false"),1,0)</f>
        <v>0</v>
      </c>
      <c r="X1339" s="57">
        <f>IF(AND(tblJTL[[#This Row],[経過秒]]&gt;='17_分析サンプル'!$E$11,tblJTL[[#This Row],[経過秒]]&lt;'17_分析サンプル'!$E$12),1,0)</f>
        <v>1</v>
      </c>
    </row>
    <row r="1340" spans="2:24" ht="14.4" x14ac:dyDescent="0.3">
      <c r="B1340" s="57">
        <v>1790816747855</v>
      </c>
      <c r="C1340" s="58">
        <v>176</v>
      </c>
      <c r="D1340" s="59" t="s">
        <v>1658</v>
      </c>
      <c r="E1340" s="59" t="s">
        <v>1577</v>
      </c>
      <c r="F1340" s="59" t="s">
        <v>2275</v>
      </c>
      <c r="G1340" s="59" t="s">
        <v>2278</v>
      </c>
      <c r="H1340" s="59" t="s">
        <v>2281</v>
      </c>
      <c r="I1340" s="59" t="b">
        <v>1</v>
      </c>
      <c r="J1340" s="59"/>
      <c r="K1340" s="58">
        <v>1886</v>
      </c>
      <c r="L1340" s="58">
        <v>1342</v>
      </c>
      <c r="M1340" s="59">
        <v>10</v>
      </c>
      <c r="N1340" s="59">
        <v>10</v>
      </c>
      <c r="O1340" s="59" t="s">
        <v>3578</v>
      </c>
      <c r="P1340" s="58">
        <v>169</v>
      </c>
      <c r="Q1340" s="59">
        <v>0</v>
      </c>
      <c r="R1340" s="59">
        <v>0</v>
      </c>
      <c r="S1340" s="60">
        <f>tblJTL[[#This Row],[timeStamp]]/86400000+DATE(1970,1,1)+TIME(9,0,0)</f>
        <v>46296.420692766202</v>
      </c>
      <c r="T1340" s="57">
        <f>tblJTL[[#This Row],[timeStamp]]+tblJTL[[#This Row],[elapsed]]</f>
        <v>1790816748031</v>
      </c>
      <c r="U1340" s="61">
        <f>(tblJTL[[#This Row],[timeStamp]]-'17_分析サンプル'!$E$18)/1000</f>
        <v>347.67500000000001</v>
      </c>
      <c r="V1340" s="57">
        <f>INT(tblJTL[[#This Row],[経過秒]]/60)</f>
        <v>5</v>
      </c>
      <c r="W1340" s="57">
        <f>IF(OR(tblJTL[[#This Row],[success]]=FALSE,tblJTL[[#This Row],[success]]="false"),1,0)</f>
        <v>0</v>
      </c>
      <c r="X1340" s="57">
        <f>IF(AND(tblJTL[[#This Row],[経過秒]]&gt;='17_分析サンプル'!$E$11,tblJTL[[#This Row],[経過秒]]&lt;'17_分析サンプル'!$E$12),1,0)</f>
        <v>1</v>
      </c>
    </row>
    <row r="1341" spans="2:24" ht="14.4" x14ac:dyDescent="0.3">
      <c r="B1341" s="57">
        <v>1790816748999</v>
      </c>
      <c r="C1341" s="58">
        <v>257</v>
      </c>
      <c r="D1341" s="59" t="s">
        <v>1677</v>
      </c>
      <c r="E1341" s="59" t="s">
        <v>3579</v>
      </c>
      <c r="F1341" s="59" t="s">
        <v>3580</v>
      </c>
      <c r="G1341" s="59" t="s">
        <v>3585</v>
      </c>
      <c r="H1341" s="59" t="s">
        <v>2281</v>
      </c>
      <c r="I1341" s="59" t="b">
        <v>1</v>
      </c>
      <c r="J1341" s="59"/>
      <c r="K1341" s="58">
        <v>434</v>
      </c>
      <c r="L1341" s="58">
        <v>1478</v>
      </c>
      <c r="M1341" s="59">
        <v>10</v>
      </c>
      <c r="N1341" s="59">
        <v>10</v>
      </c>
      <c r="O1341" s="59" t="s">
        <v>3581</v>
      </c>
      <c r="P1341" s="58">
        <v>255</v>
      </c>
      <c r="Q1341" s="59">
        <v>0</v>
      </c>
      <c r="R1341" s="59">
        <v>0</v>
      </c>
      <c r="S1341" s="60">
        <f>tblJTL[[#This Row],[timeStamp]]/86400000+DATE(1970,1,1)+TIME(9,0,0)</f>
        <v>46296.420706006946</v>
      </c>
      <c r="T1341" s="57">
        <f>tblJTL[[#This Row],[timeStamp]]+tblJTL[[#This Row],[elapsed]]</f>
        <v>1790816749256</v>
      </c>
      <c r="U1341" s="61">
        <f>(tblJTL[[#This Row],[timeStamp]]-'17_分析サンプル'!$E$18)/1000</f>
        <v>348.81900000000002</v>
      </c>
      <c r="V1341" s="57">
        <f>INT(tblJTL[[#This Row],[経過秒]]/60)</f>
        <v>5</v>
      </c>
      <c r="W1341" s="57">
        <f>IF(OR(tblJTL[[#This Row],[success]]=FALSE,tblJTL[[#This Row],[success]]="false"),1,0)</f>
        <v>0</v>
      </c>
      <c r="X1341" s="57">
        <f>IF(AND(tblJTL[[#This Row],[経過秒]]&gt;='17_分析サンプル'!$E$11,tblJTL[[#This Row],[経過秒]]&lt;'17_分析サンプル'!$E$12),1,0)</f>
        <v>1</v>
      </c>
    </row>
    <row r="1342" spans="2:24" ht="14.4" x14ac:dyDescent="0.3">
      <c r="B1342" s="57">
        <v>1790816749235</v>
      </c>
      <c r="C1342" s="58">
        <v>174</v>
      </c>
      <c r="D1342" s="59" t="s">
        <v>1658</v>
      </c>
      <c r="E1342" s="59" t="s">
        <v>1577</v>
      </c>
      <c r="F1342" s="59" t="s">
        <v>2275</v>
      </c>
      <c r="G1342" s="59" t="s">
        <v>3587</v>
      </c>
      <c r="H1342" s="59" t="s">
        <v>2281</v>
      </c>
      <c r="I1342" s="59" t="b">
        <v>1</v>
      </c>
      <c r="J1342" s="59"/>
      <c r="K1342" s="58">
        <v>1847</v>
      </c>
      <c r="L1342" s="58">
        <v>1342</v>
      </c>
      <c r="M1342" s="59">
        <v>10</v>
      </c>
      <c r="N1342" s="59">
        <v>10</v>
      </c>
      <c r="O1342" s="59" t="s">
        <v>3578</v>
      </c>
      <c r="P1342" s="58">
        <v>166</v>
      </c>
      <c r="Q1342" s="59">
        <v>0</v>
      </c>
      <c r="R1342" s="59">
        <v>0</v>
      </c>
      <c r="S1342" s="60">
        <f>tblJTL[[#This Row],[timeStamp]]/86400000+DATE(1970,1,1)+TIME(9,0,0)</f>
        <v>46296.420708738427</v>
      </c>
      <c r="T1342" s="57">
        <f>tblJTL[[#This Row],[timeStamp]]+tblJTL[[#This Row],[elapsed]]</f>
        <v>1790816749409</v>
      </c>
      <c r="U1342" s="61">
        <f>(tblJTL[[#This Row],[timeStamp]]-'17_分析サンプル'!$E$18)/1000</f>
        <v>349.05500000000001</v>
      </c>
      <c r="V1342" s="57">
        <f>INT(tblJTL[[#This Row],[経過秒]]/60)</f>
        <v>5</v>
      </c>
      <c r="W1342" s="57">
        <f>IF(OR(tblJTL[[#This Row],[success]]=FALSE,tblJTL[[#This Row],[success]]="false"),1,0)</f>
        <v>0</v>
      </c>
      <c r="X1342" s="57">
        <f>IF(AND(tblJTL[[#This Row],[経過秒]]&gt;='17_分析サンプル'!$E$11,tblJTL[[#This Row],[経過秒]]&lt;'17_分析サンプル'!$E$12),1,0)</f>
        <v>1</v>
      </c>
    </row>
    <row r="1343" spans="2:24" ht="14.4" x14ac:dyDescent="0.3">
      <c r="B1343" s="57">
        <v>1790816749260</v>
      </c>
      <c r="C1343" s="58">
        <v>299</v>
      </c>
      <c r="D1343" s="59" t="s">
        <v>1677</v>
      </c>
      <c r="E1343" s="59" t="s">
        <v>3579</v>
      </c>
      <c r="F1343" s="59" t="s">
        <v>3580</v>
      </c>
      <c r="G1343" s="59" t="s">
        <v>3588</v>
      </c>
      <c r="H1343" s="59" t="s">
        <v>2281</v>
      </c>
      <c r="I1343" s="59" t="b">
        <v>1</v>
      </c>
      <c r="J1343" s="59"/>
      <c r="K1343" s="58">
        <v>418</v>
      </c>
      <c r="L1343" s="58">
        <v>1478</v>
      </c>
      <c r="M1343" s="59">
        <v>10</v>
      </c>
      <c r="N1343" s="59">
        <v>10</v>
      </c>
      <c r="O1343" s="59" t="s">
        <v>3581</v>
      </c>
      <c r="P1343" s="58">
        <v>293</v>
      </c>
      <c r="Q1343" s="59">
        <v>0</v>
      </c>
      <c r="R1343" s="59">
        <v>0</v>
      </c>
      <c r="S1343" s="60">
        <f>tblJTL[[#This Row],[timeStamp]]/86400000+DATE(1970,1,1)+TIME(9,0,0)</f>
        <v>46296.420709027778</v>
      </c>
      <c r="T1343" s="57">
        <f>tblJTL[[#This Row],[timeStamp]]+tblJTL[[#This Row],[elapsed]]</f>
        <v>1790816749559</v>
      </c>
      <c r="U1343" s="61">
        <f>(tblJTL[[#This Row],[timeStamp]]-'17_分析サンプル'!$E$18)/1000</f>
        <v>349.08</v>
      </c>
      <c r="V1343" s="57">
        <f>INT(tblJTL[[#This Row],[経過秒]]/60)</f>
        <v>5</v>
      </c>
      <c r="W1343" s="57">
        <f>IF(OR(tblJTL[[#This Row],[success]]=FALSE,tblJTL[[#This Row],[success]]="false"),1,0)</f>
        <v>0</v>
      </c>
      <c r="X1343" s="57">
        <f>IF(AND(tblJTL[[#This Row],[経過秒]]&gt;='17_分析サンプル'!$E$11,tblJTL[[#This Row],[経過秒]]&lt;'17_分析サンプル'!$E$12),1,0)</f>
        <v>1</v>
      </c>
    </row>
    <row r="1344" spans="2:24" ht="14.4" x14ac:dyDescent="0.3">
      <c r="B1344" s="57">
        <v>1790816749623</v>
      </c>
      <c r="C1344" s="58">
        <v>71</v>
      </c>
      <c r="D1344" s="59" t="s">
        <v>1658</v>
      </c>
      <c r="E1344" s="59" t="s">
        <v>1577</v>
      </c>
      <c r="F1344" s="59" t="s">
        <v>2275</v>
      </c>
      <c r="G1344" s="59" t="s">
        <v>3584</v>
      </c>
      <c r="H1344" s="59" t="s">
        <v>2281</v>
      </c>
      <c r="I1344" s="59" t="b">
        <v>1</v>
      </c>
      <c r="J1344" s="59"/>
      <c r="K1344" s="58">
        <v>1847</v>
      </c>
      <c r="L1344" s="58">
        <v>1342</v>
      </c>
      <c r="M1344" s="59">
        <v>10</v>
      </c>
      <c r="N1344" s="59">
        <v>10</v>
      </c>
      <c r="O1344" s="59" t="s">
        <v>3578</v>
      </c>
      <c r="P1344" s="58">
        <v>63</v>
      </c>
      <c r="Q1344" s="59">
        <v>0</v>
      </c>
      <c r="R1344" s="59">
        <v>0</v>
      </c>
      <c r="S1344" s="60">
        <f>tblJTL[[#This Row],[timeStamp]]/86400000+DATE(1970,1,1)+TIME(9,0,0)</f>
        <v>46296.420713229163</v>
      </c>
      <c r="T1344" s="57">
        <f>tblJTL[[#This Row],[timeStamp]]+tblJTL[[#This Row],[elapsed]]</f>
        <v>1790816749694</v>
      </c>
      <c r="U1344" s="61">
        <f>(tblJTL[[#This Row],[timeStamp]]-'17_分析サンプル'!$E$18)/1000</f>
        <v>349.44299999999998</v>
      </c>
      <c r="V1344" s="57">
        <f>INT(tblJTL[[#This Row],[経過秒]]/60)</f>
        <v>5</v>
      </c>
      <c r="W1344" s="57">
        <f>IF(OR(tblJTL[[#This Row],[success]]=FALSE,tblJTL[[#This Row],[success]]="false"),1,0)</f>
        <v>0</v>
      </c>
      <c r="X1344" s="57">
        <f>IF(AND(tblJTL[[#This Row],[経過秒]]&gt;='17_分析サンプル'!$E$11,tblJTL[[#This Row],[経過秒]]&lt;'17_分析サンプル'!$E$12),1,0)</f>
        <v>1</v>
      </c>
    </row>
    <row r="1345" spans="2:24" ht="14.4" x14ac:dyDescent="0.3">
      <c r="B1345" s="57">
        <v>1790816749651</v>
      </c>
      <c r="C1345" s="58">
        <v>72</v>
      </c>
      <c r="D1345" s="59" t="s">
        <v>1658</v>
      </c>
      <c r="E1345" s="59" t="s">
        <v>1577</v>
      </c>
      <c r="F1345" s="59" t="s">
        <v>2275</v>
      </c>
      <c r="G1345" s="59" t="s">
        <v>3583</v>
      </c>
      <c r="H1345" s="59" t="s">
        <v>2281</v>
      </c>
      <c r="I1345" s="59" t="b">
        <v>1</v>
      </c>
      <c r="J1345" s="59"/>
      <c r="K1345" s="58">
        <v>1872</v>
      </c>
      <c r="L1345" s="58">
        <v>1342</v>
      </c>
      <c r="M1345" s="59">
        <v>10</v>
      </c>
      <c r="N1345" s="59">
        <v>10</v>
      </c>
      <c r="O1345" s="59" t="s">
        <v>3578</v>
      </c>
      <c r="P1345" s="58">
        <v>66</v>
      </c>
      <c r="Q1345" s="59">
        <v>0</v>
      </c>
      <c r="R1345" s="59">
        <v>0</v>
      </c>
      <c r="S1345" s="60">
        <f>tblJTL[[#This Row],[timeStamp]]/86400000+DATE(1970,1,1)+TIME(9,0,0)</f>
        <v>46296.420713553242</v>
      </c>
      <c r="T1345" s="57">
        <f>tblJTL[[#This Row],[timeStamp]]+tblJTL[[#This Row],[elapsed]]</f>
        <v>1790816749723</v>
      </c>
      <c r="U1345" s="61">
        <f>(tblJTL[[#This Row],[timeStamp]]-'17_分析サンプル'!$E$18)/1000</f>
        <v>349.471</v>
      </c>
      <c r="V1345" s="57">
        <f>INT(tblJTL[[#This Row],[経過秒]]/60)</f>
        <v>5</v>
      </c>
      <c r="W1345" s="57">
        <f>IF(OR(tblJTL[[#This Row],[success]]=FALSE,tblJTL[[#This Row],[success]]="false"),1,0)</f>
        <v>0</v>
      </c>
      <c r="X1345" s="57">
        <f>IF(AND(tblJTL[[#This Row],[経過秒]]&gt;='17_分析サンプル'!$E$11,tblJTL[[#This Row],[経過秒]]&lt;'17_分析サンプル'!$E$12),1,0)</f>
        <v>1</v>
      </c>
    </row>
    <row r="1346" spans="2:24" ht="14.4" x14ac:dyDescent="0.3">
      <c r="B1346" s="57">
        <v>1790816749516</v>
      </c>
      <c r="C1346" s="58">
        <v>333</v>
      </c>
      <c r="D1346" s="59" t="s">
        <v>1677</v>
      </c>
      <c r="E1346" s="59" t="s">
        <v>3579</v>
      </c>
      <c r="F1346" s="59" t="s">
        <v>3580</v>
      </c>
      <c r="G1346" s="59" t="s">
        <v>3589</v>
      </c>
      <c r="H1346" s="59" t="s">
        <v>2281</v>
      </c>
      <c r="I1346" s="59" t="b">
        <v>1</v>
      </c>
      <c r="J1346" s="59"/>
      <c r="K1346" s="58">
        <v>428</v>
      </c>
      <c r="L1346" s="58">
        <v>1478</v>
      </c>
      <c r="M1346" s="59">
        <v>10</v>
      </c>
      <c r="N1346" s="59">
        <v>10</v>
      </c>
      <c r="O1346" s="59" t="s">
        <v>3581</v>
      </c>
      <c r="P1346" s="58">
        <v>325</v>
      </c>
      <c r="Q1346" s="59">
        <v>0</v>
      </c>
      <c r="R1346" s="59">
        <v>0</v>
      </c>
      <c r="S1346" s="60">
        <f>tblJTL[[#This Row],[timeStamp]]/86400000+DATE(1970,1,1)+TIME(9,0,0)</f>
        <v>46296.420711990737</v>
      </c>
      <c r="T1346" s="57">
        <f>tblJTL[[#This Row],[timeStamp]]+tblJTL[[#This Row],[elapsed]]</f>
        <v>1790816749849</v>
      </c>
      <c r="U1346" s="61">
        <f>(tblJTL[[#This Row],[timeStamp]]-'17_分析サンプル'!$E$18)/1000</f>
        <v>349.33600000000001</v>
      </c>
      <c r="V1346" s="57">
        <f>INT(tblJTL[[#This Row],[経過秒]]/60)</f>
        <v>5</v>
      </c>
      <c r="W1346" s="57">
        <f>IF(OR(tblJTL[[#This Row],[success]]=FALSE,tblJTL[[#This Row],[success]]="false"),1,0)</f>
        <v>0</v>
      </c>
      <c r="X1346" s="57">
        <f>IF(AND(tblJTL[[#This Row],[経過秒]]&gt;='17_分析サンプル'!$E$11,tblJTL[[#This Row],[経過秒]]&lt;'17_分析サンプル'!$E$12),1,0)</f>
        <v>1</v>
      </c>
    </row>
    <row r="1347" spans="2:24" ht="14.4" x14ac:dyDescent="0.3">
      <c r="B1347" s="57">
        <v>1790816749286</v>
      </c>
      <c r="C1347" s="58">
        <v>567</v>
      </c>
      <c r="D1347" s="59" t="s">
        <v>1658</v>
      </c>
      <c r="E1347" s="59" t="s">
        <v>1577</v>
      </c>
      <c r="F1347" s="59" t="s">
        <v>2275</v>
      </c>
      <c r="G1347" s="59" t="s">
        <v>3577</v>
      </c>
      <c r="H1347" s="59" t="s">
        <v>2281</v>
      </c>
      <c r="I1347" s="59" t="b">
        <v>1</v>
      </c>
      <c r="J1347" s="59"/>
      <c r="K1347" s="58">
        <v>1895</v>
      </c>
      <c r="L1347" s="58">
        <v>1342</v>
      </c>
      <c r="M1347" s="59">
        <v>10</v>
      </c>
      <c r="N1347" s="59">
        <v>10</v>
      </c>
      <c r="O1347" s="59" t="s">
        <v>3578</v>
      </c>
      <c r="P1347" s="58">
        <v>564</v>
      </c>
      <c r="Q1347" s="59">
        <v>0</v>
      </c>
      <c r="R1347" s="59">
        <v>0</v>
      </c>
      <c r="S1347" s="60">
        <f>tblJTL[[#This Row],[timeStamp]]/86400000+DATE(1970,1,1)+TIME(9,0,0)</f>
        <v>46296.420709328704</v>
      </c>
      <c r="T1347" s="57">
        <f>tblJTL[[#This Row],[timeStamp]]+tblJTL[[#This Row],[elapsed]]</f>
        <v>1790816749853</v>
      </c>
      <c r="U1347" s="61">
        <f>(tblJTL[[#This Row],[timeStamp]]-'17_分析サンプル'!$E$18)/1000</f>
        <v>349.10599999999999</v>
      </c>
      <c r="V1347" s="57">
        <f>INT(tblJTL[[#This Row],[経過秒]]/60)</f>
        <v>5</v>
      </c>
      <c r="W1347" s="57">
        <f>IF(OR(tblJTL[[#This Row],[success]]=FALSE,tblJTL[[#This Row],[success]]="false"),1,0)</f>
        <v>0</v>
      </c>
      <c r="X1347" s="57">
        <f>IF(AND(tblJTL[[#This Row],[経過秒]]&gt;='17_分析サンプル'!$E$11,tblJTL[[#This Row],[経過秒]]&lt;'17_分析サンプル'!$E$12),1,0)</f>
        <v>1</v>
      </c>
    </row>
    <row r="1348" spans="2:24" ht="14.4" x14ac:dyDescent="0.3">
      <c r="B1348" s="57">
        <v>1790816749850</v>
      </c>
      <c r="C1348" s="58">
        <v>246</v>
      </c>
      <c r="D1348" s="59" t="s">
        <v>1677</v>
      </c>
      <c r="E1348" s="59" t="s">
        <v>3579</v>
      </c>
      <c r="F1348" s="59" t="s">
        <v>3580</v>
      </c>
      <c r="G1348" s="59" t="s">
        <v>3582</v>
      </c>
      <c r="H1348" s="59" t="s">
        <v>2281</v>
      </c>
      <c r="I1348" s="59" t="b">
        <v>1</v>
      </c>
      <c r="J1348" s="59"/>
      <c r="K1348" s="58">
        <v>416</v>
      </c>
      <c r="L1348" s="58">
        <v>1478</v>
      </c>
      <c r="M1348" s="59">
        <v>10</v>
      </c>
      <c r="N1348" s="59">
        <v>10</v>
      </c>
      <c r="O1348" s="59" t="s">
        <v>3581</v>
      </c>
      <c r="P1348" s="58">
        <v>240</v>
      </c>
      <c r="Q1348" s="59">
        <v>0</v>
      </c>
      <c r="R1348" s="59">
        <v>0</v>
      </c>
      <c r="S1348" s="60">
        <f>tblJTL[[#This Row],[timeStamp]]/86400000+DATE(1970,1,1)+TIME(9,0,0)</f>
        <v>46296.420715856482</v>
      </c>
      <c r="T1348" s="57">
        <f>tblJTL[[#This Row],[timeStamp]]+tblJTL[[#This Row],[elapsed]]</f>
        <v>1790816750096</v>
      </c>
      <c r="U1348" s="61">
        <f>(tblJTL[[#This Row],[timeStamp]]-'17_分析サンプル'!$E$18)/1000</f>
        <v>349.67</v>
      </c>
      <c r="V1348" s="57">
        <f>INT(tblJTL[[#This Row],[経過秒]]/60)</f>
        <v>5</v>
      </c>
      <c r="W1348" s="57">
        <f>IF(OR(tblJTL[[#This Row],[success]]=FALSE,tblJTL[[#This Row],[success]]="false"),1,0)</f>
        <v>0</v>
      </c>
      <c r="X1348" s="57">
        <f>IF(AND(tblJTL[[#This Row],[経過秒]]&gt;='17_分析サンプル'!$E$11,tblJTL[[#This Row],[経過秒]]&lt;'17_分析サンプル'!$E$12),1,0)</f>
        <v>1</v>
      </c>
    </row>
    <row r="1349" spans="2:24" ht="14.4" x14ac:dyDescent="0.3">
      <c r="B1349" s="57">
        <v>1790816750314</v>
      </c>
      <c r="C1349" s="58">
        <v>212</v>
      </c>
      <c r="D1349" s="59" t="s">
        <v>1677</v>
      </c>
      <c r="E1349" s="59" t="s">
        <v>3579</v>
      </c>
      <c r="F1349" s="59" t="s">
        <v>3580</v>
      </c>
      <c r="G1349" s="59" t="s">
        <v>3586</v>
      </c>
      <c r="H1349" s="59" t="s">
        <v>2281</v>
      </c>
      <c r="I1349" s="59" t="b">
        <v>1</v>
      </c>
      <c r="J1349" s="59"/>
      <c r="K1349" s="58">
        <v>431</v>
      </c>
      <c r="L1349" s="58">
        <v>1478</v>
      </c>
      <c r="M1349" s="59">
        <v>10</v>
      </c>
      <c r="N1349" s="59">
        <v>10</v>
      </c>
      <c r="O1349" s="59" t="s">
        <v>3581</v>
      </c>
      <c r="P1349" s="58">
        <v>210</v>
      </c>
      <c r="Q1349" s="59">
        <v>0</v>
      </c>
      <c r="R1349" s="59">
        <v>0</v>
      </c>
      <c r="S1349" s="60">
        <f>tblJTL[[#This Row],[timeStamp]]/86400000+DATE(1970,1,1)+TIME(9,0,0)</f>
        <v>46296.420721226852</v>
      </c>
      <c r="T1349" s="57">
        <f>tblJTL[[#This Row],[timeStamp]]+tblJTL[[#This Row],[elapsed]]</f>
        <v>1790816750526</v>
      </c>
      <c r="U1349" s="61">
        <f>(tblJTL[[#This Row],[timeStamp]]-'17_分析サンプル'!$E$18)/1000</f>
        <v>350.13400000000001</v>
      </c>
      <c r="V1349" s="57">
        <f>INT(tblJTL[[#This Row],[経過秒]]/60)</f>
        <v>5</v>
      </c>
      <c r="W1349" s="57">
        <f>IF(OR(tblJTL[[#This Row],[success]]=FALSE,tblJTL[[#This Row],[success]]="false"),1,0)</f>
        <v>0</v>
      </c>
      <c r="X1349" s="57">
        <f>IF(AND(tblJTL[[#This Row],[経過秒]]&gt;='17_分析サンプル'!$E$11,tblJTL[[#This Row],[経過秒]]&lt;'17_分析サンプル'!$E$12),1,0)</f>
        <v>1</v>
      </c>
    </row>
    <row r="1350" spans="2:24" ht="14.4" x14ac:dyDescent="0.3">
      <c r="B1350" s="57">
        <v>1790816750653</v>
      </c>
      <c r="C1350" s="58">
        <v>240</v>
      </c>
      <c r="D1350" s="59" t="s">
        <v>1677</v>
      </c>
      <c r="E1350" s="59" t="s">
        <v>3579</v>
      </c>
      <c r="F1350" s="59" t="s">
        <v>3580</v>
      </c>
      <c r="G1350" s="59" t="s">
        <v>2278</v>
      </c>
      <c r="H1350" s="59" t="s">
        <v>2281</v>
      </c>
      <c r="I1350" s="59" t="b">
        <v>1</v>
      </c>
      <c r="J1350" s="59"/>
      <c r="K1350" s="58">
        <v>433</v>
      </c>
      <c r="L1350" s="58">
        <v>1478</v>
      </c>
      <c r="M1350" s="59">
        <v>10</v>
      </c>
      <c r="N1350" s="59">
        <v>10</v>
      </c>
      <c r="O1350" s="59" t="s">
        <v>3581</v>
      </c>
      <c r="P1350" s="58">
        <v>236</v>
      </c>
      <c r="Q1350" s="59">
        <v>0</v>
      </c>
      <c r="R1350" s="59">
        <v>0</v>
      </c>
      <c r="S1350" s="60">
        <f>tblJTL[[#This Row],[timeStamp]]/86400000+DATE(1970,1,1)+TIME(9,0,0)</f>
        <v>46296.420725150463</v>
      </c>
      <c r="T1350" s="57">
        <f>tblJTL[[#This Row],[timeStamp]]+tblJTL[[#This Row],[elapsed]]</f>
        <v>1790816750893</v>
      </c>
      <c r="U1350" s="61">
        <f>(tblJTL[[#This Row],[timeStamp]]-'17_分析サンプル'!$E$18)/1000</f>
        <v>350.47300000000001</v>
      </c>
      <c r="V1350" s="57">
        <f>INT(tblJTL[[#This Row],[経過秒]]/60)</f>
        <v>5</v>
      </c>
      <c r="W1350" s="57">
        <f>IF(OR(tblJTL[[#This Row],[success]]=FALSE,tblJTL[[#This Row],[success]]="false"),1,0)</f>
        <v>0</v>
      </c>
      <c r="X1350" s="57">
        <f>IF(AND(tblJTL[[#This Row],[経過秒]]&gt;='17_分析サンプル'!$E$11,tblJTL[[#This Row],[経過秒]]&lt;'17_分析サンプル'!$E$12),1,0)</f>
        <v>1</v>
      </c>
    </row>
    <row r="1351" spans="2:24" ht="14.4" x14ac:dyDescent="0.3">
      <c r="B1351" s="57">
        <v>1790816751373</v>
      </c>
      <c r="C1351" s="58">
        <v>93</v>
      </c>
      <c r="D1351" s="59" t="s">
        <v>1658</v>
      </c>
      <c r="E1351" s="59" t="s">
        <v>1577</v>
      </c>
      <c r="F1351" s="59" t="s">
        <v>2275</v>
      </c>
      <c r="G1351" s="59" t="s">
        <v>3589</v>
      </c>
      <c r="H1351" s="59" t="s">
        <v>2281</v>
      </c>
      <c r="I1351" s="59" t="b">
        <v>1</v>
      </c>
      <c r="J1351" s="59"/>
      <c r="K1351" s="58">
        <v>1851</v>
      </c>
      <c r="L1351" s="58">
        <v>1342</v>
      </c>
      <c r="M1351" s="59">
        <v>10</v>
      </c>
      <c r="N1351" s="59">
        <v>10</v>
      </c>
      <c r="O1351" s="59" t="s">
        <v>3578</v>
      </c>
      <c r="P1351" s="58">
        <v>90</v>
      </c>
      <c r="Q1351" s="59">
        <v>0</v>
      </c>
      <c r="R1351" s="59">
        <v>0</v>
      </c>
      <c r="S1351" s="60">
        <f>tblJTL[[#This Row],[timeStamp]]/86400000+DATE(1970,1,1)+TIME(9,0,0)</f>
        <v>46296.420733483799</v>
      </c>
      <c r="T1351" s="57">
        <f>tblJTL[[#This Row],[timeStamp]]+tblJTL[[#This Row],[elapsed]]</f>
        <v>1790816751466</v>
      </c>
      <c r="U1351" s="61">
        <f>(tblJTL[[#This Row],[timeStamp]]-'17_分析サンプル'!$E$18)/1000</f>
        <v>351.19299999999998</v>
      </c>
      <c r="V1351" s="57">
        <f>INT(tblJTL[[#This Row],[経過秒]]/60)</f>
        <v>5</v>
      </c>
      <c r="W1351" s="57">
        <f>IF(OR(tblJTL[[#This Row],[success]]=FALSE,tblJTL[[#This Row],[success]]="false"),1,0)</f>
        <v>0</v>
      </c>
      <c r="X1351" s="57">
        <f>IF(AND(tblJTL[[#This Row],[経過秒]]&gt;='17_分析サンプル'!$E$11,tblJTL[[#This Row],[経過秒]]&lt;'17_分析サンプル'!$E$12),1,0)</f>
        <v>1</v>
      </c>
    </row>
    <row r="1352" spans="2:24" ht="14.4" x14ac:dyDescent="0.3">
      <c r="B1352" s="57">
        <v>1790816751417</v>
      </c>
      <c r="C1352" s="58">
        <v>111</v>
      </c>
      <c r="D1352" s="59" t="s">
        <v>1658</v>
      </c>
      <c r="E1352" s="59" t="s">
        <v>1577</v>
      </c>
      <c r="F1352" s="59" t="s">
        <v>2275</v>
      </c>
      <c r="G1352" s="59" t="s">
        <v>3585</v>
      </c>
      <c r="H1352" s="59" t="s">
        <v>2281</v>
      </c>
      <c r="I1352" s="59" t="b">
        <v>1</v>
      </c>
      <c r="J1352" s="59"/>
      <c r="K1352" s="58">
        <v>1848</v>
      </c>
      <c r="L1352" s="58">
        <v>1342</v>
      </c>
      <c r="M1352" s="59">
        <v>10</v>
      </c>
      <c r="N1352" s="59">
        <v>10</v>
      </c>
      <c r="O1352" s="59" t="s">
        <v>3578</v>
      </c>
      <c r="P1352" s="58">
        <v>109</v>
      </c>
      <c r="Q1352" s="59">
        <v>0</v>
      </c>
      <c r="R1352" s="59">
        <v>0</v>
      </c>
      <c r="S1352" s="60">
        <f>tblJTL[[#This Row],[timeStamp]]/86400000+DATE(1970,1,1)+TIME(9,0,0)</f>
        <v>46296.420733993058</v>
      </c>
      <c r="T1352" s="57">
        <f>tblJTL[[#This Row],[timeStamp]]+tblJTL[[#This Row],[elapsed]]</f>
        <v>1790816751528</v>
      </c>
      <c r="U1352" s="61">
        <f>(tblJTL[[#This Row],[timeStamp]]-'17_分析サンプル'!$E$18)/1000</f>
        <v>351.23700000000002</v>
      </c>
      <c r="V1352" s="57">
        <f>INT(tblJTL[[#This Row],[経過秒]]/60)</f>
        <v>5</v>
      </c>
      <c r="W1352" s="57">
        <f>IF(OR(tblJTL[[#This Row],[success]]=FALSE,tblJTL[[#This Row],[success]]="false"),1,0)</f>
        <v>0</v>
      </c>
      <c r="X1352" s="57">
        <f>IF(AND(tblJTL[[#This Row],[経過秒]]&gt;='17_分析サンプル'!$E$11,tblJTL[[#This Row],[経過秒]]&lt;'17_分析サンプル'!$E$12),1,0)</f>
        <v>1</v>
      </c>
    </row>
    <row r="1353" spans="2:24" ht="14.4" x14ac:dyDescent="0.3">
      <c r="B1353" s="57">
        <v>1790816751527</v>
      </c>
      <c r="C1353" s="58">
        <v>89</v>
      </c>
      <c r="D1353" s="59" t="s">
        <v>1658</v>
      </c>
      <c r="E1353" s="59" t="s">
        <v>1577</v>
      </c>
      <c r="F1353" s="59" t="s">
        <v>2275</v>
      </c>
      <c r="G1353" s="59" t="s">
        <v>3588</v>
      </c>
      <c r="H1353" s="59" t="s">
        <v>2281</v>
      </c>
      <c r="I1353" s="59" t="b">
        <v>1</v>
      </c>
      <c r="J1353" s="59"/>
      <c r="K1353" s="58">
        <v>1889</v>
      </c>
      <c r="L1353" s="58">
        <v>1342</v>
      </c>
      <c r="M1353" s="59">
        <v>10</v>
      </c>
      <c r="N1353" s="59">
        <v>10</v>
      </c>
      <c r="O1353" s="59" t="s">
        <v>3578</v>
      </c>
      <c r="P1353" s="58">
        <v>84</v>
      </c>
      <c r="Q1353" s="59">
        <v>0</v>
      </c>
      <c r="R1353" s="59">
        <v>0</v>
      </c>
      <c r="S1353" s="60">
        <f>tblJTL[[#This Row],[timeStamp]]/86400000+DATE(1970,1,1)+TIME(9,0,0)</f>
        <v>46296.420735266205</v>
      </c>
      <c r="T1353" s="57">
        <f>tblJTL[[#This Row],[timeStamp]]+tblJTL[[#This Row],[elapsed]]</f>
        <v>1790816751616</v>
      </c>
      <c r="U1353" s="61">
        <f>(tblJTL[[#This Row],[timeStamp]]-'17_分析サンプル'!$E$18)/1000</f>
        <v>351.34699999999998</v>
      </c>
      <c r="V1353" s="57">
        <f>INT(tblJTL[[#This Row],[経過秒]]/60)</f>
        <v>5</v>
      </c>
      <c r="W1353" s="57">
        <f>IF(OR(tblJTL[[#This Row],[success]]=FALSE,tblJTL[[#This Row],[success]]="false"),1,0)</f>
        <v>0</v>
      </c>
      <c r="X1353" s="57">
        <f>IF(AND(tblJTL[[#This Row],[経過秒]]&gt;='17_分析サンプル'!$E$11,tblJTL[[#This Row],[経過秒]]&lt;'17_分析サンプル'!$E$12),1,0)</f>
        <v>1</v>
      </c>
    </row>
    <row r="1354" spans="2:24" ht="14.4" x14ac:dyDescent="0.3">
      <c r="B1354" s="57">
        <v>1790816751547</v>
      </c>
      <c r="C1354" s="58">
        <v>262</v>
      </c>
      <c r="D1354" s="59" t="s">
        <v>1677</v>
      </c>
      <c r="E1354" s="59" t="s">
        <v>3579</v>
      </c>
      <c r="F1354" s="59" t="s">
        <v>3580</v>
      </c>
      <c r="G1354" s="59" t="s">
        <v>3584</v>
      </c>
      <c r="H1354" s="59" t="s">
        <v>2281</v>
      </c>
      <c r="I1354" s="59" t="b">
        <v>1</v>
      </c>
      <c r="J1354" s="59"/>
      <c r="K1354" s="58">
        <v>412</v>
      </c>
      <c r="L1354" s="58">
        <v>1478</v>
      </c>
      <c r="M1354" s="59">
        <v>10</v>
      </c>
      <c r="N1354" s="59">
        <v>10</v>
      </c>
      <c r="O1354" s="59" t="s">
        <v>3581</v>
      </c>
      <c r="P1354" s="58">
        <v>258</v>
      </c>
      <c r="Q1354" s="59">
        <v>0</v>
      </c>
      <c r="R1354" s="59">
        <v>0</v>
      </c>
      <c r="S1354" s="60">
        <f>tblJTL[[#This Row],[timeStamp]]/86400000+DATE(1970,1,1)+TIME(9,0,0)</f>
        <v>46296.420735497682</v>
      </c>
      <c r="T1354" s="57">
        <f>tblJTL[[#This Row],[timeStamp]]+tblJTL[[#This Row],[elapsed]]</f>
        <v>1790816751809</v>
      </c>
      <c r="U1354" s="61">
        <f>(tblJTL[[#This Row],[timeStamp]]-'17_分析サンプル'!$E$18)/1000</f>
        <v>351.36700000000002</v>
      </c>
      <c r="V1354" s="57">
        <f>INT(tblJTL[[#This Row],[経過秒]]/60)</f>
        <v>5</v>
      </c>
      <c r="W1354" s="57">
        <f>IF(OR(tblJTL[[#This Row],[success]]=FALSE,tblJTL[[#This Row],[success]]="false"),1,0)</f>
        <v>0</v>
      </c>
      <c r="X1354" s="57">
        <f>IF(AND(tblJTL[[#This Row],[経過秒]]&gt;='17_分析サンプル'!$E$11,tblJTL[[#This Row],[経過秒]]&lt;'17_分析サンプル'!$E$12),1,0)</f>
        <v>1</v>
      </c>
    </row>
    <row r="1355" spans="2:24" ht="14.4" x14ac:dyDescent="0.3">
      <c r="B1355" s="57">
        <v>1790816751760</v>
      </c>
      <c r="C1355" s="58">
        <v>276</v>
      </c>
      <c r="D1355" s="59" t="s">
        <v>1677</v>
      </c>
      <c r="E1355" s="59" t="s">
        <v>3579</v>
      </c>
      <c r="F1355" s="59" t="s">
        <v>3580</v>
      </c>
      <c r="G1355" s="59" t="s">
        <v>3587</v>
      </c>
      <c r="H1355" s="59" t="s">
        <v>2281</v>
      </c>
      <c r="I1355" s="59" t="b">
        <v>1</v>
      </c>
      <c r="J1355" s="59"/>
      <c r="K1355" s="58">
        <v>416</v>
      </c>
      <c r="L1355" s="58">
        <v>1478</v>
      </c>
      <c r="M1355" s="59">
        <v>10</v>
      </c>
      <c r="N1355" s="59">
        <v>10</v>
      </c>
      <c r="O1355" s="59" t="s">
        <v>3581</v>
      </c>
      <c r="P1355" s="58">
        <v>269</v>
      </c>
      <c r="Q1355" s="59">
        <v>0</v>
      </c>
      <c r="R1355" s="59">
        <v>50</v>
      </c>
      <c r="S1355" s="60">
        <f>tblJTL[[#This Row],[timeStamp]]/86400000+DATE(1970,1,1)+TIME(9,0,0)</f>
        <v>46296.420737962966</v>
      </c>
      <c r="T1355" s="57">
        <f>tblJTL[[#This Row],[timeStamp]]+tblJTL[[#This Row],[elapsed]]</f>
        <v>1790816752036</v>
      </c>
      <c r="U1355" s="61">
        <f>(tblJTL[[#This Row],[timeStamp]]-'17_分析サンプル'!$E$18)/1000</f>
        <v>351.58</v>
      </c>
      <c r="V1355" s="57">
        <f>INT(tblJTL[[#This Row],[経過秒]]/60)</f>
        <v>5</v>
      </c>
      <c r="W1355" s="57">
        <f>IF(OR(tblJTL[[#This Row],[success]]=FALSE,tblJTL[[#This Row],[success]]="false"),1,0)</f>
        <v>0</v>
      </c>
      <c r="X1355" s="57">
        <f>IF(AND(tblJTL[[#This Row],[経過秒]]&gt;='17_分析サンプル'!$E$11,tblJTL[[#This Row],[経過秒]]&lt;'17_分析サンプル'!$E$12),1,0)</f>
        <v>1</v>
      </c>
    </row>
    <row r="1356" spans="2:24" ht="14.4" x14ac:dyDescent="0.3">
      <c r="B1356" s="57">
        <v>1790816752059</v>
      </c>
      <c r="C1356" s="58">
        <v>121</v>
      </c>
      <c r="D1356" s="59" t="s">
        <v>1658</v>
      </c>
      <c r="E1356" s="59" t="s">
        <v>1577</v>
      </c>
      <c r="F1356" s="59" t="s">
        <v>2275</v>
      </c>
      <c r="G1356" s="59" t="s">
        <v>2278</v>
      </c>
      <c r="H1356" s="59" t="s">
        <v>2281</v>
      </c>
      <c r="I1356" s="59" t="b">
        <v>1</v>
      </c>
      <c r="J1356" s="59"/>
      <c r="K1356" s="58">
        <v>1858</v>
      </c>
      <c r="L1356" s="58">
        <v>1342</v>
      </c>
      <c r="M1356" s="59">
        <v>10</v>
      </c>
      <c r="N1356" s="59">
        <v>10</v>
      </c>
      <c r="O1356" s="59" t="s">
        <v>3578</v>
      </c>
      <c r="P1356" s="58">
        <v>119</v>
      </c>
      <c r="Q1356" s="59">
        <v>0</v>
      </c>
      <c r="R1356" s="59">
        <v>0</v>
      </c>
      <c r="S1356" s="60">
        <f>tblJTL[[#This Row],[timeStamp]]/86400000+DATE(1970,1,1)+TIME(9,0,0)</f>
        <v>46296.420741423615</v>
      </c>
      <c r="T1356" s="57">
        <f>tblJTL[[#This Row],[timeStamp]]+tblJTL[[#This Row],[elapsed]]</f>
        <v>1790816752180</v>
      </c>
      <c r="U1356" s="61">
        <f>(tblJTL[[#This Row],[timeStamp]]-'17_分析サンプル'!$E$18)/1000</f>
        <v>351.87900000000002</v>
      </c>
      <c r="V1356" s="57">
        <f>INT(tblJTL[[#This Row],[経過秒]]/60)</f>
        <v>5</v>
      </c>
      <c r="W1356" s="57">
        <f>IF(OR(tblJTL[[#This Row],[success]]=FALSE,tblJTL[[#This Row],[success]]="false"),1,0)</f>
        <v>0</v>
      </c>
      <c r="X1356" s="57">
        <f>IF(AND(tblJTL[[#This Row],[経過秒]]&gt;='17_分析サンプル'!$E$11,tblJTL[[#This Row],[経過秒]]&lt;'17_分析サンプル'!$E$12),1,0)</f>
        <v>1</v>
      </c>
    </row>
    <row r="1357" spans="2:24" ht="14.4" x14ac:dyDescent="0.3">
      <c r="B1357" s="57">
        <v>1790816752403</v>
      </c>
      <c r="C1357" s="58">
        <v>164</v>
      </c>
      <c r="D1357" s="59" t="s">
        <v>1658</v>
      </c>
      <c r="E1357" s="59" t="s">
        <v>1577</v>
      </c>
      <c r="F1357" s="59" t="s">
        <v>2275</v>
      </c>
      <c r="G1357" s="59" t="s">
        <v>3586</v>
      </c>
      <c r="H1357" s="59" t="s">
        <v>2281</v>
      </c>
      <c r="I1357" s="59" t="b">
        <v>1</v>
      </c>
      <c r="J1357" s="59"/>
      <c r="K1357" s="58">
        <v>1860</v>
      </c>
      <c r="L1357" s="58">
        <v>1342</v>
      </c>
      <c r="M1357" s="59">
        <v>10</v>
      </c>
      <c r="N1357" s="59">
        <v>10</v>
      </c>
      <c r="O1357" s="59" t="s">
        <v>3578</v>
      </c>
      <c r="P1357" s="58">
        <v>158</v>
      </c>
      <c r="Q1357" s="59">
        <v>0</v>
      </c>
      <c r="R1357" s="59">
        <v>0</v>
      </c>
      <c r="S1357" s="60">
        <f>tblJTL[[#This Row],[timeStamp]]/86400000+DATE(1970,1,1)+TIME(9,0,0)</f>
        <v>46296.420745405092</v>
      </c>
      <c r="T1357" s="57">
        <f>tblJTL[[#This Row],[timeStamp]]+tblJTL[[#This Row],[elapsed]]</f>
        <v>1790816752567</v>
      </c>
      <c r="U1357" s="61">
        <f>(tblJTL[[#This Row],[timeStamp]]-'17_分析サンプル'!$E$18)/1000</f>
        <v>352.22300000000001</v>
      </c>
      <c r="V1357" s="57">
        <f>INT(tblJTL[[#This Row],[経過秒]]/60)</f>
        <v>5</v>
      </c>
      <c r="W1357" s="57">
        <f>IF(OR(tblJTL[[#This Row],[success]]=FALSE,tblJTL[[#This Row],[success]]="false"),1,0)</f>
        <v>0</v>
      </c>
      <c r="X1357" s="57">
        <f>IF(AND(tblJTL[[#This Row],[経過秒]]&gt;='17_分析サンプル'!$E$11,tblJTL[[#This Row],[経過秒]]&lt;'17_分析サンプル'!$E$12),1,0)</f>
        <v>1</v>
      </c>
    </row>
    <row r="1358" spans="2:24" ht="14.4" x14ac:dyDescent="0.3">
      <c r="B1358" s="57">
        <v>1790816752705</v>
      </c>
      <c r="C1358" s="58">
        <v>173</v>
      </c>
      <c r="D1358" s="59" t="s">
        <v>1677</v>
      </c>
      <c r="E1358" s="59" t="s">
        <v>3579</v>
      </c>
      <c r="F1358" s="59" t="s">
        <v>3580</v>
      </c>
      <c r="G1358" s="59" t="s">
        <v>3577</v>
      </c>
      <c r="H1358" s="59" t="s">
        <v>2281</v>
      </c>
      <c r="I1358" s="59" t="b">
        <v>1</v>
      </c>
      <c r="J1358" s="59"/>
      <c r="K1358" s="58">
        <v>423</v>
      </c>
      <c r="L1358" s="58">
        <v>1478</v>
      </c>
      <c r="M1358" s="59">
        <v>10</v>
      </c>
      <c r="N1358" s="59">
        <v>10</v>
      </c>
      <c r="O1358" s="59" t="s">
        <v>3581</v>
      </c>
      <c r="P1358" s="58">
        <v>165</v>
      </c>
      <c r="Q1358" s="59">
        <v>0</v>
      </c>
      <c r="R1358" s="59">
        <v>0</v>
      </c>
      <c r="S1358" s="60">
        <f>tblJTL[[#This Row],[timeStamp]]/86400000+DATE(1970,1,1)+TIME(9,0,0)</f>
        <v>46296.420748900462</v>
      </c>
      <c r="T1358" s="57">
        <f>tblJTL[[#This Row],[timeStamp]]+tblJTL[[#This Row],[elapsed]]</f>
        <v>1790816752878</v>
      </c>
      <c r="U1358" s="61">
        <f>(tblJTL[[#This Row],[timeStamp]]-'17_分析サンプル'!$E$18)/1000</f>
        <v>352.52499999999998</v>
      </c>
      <c r="V1358" s="57">
        <f>INT(tblJTL[[#This Row],[経過秒]]/60)</f>
        <v>5</v>
      </c>
      <c r="W1358" s="57">
        <f>IF(OR(tblJTL[[#This Row],[success]]=FALSE,tblJTL[[#This Row],[success]]="false"),1,0)</f>
        <v>0</v>
      </c>
      <c r="X1358" s="57">
        <f>IF(AND(tblJTL[[#This Row],[経過秒]]&gt;='17_分析サンプル'!$E$11,tblJTL[[#This Row],[経過秒]]&lt;'17_分析サンプル'!$E$12),1,0)</f>
        <v>1</v>
      </c>
    </row>
    <row r="1359" spans="2:24" ht="14.4" x14ac:dyDescent="0.3">
      <c r="B1359" s="57">
        <v>1790816752705</v>
      </c>
      <c r="C1359" s="58">
        <v>189</v>
      </c>
      <c r="D1359" s="59" t="s">
        <v>1658</v>
      </c>
      <c r="E1359" s="59" t="s">
        <v>1577</v>
      </c>
      <c r="F1359" s="59" t="s">
        <v>2275</v>
      </c>
      <c r="G1359" s="59" t="s">
        <v>3582</v>
      </c>
      <c r="H1359" s="59" t="s">
        <v>2281</v>
      </c>
      <c r="I1359" s="59" t="b">
        <v>1</v>
      </c>
      <c r="J1359" s="59"/>
      <c r="K1359" s="58">
        <v>1882</v>
      </c>
      <c r="L1359" s="58">
        <v>1342</v>
      </c>
      <c r="M1359" s="59">
        <v>10</v>
      </c>
      <c r="N1359" s="59">
        <v>10</v>
      </c>
      <c r="O1359" s="59" t="s">
        <v>3578</v>
      </c>
      <c r="P1359" s="58">
        <v>187</v>
      </c>
      <c r="Q1359" s="59">
        <v>0</v>
      </c>
      <c r="R1359" s="59">
        <v>0</v>
      </c>
      <c r="S1359" s="60">
        <f>tblJTL[[#This Row],[timeStamp]]/86400000+DATE(1970,1,1)+TIME(9,0,0)</f>
        <v>46296.420748900462</v>
      </c>
      <c r="T1359" s="57">
        <f>tblJTL[[#This Row],[timeStamp]]+tblJTL[[#This Row],[elapsed]]</f>
        <v>1790816752894</v>
      </c>
      <c r="U1359" s="61">
        <f>(tblJTL[[#This Row],[timeStamp]]-'17_分析サンプル'!$E$18)/1000</f>
        <v>352.52499999999998</v>
      </c>
      <c r="V1359" s="57">
        <f>INT(tblJTL[[#This Row],[経過秒]]/60)</f>
        <v>5</v>
      </c>
      <c r="W1359" s="57">
        <f>IF(OR(tblJTL[[#This Row],[success]]=FALSE,tblJTL[[#This Row],[success]]="false"),1,0)</f>
        <v>0</v>
      </c>
      <c r="X1359" s="57">
        <f>IF(AND(tblJTL[[#This Row],[経過秒]]&gt;='17_分析サンプル'!$E$11,tblJTL[[#This Row],[経過秒]]&lt;'17_分析サンプル'!$E$12),1,0)</f>
        <v>1</v>
      </c>
    </row>
    <row r="1360" spans="2:24" ht="14.4" x14ac:dyDescent="0.3">
      <c r="B1360" s="57">
        <v>1790816752695</v>
      </c>
      <c r="C1360" s="58">
        <v>206</v>
      </c>
      <c r="D1360" s="59" t="s">
        <v>1677</v>
      </c>
      <c r="E1360" s="59" t="s">
        <v>3579</v>
      </c>
      <c r="F1360" s="59" t="s">
        <v>3580</v>
      </c>
      <c r="G1360" s="59" t="s">
        <v>3583</v>
      </c>
      <c r="H1360" s="59" t="s">
        <v>2281</v>
      </c>
      <c r="I1360" s="59" t="b">
        <v>1</v>
      </c>
      <c r="J1360" s="59"/>
      <c r="K1360" s="58">
        <v>424</v>
      </c>
      <c r="L1360" s="58">
        <v>1478</v>
      </c>
      <c r="M1360" s="59">
        <v>10</v>
      </c>
      <c r="N1360" s="59">
        <v>10</v>
      </c>
      <c r="O1360" s="59" t="s">
        <v>3581</v>
      </c>
      <c r="P1360" s="58">
        <v>200</v>
      </c>
      <c r="Q1360" s="59">
        <v>0</v>
      </c>
      <c r="R1360" s="59">
        <v>0</v>
      </c>
      <c r="S1360" s="60">
        <f>tblJTL[[#This Row],[timeStamp]]/86400000+DATE(1970,1,1)+TIME(9,0,0)</f>
        <v>46296.420748784723</v>
      </c>
      <c r="T1360" s="57">
        <f>tblJTL[[#This Row],[timeStamp]]+tblJTL[[#This Row],[elapsed]]</f>
        <v>1790816752901</v>
      </c>
      <c r="U1360" s="61">
        <f>(tblJTL[[#This Row],[timeStamp]]-'17_分析サンプル'!$E$18)/1000</f>
        <v>352.51499999999999</v>
      </c>
      <c r="V1360" s="57">
        <f>INT(tblJTL[[#This Row],[経過秒]]/60)</f>
        <v>5</v>
      </c>
      <c r="W1360" s="57">
        <f>IF(OR(tblJTL[[#This Row],[success]]=FALSE,tblJTL[[#This Row],[success]]="false"),1,0)</f>
        <v>0</v>
      </c>
      <c r="X1360" s="57">
        <f>IF(AND(tblJTL[[#This Row],[経過秒]]&gt;='17_分析サンプル'!$E$11,tblJTL[[#This Row],[経過秒]]&lt;'17_分析サンプル'!$E$12),1,0)</f>
        <v>1</v>
      </c>
    </row>
    <row r="1361" spans="2:24" ht="14.4" x14ac:dyDescent="0.3">
      <c r="B1361" s="57">
        <v>1790816753756</v>
      </c>
      <c r="C1361" s="58">
        <v>146</v>
      </c>
      <c r="D1361" s="59" t="s">
        <v>1677</v>
      </c>
      <c r="E1361" s="59" t="s">
        <v>3579</v>
      </c>
      <c r="F1361" s="59" t="s">
        <v>3580</v>
      </c>
      <c r="G1361" s="59" t="s">
        <v>3585</v>
      </c>
      <c r="H1361" s="59" t="s">
        <v>2281</v>
      </c>
      <c r="I1361" s="59" t="b">
        <v>1</v>
      </c>
      <c r="J1361" s="59"/>
      <c r="K1361" s="58">
        <v>428</v>
      </c>
      <c r="L1361" s="58">
        <v>1478</v>
      </c>
      <c r="M1361" s="59">
        <v>10</v>
      </c>
      <c r="N1361" s="59">
        <v>10</v>
      </c>
      <c r="O1361" s="59" t="s">
        <v>3581</v>
      </c>
      <c r="P1361" s="58">
        <v>138</v>
      </c>
      <c r="Q1361" s="59">
        <v>0</v>
      </c>
      <c r="R1361" s="59">
        <v>0</v>
      </c>
      <c r="S1361" s="60">
        <f>tblJTL[[#This Row],[timeStamp]]/86400000+DATE(1970,1,1)+TIME(9,0,0)</f>
        <v>46296.420761064815</v>
      </c>
      <c r="T1361" s="57">
        <f>tblJTL[[#This Row],[timeStamp]]+tblJTL[[#This Row],[elapsed]]</f>
        <v>1790816753902</v>
      </c>
      <c r="U1361" s="61">
        <f>(tblJTL[[#This Row],[timeStamp]]-'17_分析サンプル'!$E$18)/1000</f>
        <v>353.57600000000002</v>
      </c>
      <c r="V1361" s="57">
        <f>INT(tblJTL[[#This Row],[経過秒]]/60)</f>
        <v>5</v>
      </c>
      <c r="W1361" s="57">
        <f>IF(OR(tblJTL[[#This Row],[success]]=FALSE,tblJTL[[#This Row],[success]]="false"),1,0)</f>
        <v>0</v>
      </c>
      <c r="X1361" s="57">
        <f>IF(AND(tblJTL[[#This Row],[経過秒]]&gt;='17_分析サンプル'!$E$11,tblJTL[[#This Row],[経過秒]]&lt;'17_分析サンプル'!$E$12),1,0)</f>
        <v>1</v>
      </c>
    </row>
    <row r="1362" spans="2:24" ht="14.4" x14ac:dyDescent="0.3">
      <c r="B1362" s="57">
        <v>1790816754065</v>
      </c>
      <c r="C1362" s="58">
        <v>152</v>
      </c>
      <c r="D1362" s="59" t="s">
        <v>1658</v>
      </c>
      <c r="E1362" s="59" t="s">
        <v>1577</v>
      </c>
      <c r="F1362" s="59" t="s">
        <v>2275</v>
      </c>
      <c r="G1362" s="59" t="s">
        <v>3584</v>
      </c>
      <c r="H1362" s="59" t="s">
        <v>2281</v>
      </c>
      <c r="I1362" s="59" t="b">
        <v>1</v>
      </c>
      <c r="J1362" s="59"/>
      <c r="K1362" s="58">
        <v>1843</v>
      </c>
      <c r="L1362" s="58">
        <v>1342</v>
      </c>
      <c r="M1362" s="59">
        <v>10</v>
      </c>
      <c r="N1362" s="59">
        <v>10</v>
      </c>
      <c r="O1362" s="59" t="s">
        <v>3578</v>
      </c>
      <c r="P1362" s="58">
        <v>145</v>
      </c>
      <c r="Q1362" s="59">
        <v>0</v>
      </c>
      <c r="R1362" s="59">
        <v>0</v>
      </c>
      <c r="S1362" s="60">
        <f>tblJTL[[#This Row],[timeStamp]]/86400000+DATE(1970,1,1)+TIME(9,0,0)</f>
        <v>46296.420764641203</v>
      </c>
      <c r="T1362" s="57">
        <f>tblJTL[[#This Row],[timeStamp]]+tblJTL[[#This Row],[elapsed]]</f>
        <v>1790816754217</v>
      </c>
      <c r="U1362" s="61">
        <f>(tblJTL[[#This Row],[timeStamp]]-'17_分析サンプル'!$E$18)/1000</f>
        <v>353.88499999999999</v>
      </c>
      <c r="V1362" s="57">
        <f>INT(tblJTL[[#This Row],[経過秒]]/60)</f>
        <v>5</v>
      </c>
      <c r="W1362" s="57">
        <f>IF(OR(tblJTL[[#This Row],[success]]=FALSE,tblJTL[[#This Row],[success]]="false"),1,0)</f>
        <v>0</v>
      </c>
      <c r="X1362" s="57">
        <f>IF(AND(tblJTL[[#This Row],[経過秒]]&gt;='17_分析サンプル'!$E$11,tblJTL[[#This Row],[経過秒]]&lt;'17_分析サンプル'!$E$12),1,0)</f>
        <v>1</v>
      </c>
    </row>
    <row r="1363" spans="2:24" ht="14.4" x14ac:dyDescent="0.3">
      <c r="B1363" s="57">
        <v>1790816754047</v>
      </c>
      <c r="C1363" s="58">
        <v>189</v>
      </c>
      <c r="D1363" s="59" t="s">
        <v>1677</v>
      </c>
      <c r="E1363" s="59" t="s">
        <v>3579</v>
      </c>
      <c r="F1363" s="59" t="s">
        <v>3580</v>
      </c>
      <c r="G1363" s="59" t="s">
        <v>3589</v>
      </c>
      <c r="H1363" s="59" t="s">
        <v>2281</v>
      </c>
      <c r="I1363" s="59" t="b">
        <v>1</v>
      </c>
      <c r="J1363" s="59"/>
      <c r="K1363" s="58">
        <v>434</v>
      </c>
      <c r="L1363" s="58">
        <v>1478</v>
      </c>
      <c r="M1363" s="59">
        <v>10</v>
      </c>
      <c r="N1363" s="59">
        <v>10</v>
      </c>
      <c r="O1363" s="59" t="s">
        <v>3581</v>
      </c>
      <c r="P1363" s="58">
        <v>187</v>
      </c>
      <c r="Q1363" s="59">
        <v>0</v>
      </c>
      <c r="R1363" s="59">
        <v>0</v>
      </c>
      <c r="S1363" s="60">
        <f>tblJTL[[#This Row],[timeStamp]]/86400000+DATE(1970,1,1)+TIME(9,0,0)</f>
        <v>46296.420764432871</v>
      </c>
      <c r="T1363" s="57">
        <f>tblJTL[[#This Row],[timeStamp]]+tblJTL[[#This Row],[elapsed]]</f>
        <v>1790816754236</v>
      </c>
      <c r="U1363" s="61">
        <f>(tblJTL[[#This Row],[timeStamp]]-'17_分析サンプル'!$E$18)/1000</f>
        <v>353.86700000000002</v>
      </c>
      <c r="V1363" s="57">
        <f>INT(tblJTL[[#This Row],[経過秒]]/60)</f>
        <v>5</v>
      </c>
      <c r="W1363" s="57">
        <f>IF(OR(tblJTL[[#This Row],[success]]=FALSE,tblJTL[[#This Row],[success]]="false"),1,0)</f>
        <v>0</v>
      </c>
      <c r="X1363" s="57">
        <f>IF(AND(tblJTL[[#This Row],[経過秒]]&gt;='17_分析サンプル'!$E$11,tblJTL[[#This Row],[経過秒]]&lt;'17_分析サンプル'!$E$12),1,0)</f>
        <v>1</v>
      </c>
    </row>
    <row r="1364" spans="2:24" ht="14.4" x14ac:dyDescent="0.3">
      <c r="B1364" s="57">
        <v>1790816754203</v>
      </c>
      <c r="C1364" s="58">
        <v>190</v>
      </c>
      <c r="D1364" s="59" t="s">
        <v>1677</v>
      </c>
      <c r="E1364" s="59" t="s">
        <v>3579</v>
      </c>
      <c r="F1364" s="59" t="s">
        <v>3580</v>
      </c>
      <c r="G1364" s="59" t="s">
        <v>3588</v>
      </c>
      <c r="H1364" s="59" t="s">
        <v>2281</v>
      </c>
      <c r="I1364" s="59" t="b">
        <v>1</v>
      </c>
      <c r="J1364" s="59"/>
      <c r="K1364" s="58">
        <v>419</v>
      </c>
      <c r="L1364" s="58">
        <v>1478</v>
      </c>
      <c r="M1364" s="59">
        <v>10</v>
      </c>
      <c r="N1364" s="59">
        <v>10</v>
      </c>
      <c r="O1364" s="59" t="s">
        <v>3581</v>
      </c>
      <c r="P1364" s="58">
        <v>183</v>
      </c>
      <c r="Q1364" s="59">
        <v>0</v>
      </c>
      <c r="R1364" s="59">
        <v>0</v>
      </c>
      <c r="S1364" s="60">
        <f>tblJTL[[#This Row],[timeStamp]]/86400000+DATE(1970,1,1)+TIME(9,0,0)</f>
        <v>46296.420766238429</v>
      </c>
      <c r="T1364" s="57">
        <f>tblJTL[[#This Row],[timeStamp]]+tblJTL[[#This Row],[elapsed]]</f>
        <v>1790816754393</v>
      </c>
      <c r="U1364" s="61">
        <f>(tblJTL[[#This Row],[timeStamp]]-'17_分析サンプル'!$E$18)/1000</f>
        <v>354.02300000000002</v>
      </c>
      <c r="V1364" s="57">
        <f>INT(tblJTL[[#This Row],[経過秒]]/60)</f>
        <v>5</v>
      </c>
      <c r="W1364" s="57">
        <f>IF(OR(tblJTL[[#This Row],[success]]=FALSE,tblJTL[[#This Row],[success]]="false"),1,0)</f>
        <v>0</v>
      </c>
      <c r="X1364" s="57">
        <f>IF(AND(tblJTL[[#This Row],[経過秒]]&gt;='17_分析サンプル'!$E$11,tblJTL[[#This Row],[経過秒]]&lt;'17_分析サンプル'!$E$12),1,0)</f>
        <v>1</v>
      </c>
    </row>
    <row r="1365" spans="2:24" ht="14.4" x14ac:dyDescent="0.3">
      <c r="B1365" s="57">
        <v>1790816754402</v>
      </c>
      <c r="C1365" s="58">
        <v>102</v>
      </c>
      <c r="D1365" s="59" t="s">
        <v>1658</v>
      </c>
      <c r="E1365" s="59" t="s">
        <v>1577</v>
      </c>
      <c r="F1365" s="59" t="s">
        <v>2275</v>
      </c>
      <c r="G1365" s="59" t="s">
        <v>3583</v>
      </c>
      <c r="H1365" s="59" t="s">
        <v>2281</v>
      </c>
      <c r="I1365" s="59" t="b">
        <v>1</v>
      </c>
      <c r="J1365" s="59"/>
      <c r="K1365" s="58">
        <v>1864</v>
      </c>
      <c r="L1365" s="58">
        <v>1342</v>
      </c>
      <c r="M1365" s="59">
        <v>10</v>
      </c>
      <c r="N1365" s="59">
        <v>10</v>
      </c>
      <c r="O1365" s="59" t="s">
        <v>3578</v>
      </c>
      <c r="P1365" s="58">
        <v>96</v>
      </c>
      <c r="Q1365" s="59">
        <v>0</v>
      </c>
      <c r="R1365" s="59">
        <v>0</v>
      </c>
      <c r="S1365" s="60">
        <f>tblJTL[[#This Row],[timeStamp]]/86400000+DATE(1970,1,1)+TIME(9,0,0)</f>
        <v>46296.420768541662</v>
      </c>
      <c r="T1365" s="57">
        <f>tblJTL[[#This Row],[timeStamp]]+tblJTL[[#This Row],[elapsed]]</f>
        <v>1790816754504</v>
      </c>
      <c r="U1365" s="61">
        <f>(tblJTL[[#This Row],[timeStamp]]-'17_分析サンプル'!$E$18)/1000</f>
        <v>354.22199999999998</v>
      </c>
      <c r="V1365" s="57">
        <f>INT(tblJTL[[#This Row],[経過秒]]/60)</f>
        <v>5</v>
      </c>
      <c r="W1365" s="57">
        <f>IF(OR(tblJTL[[#This Row],[success]]=FALSE,tblJTL[[#This Row],[success]]="false"),1,0)</f>
        <v>0</v>
      </c>
      <c r="X1365" s="57">
        <f>IF(AND(tblJTL[[#This Row],[経過秒]]&gt;='17_分析サンプル'!$E$11,tblJTL[[#This Row],[経過秒]]&lt;'17_分析サンプル'!$E$12),1,0)</f>
        <v>1</v>
      </c>
    </row>
    <row r="1366" spans="2:24" ht="14.4" x14ac:dyDescent="0.3">
      <c r="B1366" s="57">
        <v>1790816754372</v>
      </c>
      <c r="C1366" s="58">
        <v>232</v>
      </c>
      <c r="D1366" s="59" t="s">
        <v>1677</v>
      </c>
      <c r="E1366" s="59" t="s">
        <v>3579</v>
      </c>
      <c r="F1366" s="59" t="s">
        <v>3580</v>
      </c>
      <c r="G1366" s="59" t="s">
        <v>3586</v>
      </c>
      <c r="H1366" s="59" t="s">
        <v>2281</v>
      </c>
      <c r="I1366" s="59" t="b">
        <v>1</v>
      </c>
      <c r="J1366" s="59"/>
      <c r="K1366" s="58">
        <v>410</v>
      </c>
      <c r="L1366" s="58">
        <v>1478</v>
      </c>
      <c r="M1366" s="59">
        <v>10</v>
      </c>
      <c r="N1366" s="59">
        <v>10</v>
      </c>
      <c r="O1366" s="59" t="s">
        <v>3581</v>
      </c>
      <c r="P1366" s="58">
        <v>230</v>
      </c>
      <c r="Q1366" s="59">
        <v>0</v>
      </c>
      <c r="R1366" s="59">
        <v>0</v>
      </c>
      <c r="S1366" s="60">
        <f>tblJTL[[#This Row],[timeStamp]]/86400000+DATE(1970,1,1)+TIME(9,0,0)</f>
        <v>46296.420768194439</v>
      </c>
      <c r="T1366" s="57">
        <f>tblJTL[[#This Row],[timeStamp]]+tblJTL[[#This Row],[elapsed]]</f>
        <v>1790816754604</v>
      </c>
      <c r="U1366" s="61">
        <f>(tblJTL[[#This Row],[timeStamp]]-'17_分析サンプル'!$E$18)/1000</f>
        <v>354.19200000000001</v>
      </c>
      <c r="V1366" s="57">
        <f>INT(tblJTL[[#This Row],[経過秒]]/60)</f>
        <v>5</v>
      </c>
      <c r="W1366" s="57">
        <f>IF(OR(tblJTL[[#This Row],[success]]=FALSE,tblJTL[[#This Row],[success]]="false"),1,0)</f>
        <v>0</v>
      </c>
      <c r="X1366" s="57">
        <f>IF(AND(tblJTL[[#This Row],[経過秒]]&gt;='17_分析サンプル'!$E$11,tblJTL[[#This Row],[経過秒]]&lt;'17_分析サンプル'!$E$12),1,0)</f>
        <v>1</v>
      </c>
    </row>
    <row r="1367" spans="2:24" ht="14.4" x14ac:dyDescent="0.3">
      <c r="B1367" s="57">
        <v>1790816754617</v>
      </c>
      <c r="C1367" s="58">
        <v>264</v>
      </c>
      <c r="D1367" s="59" t="s">
        <v>1677</v>
      </c>
      <c r="E1367" s="59" t="s">
        <v>3579</v>
      </c>
      <c r="F1367" s="59" t="s">
        <v>3580</v>
      </c>
      <c r="G1367" s="59" t="s">
        <v>2278</v>
      </c>
      <c r="H1367" s="59" t="s">
        <v>2281</v>
      </c>
      <c r="I1367" s="59" t="b">
        <v>1</v>
      </c>
      <c r="J1367" s="59"/>
      <c r="K1367" s="58">
        <v>426</v>
      </c>
      <c r="L1367" s="58">
        <v>1478</v>
      </c>
      <c r="M1367" s="59">
        <v>10</v>
      </c>
      <c r="N1367" s="59">
        <v>10</v>
      </c>
      <c r="O1367" s="59" t="s">
        <v>3581</v>
      </c>
      <c r="P1367" s="58">
        <v>257</v>
      </c>
      <c r="Q1367" s="59">
        <v>0</v>
      </c>
      <c r="R1367" s="59">
        <v>0</v>
      </c>
      <c r="S1367" s="60">
        <f>tblJTL[[#This Row],[timeStamp]]/86400000+DATE(1970,1,1)+TIME(9,0,0)</f>
        <v>46296.420771030098</v>
      </c>
      <c r="T1367" s="57">
        <f>tblJTL[[#This Row],[timeStamp]]+tblJTL[[#This Row],[elapsed]]</f>
        <v>1790816754881</v>
      </c>
      <c r="U1367" s="61">
        <f>(tblJTL[[#This Row],[timeStamp]]-'17_分析サンプル'!$E$18)/1000</f>
        <v>354.43700000000001</v>
      </c>
      <c r="V1367" s="57">
        <f>INT(tblJTL[[#This Row],[経過秒]]/60)</f>
        <v>5</v>
      </c>
      <c r="W1367" s="57">
        <f>IF(OR(tblJTL[[#This Row],[success]]=FALSE,tblJTL[[#This Row],[success]]="false"),1,0)</f>
        <v>0</v>
      </c>
      <c r="X1367" s="57">
        <f>IF(AND(tblJTL[[#This Row],[経過秒]]&gt;='17_分析サンプル'!$E$11,tblJTL[[#This Row],[経過秒]]&lt;'17_分析サンプル'!$E$12),1,0)</f>
        <v>1</v>
      </c>
    </row>
    <row r="1368" spans="2:24" ht="14.4" x14ac:dyDescent="0.3">
      <c r="B1368" s="57">
        <v>1790816754951</v>
      </c>
      <c r="C1368" s="58">
        <v>90</v>
      </c>
      <c r="D1368" s="59" t="s">
        <v>1658</v>
      </c>
      <c r="E1368" s="59" t="s">
        <v>1577</v>
      </c>
      <c r="F1368" s="59" t="s">
        <v>2275</v>
      </c>
      <c r="G1368" s="59" t="s">
        <v>3587</v>
      </c>
      <c r="H1368" s="59" t="s">
        <v>2281</v>
      </c>
      <c r="I1368" s="59" t="b">
        <v>1</v>
      </c>
      <c r="J1368" s="59"/>
      <c r="K1368" s="58">
        <v>1867</v>
      </c>
      <c r="L1368" s="58">
        <v>1342</v>
      </c>
      <c r="M1368" s="59">
        <v>10</v>
      </c>
      <c r="N1368" s="59">
        <v>10</v>
      </c>
      <c r="O1368" s="59" t="s">
        <v>3578</v>
      </c>
      <c r="P1368" s="58">
        <v>84</v>
      </c>
      <c r="Q1368" s="59">
        <v>0</v>
      </c>
      <c r="R1368" s="59">
        <v>0</v>
      </c>
      <c r="S1368" s="60">
        <f>tblJTL[[#This Row],[timeStamp]]/86400000+DATE(1970,1,1)+TIME(9,0,0)</f>
        <v>46296.420774895829</v>
      </c>
      <c r="T1368" s="57">
        <f>tblJTL[[#This Row],[timeStamp]]+tblJTL[[#This Row],[elapsed]]</f>
        <v>1790816755041</v>
      </c>
      <c r="U1368" s="61">
        <f>(tblJTL[[#This Row],[timeStamp]]-'17_分析サンプル'!$E$18)/1000</f>
        <v>354.77100000000002</v>
      </c>
      <c r="V1368" s="57">
        <f>INT(tblJTL[[#This Row],[経過秒]]/60)</f>
        <v>5</v>
      </c>
      <c r="W1368" s="57">
        <f>IF(OR(tblJTL[[#This Row],[success]]=FALSE,tblJTL[[#This Row],[success]]="false"),1,0)</f>
        <v>0</v>
      </c>
      <c r="X1368" s="57">
        <f>IF(AND(tblJTL[[#This Row],[経過秒]]&gt;='17_分析サンプル'!$E$11,tblJTL[[#This Row],[経過秒]]&lt;'17_分析サンプル'!$E$12),1,0)</f>
        <v>1</v>
      </c>
    </row>
    <row r="1369" spans="2:24" ht="14.4" x14ac:dyDescent="0.3">
      <c r="B1369" s="57">
        <v>1790816755021</v>
      </c>
      <c r="C1369" s="58">
        <v>77</v>
      </c>
      <c r="D1369" s="59" t="s">
        <v>1658</v>
      </c>
      <c r="E1369" s="59" t="s">
        <v>1577</v>
      </c>
      <c r="F1369" s="59" t="s">
        <v>2275</v>
      </c>
      <c r="G1369" s="59" t="s">
        <v>3585</v>
      </c>
      <c r="H1369" s="59" t="s">
        <v>2281</v>
      </c>
      <c r="I1369" s="59" t="b">
        <v>1</v>
      </c>
      <c r="J1369" s="59"/>
      <c r="K1369" s="58">
        <v>1863</v>
      </c>
      <c r="L1369" s="58">
        <v>1342</v>
      </c>
      <c r="M1369" s="59">
        <v>10</v>
      </c>
      <c r="N1369" s="59">
        <v>10</v>
      </c>
      <c r="O1369" s="59" t="s">
        <v>3578</v>
      </c>
      <c r="P1369" s="58">
        <v>74</v>
      </c>
      <c r="Q1369" s="59">
        <v>0</v>
      </c>
      <c r="R1369" s="59">
        <v>0</v>
      </c>
      <c r="S1369" s="60">
        <f>tblJTL[[#This Row],[timeStamp]]/86400000+DATE(1970,1,1)+TIME(9,0,0)</f>
        <v>46296.420775706021</v>
      </c>
      <c r="T1369" s="57">
        <f>tblJTL[[#This Row],[timeStamp]]+tblJTL[[#This Row],[elapsed]]</f>
        <v>1790816755098</v>
      </c>
      <c r="U1369" s="61">
        <f>(tblJTL[[#This Row],[timeStamp]]-'17_分析サンプル'!$E$18)/1000</f>
        <v>354.84100000000001</v>
      </c>
      <c r="V1369" s="57">
        <f>INT(tblJTL[[#This Row],[経過秒]]/60)</f>
        <v>5</v>
      </c>
      <c r="W1369" s="57">
        <f>IF(OR(tblJTL[[#This Row],[success]]=FALSE,tblJTL[[#This Row],[success]]="false"),1,0)</f>
        <v>0</v>
      </c>
      <c r="X1369" s="57">
        <f>IF(AND(tblJTL[[#This Row],[経過秒]]&gt;='17_分析サンプル'!$E$11,tblJTL[[#This Row],[経過秒]]&lt;'17_分析サンプル'!$E$12),1,0)</f>
        <v>1</v>
      </c>
    </row>
    <row r="1370" spans="2:24" ht="14.4" x14ac:dyDescent="0.3">
      <c r="B1370" s="57">
        <v>1790816755265</v>
      </c>
      <c r="C1370" s="58">
        <v>144</v>
      </c>
      <c r="D1370" s="59" t="s">
        <v>1658</v>
      </c>
      <c r="E1370" s="59" t="s">
        <v>1577</v>
      </c>
      <c r="F1370" s="59" t="s">
        <v>2275</v>
      </c>
      <c r="G1370" s="59" t="s">
        <v>3589</v>
      </c>
      <c r="H1370" s="59" t="s">
        <v>2281</v>
      </c>
      <c r="I1370" s="59" t="b">
        <v>1</v>
      </c>
      <c r="J1370" s="59"/>
      <c r="K1370" s="58">
        <v>1846</v>
      </c>
      <c r="L1370" s="58">
        <v>1342</v>
      </c>
      <c r="M1370" s="59">
        <v>10</v>
      </c>
      <c r="N1370" s="59">
        <v>10</v>
      </c>
      <c r="O1370" s="59" t="s">
        <v>3578</v>
      </c>
      <c r="P1370" s="58">
        <v>142</v>
      </c>
      <c r="Q1370" s="59">
        <v>0</v>
      </c>
      <c r="R1370" s="59">
        <v>0</v>
      </c>
      <c r="S1370" s="60">
        <f>tblJTL[[#This Row],[timeStamp]]/86400000+DATE(1970,1,1)+TIME(9,0,0)</f>
        <v>46296.420778530097</v>
      </c>
      <c r="T1370" s="57">
        <f>tblJTL[[#This Row],[timeStamp]]+tblJTL[[#This Row],[elapsed]]</f>
        <v>1790816755409</v>
      </c>
      <c r="U1370" s="61">
        <f>(tblJTL[[#This Row],[timeStamp]]-'17_分析サンプル'!$E$18)/1000</f>
        <v>355.08499999999998</v>
      </c>
      <c r="V1370" s="57">
        <f>INT(tblJTL[[#This Row],[経過秒]]/60)</f>
        <v>5</v>
      </c>
      <c r="W1370" s="57">
        <f>IF(OR(tblJTL[[#This Row],[success]]=FALSE,tblJTL[[#This Row],[success]]="false"),1,0)</f>
        <v>0</v>
      </c>
      <c r="X1370" s="57">
        <f>IF(AND(tblJTL[[#This Row],[経過秒]]&gt;='17_分析サンプル'!$E$11,tblJTL[[#This Row],[経過秒]]&lt;'17_分析サンプル'!$E$12),1,0)</f>
        <v>1</v>
      </c>
    </row>
    <row r="1371" spans="2:24" ht="14.4" x14ac:dyDescent="0.3">
      <c r="B1371" s="57">
        <v>1790816755335</v>
      </c>
      <c r="C1371" s="58">
        <v>110</v>
      </c>
      <c r="D1371" s="59" t="s">
        <v>1658</v>
      </c>
      <c r="E1371" s="59" t="s">
        <v>1577</v>
      </c>
      <c r="F1371" s="59" t="s">
        <v>2275</v>
      </c>
      <c r="G1371" s="59" t="s">
        <v>3577</v>
      </c>
      <c r="H1371" s="59" t="s">
        <v>2281</v>
      </c>
      <c r="I1371" s="59" t="b">
        <v>1</v>
      </c>
      <c r="J1371" s="59"/>
      <c r="K1371" s="58">
        <v>1860</v>
      </c>
      <c r="L1371" s="58">
        <v>1342</v>
      </c>
      <c r="M1371" s="59">
        <v>10</v>
      </c>
      <c r="N1371" s="59">
        <v>10</v>
      </c>
      <c r="O1371" s="59" t="s">
        <v>3578</v>
      </c>
      <c r="P1371" s="58">
        <v>105</v>
      </c>
      <c r="Q1371" s="59">
        <v>0</v>
      </c>
      <c r="R1371" s="59">
        <v>0</v>
      </c>
      <c r="S1371" s="60">
        <f>tblJTL[[#This Row],[timeStamp]]/86400000+DATE(1970,1,1)+TIME(9,0,0)</f>
        <v>46296.420779340275</v>
      </c>
      <c r="T1371" s="57">
        <f>tblJTL[[#This Row],[timeStamp]]+tblJTL[[#This Row],[elapsed]]</f>
        <v>1790816755445</v>
      </c>
      <c r="U1371" s="61">
        <f>(tblJTL[[#This Row],[timeStamp]]-'17_分析サンプル'!$E$18)/1000</f>
        <v>355.15499999999997</v>
      </c>
      <c r="V1371" s="57">
        <f>INT(tblJTL[[#This Row],[経過秒]]/60)</f>
        <v>5</v>
      </c>
      <c r="W1371" s="57">
        <f>IF(OR(tblJTL[[#This Row],[success]]=FALSE,tblJTL[[#This Row],[success]]="false"),1,0)</f>
        <v>0</v>
      </c>
      <c r="X1371" s="57">
        <f>IF(AND(tblJTL[[#This Row],[経過秒]]&gt;='17_分析サンプル'!$E$11,tblJTL[[#This Row],[経過秒]]&lt;'17_分析サンプル'!$E$12),1,0)</f>
        <v>1</v>
      </c>
    </row>
    <row r="1372" spans="2:24" ht="14.4" x14ac:dyDescent="0.3">
      <c r="B1372" s="57">
        <v>1790816755314</v>
      </c>
      <c r="C1372" s="58">
        <v>390</v>
      </c>
      <c r="D1372" s="59" t="s">
        <v>1677</v>
      </c>
      <c r="E1372" s="59" t="s">
        <v>3579</v>
      </c>
      <c r="F1372" s="59" t="s">
        <v>3580</v>
      </c>
      <c r="G1372" s="59" t="s">
        <v>3582</v>
      </c>
      <c r="H1372" s="59" t="s">
        <v>2281</v>
      </c>
      <c r="I1372" s="59" t="b">
        <v>1</v>
      </c>
      <c r="J1372" s="59"/>
      <c r="K1372" s="58">
        <v>422</v>
      </c>
      <c r="L1372" s="58">
        <v>1478</v>
      </c>
      <c r="M1372" s="59">
        <v>10</v>
      </c>
      <c r="N1372" s="59">
        <v>10</v>
      </c>
      <c r="O1372" s="59" t="s">
        <v>3581</v>
      </c>
      <c r="P1372" s="58">
        <v>387</v>
      </c>
      <c r="Q1372" s="59">
        <v>0</v>
      </c>
      <c r="R1372" s="59">
        <v>0</v>
      </c>
      <c r="S1372" s="60">
        <f>tblJTL[[#This Row],[timeStamp]]/86400000+DATE(1970,1,1)+TIME(9,0,0)</f>
        <v>46296.420779097221</v>
      </c>
      <c r="T1372" s="57">
        <f>tblJTL[[#This Row],[timeStamp]]+tblJTL[[#This Row],[elapsed]]</f>
        <v>1790816755704</v>
      </c>
      <c r="U1372" s="61">
        <f>(tblJTL[[#This Row],[timeStamp]]-'17_分析サンプル'!$E$18)/1000</f>
        <v>355.13400000000001</v>
      </c>
      <c r="V1372" s="57">
        <f>INT(tblJTL[[#This Row],[経過秒]]/60)</f>
        <v>5</v>
      </c>
      <c r="W1372" s="57">
        <f>IF(OR(tblJTL[[#This Row],[success]]=FALSE,tblJTL[[#This Row],[success]]="false"),1,0)</f>
        <v>0</v>
      </c>
      <c r="X1372" s="57">
        <f>IF(AND(tblJTL[[#This Row],[経過秒]]&gt;='17_分析サンプル'!$E$11,tblJTL[[#This Row],[経過秒]]&lt;'17_分析サンプル'!$E$12),1,0)</f>
        <v>1</v>
      </c>
    </row>
    <row r="1373" spans="2:24" ht="14.4" x14ac:dyDescent="0.3">
      <c r="B1373" s="57">
        <v>1790816755842</v>
      </c>
      <c r="C1373" s="58">
        <v>110</v>
      </c>
      <c r="D1373" s="59" t="s">
        <v>1658</v>
      </c>
      <c r="E1373" s="59" t="s">
        <v>1577</v>
      </c>
      <c r="F1373" s="59" t="s">
        <v>2275</v>
      </c>
      <c r="G1373" s="59" t="s">
        <v>3588</v>
      </c>
      <c r="H1373" s="59" t="s">
        <v>2281</v>
      </c>
      <c r="I1373" s="59" t="b">
        <v>1</v>
      </c>
      <c r="J1373" s="59"/>
      <c r="K1373" s="58">
        <v>1879</v>
      </c>
      <c r="L1373" s="58">
        <v>1342</v>
      </c>
      <c r="M1373" s="59">
        <v>10</v>
      </c>
      <c r="N1373" s="59">
        <v>10</v>
      </c>
      <c r="O1373" s="59" t="s">
        <v>3578</v>
      </c>
      <c r="P1373" s="58">
        <v>105</v>
      </c>
      <c r="Q1373" s="59">
        <v>0</v>
      </c>
      <c r="R1373" s="59">
        <v>0</v>
      </c>
      <c r="S1373" s="60">
        <f>tblJTL[[#This Row],[timeStamp]]/86400000+DATE(1970,1,1)+TIME(9,0,0)</f>
        <v>46296.420785208335</v>
      </c>
      <c r="T1373" s="57">
        <f>tblJTL[[#This Row],[timeStamp]]+tblJTL[[#This Row],[elapsed]]</f>
        <v>1790816755952</v>
      </c>
      <c r="U1373" s="61">
        <f>(tblJTL[[#This Row],[timeStamp]]-'17_分析サンプル'!$E$18)/1000</f>
        <v>355.66199999999998</v>
      </c>
      <c r="V1373" s="57">
        <f>INT(tblJTL[[#This Row],[経過秒]]/60)</f>
        <v>5</v>
      </c>
      <c r="W1373" s="57">
        <f>IF(OR(tblJTL[[#This Row],[success]]=FALSE,tblJTL[[#This Row],[success]]="false"),1,0)</f>
        <v>0</v>
      </c>
      <c r="X1373" s="57">
        <f>IF(AND(tblJTL[[#This Row],[経過秒]]&gt;='17_分析サンプル'!$E$11,tblJTL[[#This Row],[経過秒]]&lt;'17_分析サンプル'!$E$12),1,0)</f>
        <v>1</v>
      </c>
    </row>
    <row r="1374" spans="2:24" ht="14.4" x14ac:dyDescent="0.3">
      <c r="B1374" s="57">
        <v>1790816755752</v>
      </c>
      <c r="C1374" s="58">
        <v>281</v>
      </c>
      <c r="D1374" s="59" t="s">
        <v>1677</v>
      </c>
      <c r="E1374" s="59" t="s">
        <v>3579</v>
      </c>
      <c r="F1374" s="59" t="s">
        <v>3580</v>
      </c>
      <c r="G1374" s="59" t="s">
        <v>3584</v>
      </c>
      <c r="H1374" s="59" t="s">
        <v>2281</v>
      </c>
      <c r="I1374" s="59" t="b">
        <v>1</v>
      </c>
      <c r="J1374" s="59"/>
      <c r="K1374" s="58">
        <v>418</v>
      </c>
      <c r="L1374" s="58">
        <v>1478</v>
      </c>
      <c r="M1374" s="59">
        <v>10</v>
      </c>
      <c r="N1374" s="59">
        <v>10</v>
      </c>
      <c r="O1374" s="59" t="s">
        <v>3581</v>
      </c>
      <c r="P1374" s="58">
        <v>279</v>
      </c>
      <c r="Q1374" s="59">
        <v>0</v>
      </c>
      <c r="R1374" s="59">
        <v>0</v>
      </c>
      <c r="S1374" s="60">
        <f>tblJTL[[#This Row],[timeStamp]]/86400000+DATE(1970,1,1)+TIME(9,0,0)</f>
        <v>46296.420784166665</v>
      </c>
      <c r="T1374" s="57">
        <f>tblJTL[[#This Row],[timeStamp]]+tblJTL[[#This Row],[elapsed]]</f>
        <v>1790816756033</v>
      </c>
      <c r="U1374" s="61">
        <f>(tblJTL[[#This Row],[timeStamp]]-'17_分析サンプル'!$E$18)/1000</f>
        <v>355.572</v>
      </c>
      <c r="V1374" s="57">
        <f>INT(tblJTL[[#This Row],[経過秒]]/60)</f>
        <v>5</v>
      </c>
      <c r="W1374" s="57">
        <f>IF(OR(tblJTL[[#This Row],[success]]=FALSE,tblJTL[[#This Row],[success]]="false"),1,0)</f>
        <v>0</v>
      </c>
      <c r="X1374" s="57">
        <f>IF(AND(tblJTL[[#This Row],[経過秒]]&gt;='17_分析サンプル'!$E$11,tblJTL[[#This Row],[経過秒]]&lt;'17_分析サンプル'!$E$12),1,0)</f>
        <v>1</v>
      </c>
    </row>
    <row r="1375" spans="2:24" ht="14.4" x14ac:dyDescent="0.3">
      <c r="B1375" s="57">
        <v>1790816756575</v>
      </c>
      <c r="C1375" s="58">
        <v>209</v>
      </c>
      <c r="D1375" s="59" t="s">
        <v>1677</v>
      </c>
      <c r="E1375" s="59" t="s">
        <v>3579</v>
      </c>
      <c r="F1375" s="59" t="s">
        <v>3580</v>
      </c>
      <c r="G1375" s="59" t="s">
        <v>3587</v>
      </c>
      <c r="H1375" s="59" t="s">
        <v>2281</v>
      </c>
      <c r="I1375" s="59" t="b">
        <v>1</v>
      </c>
      <c r="J1375" s="59"/>
      <c r="K1375" s="58">
        <v>410</v>
      </c>
      <c r="L1375" s="58">
        <v>1478</v>
      </c>
      <c r="M1375" s="59">
        <v>10</v>
      </c>
      <c r="N1375" s="59">
        <v>10</v>
      </c>
      <c r="O1375" s="59" t="s">
        <v>3581</v>
      </c>
      <c r="P1375" s="58">
        <v>203</v>
      </c>
      <c r="Q1375" s="59">
        <v>0</v>
      </c>
      <c r="R1375" s="59">
        <v>0</v>
      </c>
      <c r="S1375" s="60">
        <f>tblJTL[[#This Row],[timeStamp]]/86400000+DATE(1970,1,1)+TIME(9,0,0)</f>
        <v>46296.42079369213</v>
      </c>
      <c r="T1375" s="57">
        <f>tblJTL[[#This Row],[timeStamp]]+tblJTL[[#This Row],[elapsed]]</f>
        <v>1790816756784</v>
      </c>
      <c r="U1375" s="61">
        <f>(tblJTL[[#This Row],[timeStamp]]-'17_分析サンプル'!$E$18)/1000</f>
        <v>356.39499999999998</v>
      </c>
      <c r="V1375" s="57">
        <f>INT(tblJTL[[#This Row],[経過秒]]/60)</f>
        <v>5</v>
      </c>
      <c r="W1375" s="57">
        <f>IF(OR(tblJTL[[#This Row],[success]]=FALSE,tblJTL[[#This Row],[success]]="false"),1,0)</f>
        <v>0</v>
      </c>
      <c r="X1375" s="57">
        <f>IF(AND(tblJTL[[#This Row],[経過秒]]&gt;='17_分析サンプル'!$E$11,tblJTL[[#This Row],[経過秒]]&lt;'17_分析サンプル'!$E$12),1,0)</f>
        <v>1</v>
      </c>
    </row>
    <row r="1376" spans="2:24" ht="14.4" x14ac:dyDescent="0.3">
      <c r="B1376" s="57">
        <v>1790816756556</v>
      </c>
      <c r="C1376" s="58">
        <v>301</v>
      </c>
      <c r="D1376" s="59" t="s">
        <v>1677</v>
      </c>
      <c r="E1376" s="59" t="s">
        <v>3579</v>
      </c>
      <c r="F1376" s="59" t="s">
        <v>3580</v>
      </c>
      <c r="G1376" s="59" t="s">
        <v>3577</v>
      </c>
      <c r="H1376" s="59" t="s">
        <v>2281</v>
      </c>
      <c r="I1376" s="59" t="b">
        <v>1</v>
      </c>
      <c r="J1376" s="59"/>
      <c r="K1376" s="58">
        <v>436</v>
      </c>
      <c r="L1376" s="58">
        <v>1478</v>
      </c>
      <c r="M1376" s="59">
        <v>10</v>
      </c>
      <c r="N1376" s="59">
        <v>10</v>
      </c>
      <c r="O1376" s="59" t="s">
        <v>3581</v>
      </c>
      <c r="P1376" s="58">
        <v>296</v>
      </c>
      <c r="Q1376" s="59">
        <v>0</v>
      </c>
      <c r="R1376" s="59">
        <v>0</v>
      </c>
      <c r="S1376" s="60">
        <f>tblJTL[[#This Row],[timeStamp]]/86400000+DATE(1970,1,1)+TIME(9,0,0)</f>
        <v>46296.420793472222</v>
      </c>
      <c r="T1376" s="57">
        <f>tblJTL[[#This Row],[timeStamp]]+tblJTL[[#This Row],[elapsed]]</f>
        <v>1790816756857</v>
      </c>
      <c r="U1376" s="61">
        <f>(tblJTL[[#This Row],[timeStamp]]-'17_分析サンプル'!$E$18)/1000</f>
        <v>356.37599999999998</v>
      </c>
      <c r="V1376" s="57">
        <f>INT(tblJTL[[#This Row],[経過秒]]/60)</f>
        <v>5</v>
      </c>
      <c r="W1376" s="57">
        <f>IF(OR(tblJTL[[#This Row],[success]]=FALSE,tblJTL[[#This Row],[success]]="false"),1,0)</f>
        <v>0</v>
      </c>
      <c r="X1376" s="57">
        <f>IF(AND(tblJTL[[#This Row],[経過秒]]&gt;='17_分析サンプル'!$E$11,tblJTL[[#This Row],[経過秒]]&lt;'17_分析サンプル'!$E$12),1,0)</f>
        <v>1</v>
      </c>
    </row>
    <row r="1377" spans="2:24" ht="14.4" x14ac:dyDescent="0.3">
      <c r="B1377" s="57">
        <v>1790816756851</v>
      </c>
      <c r="C1377" s="58">
        <v>116</v>
      </c>
      <c r="D1377" s="59" t="s">
        <v>1658</v>
      </c>
      <c r="E1377" s="59" t="s">
        <v>1577</v>
      </c>
      <c r="F1377" s="59" t="s">
        <v>2275</v>
      </c>
      <c r="G1377" s="59" t="s">
        <v>2278</v>
      </c>
      <c r="H1377" s="59" t="s">
        <v>2281</v>
      </c>
      <c r="I1377" s="59" t="b">
        <v>1</v>
      </c>
      <c r="J1377" s="59"/>
      <c r="K1377" s="58">
        <v>1835</v>
      </c>
      <c r="L1377" s="58">
        <v>1342</v>
      </c>
      <c r="M1377" s="59">
        <v>10</v>
      </c>
      <c r="N1377" s="59">
        <v>10</v>
      </c>
      <c r="O1377" s="59" t="s">
        <v>3578</v>
      </c>
      <c r="P1377" s="58">
        <v>114</v>
      </c>
      <c r="Q1377" s="59">
        <v>0</v>
      </c>
      <c r="R1377" s="59">
        <v>0</v>
      </c>
      <c r="S1377" s="60">
        <f>tblJTL[[#This Row],[timeStamp]]/86400000+DATE(1970,1,1)+TIME(9,0,0)</f>
        <v>46296.420796886574</v>
      </c>
      <c r="T1377" s="57">
        <f>tblJTL[[#This Row],[timeStamp]]+tblJTL[[#This Row],[elapsed]]</f>
        <v>1790816756967</v>
      </c>
      <c r="U1377" s="61">
        <f>(tblJTL[[#This Row],[timeStamp]]-'17_分析サンプル'!$E$18)/1000</f>
        <v>356.67099999999999</v>
      </c>
      <c r="V1377" s="57">
        <f>INT(tblJTL[[#This Row],[経過秒]]/60)</f>
        <v>5</v>
      </c>
      <c r="W1377" s="57">
        <f>IF(OR(tblJTL[[#This Row],[success]]=FALSE,tblJTL[[#This Row],[success]]="false"),1,0)</f>
        <v>0</v>
      </c>
      <c r="X1377" s="57">
        <f>IF(AND(tblJTL[[#This Row],[経過秒]]&gt;='17_分析サンプル'!$E$11,tblJTL[[#This Row],[経過秒]]&lt;'17_分析サンプル'!$E$12),1,0)</f>
        <v>1</v>
      </c>
    </row>
    <row r="1378" spans="2:24" ht="14.4" x14ac:dyDescent="0.3">
      <c r="B1378" s="57">
        <v>1790816757004</v>
      </c>
      <c r="C1378" s="58">
        <v>115</v>
      </c>
      <c r="D1378" s="59" t="s">
        <v>1658</v>
      </c>
      <c r="E1378" s="59" t="s">
        <v>1577</v>
      </c>
      <c r="F1378" s="59" t="s">
        <v>2275</v>
      </c>
      <c r="G1378" s="59" t="s">
        <v>3586</v>
      </c>
      <c r="H1378" s="59" t="s">
        <v>2281</v>
      </c>
      <c r="I1378" s="59" t="b">
        <v>1</v>
      </c>
      <c r="J1378" s="59"/>
      <c r="K1378" s="58">
        <v>1884</v>
      </c>
      <c r="L1378" s="58">
        <v>1342</v>
      </c>
      <c r="M1378" s="59">
        <v>10</v>
      </c>
      <c r="N1378" s="59">
        <v>10</v>
      </c>
      <c r="O1378" s="59" t="s">
        <v>3578</v>
      </c>
      <c r="P1378" s="58">
        <v>107</v>
      </c>
      <c r="Q1378" s="59">
        <v>0</v>
      </c>
      <c r="R1378" s="59">
        <v>0</v>
      </c>
      <c r="S1378" s="60">
        <f>tblJTL[[#This Row],[timeStamp]]/86400000+DATE(1970,1,1)+TIME(9,0,0)</f>
        <v>46296.420798657404</v>
      </c>
      <c r="T1378" s="57">
        <f>tblJTL[[#This Row],[timeStamp]]+tblJTL[[#This Row],[elapsed]]</f>
        <v>1790816757119</v>
      </c>
      <c r="U1378" s="61">
        <f>(tblJTL[[#This Row],[timeStamp]]-'17_分析サンプル'!$E$18)/1000</f>
        <v>356.82400000000001</v>
      </c>
      <c r="V1378" s="57">
        <f>INT(tblJTL[[#This Row],[経過秒]]/60)</f>
        <v>5</v>
      </c>
      <c r="W1378" s="57">
        <f>IF(OR(tblJTL[[#This Row],[success]]=FALSE,tblJTL[[#This Row],[success]]="false"),1,0)</f>
        <v>0</v>
      </c>
      <c r="X1378" s="57">
        <f>IF(AND(tblJTL[[#This Row],[経過秒]]&gt;='17_分析サンプル'!$E$11,tblJTL[[#This Row],[経過秒]]&lt;'17_分析サンプル'!$E$12),1,0)</f>
        <v>1</v>
      </c>
    </row>
    <row r="1379" spans="2:24" ht="14.4" x14ac:dyDescent="0.3">
      <c r="B1379" s="57">
        <v>1790816757449</v>
      </c>
      <c r="C1379" s="58">
        <v>301</v>
      </c>
      <c r="D1379" s="59" t="s">
        <v>1677</v>
      </c>
      <c r="E1379" s="59" t="s">
        <v>3579</v>
      </c>
      <c r="F1379" s="59" t="s">
        <v>3580</v>
      </c>
      <c r="G1379" s="59" t="s">
        <v>3583</v>
      </c>
      <c r="H1379" s="59" t="s">
        <v>2281</v>
      </c>
      <c r="I1379" s="59" t="b">
        <v>1</v>
      </c>
      <c r="J1379" s="59"/>
      <c r="K1379" s="58">
        <v>419</v>
      </c>
      <c r="L1379" s="58">
        <v>1478</v>
      </c>
      <c r="M1379" s="59">
        <v>10</v>
      </c>
      <c r="N1379" s="59">
        <v>10</v>
      </c>
      <c r="O1379" s="59" t="s">
        <v>3581</v>
      </c>
      <c r="P1379" s="58">
        <v>297</v>
      </c>
      <c r="Q1379" s="59">
        <v>0</v>
      </c>
      <c r="R1379" s="59">
        <v>0</v>
      </c>
      <c r="S1379" s="60">
        <f>tblJTL[[#This Row],[timeStamp]]/86400000+DATE(1970,1,1)+TIME(9,0,0)</f>
        <v>46296.420803807865</v>
      </c>
      <c r="T1379" s="57">
        <f>tblJTL[[#This Row],[timeStamp]]+tblJTL[[#This Row],[elapsed]]</f>
        <v>1790816757750</v>
      </c>
      <c r="U1379" s="61">
        <f>(tblJTL[[#This Row],[timeStamp]]-'17_分析サンプル'!$E$18)/1000</f>
        <v>357.26900000000001</v>
      </c>
      <c r="V1379" s="57">
        <f>INT(tblJTL[[#This Row],[経過秒]]/60)</f>
        <v>5</v>
      </c>
      <c r="W1379" s="57">
        <f>IF(OR(tblJTL[[#This Row],[success]]=FALSE,tblJTL[[#This Row],[success]]="false"),1,0)</f>
        <v>0</v>
      </c>
      <c r="X1379" s="57">
        <f>IF(AND(tblJTL[[#This Row],[経過秒]]&gt;='17_分析サンプル'!$E$11,tblJTL[[#This Row],[経過秒]]&lt;'17_分析サンプル'!$E$12),1,0)</f>
        <v>1</v>
      </c>
    </row>
    <row r="1380" spans="2:24" ht="14.4" x14ac:dyDescent="0.3">
      <c r="B1380" s="57">
        <v>1790816757576</v>
      </c>
      <c r="C1380" s="58">
        <v>234</v>
      </c>
      <c r="D1380" s="59" t="s">
        <v>1677</v>
      </c>
      <c r="E1380" s="59" t="s">
        <v>3579</v>
      </c>
      <c r="F1380" s="59" t="s">
        <v>3580</v>
      </c>
      <c r="G1380" s="59" t="s">
        <v>3589</v>
      </c>
      <c r="H1380" s="59" t="s">
        <v>2281</v>
      </c>
      <c r="I1380" s="59" t="b">
        <v>1</v>
      </c>
      <c r="J1380" s="59"/>
      <c r="K1380" s="58">
        <v>424</v>
      </c>
      <c r="L1380" s="58">
        <v>1478</v>
      </c>
      <c r="M1380" s="59">
        <v>10</v>
      </c>
      <c r="N1380" s="59">
        <v>10</v>
      </c>
      <c r="O1380" s="59" t="s">
        <v>3581</v>
      </c>
      <c r="P1380" s="58">
        <v>226</v>
      </c>
      <c r="Q1380" s="59">
        <v>0</v>
      </c>
      <c r="R1380" s="59">
        <v>0</v>
      </c>
      <c r="S1380" s="60">
        <f>tblJTL[[#This Row],[timeStamp]]/86400000+DATE(1970,1,1)+TIME(9,0,0)</f>
        <v>46296.420805277783</v>
      </c>
      <c r="T1380" s="57">
        <f>tblJTL[[#This Row],[timeStamp]]+tblJTL[[#This Row],[elapsed]]</f>
        <v>1790816757810</v>
      </c>
      <c r="U1380" s="61">
        <f>(tblJTL[[#This Row],[timeStamp]]-'17_分析サンプル'!$E$18)/1000</f>
        <v>357.39600000000002</v>
      </c>
      <c r="V1380" s="57">
        <f>INT(tblJTL[[#This Row],[経過秒]]/60)</f>
        <v>5</v>
      </c>
      <c r="W1380" s="57">
        <f>IF(OR(tblJTL[[#This Row],[success]]=FALSE,tblJTL[[#This Row],[success]]="false"),1,0)</f>
        <v>0</v>
      </c>
      <c r="X1380" s="57">
        <f>IF(AND(tblJTL[[#This Row],[経過秒]]&gt;='17_分析サンプル'!$E$11,tblJTL[[#This Row],[経過秒]]&lt;'17_分析サンプル'!$E$12),1,0)</f>
        <v>1</v>
      </c>
    </row>
    <row r="1381" spans="2:24" ht="14.4" x14ac:dyDescent="0.3">
      <c r="B1381" s="57">
        <v>1790816757794</v>
      </c>
      <c r="C1381" s="58">
        <v>192</v>
      </c>
      <c r="D1381" s="59" t="s">
        <v>1677</v>
      </c>
      <c r="E1381" s="59" t="s">
        <v>3579</v>
      </c>
      <c r="F1381" s="59" t="s">
        <v>3580</v>
      </c>
      <c r="G1381" s="59" t="s">
        <v>3585</v>
      </c>
      <c r="H1381" s="59" t="s">
        <v>2281</v>
      </c>
      <c r="I1381" s="59" t="b">
        <v>1</v>
      </c>
      <c r="J1381" s="59"/>
      <c r="K1381" s="58">
        <v>417</v>
      </c>
      <c r="L1381" s="58">
        <v>1478</v>
      </c>
      <c r="M1381" s="59">
        <v>10</v>
      </c>
      <c r="N1381" s="59">
        <v>10</v>
      </c>
      <c r="O1381" s="59" t="s">
        <v>3581</v>
      </c>
      <c r="P1381" s="58">
        <v>189</v>
      </c>
      <c r="Q1381" s="59">
        <v>0</v>
      </c>
      <c r="R1381" s="59">
        <v>0</v>
      </c>
      <c r="S1381" s="60">
        <f>tblJTL[[#This Row],[timeStamp]]/86400000+DATE(1970,1,1)+TIME(9,0,0)</f>
        <v>46296.420807800925</v>
      </c>
      <c r="T1381" s="57">
        <f>tblJTL[[#This Row],[timeStamp]]+tblJTL[[#This Row],[elapsed]]</f>
        <v>1790816757986</v>
      </c>
      <c r="U1381" s="61">
        <f>(tblJTL[[#This Row],[timeStamp]]-'17_分析サンプル'!$E$18)/1000</f>
        <v>357.61399999999998</v>
      </c>
      <c r="V1381" s="57">
        <f>INT(tblJTL[[#This Row],[経過秒]]/60)</f>
        <v>5</v>
      </c>
      <c r="W1381" s="57">
        <f>IF(OR(tblJTL[[#This Row],[success]]=FALSE,tblJTL[[#This Row],[success]]="false"),1,0)</f>
        <v>0</v>
      </c>
      <c r="X1381" s="57">
        <f>IF(AND(tblJTL[[#This Row],[経過秒]]&gt;='17_分析サンプル'!$E$11,tblJTL[[#This Row],[経過秒]]&lt;'17_分析サンプル'!$E$12),1,0)</f>
        <v>1</v>
      </c>
    </row>
    <row r="1382" spans="2:24" ht="14.4" x14ac:dyDescent="0.3">
      <c r="B1382" s="57">
        <v>1790816758014</v>
      </c>
      <c r="C1382" s="58">
        <v>135</v>
      </c>
      <c r="D1382" s="59" t="s">
        <v>1658</v>
      </c>
      <c r="E1382" s="59" t="s">
        <v>1577</v>
      </c>
      <c r="F1382" s="59" t="s">
        <v>2275</v>
      </c>
      <c r="G1382" s="59" t="s">
        <v>3587</v>
      </c>
      <c r="H1382" s="59" t="s">
        <v>2281</v>
      </c>
      <c r="I1382" s="59" t="b">
        <v>1</v>
      </c>
      <c r="J1382" s="59"/>
      <c r="K1382" s="58">
        <v>1857</v>
      </c>
      <c r="L1382" s="58">
        <v>1342</v>
      </c>
      <c r="M1382" s="59">
        <v>10</v>
      </c>
      <c r="N1382" s="59">
        <v>10</v>
      </c>
      <c r="O1382" s="59" t="s">
        <v>3578</v>
      </c>
      <c r="P1382" s="58">
        <v>132</v>
      </c>
      <c r="Q1382" s="59">
        <v>0</v>
      </c>
      <c r="R1382" s="59">
        <v>0</v>
      </c>
      <c r="S1382" s="60">
        <f>tblJTL[[#This Row],[timeStamp]]/86400000+DATE(1970,1,1)+TIME(9,0,0)</f>
        <v>46296.420810347219</v>
      </c>
      <c r="T1382" s="57">
        <f>tblJTL[[#This Row],[timeStamp]]+tblJTL[[#This Row],[elapsed]]</f>
        <v>1790816758149</v>
      </c>
      <c r="U1382" s="61">
        <f>(tblJTL[[#This Row],[timeStamp]]-'17_分析サンプル'!$E$18)/1000</f>
        <v>357.834</v>
      </c>
      <c r="V1382" s="57">
        <f>INT(tblJTL[[#This Row],[経過秒]]/60)</f>
        <v>5</v>
      </c>
      <c r="W1382" s="57">
        <f>IF(OR(tblJTL[[#This Row],[success]]=FALSE,tblJTL[[#This Row],[success]]="false"),1,0)</f>
        <v>0</v>
      </c>
      <c r="X1382" s="57">
        <f>IF(AND(tblJTL[[#This Row],[経過秒]]&gt;='17_分析サンプル'!$E$11,tblJTL[[#This Row],[経過秒]]&lt;'17_分析サンプル'!$E$12),1,0)</f>
        <v>1</v>
      </c>
    </row>
    <row r="1383" spans="2:24" ht="14.4" x14ac:dyDescent="0.3">
      <c r="B1383" s="57">
        <v>1790816758335</v>
      </c>
      <c r="C1383" s="58">
        <v>138</v>
      </c>
      <c r="D1383" s="59" t="s">
        <v>1658</v>
      </c>
      <c r="E1383" s="59" t="s">
        <v>1577</v>
      </c>
      <c r="F1383" s="59" t="s">
        <v>2275</v>
      </c>
      <c r="G1383" s="59" t="s">
        <v>3584</v>
      </c>
      <c r="H1383" s="59" t="s">
        <v>2281</v>
      </c>
      <c r="I1383" s="59" t="b">
        <v>1</v>
      </c>
      <c r="J1383" s="59"/>
      <c r="K1383" s="58">
        <v>1890</v>
      </c>
      <c r="L1383" s="58">
        <v>1342</v>
      </c>
      <c r="M1383" s="59">
        <v>10</v>
      </c>
      <c r="N1383" s="59">
        <v>10</v>
      </c>
      <c r="O1383" s="59" t="s">
        <v>3578</v>
      </c>
      <c r="P1383" s="58">
        <v>134</v>
      </c>
      <c r="Q1383" s="59">
        <v>0</v>
      </c>
      <c r="R1383" s="59">
        <v>0</v>
      </c>
      <c r="S1383" s="60">
        <f>tblJTL[[#This Row],[timeStamp]]/86400000+DATE(1970,1,1)+TIME(9,0,0)</f>
        <v>46296.420814062498</v>
      </c>
      <c r="T1383" s="57">
        <f>tblJTL[[#This Row],[timeStamp]]+tblJTL[[#This Row],[elapsed]]</f>
        <v>1790816758473</v>
      </c>
      <c r="U1383" s="61">
        <f>(tblJTL[[#This Row],[timeStamp]]-'17_分析サンプル'!$E$18)/1000</f>
        <v>358.15499999999997</v>
      </c>
      <c r="V1383" s="57">
        <f>INT(tblJTL[[#This Row],[経過秒]]/60)</f>
        <v>5</v>
      </c>
      <c r="W1383" s="57">
        <f>IF(OR(tblJTL[[#This Row],[success]]=FALSE,tblJTL[[#This Row],[success]]="false"),1,0)</f>
        <v>0</v>
      </c>
      <c r="X1383" s="57">
        <f>IF(AND(tblJTL[[#This Row],[経過秒]]&gt;='17_分析サンプル'!$E$11,tblJTL[[#This Row],[経過秒]]&lt;'17_分析サンプル'!$E$12),1,0)</f>
        <v>1</v>
      </c>
    </row>
    <row r="1384" spans="2:24" ht="14.4" x14ac:dyDescent="0.3">
      <c r="B1384" s="57">
        <v>1790816758309</v>
      </c>
      <c r="C1384" s="58">
        <v>199</v>
      </c>
      <c r="D1384" s="59" t="s">
        <v>1677</v>
      </c>
      <c r="E1384" s="59" t="s">
        <v>3579</v>
      </c>
      <c r="F1384" s="59" t="s">
        <v>3580</v>
      </c>
      <c r="G1384" s="59" t="s">
        <v>2278</v>
      </c>
      <c r="H1384" s="59" t="s">
        <v>2281</v>
      </c>
      <c r="I1384" s="59" t="b">
        <v>1</v>
      </c>
      <c r="J1384" s="59"/>
      <c r="K1384" s="58">
        <v>431</v>
      </c>
      <c r="L1384" s="58">
        <v>1478</v>
      </c>
      <c r="M1384" s="59">
        <v>10</v>
      </c>
      <c r="N1384" s="59">
        <v>10</v>
      </c>
      <c r="O1384" s="59" t="s">
        <v>3581</v>
      </c>
      <c r="P1384" s="58">
        <v>197</v>
      </c>
      <c r="Q1384" s="59">
        <v>0</v>
      </c>
      <c r="R1384" s="59">
        <v>0</v>
      </c>
      <c r="S1384" s="60">
        <f>tblJTL[[#This Row],[timeStamp]]/86400000+DATE(1970,1,1)+TIME(9,0,0)</f>
        <v>46296.420813761579</v>
      </c>
      <c r="T1384" s="57">
        <f>tblJTL[[#This Row],[timeStamp]]+tblJTL[[#This Row],[elapsed]]</f>
        <v>1790816758508</v>
      </c>
      <c r="U1384" s="61">
        <f>(tblJTL[[#This Row],[timeStamp]]-'17_分析サンプル'!$E$18)/1000</f>
        <v>358.12900000000002</v>
      </c>
      <c r="V1384" s="57">
        <f>INT(tblJTL[[#This Row],[経過秒]]/60)</f>
        <v>5</v>
      </c>
      <c r="W1384" s="57">
        <f>IF(OR(tblJTL[[#This Row],[success]]=FALSE,tblJTL[[#This Row],[success]]="false"),1,0)</f>
        <v>0</v>
      </c>
      <c r="X1384" s="57">
        <f>IF(AND(tblJTL[[#This Row],[経過秒]]&gt;='17_分析サンプル'!$E$11,tblJTL[[#This Row],[経過秒]]&lt;'17_分析サンプル'!$E$12),1,0)</f>
        <v>1</v>
      </c>
    </row>
    <row r="1385" spans="2:24" ht="14.4" x14ac:dyDescent="0.3">
      <c r="B1385" s="57">
        <v>1790816758645</v>
      </c>
      <c r="C1385" s="58">
        <v>90</v>
      </c>
      <c r="D1385" s="59" t="s">
        <v>1658</v>
      </c>
      <c r="E1385" s="59" t="s">
        <v>1577</v>
      </c>
      <c r="F1385" s="59" t="s">
        <v>2275</v>
      </c>
      <c r="G1385" s="59" t="s">
        <v>3582</v>
      </c>
      <c r="H1385" s="59" t="s">
        <v>2281</v>
      </c>
      <c r="I1385" s="59" t="b">
        <v>1</v>
      </c>
      <c r="J1385" s="59"/>
      <c r="K1385" s="58">
        <v>1876</v>
      </c>
      <c r="L1385" s="58">
        <v>1342</v>
      </c>
      <c r="M1385" s="59">
        <v>10</v>
      </c>
      <c r="N1385" s="59">
        <v>10</v>
      </c>
      <c r="O1385" s="59" t="s">
        <v>3578</v>
      </c>
      <c r="P1385" s="58">
        <v>85</v>
      </c>
      <c r="Q1385" s="59">
        <v>0</v>
      </c>
      <c r="R1385" s="59">
        <v>0</v>
      </c>
      <c r="S1385" s="60">
        <f>tblJTL[[#This Row],[timeStamp]]/86400000+DATE(1970,1,1)+TIME(9,0,0)</f>
        <v>46296.420817650462</v>
      </c>
      <c r="T1385" s="57">
        <f>tblJTL[[#This Row],[timeStamp]]+tblJTL[[#This Row],[elapsed]]</f>
        <v>1790816758735</v>
      </c>
      <c r="U1385" s="61">
        <f>(tblJTL[[#This Row],[timeStamp]]-'17_分析サンプル'!$E$18)/1000</f>
        <v>358.46499999999997</v>
      </c>
      <c r="V1385" s="57">
        <f>INT(tblJTL[[#This Row],[経過秒]]/60)</f>
        <v>5</v>
      </c>
      <c r="W1385" s="57">
        <f>IF(OR(tblJTL[[#This Row],[success]]=FALSE,tblJTL[[#This Row],[success]]="false"),1,0)</f>
        <v>0</v>
      </c>
      <c r="X1385" s="57">
        <f>IF(AND(tblJTL[[#This Row],[経過秒]]&gt;='17_分析サンプル'!$E$11,tblJTL[[#This Row],[経過秒]]&lt;'17_分析サンプル'!$E$12),1,0)</f>
        <v>1</v>
      </c>
    </row>
    <row r="1386" spans="2:24" ht="14.4" x14ac:dyDescent="0.3">
      <c r="B1386" s="57">
        <v>1790816758634</v>
      </c>
      <c r="C1386" s="58">
        <v>177</v>
      </c>
      <c r="D1386" s="59" t="s">
        <v>1677</v>
      </c>
      <c r="E1386" s="59" t="s">
        <v>3579</v>
      </c>
      <c r="F1386" s="59" t="s">
        <v>3580</v>
      </c>
      <c r="G1386" s="59" t="s">
        <v>3586</v>
      </c>
      <c r="H1386" s="59" t="s">
        <v>2281</v>
      </c>
      <c r="I1386" s="59" t="b">
        <v>1</v>
      </c>
      <c r="J1386" s="59"/>
      <c r="K1386" s="58">
        <v>440</v>
      </c>
      <c r="L1386" s="58">
        <v>1478</v>
      </c>
      <c r="M1386" s="59">
        <v>10</v>
      </c>
      <c r="N1386" s="59">
        <v>10</v>
      </c>
      <c r="O1386" s="59" t="s">
        <v>3581</v>
      </c>
      <c r="P1386" s="58">
        <v>175</v>
      </c>
      <c r="Q1386" s="59">
        <v>0</v>
      </c>
      <c r="R1386" s="59">
        <v>0</v>
      </c>
      <c r="S1386" s="60">
        <f>tblJTL[[#This Row],[timeStamp]]/86400000+DATE(1970,1,1)+TIME(9,0,0)</f>
        <v>46296.420817523147</v>
      </c>
      <c r="T1386" s="57">
        <f>tblJTL[[#This Row],[timeStamp]]+tblJTL[[#This Row],[elapsed]]</f>
        <v>1790816758811</v>
      </c>
      <c r="U1386" s="61">
        <f>(tblJTL[[#This Row],[timeStamp]]-'17_分析サンプル'!$E$18)/1000</f>
        <v>358.45400000000001</v>
      </c>
      <c r="V1386" s="57">
        <f>INT(tblJTL[[#This Row],[経過秒]]/60)</f>
        <v>5</v>
      </c>
      <c r="W1386" s="57">
        <f>IF(OR(tblJTL[[#This Row],[success]]=FALSE,tblJTL[[#This Row],[success]]="false"),1,0)</f>
        <v>0</v>
      </c>
      <c r="X1386" s="57">
        <f>IF(AND(tblJTL[[#This Row],[経過秒]]&gt;='17_分析サンプル'!$E$11,tblJTL[[#This Row],[経過秒]]&lt;'17_分析サンプル'!$E$12),1,0)</f>
        <v>1</v>
      </c>
    </row>
    <row r="1387" spans="2:24" ht="14.4" x14ac:dyDescent="0.3">
      <c r="B1387" s="57">
        <v>1790816758644</v>
      </c>
      <c r="C1387" s="58">
        <v>307</v>
      </c>
      <c r="D1387" s="59" t="s">
        <v>1677</v>
      </c>
      <c r="E1387" s="59" t="s">
        <v>3579</v>
      </c>
      <c r="F1387" s="59" t="s">
        <v>3580</v>
      </c>
      <c r="G1387" s="59" t="s">
        <v>3588</v>
      </c>
      <c r="H1387" s="59" t="s">
        <v>2281</v>
      </c>
      <c r="I1387" s="59" t="b">
        <v>1</v>
      </c>
      <c r="J1387" s="59"/>
      <c r="K1387" s="58">
        <v>413</v>
      </c>
      <c r="L1387" s="58">
        <v>1478</v>
      </c>
      <c r="M1387" s="59">
        <v>10</v>
      </c>
      <c r="N1387" s="59">
        <v>10</v>
      </c>
      <c r="O1387" s="59" t="s">
        <v>3581</v>
      </c>
      <c r="P1387" s="58">
        <v>305</v>
      </c>
      <c r="Q1387" s="59">
        <v>0</v>
      </c>
      <c r="R1387" s="59">
        <v>48</v>
      </c>
      <c r="S1387" s="60">
        <f>tblJTL[[#This Row],[timeStamp]]/86400000+DATE(1970,1,1)+TIME(9,0,0)</f>
        <v>46296.420817638893</v>
      </c>
      <c r="T1387" s="57">
        <f>tblJTL[[#This Row],[timeStamp]]+tblJTL[[#This Row],[elapsed]]</f>
        <v>1790816758951</v>
      </c>
      <c r="U1387" s="61">
        <f>(tblJTL[[#This Row],[timeStamp]]-'17_分析サンプル'!$E$18)/1000</f>
        <v>358.464</v>
      </c>
      <c r="V1387" s="57">
        <f>INT(tblJTL[[#This Row],[経過秒]]/60)</f>
        <v>5</v>
      </c>
      <c r="W1387" s="57">
        <f>IF(OR(tblJTL[[#This Row],[success]]=FALSE,tblJTL[[#This Row],[success]]="false"),1,0)</f>
        <v>0</v>
      </c>
      <c r="X1387" s="57">
        <f>IF(AND(tblJTL[[#This Row],[経過秒]]&gt;='17_分析サンプル'!$E$11,tblJTL[[#This Row],[経過秒]]&lt;'17_分析サンプル'!$E$12),1,0)</f>
        <v>1</v>
      </c>
    </row>
    <row r="1388" spans="2:24" ht="14.4" x14ac:dyDescent="0.3">
      <c r="B1388" s="57">
        <v>1790816759420</v>
      </c>
      <c r="C1388" s="58">
        <v>90</v>
      </c>
      <c r="D1388" s="59" t="s">
        <v>1658</v>
      </c>
      <c r="E1388" s="59" t="s">
        <v>1577</v>
      </c>
      <c r="F1388" s="59" t="s">
        <v>2275</v>
      </c>
      <c r="G1388" s="59" t="s">
        <v>3577</v>
      </c>
      <c r="H1388" s="59" t="s">
        <v>2281</v>
      </c>
      <c r="I1388" s="59" t="b">
        <v>1</v>
      </c>
      <c r="J1388" s="59"/>
      <c r="K1388" s="58">
        <v>1830</v>
      </c>
      <c r="L1388" s="58">
        <v>1342</v>
      </c>
      <c r="M1388" s="59">
        <v>10</v>
      </c>
      <c r="N1388" s="59">
        <v>10</v>
      </c>
      <c r="O1388" s="59" t="s">
        <v>3578</v>
      </c>
      <c r="P1388" s="58">
        <v>83</v>
      </c>
      <c r="Q1388" s="59">
        <v>0</v>
      </c>
      <c r="R1388" s="59">
        <v>0</v>
      </c>
      <c r="S1388" s="60">
        <f>tblJTL[[#This Row],[timeStamp]]/86400000+DATE(1970,1,1)+TIME(9,0,0)</f>
        <v>46296.420826620371</v>
      </c>
      <c r="T1388" s="57">
        <f>tblJTL[[#This Row],[timeStamp]]+tblJTL[[#This Row],[elapsed]]</f>
        <v>1790816759510</v>
      </c>
      <c r="U1388" s="61">
        <f>(tblJTL[[#This Row],[timeStamp]]-'17_分析サンプル'!$E$18)/1000</f>
        <v>359.24</v>
      </c>
      <c r="V1388" s="57">
        <f>INT(tblJTL[[#This Row],[経過秒]]/60)</f>
        <v>5</v>
      </c>
      <c r="W1388" s="57">
        <f>IF(OR(tblJTL[[#This Row],[success]]=FALSE,tblJTL[[#This Row],[success]]="false"),1,0)</f>
        <v>0</v>
      </c>
      <c r="X1388" s="57">
        <f>IF(AND(tblJTL[[#This Row],[経過秒]]&gt;='17_分析サンプル'!$E$11,tblJTL[[#This Row],[経過秒]]&lt;'17_分析サンプル'!$E$12),1,0)</f>
        <v>1</v>
      </c>
    </row>
    <row r="1389" spans="2:24" ht="14.4" x14ac:dyDescent="0.3">
      <c r="B1389" s="57">
        <v>1790816760002</v>
      </c>
      <c r="C1389" s="58">
        <v>93</v>
      </c>
      <c r="D1389" s="59" t="s">
        <v>1658</v>
      </c>
      <c r="E1389" s="59" t="s">
        <v>1577</v>
      </c>
      <c r="F1389" s="59" t="s">
        <v>2275</v>
      </c>
      <c r="G1389" s="59" t="s">
        <v>3583</v>
      </c>
      <c r="H1389" s="59" t="s">
        <v>2281</v>
      </c>
      <c r="I1389" s="59" t="b">
        <v>1</v>
      </c>
      <c r="J1389" s="59"/>
      <c r="K1389" s="58">
        <v>1863</v>
      </c>
      <c r="L1389" s="58">
        <v>1342</v>
      </c>
      <c r="M1389" s="59">
        <v>10</v>
      </c>
      <c r="N1389" s="59">
        <v>10</v>
      </c>
      <c r="O1389" s="59" t="s">
        <v>3578</v>
      </c>
      <c r="P1389" s="58">
        <v>86</v>
      </c>
      <c r="Q1389" s="59">
        <v>0</v>
      </c>
      <c r="R1389" s="59">
        <v>0</v>
      </c>
      <c r="S1389" s="60">
        <f>tblJTL[[#This Row],[timeStamp]]/86400000+DATE(1970,1,1)+TIME(9,0,0)</f>
        <v>46296.420833356482</v>
      </c>
      <c r="T1389" s="57">
        <f>tblJTL[[#This Row],[timeStamp]]+tblJTL[[#This Row],[elapsed]]</f>
        <v>1790816760095</v>
      </c>
      <c r="U1389" s="61">
        <f>(tblJTL[[#This Row],[timeStamp]]-'17_分析サンプル'!$E$18)/1000</f>
        <v>359.822</v>
      </c>
      <c r="V1389" s="57">
        <f>INT(tblJTL[[#This Row],[経過秒]]/60)</f>
        <v>5</v>
      </c>
      <c r="W1389" s="57">
        <f>IF(OR(tblJTL[[#This Row],[success]]=FALSE,tblJTL[[#This Row],[success]]="false"),1,0)</f>
        <v>0</v>
      </c>
      <c r="X1389" s="57">
        <f>IF(AND(tblJTL[[#This Row],[経過秒]]&gt;='17_分析サンプル'!$E$11,tblJTL[[#This Row],[経過秒]]&lt;'17_分析サンプル'!$E$12),1,0)</f>
        <v>1</v>
      </c>
    </row>
    <row r="1390" spans="2:24" ht="14.4" x14ac:dyDescent="0.3">
      <c r="B1390" s="57">
        <v>1790816759996</v>
      </c>
      <c r="C1390" s="58">
        <v>159</v>
      </c>
      <c r="D1390" s="59" t="s">
        <v>1677</v>
      </c>
      <c r="E1390" s="59" t="s">
        <v>3579</v>
      </c>
      <c r="F1390" s="59" t="s">
        <v>3580</v>
      </c>
      <c r="G1390" s="59" t="s">
        <v>3582</v>
      </c>
      <c r="H1390" s="59" t="s">
        <v>2281</v>
      </c>
      <c r="I1390" s="59" t="b">
        <v>1</v>
      </c>
      <c r="J1390" s="59"/>
      <c r="K1390" s="58">
        <v>416</v>
      </c>
      <c r="L1390" s="58">
        <v>1478</v>
      </c>
      <c r="M1390" s="59">
        <v>10</v>
      </c>
      <c r="N1390" s="59">
        <v>10</v>
      </c>
      <c r="O1390" s="59" t="s">
        <v>3581</v>
      </c>
      <c r="P1390" s="58">
        <v>154</v>
      </c>
      <c r="Q1390" s="59">
        <v>0</v>
      </c>
      <c r="R1390" s="59">
        <v>0</v>
      </c>
      <c r="S1390" s="60">
        <f>tblJTL[[#This Row],[timeStamp]]/86400000+DATE(1970,1,1)+TIME(9,0,0)</f>
        <v>46296.420833287033</v>
      </c>
      <c r="T1390" s="57">
        <f>tblJTL[[#This Row],[timeStamp]]+tblJTL[[#This Row],[elapsed]]</f>
        <v>1790816760155</v>
      </c>
      <c r="U1390" s="61">
        <f>(tblJTL[[#This Row],[timeStamp]]-'17_分析サンプル'!$E$18)/1000</f>
        <v>359.81599999999997</v>
      </c>
      <c r="V1390" s="57">
        <f>INT(tblJTL[[#This Row],[経過秒]]/60)</f>
        <v>5</v>
      </c>
      <c r="W1390" s="57">
        <f>IF(OR(tblJTL[[#This Row],[success]]=FALSE,tblJTL[[#This Row],[success]]="false"),1,0)</f>
        <v>0</v>
      </c>
      <c r="X1390" s="57">
        <f>IF(AND(tblJTL[[#This Row],[経過秒]]&gt;='17_分析サンプル'!$E$11,tblJTL[[#This Row],[経過秒]]&lt;'17_分析サンプル'!$E$12),1,0)</f>
        <v>1</v>
      </c>
    </row>
    <row r="1391" spans="2:24" ht="14.4" x14ac:dyDescent="0.3">
      <c r="B1391" s="57">
        <v>1790816760111</v>
      </c>
      <c r="C1391" s="58">
        <v>126</v>
      </c>
      <c r="D1391" s="59" t="s">
        <v>1658</v>
      </c>
      <c r="E1391" s="59" t="s">
        <v>1577</v>
      </c>
      <c r="F1391" s="59" t="s">
        <v>2275</v>
      </c>
      <c r="G1391" s="59" t="s">
        <v>2278</v>
      </c>
      <c r="H1391" s="59" t="s">
        <v>2281</v>
      </c>
      <c r="I1391" s="59" t="b">
        <v>1</v>
      </c>
      <c r="J1391" s="59"/>
      <c r="K1391" s="58">
        <v>1828</v>
      </c>
      <c r="L1391" s="58">
        <v>1342</v>
      </c>
      <c r="M1391" s="59">
        <v>10</v>
      </c>
      <c r="N1391" s="59">
        <v>10</v>
      </c>
      <c r="O1391" s="59" t="s">
        <v>3578</v>
      </c>
      <c r="P1391" s="58">
        <v>118</v>
      </c>
      <c r="Q1391" s="59">
        <v>0</v>
      </c>
      <c r="R1391" s="59">
        <v>0</v>
      </c>
      <c r="S1391" s="60">
        <f>tblJTL[[#This Row],[timeStamp]]/86400000+DATE(1970,1,1)+TIME(9,0,0)</f>
        <v>46296.420834618053</v>
      </c>
      <c r="T1391" s="57">
        <f>tblJTL[[#This Row],[timeStamp]]+tblJTL[[#This Row],[elapsed]]</f>
        <v>1790816760237</v>
      </c>
      <c r="U1391" s="61">
        <f>(tblJTL[[#This Row],[timeStamp]]-'17_分析サンプル'!$E$18)/1000</f>
        <v>359.93099999999998</v>
      </c>
      <c r="V1391" s="57">
        <f>INT(tblJTL[[#This Row],[経過秒]]/60)</f>
        <v>5</v>
      </c>
      <c r="W1391" s="57">
        <f>IF(OR(tblJTL[[#This Row],[success]]=FALSE,tblJTL[[#This Row],[success]]="false"),1,0)</f>
        <v>0</v>
      </c>
      <c r="X1391" s="57">
        <f>IF(AND(tblJTL[[#This Row],[経過秒]]&gt;='17_分析サンプル'!$E$11,tblJTL[[#This Row],[経過秒]]&lt;'17_分析サンプル'!$E$12),1,0)</f>
        <v>1</v>
      </c>
    </row>
    <row r="1392" spans="2:24" ht="14.4" x14ac:dyDescent="0.3">
      <c r="B1392" s="57">
        <v>1790816760539</v>
      </c>
      <c r="C1392" s="58">
        <v>161</v>
      </c>
      <c r="D1392" s="59" t="s">
        <v>1658</v>
      </c>
      <c r="E1392" s="59" t="s">
        <v>1577</v>
      </c>
      <c r="F1392" s="59" t="s">
        <v>2275</v>
      </c>
      <c r="G1392" s="59" t="s">
        <v>3589</v>
      </c>
      <c r="H1392" s="59" t="s">
        <v>2281</v>
      </c>
      <c r="I1392" s="59" t="b">
        <v>1</v>
      </c>
      <c r="J1392" s="59"/>
      <c r="K1392" s="58">
        <v>1841</v>
      </c>
      <c r="L1392" s="58">
        <v>1342</v>
      </c>
      <c r="M1392" s="59">
        <v>10</v>
      </c>
      <c r="N1392" s="59">
        <v>10</v>
      </c>
      <c r="O1392" s="59" t="s">
        <v>3578</v>
      </c>
      <c r="P1392" s="58">
        <v>157</v>
      </c>
      <c r="Q1392" s="59">
        <v>0</v>
      </c>
      <c r="R1392" s="59">
        <v>0</v>
      </c>
      <c r="S1392" s="60">
        <f>tblJTL[[#This Row],[timeStamp]]/86400000+DATE(1970,1,1)+TIME(9,0,0)</f>
        <v>46296.420839571758</v>
      </c>
      <c r="T1392" s="57">
        <f>tblJTL[[#This Row],[timeStamp]]+tblJTL[[#This Row],[elapsed]]</f>
        <v>1790816760700</v>
      </c>
      <c r="U1392" s="61">
        <f>(tblJTL[[#This Row],[timeStamp]]-'17_分析サンプル'!$E$18)/1000</f>
        <v>360.35899999999998</v>
      </c>
      <c r="V1392" s="57">
        <f>INT(tblJTL[[#This Row],[経過秒]]/60)</f>
        <v>6</v>
      </c>
      <c r="W1392" s="57">
        <f>IF(OR(tblJTL[[#This Row],[success]]=FALSE,tblJTL[[#This Row],[success]]="false"),1,0)</f>
        <v>0</v>
      </c>
      <c r="X1392" s="57">
        <f>IF(AND(tblJTL[[#This Row],[経過秒]]&gt;='17_分析サンプル'!$E$11,tblJTL[[#This Row],[経過秒]]&lt;'17_分析サンプル'!$E$12),1,0)</f>
        <v>1</v>
      </c>
    </row>
    <row r="1393" spans="2:24" ht="14.4" x14ac:dyDescent="0.3">
      <c r="B1393" s="57">
        <v>1790816760597</v>
      </c>
      <c r="C1393" s="58">
        <v>186</v>
      </c>
      <c r="D1393" s="59" t="s">
        <v>1658</v>
      </c>
      <c r="E1393" s="59" t="s">
        <v>1577</v>
      </c>
      <c r="F1393" s="59" t="s">
        <v>2275</v>
      </c>
      <c r="G1393" s="59" t="s">
        <v>3585</v>
      </c>
      <c r="H1393" s="59" t="s">
        <v>2281</v>
      </c>
      <c r="I1393" s="59" t="b">
        <v>1</v>
      </c>
      <c r="J1393" s="59"/>
      <c r="K1393" s="58">
        <v>1858</v>
      </c>
      <c r="L1393" s="58">
        <v>1342</v>
      </c>
      <c r="M1393" s="59">
        <v>10</v>
      </c>
      <c r="N1393" s="59">
        <v>10</v>
      </c>
      <c r="O1393" s="59" t="s">
        <v>3578</v>
      </c>
      <c r="P1393" s="58">
        <v>180</v>
      </c>
      <c r="Q1393" s="59">
        <v>0</v>
      </c>
      <c r="R1393" s="59">
        <v>0</v>
      </c>
      <c r="S1393" s="60">
        <f>tblJTL[[#This Row],[timeStamp]]/86400000+DATE(1970,1,1)+TIME(9,0,0)</f>
        <v>46296.420840243052</v>
      </c>
      <c r="T1393" s="57">
        <f>tblJTL[[#This Row],[timeStamp]]+tblJTL[[#This Row],[elapsed]]</f>
        <v>1790816760783</v>
      </c>
      <c r="U1393" s="61">
        <f>(tblJTL[[#This Row],[timeStamp]]-'17_分析サンプル'!$E$18)/1000</f>
        <v>360.41699999999997</v>
      </c>
      <c r="V1393" s="57">
        <f>INT(tblJTL[[#This Row],[経過秒]]/60)</f>
        <v>6</v>
      </c>
      <c r="W1393" s="57">
        <f>IF(OR(tblJTL[[#This Row],[success]]=FALSE,tblJTL[[#This Row],[success]]="false"),1,0)</f>
        <v>0</v>
      </c>
      <c r="X1393" s="57">
        <f>IF(AND(tblJTL[[#This Row],[経過秒]]&gt;='17_分析サンプル'!$E$11,tblJTL[[#This Row],[経過秒]]&lt;'17_分析サンプル'!$E$12),1,0)</f>
        <v>1</v>
      </c>
    </row>
    <row r="1394" spans="2:24" ht="14.4" x14ac:dyDescent="0.3">
      <c r="B1394" s="57">
        <v>1790816760652</v>
      </c>
      <c r="C1394" s="58">
        <v>197</v>
      </c>
      <c r="D1394" s="59" t="s">
        <v>1677</v>
      </c>
      <c r="E1394" s="59" t="s">
        <v>3579</v>
      </c>
      <c r="F1394" s="59" t="s">
        <v>3580</v>
      </c>
      <c r="G1394" s="59" t="s">
        <v>3587</v>
      </c>
      <c r="H1394" s="59" t="s">
        <v>2281</v>
      </c>
      <c r="I1394" s="59" t="b">
        <v>1</v>
      </c>
      <c r="J1394" s="59"/>
      <c r="K1394" s="58">
        <v>437</v>
      </c>
      <c r="L1394" s="58">
        <v>1478</v>
      </c>
      <c r="M1394" s="59">
        <v>10</v>
      </c>
      <c r="N1394" s="59">
        <v>10</v>
      </c>
      <c r="O1394" s="59" t="s">
        <v>3581</v>
      </c>
      <c r="P1394" s="58">
        <v>191</v>
      </c>
      <c r="Q1394" s="59">
        <v>0</v>
      </c>
      <c r="R1394" s="59">
        <v>0</v>
      </c>
      <c r="S1394" s="60">
        <f>tblJTL[[#This Row],[timeStamp]]/86400000+DATE(1970,1,1)+TIME(9,0,0)</f>
        <v>46296.420840879626</v>
      </c>
      <c r="T1394" s="57">
        <f>tblJTL[[#This Row],[timeStamp]]+tblJTL[[#This Row],[elapsed]]</f>
        <v>1790816760849</v>
      </c>
      <c r="U1394" s="61">
        <f>(tblJTL[[#This Row],[timeStamp]]-'17_分析サンプル'!$E$18)/1000</f>
        <v>360.47199999999998</v>
      </c>
      <c r="V1394" s="57">
        <f>INT(tblJTL[[#This Row],[経過秒]]/60)</f>
        <v>6</v>
      </c>
      <c r="W1394" s="57">
        <f>IF(OR(tblJTL[[#This Row],[success]]=FALSE,tblJTL[[#This Row],[success]]="false"),1,0)</f>
        <v>0</v>
      </c>
      <c r="X1394" s="57">
        <f>IF(AND(tblJTL[[#This Row],[経過秒]]&gt;='17_分析サンプル'!$E$11,tblJTL[[#This Row],[経過秒]]&lt;'17_分析サンプル'!$E$12),1,0)</f>
        <v>1</v>
      </c>
    </row>
    <row r="1395" spans="2:24" ht="14.4" x14ac:dyDescent="0.3">
      <c r="B1395" s="57">
        <v>1790816760857</v>
      </c>
      <c r="C1395" s="58">
        <v>231</v>
      </c>
      <c r="D1395" s="59" t="s">
        <v>1658</v>
      </c>
      <c r="E1395" s="59" t="s">
        <v>1577</v>
      </c>
      <c r="F1395" s="59" t="s">
        <v>2275</v>
      </c>
      <c r="G1395" s="59" t="s">
        <v>3586</v>
      </c>
      <c r="H1395" s="59" t="s">
        <v>2281</v>
      </c>
      <c r="I1395" s="59" t="b">
        <v>1</v>
      </c>
      <c r="J1395" s="59"/>
      <c r="K1395" s="58">
        <v>1886</v>
      </c>
      <c r="L1395" s="58">
        <v>1342</v>
      </c>
      <c r="M1395" s="59">
        <v>10</v>
      </c>
      <c r="N1395" s="59">
        <v>10</v>
      </c>
      <c r="O1395" s="59" t="s">
        <v>3578</v>
      </c>
      <c r="P1395" s="58">
        <v>225</v>
      </c>
      <c r="Q1395" s="59">
        <v>0</v>
      </c>
      <c r="R1395" s="59">
        <v>0</v>
      </c>
      <c r="S1395" s="60">
        <f>tblJTL[[#This Row],[timeStamp]]/86400000+DATE(1970,1,1)+TIME(9,0,0)</f>
        <v>46296.420843252316</v>
      </c>
      <c r="T1395" s="57">
        <f>tblJTL[[#This Row],[timeStamp]]+tblJTL[[#This Row],[elapsed]]</f>
        <v>1790816761088</v>
      </c>
      <c r="U1395" s="61">
        <f>(tblJTL[[#This Row],[timeStamp]]-'17_分析サンプル'!$E$18)/1000</f>
        <v>360.67700000000002</v>
      </c>
      <c r="V1395" s="57">
        <f>INT(tblJTL[[#This Row],[経過秒]]/60)</f>
        <v>6</v>
      </c>
      <c r="W1395" s="57">
        <f>IF(OR(tblJTL[[#This Row],[success]]=FALSE,tblJTL[[#This Row],[success]]="false"),1,0)</f>
        <v>0</v>
      </c>
      <c r="X1395" s="57">
        <f>IF(AND(tblJTL[[#This Row],[経過秒]]&gt;='17_分析サンプル'!$E$11,tblJTL[[#This Row],[経過秒]]&lt;'17_分析サンプル'!$E$12),1,0)</f>
        <v>1</v>
      </c>
    </row>
    <row r="1396" spans="2:24" ht="14.4" x14ac:dyDescent="0.3">
      <c r="B1396" s="57">
        <v>1790816760930</v>
      </c>
      <c r="C1396" s="58">
        <v>239</v>
      </c>
      <c r="D1396" s="59" t="s">
        <v>1677</v>
      </c>
      <c r="E1396" s="59" t="s">
        <v>3579</v>
      </c>
      <c r="F1396" s="59" t="s">
        <v>3580</v>
      </c>
      <c r="G1396" s="59" t="s">
        <v>3577</v>
      </c>
      <c r="H1396" s="59" t="s">
        <v>2281</v>
      </c>
      <c r="I1396" s="59" t="b">
        <v>1</v>
      </c>
      <c r="J1396" s="59"/>
      <c r="K1396" s="58">
        <v>414</v>
      </c>
      <c r="L1396" s="58">
        <v>1478</v>
      </c>
      <c r="M1396" s="59">
        <v>10</v>
      </c>
      <c r="N1396" s="59">
        <v>10</v>
      </c>
      <c r="O1396" s="59" t="s">
        <v>3581</v>
      </c>
      <c r="P1396" s="58">
        <v>236</v>
      </c>
      <c r="Q1396" s="59">
        <v>0</v>
      </c>
      <c r="R1396" s="59">
        <v>0</v>
      </c>
      <c r="S1396" s="60">
        <f>tblJTL[[#This Row],[timeStamp]]/86400000+DATE(1970,1,1)+TIME(9,0,0)</f>
        <v>46296.420844097222</v>
      </c>
      <c r="T1396" s="57">
        <f>tblJTL[[#This Row],[timeStamp]]+tblJTL[[#This Row],[elapsed]]</f>
        <v>1790816761169</v>
      </c>
      <c r="U1396" s="61">
        <f>(tblJTL[[#This Row],[timeStamp]]-'17_分析サンプル'!$E$18)/1000</f>
        <v>360.75</v>
      </c>
      <c r="V1396" s="57">
        <f>INT(tblJTL[[#This Row],[経過秒]]/60)</f>
        <v>6</v>
      </c>
      <c r="W1396" s="57">
        <f>IF(OR(tblJTL[[#This Row],[success]]=FALSE,tblJTL[[#This Row],[success]]="false"),1,0)</f>
        <v>0</v>
      </c>
      <c r="X1396" s="57">
        <f>IF(AND(tblJTL[[#This Row],[経過秒]]&gt;='17_分析サンプル'!$E$11,tblJTL[[#This Row],[経過秒]]&lt;'17_分析サンプル'!$E$12),1,0)</f>
        <v>1</v>
      </c>
    </row>
    <row r="1397" spans="2:24" ht="14.4" x14ac:dyDescent="0.3">
      <c r="B1397" s="57">
        <v>1790816761284</v>
      </c>
      <c r="C1397" s="58">
        <v>266</v>
      </c>
      <c r="D1397" s="59" t="s">
        <v>1677</v>
      </c>
      <c r="E1397" s="59" t="s">
        <v>3579</v>
      </c>
      <c r="F1397" s="59" t="s">
        <v>3580</v>
      </c>
      <c r="G1397" s="59" t="s">
        <v>3584</v>
      </c>
      <c r="H1397" s="59" t="s">
        <v>2281</v>
      </c>
      <c r="I1397" s="59" t="b">
        <v>1</v>
      </c>
      <c r="J1397" s="59"/>
      <c r="K1397" s="58">
        <v>421</v>
      </c>
      <c r="L1397" s="58">
        <v>1478</v>
      </c>
      <c r="M1397" s="59">
        <v>10</v>
      </c>
      <c r="N1397" s="59">
        <v>10</v>
      </c>
      <c r="O1397" s="59" t="s">
        <v>3581</v>
      </c>
      <c r="P1397" s="58">
        <v>258</v>
      </c>
      <c r="Q1397" s="59">
        <v>0</v>
      </c>
      <c r="R1397" s="59">
        <v>0</v>
      </c>
      <c r="S1397" s="60">
        <f>tblJTL[[#This Row],[timeStamp]]/86400000+DATE(1970,1,1)+TIME(9,0,0)</f>
        <v>46296.420848194444</v>
      </c>
      <c r="T1397" s="57">
        <f>tblJTL[[#This Row],[timeStamp]]+tblJTL[[#This Row],[elapsed]]</f>
        <v>1790816761550</v>
      </c>
      <c r="U1397" s="61">
        <f>(tblJTL[[#This Row],[timeStamp]]-'17_分析サンプル'!$E$18)/1000</f>
        <v>361.10399999999998</v>
      </c>
      <c r="V1397" s="57">
        <f>INT(tblJTL[[#This Row],[経過秒]]/60)</f>
        <v>6</v>
      </c>
      <c r="W1397" s="57">
        <f>IF(OR(tblJTL[[#This Row],[success]]=FALSE,tblJTL[[#This Row],[success]]="false"),1,0)</f>
        <v>0</v>
      </c>
      <c r="X1397" s="57">
        <f>IF(AND(tblJTL[[#This Row],[経過秒]]&gt;='17_分析サンプル'!$E$11,tblJTL[[#This Row],[経過秒]]&lt;'17_分析サンプル'!$E$12),1,0)</f>
        <v>1</v>
      </c>
    </row>
    <row r="1398" spans="2:24" ht="14.4" x14ac:dyDescent="0.3">
      <c r="B1398" s="57">
        <v>1790816761507</v>
      </c>
      <c r="C1398" s="58">
        <v>164</v>
      </c>
      <c r="D1398" s="59" t="s">
        <v>1658</v>
      </c>
      <c r="E1398" s="59" t="s">
        <v>1577</v>
      </c>
      <c r="F1398" s="59" t="s">
        <v>2275</v>
      </c>
      <c r="G1398" s="59" t="s">
        <v>3582</v>
      </c>
      <c r="H1398" s="59" t="s">
        <v>2281</v>
      </c>
      <c r="I1398" s="59" t="b">
        <v>1</v>
      </c>
      <c r="J1398" s="59"/>
      <c r="K1398" s="58">
        <v>1861</v>
      </c>
      <c r="L1398" s="58">
        <v>1342</v>
      </c>
      <c r="M1398" s="59">
        <v>10</v>
      </c>
      <c r="N1398" s="59">
        <v>10</v>
      </c>
      <c r="O1398" s="59" t="s">
        <v>3578</v>
      </c>
      <c r="P1398" s="58">
        <v>162</v>
      </c>
      <c r="Q1398" s="59">
        <v>0</v>
      </c>
      <c r="R1398" s="59">
        <v>0</v>
      </c>
      <c r="S1398" s="60">
        <f>tblJTL[[#This Row],[timeStamp]]/86400000+DATE(1970,1,1)+TIME(9,0,0)</f>
        <v>46296.420850775467</v>
      </c>
      <c r="T1398" s="57">
        <f>tblJTL[[#This Row],[timeStamp]]+tblJTL[[#This Row],[elapsed]]</f>
        <v>1790816761671</v>
      </c>
      <c r="U1398" s="61">
        <f>(tblJTL[[#This Row],[timeStamp]]-'17_分析サンプル'!$E$18)/1000</f>
        <v>361.327</v>
      </c>
      <c r="V1398" s="57">
        <f>INT(tblJTL[[#This Row],[経過秒]]/60)</f>
        <v>6</v>
      </c>
      <c r="W1398" s="57">
        <f>IF(OR(tblJTL[[#This Row],[success]]=FALSE,tblJTL[[#This Row],[success]]="false"),1,0)</f>
        <v>0</v>
      </c>
      <c r="X1398" s="57">
        <f>IF(AND(tblJTL[[#This Row],[経過秒]]&gt;='17_分析サンプル'!$E$11,tblJTL[[#This Row],[経過秒]]&lt;'17_分析サンプル'!$E$12),1,0)</f>
        <v>1</v>
      </c>
    </row>
    <row r="1399" spans="2:24" ht="14.4" x14ac:dyDescent="0.3">
      <c r="B1399" s="57">
        <v>1790816761511</v>
      </c>
      <c r="C1399" s="58">
        <v>366</v>
      </c>
      <c r="D1399" s="59" t="s">
        <v>1677</v>
      </c>
      <c r="E1399" s="59" t="s">
        <v>3579</v>
      </c>
      <c r="F1399" s="59" t="s">
        <v>3580</v>
      </c>
      <c r="G1399" s="59" t="s">
        <v>3583</v>
      </c>
      <c r="H1399" s="59" t="s">
        <v>2281</v>
      </c>
      <c r="I1399" s="59" t="b">
        <v>1</v>
      </c>
      <c r="J1399" s="59"/>
      <c r="K1399" s="58">
        <v>428</v>
      </c>
      <c r="L1399" s="58">
        <v>1478</v>
      </c>
      <c r="M1399" s="59">
        <v>10</v>
      </c>
      <c r="N1399" s="59">
        <v>10</v>
      </c>
      <c r="O1399" s="59" t="s">
        <v>3581</v>
      </c>
      <c r="P1399" s="58">
        <v>363</v>
      </c>
      <c r="Q1399" s="59">
        <v>0</v>
      </c>
      <c r="R1399" s="59">
        <v>0</v>
      </c>
      <c r="S1399" s="60">
        <f>tblJTL[[#This Row],[timeStamp]]/86400000+DATE(1970,1,1)+TIME(9,0,0)</f>
        <v>46296.420850821756</v>
      </c>
      <c r="T1399" s="57">
        <f>tblJTL[[#This Row],[timeStamp]]+tblJTL[[#This Row],[elapsed]]</f>
        <v>1790816761877</v>
      </c>
      <c r="U1399" s="61">
        <f>(tblJTL[[#This Row],[timeStamp]]-'17_分析サンプル'!$E$18)/1000</f>
        <v>361.33100000000002</v>
      </c>
      <c r="V1399" s="57">
        <f>INT(tblJTL[[#This Row],[経過秒]]/60)</f>
        <v>6</v>
      </c>
      <c r="W1399" s="57">
        <f>IF(OR(tblJTL[[#This Row],[success]]=FALSE,tblJTL[[#This Row],[success]]="false"),1,0)</f>
        <v>0</v>
      </c>
      <c r="X1399" s="57">
        <f>IF(AND(tblJTL[[#This Row],[経過秒]]&gt;='17_分析サンプル'!$E$11,tblJTL[[#This Row],[経過秒]]&lt;'17_分析サンプル'!$E$12),1,0)</f>
        <v>1</v>
      </c>
    </row>
    <row r="1400" spans="2:24" ht="14.4" x14ac:dyDescent="0.3">
      <c r="B1400" s="57">
        <v>1790816761809</v>
      </c>
      <c r="C1400" s="58">
        <v>130</v>
      </c>
      <c r="D1400" s="59" t="s">
        <v>1658</v>
      </c>
      <c r="E1400" s="59" t="s">
        <v>1577</v>
      </c>
      <c r="F1400" s="59" t="s">
        <v>2275</v>
      </c>
      <c r="G1400" s="59" t="s">
        <v>3588</v>
      </c>
      <c r="H1400" s="59" t="s">
        <v>2281</v>
      </c>
      <c r="I1400" s="59" t="b">
        <v>1</v>
      </c>
      <c r="J1400" s="59"/>
      <c r="K1400" s="58">
        <v>1847</v>
      </c>
      <c r="L1400" s="58">
        <v>1342</v>
      </c>
      <c r="M1400" s="59">
        <v>10</v>
      </c>
      <c r="N1400" s="59">
        <v>10</v>
      </c>
      <c r="O1400" s="59" t="s">
        <v>3578</v>
      </c>
      <c r="P1400" s="58">
        <v>128</v>
      </c>
      <c r="Q1400" s="59">
        <v>0</v>
      </c>
      <c r="R1400" s="59">
        <v>0</v>
      </c>
      <c r="S1400" s="60">
        <f>tblJTL[[#This Row],[timeStamp]]/86400000+DATE(1970,1,1)+TIME(9,0,0)</f>
        <v>46296.420854270837</v>
      </c>
      <c r="T1400" s="57">
        <f>tblJTL[[#This Row],[timeStamp]]+tblJTL[[#This Row],[elapsed]]</f>
        <v>1790816761939</v>
      </c>
      <c r="U1400" s="61">
        <f>(tblJTL[[#This Row],[timeStamp]]-'17_分析サンプル'!$E$18)/1000</f>
        <v>361.62900000000002</v>
      </c>
      <c r="V1400" s="57">
        <f>INT(tblJTL[[#This Row],[経過秒]]/60)</f>
        <v>6</v>
      </c>
      <c r="W1400" s="57">
        <f>IF(OR(tblJTL[[#This Row],[success]]=FALSE,tblJTL[[#This Row],[success]]="false"),1,0)</f>
        <v>0</v>
      </c>
      <c r="X1400" s="57">
        <f>IF(AND(tblJTL[[#This Row],[経過秒]]&gt;='17_分析サンプル'!$E$11,tblJTL[[#This Row],[経過秒]]&lt;'17_分析サンプル'!$E$12),1,0)</f>
        <v>1</v>
      </c>
    </row>
    <row r="1401" spans="2:24" ht="14.4" x14ac:dyDescent="0.3">
      <c r="B1401" s="57">
        <v>1790816761922</v>
      </c>
      <c r="C1401" s="58">
        <v>197</v>
      </c>
      <c r="D1401" s="59" t="s">
        <v>1677</v>
      </c>
      <c r="E1401" s="59" t="s">
        <v>3579</v>
      </c>
      <c r="F1401" s="59" t="s">
        <v>3580</v>
      </c>
      <c r="G1401" s="59" t="s">
        <v>3589</v>
      </c>
      <c r="H1401" s="59" t="s">
        <v>2281</v>
      </c>
      <c r="I1401" s="59" t="b">
        <v>1</v>
      </c>
      <c r="J1401" s="59"/>
      <c r="K1401" s="58">
        <v>410</v>
      </c>
      <c r="L1401" s="58">
        <v>1478</v>
      </c>
      <c r="M1401" s="59">
        <v>10</v>
      </c>
      <c r="N1401" s="59">
        <v>10</v>
      </c>
      <c r="O1401" s="59" t="s">
        <v>3581</v>
      </c>
      <c r="P1401" s="58">
        <v>194</v>
      </c>
      <c r="Q1401" s="59">
        <v>0</v>
      </c>
      <c r="R1401" s="59">
        <v>0</v>
      </c>
      <c r="S1401" s="60">
        <f>tblJTL[[#This Row],[timeStamp]]/86400000+DATE(1970,1,1)+TIME(9,0,0)</f>
        <v>46296.420855578705</v>
      </c>
      <c r="T1401" s="57">
        <f>tblJTL[[#This Row],[timeStamp]]+tblJTL[[#This Row],[elapsed]]</f>
        <v>1790816762119</v>
      </c>
      <c r="U1401" s="61">
        <f>(tblJTL[[#This Row],[timeStamp]]-'17_分析サンプル'!$E$18)/1000</f>
        <v>361.74200000000002</v>
      </c>
      <c r="V1401" s="57">
        <f>INT(tblJTL[[#This Row],[経過秒]]/60)</f>
        <v>6</v>
      </c>
      <c r="W1401" s="57">
        <f>IF(OR(tblJTL[[#This Row],[success]]=FALSE,tblJTL[[#This Row],[success]]="false"),1,0)</f>
        <v>0</v>
      </c>
      <c r="X1401" s="57">
        <f>IF(AND(tblJTL[[#This Row],[経過秒]]&gt;='17_分析サンプル'!$E$11,tblJTL[[#This Row],[経過秒]]&lt;'17_分析サンプル'!$E$12),1,0)</f>
        <v>1</v>
      </c>
    </row>
    <row r="1402" spans="2:24" ht="14.4" x14ac:dyDescent="0.3">
      <c r="B1402" s="57">
        <v>1790816762724</v>
      </c>
      <c r="C1402" s="58">
        <v>173</v>
      </c>
      <c r="D1402" s="59" t="s">
        <v>1677</v>
      </c>
      <c r="E1402" s="59" t="s">
        <v>3579</v>
      </c>
      <c r="F1402" s="59" t="s">
        <v>3580</v>
      </c>
      <c r="G1402" s="59" t="s">
        <v>2278</v>
      </c>
      <c r="H1402" s="59" t="s">
        <v>2281</v>
      </c>
      <c r="I1402" s="59" t="b">
        <v>1</v>
      </c>
      <c r="J1402" s="59"/>
      <c r="K1402" s="58">
        <v>437</v>
      </c>
      <c r="L1402" s="58">
        <v>1478</v>
      </c>
      <c r="M1402" s="59">
        <v>10</v>
      </c>
      <c r="N1402" s="59">
        <v>10</v>
      </c>
      <c r="O1402" s="59" t="s">
        <v>3581</v>
      </c>
      <c r="P1402" s="58">
        <v>168</v>
      </c>
      <c r="Q1402" s="59">
        <v>0</v>
      </c>
      <c r="R1402" s="59">
        <v>0</v>
      </c>
      <c r="S1402" s="60">
        <f>tblJTL[[#This Row],[timeStamp]]/86400000+DATE(1970,1,1)+TIME(9,0,0)</f>
        <v>46296.420864861109</v>
      </c>
      <c r="T1402" s="57">
        <f>tblJTL[[#This Row],[timeStamp]]+tblJTL[[#This Row],[elapsed]]</f>
        <v>1790816762897</v>
      </c>
      <c r="U1402" s="61">
        <f>(tblJTL[[#This Row],[timeStamp]]-'17_分析サンプル'!$E$18)/1000</f>
        <v>362.54399999999998</v>
      </c>
      <c r="V1402" s="57">
        <f>INT(tblJTL[[#This Row],[経過秒]]/60)</f>
        <v>6</v>
      </c>
      <c r="W1402" s="57">
        <f>IF(OR(tblJTL[[#This Row],[success]]=FALSE,tblJTL[[#This Row],[success]]="false"),1,0)</f>
        <v>0</v>
      </c>
      <c r="X1402" s="57">
        <f>IF(AND(tblJTL[[#This Row],[経過秒]]&gt;='17_分析サンプル'!$E$11,tblJTL[[#This Row],[経過秒]]&lt;'17_分析サンプル'!$E$12),1,0)</f>
        <v>1</v>
      </c>
    </row>
    <row r="1403" spans="2:24" ht="14.4" x14ac:dyDescent="0.3">
      <c r="B1403" s="57">
        <v>1790816762654</v>
      </c>
      <c r="C1403" s="58">
        <v>265</v>
      </c>
      <c r="D1403" s="59" t="s">
        <v>1677</v>
      </c>
      <c r="E1403" s="59" t="s">
        <v>3579</v>
      </c>
      <c r="F1403" s="59" t="s">
        <v>3580</v>
      </c>
      <c r="G1403" s="59" t="s">
        <v>3586</v>
      </c>
      <c r="H1403" s="59" t="s">
        <v>2281</v>
      </c>
      <c r="I1403" s="59" t="b">
        <v>1</v>
      </c>
      <c r="J1403" s="59"/>
      <c r="K1403" s="58">
        <v>438</v>
      </c>
      <c r="L1403" s="58">
        <v>1478</v>
      </c>
      <c r="M1403" s="59">
        <v>10</v>
      </c>
      <c r="N1403" s="59">
        <v>10</v>
      </c>
      <c r="O1403" s="59" t="s">
        <v>3581</v>
      </c>
      <c r="P1403" s="58">
        <v>263</v>
      </c>
      <c r="Q1403" s="59">
        <v>0</v>
      </c>
      <c r="R1403" s="59">
        <v>0</v>
      </c>
      <c r="S1403" s="60">
        <f>tblJTL[[#This Row],[timeStamp]]/86400000+DATE(1970,1,1)+TIME(9,0,0)</f>
        <v>46296.420864050924</v>
      </c>
      <c r="T1403" s="57">
        <f>tblJTL[[#This Row],[timeStamp]]+tblJTL[[#This Row],[elapsed]]</f>
        <v>1790816762919</v>
      </c>
      <c r="U1403" s="61">
        <f>(tblJTL[[#This Row],[timeStamp]]-'17_分析サンプル'!$E$18)/1000</f>
        <v>362.47399999999999</v>
      </c>
      <c r="V1403" s="57">
        <f>INT(tblJTL[[#This Row],[経過秒]]/60)</f>
        <v>6</v>
      </c>
      <c r="W1403" s="57">
        <f>IF(OR(tblJTL[[#This Row],[success]]=FALSE,tblJTL[[#This Row],[success]]="false"),1,0)</f>
        <v>0</v>
      </c>
      <c r="X1403" s="57">
        <f>IF(AND(tblJTL[[#This Row],[経過秒]]&gt;='17_分析サンプル'!$E$11,tblJTL[[#This Row],[経過秒]]&lt;'17_分析サンプル'!$E$12),1,0)</f>
        <v>1</v>
      </c>
    </row>
    <row r="1404" spans="2:24" ht="14.4" x14ac:dyDescent="0.3">
      <c r="B1404" s="57">
        <v>1790816762954</v>
      </c>
      <c r="C1404" s="58">
        <v>76</v>
      </c>
      <c r="D1404" s="59" t="s">
        <v>1658</v>
      </c>
      <c r="E1404" s="59" t="s">
        <v>1577</v>
      </c>
      <c r="F1404" s="59" t="s">
        <v>2275</v>
      </c>
      <c r="G1404" s="59" t="s">
        <v>3587</v>
      </c>
      <c r="H1404" s="59" t="s">
        <v>2281</v>
      </c>
      <c r="I1404" s="59" t="b">
        <v>1</v>
      </c>
      <c r="J1404" s="59"/>
      <c r="K1404" s="58">
        <v>1845</v>
      </c>
      <c r="L1404" s="58">
        <v>1342</v>
      </c>
      <c r="M1404" s="59">
        <v>10</v>
      </c>
      <c r="N1404" s="59">
        <v>10</v>
      </c>
      <c r="O1404" s="59" t="s">
        <v>3578</v>
      </c>
      <c r="P1404" s="58">
        <v>70</v>
      </c>
      <c r="Q1404" s="59">
        <v>0</v>
      </c>
      <c r="R1404" s="59">
        <v>0</v>
      </c>
      <c r="S1404" s="60">
        <f>tblJTL[[#This Row],[timeStamp]]/86400000+DATE(1970,1,1)+TIME(9,0,0)</f>
        <v>46296.420867523149</v>
      </c>
      <c r="T1404" s="57">
        <f>tblJTL[[#This Row],[timeStamp]]+tblJTL[[#This Row],[elapsed]]</f>
        <v>1790816763030</v>
      </c>
      <c r="U1404" s="61">
        <f>(tblJTL[[#This Row],[timeStamp]]-'17_分析サンプル'!$E$18)/1000</f>
        <v>362.774</v>
      </c>
      <c r="V1404" s="57">
        <f>INT(tblJTL[[#This Row],[経過秒]]/60)</f>
        <v>6</v>
      </c>
      <c r="W1404" s="57">
        <f>IF(OR(tblJTL[[#This Row],[success]]=FALSE,tblJTL[[#This Row],[success]]="false"),1,0)</f>
        <v>0</v>
      </c>
      <c r="X1404" s="57">
        <f>IF(AND(tblJTL[[#This Row],[経過秒]]&gt;='17_分析サンプル'!$E$11,tblJTL[[#This Row],[経過秒]]&lt;'17_分析サンプル'!$E$12),1,0)</f>
        <v>1</v>
      </c>
    </row>
    <row r="1405" spans="2:24" ht="14.4" x14ac:dyDescent="0.3">
      <c r="B1405" s="57">
        <v>1790816762799</v>
      </c>
      <c r="C1405" s="58">
        <v>418</v>
      </c>
      <c r="D1405" s="59" t="s">
        <v>1677</v>
      </c>
      <c r="E1405" s="59" t="s">
        <v>3579</v>
      </c>
      <c r="F1405" s="59" t="s">
        <v>3580</v>
      </c>
      <c r="G1405" s="59" t="s">
        <v>3585</v>
      </c>
      <c r="H1405" s="59" t="s">
        <v>2281</v>
      </c>
      <c r="I1405" s="59" t="b">
        <v>1</v>
      </c>
      <c r="J1405" s="59"/>
      <c r="K1405" s="58">
        <v>419</v>
      </c>
      <c r="L1405" s="58">
        <v>1478</v>
      </c>
      <c r="M1405" s="59">
        <v>10</v>
      </c>
      <c r="N1405" s="59">
        <v>10</v>
      </c>
      <c r="O1405" s="59" t="s">
        <v>3581</v>
      </c>
      <c r="P1405" s="58">
        <v>410</v>
      </c>
      <c r="Q1405" s="59">
        <v>0</v>
      </c>
      <c r="R1405" s="59">
        <v>0</v>
      </c>
      <c r="S1405" s="60">
        <f>tblJTL[[#This Row],[timeStamp]]/86400000+DATE(1970,1,1)+TIME(9,0,0)</f>
        <v>46296.420865729167</v>
      </c>
      <c r="T1405" s="57">
        <f>tblJTL[[#This Row],[timeStamp]]+tblJTL[[#This Row],[elapsed]]</f>
        <v>1790816763217</v>
      </c>
      <c r="U1405" s="61">
        <f>(tblJTL[[#This Row],[timeStamp]]-'17_分析サンプル'!$E$18)/1000</f>
        <v>362.61900000000003</v>
      </c>
      <c r="V1405" s="57">
        <f>INT(tblJTL[[#This Row],[経過秒]]/60)</f>
        <v>6</v>
      </c>
      <c r="W1405" s="57">
        <f>IF(OR(tblJTL[[#This Row],[success]]=FALSE,tblJTL[[#This Row],[success]]="false"),1,0)</f>
        <v>0</v>
      </c>
      <c r="X1405" s="57">
        <f>IF(AND(tblJTL[[#This Row],[経過秒]]&gt;='17_分析サンプル'!$E$11,tblJTL[[#This Row],[経過秒]]&lt;'17_分析サンプル'!$E$12),1,0)</f>
        <v>1</v>
      </c>
    </row>
    <row r="1406" spans="2:24" ht="14.4" x14ac:dyDescent="0.3">
      <c r="B1406" s="57">
        <v>1790816763408</v>
      </c>
      <c r="C1406" s="58">
        <v>116</v>
      </c>
      <c r="D1406" s="59" t="s">
        <v>1658</v>
      </c>
      <c r="E1406" s="59" t="s">
        <v>1577</v>
      </c>
      <c r="F1406" s="59" t="s">
        <v>2275</v>
      </c>
      <c r="G1406" s="59" t="s">
        <v>3577</v>
      </c>
      <c r="H1406" s="59" t="s">
        <v>2281</v>
      </c>
      <c r="I1406" s="59" t="b">
        <v>1</v>
      </c>
      <c r="J1406" s="59"/>
      <c r="K1406" s="58">
        <v>1886</v>
      </c>
      <c r="L1406" s="58">
        <v>1342</v>
      </c>
      <c r="M1406" s="59">
        <v>10</v>
      </c>
      <c r="N1406" s="59">
        <v>10</v>
      </c>
      <c r="O1406" s="59" t="s">
        <v>3578</v>
      </c>
      <c r="P1406" s="58">
        <v>113</v>
      </c>
      <c r="Q1406" s="59">
        <v>0</v>
      </c>
      <c r="R1406" s="59">
        <v>0</v>
      </c>
      <c r="S1406" s="60">
        <f>tblJTL[[#This Row],[timeStamp]]/86400000+DATE(1970,1,1)+TIME(9,0,0)</f>
        <v>46296.420872777773</v>
      </c>
      <c r="T1406" s="57">
        <f>tblJTL[[#This Row],[timeStamp]]+tblJTL[[#This Row],[elapsed]]</f>
        <v>1790816763524</v>
      </c>
      <c r="U1406" s="61">
        <f>(tblJTL[[#This Row],[timeStamp]]-'17_分析サンプル'!$E$18)/1000</f>
        <v>363.22800000000001</v>
      </c>
      <c r="V1406" s="57">
        <f>INT(tblJTL[[#This Row],[経過秒]]/60)</f>
        <v>6</v>
      </c>
      <c r="W1406" s="57">
        <f>IF(OR(tblJTL[[#This Row],[success]]=FALSE,tblJTL[[#This Row],[success]]="false"),1,0)</f>
        <v>0</v>
      </c>
      <c r="X1406" s="57">
        <f>IF(AND(tblJTL[[#This Row],[経過秒]]&gt;='17_分析サンプル'!$E$11,tblJTL[[#This Row],[経過秒]]&lt;'17_分析サンプル'!$E$12),1,0)</f>
        <v>1</v>
      </c>
    </row>
    <row r="1407" spans="2:24" ht="14.4" x14ac:dyDescent="0.3">
      <c r="B1407" s="57">
        <v>1790816763360</v>
      </c>
      <c r="C1407" s="58">
        <v>406</v>
      </c>
      <c r="D1407" s="59" t="s">
        <v>1677</v>
      </c>
      <c r="E1407" s="59" t="s">
        <v>3579</v>
      </c>
      <c r="F1407" s="59" t="s">
        <v>3580</v>
      </c>
      <c r="G1407" s="59" t="s">
        <v>3588</v>
      </c>
      <c r="H1407" s="59" t="s">
        <v>2281</v>
      </c>
      <c r="I1407" s="59" t="b">
        <v>1</v>
      </c>
      <c r="J1407" s="59"/>
      <c r="K1407" s="58">
        <v>417</v>
      </c>
      <c r="L1407" s="58">
        <v>1478</v>
      </c>
      <c r="M1407" s="59">
        <v>10</v>
      </c>
      <c r="N1407" s="59">
        <v>10</v>
      </c>
      <c r="O1407" s="59" t="s">
        <v>3581</v>
      </c>
      <c r="P1407" s="58">
        <v>401</v>
      </c>
      <c r="Q1407" s="59">
        <v>0</v>
      </c>
      <c r="R1407" s="59">
        <v>0</v>
      </c>
      <c r="S1407" s="60">
        <f>tblJTL[[#This Row],[timeStamp]]/86400000+DATE(1970,1,1)+TIME(9,0,0)</f>
        <v>46296.420872222225</v>
      </c>
      <c r="T1407" s="57">
        <f>tblJTL[[#This Row],[timeStamp]]+tblJTL[[#This Row],[elapsed]]</f>
        <v>1790816763766</v>
      </c>
      <c r="U1407" s="61">
        <f>(tblJTL[[#This Row],[timeStamp]]-'17_分析サンプル'!$E$18)/1000</f>
        <v>363.18</v>
      </c>
      <c r="V1407" s="57">
        <f>INT(tblJTL[[#This Row],[経過秒]]/60)</f>
        <v>6</v>
      </c>
      <c r="W1407" s="57">
        <f>IF(OR(tblJTL[[#This Row],[success]]=FALSE,tblJTL[[#This Row],[success]]="false"),1,0)</f>
        <v>0</v>
      </c>
      <c r="X1407" s="57">
        <f>IF(AND(tblJTL[[#This Row],[経過秒]]&gt;='17_分析サンプル'!$E$11,tblJTL[[#This Row],[経過秒]]&lt;'17_分析サンプル'!$E$12),1,0)</f>
        <v>1</v>
      </c>
    </row>
    <row r="1408" spans="2:24" ht="14.4" x14ac:dyDescent="0.3">
      <c r="B1408" s="57">
        <v>1790816763711</v>
      </c>
      <c r="C1408" s="58">
        <v>114</v>
      </c>
      <c r="D1408" s="59" t="s">
        <v>1658</v>
      </c>
      <c r="E1408" s="59" t="s">
        <v>1577</v>
      </c>
      <c r="F1408" s="59" t="s">
        <v>2275</v>
      </c>
      <c r="G1408" s="59" t="s">
        <v>3584</v>
      </c>
      <c r="H1408" s="59" t="s">
        <v>2281</v>
      </c>
      <c r="I1408" s="59" t="b">
        <v>1</v>
      </c>
      <c r="J1408" s="59"/>
      <c r="K1408" s="58">
        <v>1884</v>
      </c>
      <c r="L1408" s="58">
        <v>1342</v>
      </c>
      <c r="M1408" s="59">
        <v>10</v>
      </c>
      <c r="N1408" s="59">
        <v>10</v>
      </c>
      <c r="O1408" s="59" t="s">
        <v>3578</v>
      </c>
      <c r="P1408" s="58">
        <v>110</v>
      </c>
      <c r="Q1408" s="59">
        <v>0</v>
      </c>
      <c r="R1408" s="59">
        <v>0</v>
      </c>
      <c r="S1408" s="60">
        <f>tblJTL[[#This Row],[timeStamp]]/86400000+DATE(1970,1,1)+TIME(9,0,0)</f>
        <v>46296.420876284727</v>
      </c>
      <c r="T1408" s="57">
        <f>tblJTL[[#This Row],[timeStamp]]+tblJTL[[#This Row],[elapsed]]</f>
        <v>1790816763825</v>
      </c>
      <c r="U1408" s="61">
        <f>(tblJTL[[#This Row],[timeStamp]]-'17_分析サンプル'!$E$18)/1000</f>
        <v>363.53100000000001</v>
      </c>
      <c r="V1408" s="57">
        <f>INT(tblJTL[[#This Row],[経過秒]]/60)</f>
        <v>6</v>
      </c>
      <c r="W1408" s="57">
        <f>IF(OR(tblJTL[[#This Row],[success]]=FALSE,tblJTL[[#This Row],[success]]="false"),1,0)</f>
        <v>0</v>
      </c>
      <c r="X1408" s="57">
        <f>IF(AND(tblJTL[[#This Row],[経過秒]]&gt;='17_分析サンプル'!$E$11,tblJTL[[#This Row],[経過秒]]&lt;'17_分析サンプル'!$E$12),1,0)</f>
        <v>1</v>
      </c>
    </row>
    <row r="1409" spans="2:24" ht="14.4" x14ac:dyDescent="0.3">
      <c r="B1409" s="57">
        <v>1790816763529</v>
      </c>
      <c r="C1409" s="58">
        <v>325</v>
      </c>
      <c r="D1409" s="59" t="s">
        <v>1677</v>
      </c>
      <c r="E1409" s="59" t="s">
        <v>3579</v>
      </c>
      <c r="F1409" s="59" t="s">
        <v>3580</v>
      </c>
      <c r="G1409" s="59" t="s">
        <v>3582</v>
      </c>
      <c r="H1409" s="59" t="s">
        <v>2281</v>
      </c>
      <c r="I1409" s="59" t="b">
        <v>1</v>
      </c>
      <c r="J1409" s="59"/>
      <c r="K1409" s="58">
        <v>421</v>
      </c>
      <c r="L1409" s="58">
        <v>1478</v>
      </c>
      <c r="M1409" s="59">
        <v>10</v>
      </c>
      <c r="N1409" s="59">
        <v>10</v>
      </c>
      <c r="O1409" s="59" t="s">
        <v>3581</v>
      </c>
      <c r="P1409" s="58">
        <v>317</v>
      </c>
      <c r="Q1409" s="59">
        <v>0</v>
      </c>
      <c r="R1409" s="59">
        <v>0</v>
      </c>
      <c r="S1409" s="60">
        <f>tblJTL[[#This Row],[timeStamp]]/86400000+DATE(1970,1,1)+TIME(9,0,0)</f>
        <v>46296.420874178242</v>
      </c>
      <c r="T1409" s="57">
        <f>tblJTL[[#This Row],[timeStamp]]+tblJTL[[#This Row],[elapsed]]</f>
        <v>1790816763854</v>
      </c>
      <c r="U1409" s="61">
        <f>(tblJTL[[#This Row],[timeStamp]]-'17_分析サンプル'!$E$18)/1000</f>
        <v>363.34899999999999</v>
      </c>
      <c r="V1409" s="57">
        <f>INT(tblJTL[[#This Row],[経過秒]]/60)</f>
        <v>6</v>
      </c>
      <c r="W1409" s="57">
        <f>IF(OR(tblJTL[[#This Row],[success]]=FALSE,tblJTL[[#This Row],[success]]="false"),1,0)</f>
        <v>0</v>
      </c>
      <c r="X1409" s="57">
        <f>IF(AND(tblJTL[[#This Row],[経過秒]]&gt;='17_分析サンプル'!$E$11,tblJTL[[#This Row],[経過秒]]&lt;'17_分析サンプル'!$E$12),1,0)</f>
        <v>1</v>
      </c>
    </row>
    <row r="1410" spans="2:24" ht="14.4" x14ac:dyDescent="0.3">
      <c r="B1410" s="57">
        <v>1790816763604</v>
      </c>
      <c r="C1410" s="58">
        <v>281</v>
      </c>
      <c r="D1410" s="59" t="s">
        <v>1658</v>
      </c>
      <c r="E1410" s="59" t="s">
        <v>1577</v>
      </c>
      <c r="F1410" s="59" t="s">
        <v>2275</v>
      </c>
      <c r="G1410" s="59" t="s">
        <v>3589</v>
      </c>
      <c r="H1410" s="59" t="s">
        <v>2281</v>
      </c>
      <c r="I1410" s="59" t="b">
        <v>1</v>
      </c>
      <c r="J1410" s="59"/>
      <c r="K1410" s="58">
        <v>1883</v>
      </c>
      <c r="L1410" s="58">
        <v>1342</v>
      </c>
      <c r="M1410" s="59">
        <v>10</v>
      </c>
      <c r="N1410" s="59">
        <v>10</v>
      </c>
      <c r="O1410" s="59" t="s">
        <v>3578</v>
      </c>
      <c r="P1410" s="58">
        <v>279</v>
      </c>
      <c r="Q1410" s="59">
        <v>0</v>
      </c>
      <c r="R1410" s="59">
        <v>46</v>
      </c>
      <c r="S1410" s="60">
        <f>tblJTL[[#This Row],[timeStamp]]/86400000+DATE(1970,1,1)+TIME(9,0,0)</f>
        <v>46296.4208750463</v>
      </c>
      <c r="T1410" s="57">
        <f>tblJTL[[#This Row],[timeStamp]]+tblJTL[[#This Row],[elapsed]]</f>
        <v>1790816763885</v>
      </c>
      <c r="U1410" s="61">
        <f>(tblJTL[[#This Row],[timeStamp]]-'17_分析サンプル'!$E$18)/1000</f>
        <v>363.42399999999998</v>
      </c>
      <c r="V1410" s="57">
        <f>INT(tblJTL[[#This Row],[経過秒]]/60)</f>
        <v>6</v>
      </c>
      <c r="W1410" s="57">
        <f>IF(OR(tblJTL[[#This Row],[success]]=FALSE,tblJTL[[#This Row],[success]]="false"),1,0)</f>
        <v>0</v>
      </c>
      <c r="X1410" s="57">
        <f>IF(AND(tblJTL[[#This Row],[経過秒]]&gt;='17_分析サンプル'!$E$11,tblJTL[[#This Row],[経過秒]]&lt;'17_分析サンプル'!$E$12),1,0)</f>
        <v>1</v>
      </c>
    </row>
    <row r="1411" spans="2:24" ht="14.4" x14ac:dyDescent="0.3">
      <c r="B1411" s="57">
        <v>1790816763966</v>
      </c>
      <c r="C1411" s="58">
        <v>104</v>
      </c>
      <c r="D1411" s="59" t="s">
        <v>1658</v>
      </c>
      <c r="E1411" s="59" t="s">
        <v>1577</v>
      </c>
      <c r="F1411" s="59" t="s">
        <v>2275</v>
      </c>
      <c r="G1411" s="59" t="s">
        <v>3583</v>
      </c>
      <c r="H1411" s="59" t="s">
        <v>2281</v>
      </c>
      <c r="I1411" s="59" t="b">
        <v>1</v>
      </c>
      <c r="J1411" s="59"/>
      <c r="K1411" s="58">
        <v>1836</v>
      </c>
      <c r="L1411" s="58">
        <v>1342</v>
      </c>
      <c r="M1411" s="59">
        <v>10</v>
      </c>
      <c r="N1411" s="59">
        <v>10</v>
      </c>
      <c r="O1411" s="59" t="s">
        <v>3578</v>
      </c>
      <c r="P1411" s="58">
        <v>102</v>
      </c>
      <c r="Q1411" s="59">
        <v>0</v>
      </c>
      <c r="R1411" s="59">
        <v>0</v>
      </c>
      <c r="S1411" s="60">
        <f>tblJTL[[#This Row],[timeStamp]]/86400000+DATE(1970,1,1)+TIME(9,0,0)</f>
        <v>46296.42087923611</v>
      </c>
      <c r="T1411" s="57">
        <f>tblJTL[[#This Row],[timeStamp]]+tblJTL[[#This Row],[elapsed]]</f>
        <v>1790816764070</v>
      </c>
      <c r="U1411" s="61">
        <f>(tblJTL[[#This Row],[timeStamp]]-'17_分析サンプル'!$E$18)/1000</f>
        <v>363.786</v>
      </c>
      <c r="V1411" s="57">
        <f>INT(tblJTL[[#This Row],[経過秒]]/60)</f>
        <v>6</v>
      </c>
      <c r="W1411" s="57">
        <f>IF(OR(tblJTL[[#This Row],[success]]=FALSE,tblJTL[[#This Row],[success]]="false"),1,0)</f>
        <v>0</v>
      </c>
      <c r="X1411" s="57">
        <f>IF(AND(tblJTL[[#This Row],[経過秒]]&gt;='17_分析サンプル'!$E$11,tblJTL[[#This Row],[経過秒]]&lt;'17_分析サンプル'!$E$12),1,0)</f>
        <v>1</v>
      </c>
    </row>
    <row r="1412" spans="2:24" ht="14.4" x14ac:dyDescent="0.3">
      <c r="B1412" s="57">
        <v>1790816764392</v>
      </c>
      <c r="C1412" s="58">
        <v>117</v>
      </c>
      <c r="D1412" s="59" t="s">
        <v>1658</v>
      </c>
      <c r="E1412" s="59" t="s">
        <v>1577</v>
      </c>
      <c r="F1412" s="59" t="s">
        <v>2275</v>
      </c>
      <c r="G1412" s="59" t="s">
        <v>2278</v>
      </c>
      <c r="H1412" s="59" t="s">
        <v>2281</v>
      </c>
      <c r="I1412" s="59" t="b">
        <v>1</v>
      </c>
      <c r="J1412" s="59"/>
      <c r="K1412" s="58">
        <v>1888</v>
      </c>
      <c r="L1412" s="58">
        <v>1342</v>
      </c>
      <c r="M1412" s="59">
        <v>10</v>
      </c>
      <c r="N1412" s="59">
        <v>10</v>
      </c>
      <c r="O1412" s="59" t="s">
        <v>3578</v>
      </c>
      <c r="P1412" s="58">
        <v>114</v>
      </c>
      <c r="Q1412" s="59">
        <v>0</v>
      </c>
      <c r="R1412" s="59">
        <v>0</v>
      </c>
      <c r="S1412" s="60">
        <f>tblJTL[[#This Row],[timeStamp]]/86400000+DATE(1970,1,1)+TIME(9,0,0)</f>
        <v>46296.42088416667</v>
      </c>
      <c r="T1412" s="57">
        <f>tblJTL[[#This Row],[timeStamp]]+tblJTL[[#This Row],[elapsed]]</f>
        <v>1790816764509</v>
      </c>
      <c r="U1412" s="61">
        <f>(tblJTL[[#This Row],[timeStamp]]-'17_分析サンプル'!$E$18)/1000</f>
        <v>364.21199999999999</v>
      </c>
      <c r="V1412" s="57">
        <f>INT(tblJTL[[#This Row],[経過秒]]/60)</f>
        <v>6</v>
      </c>
      <c r="W1412" s="57">
        <f>IF(OR(tblJTL[[#This Row],[success]]=FALSE,tblJTL[[#This Row],[success]]="false"),1,0)</f>
        <v>0</v>
      </c>
      <c r="X1412" s="57">
        <f>IF(AND(tblJTL[[#This Row],[経過秒]]&gt;='17_分析サンプル'!$E$11,tblJTL[[#This Row],[経過秒]]&lt;'17_分析サンプル'!$E$12),1,0)</f>
        <v>1</v>
      </c>
    </row>
    <row r="1413" spans="2:24" ht="14.4" x14ac:dyDescent="0.3">
      <c r="B1413" s="57">
        <v>1790816764704</v>
      </c>
      <c r="C1413" s="58">
        <v>140</v>
      </c>
      <c r="D1413" s="59" t="s">
        <v>1658</v>
      </c>
      <c r="E1413" s="59" t="s">
        <v>1577</v>
      </c>
      <c r="F1413" s="59" t="s">
        <v>2275</v>
      </c>
      <c r="G1413" s="59" t="s">
        <v>3586</v>
      </c>
      <c r="H1413" s="59" t="s">
        <v>2281</v>
      </c>
      <c r="I1413" s="59" t="b">
        <v>1</v>
      </c>
      <c r="J1413" s="59"/>
      <c r="K1413" s="58">
        <v>1846</v>
      </c>
      <c r="L1413" s="58">
        <v>1342</v>
      </c>
      <c r="M1413" s="59">
        <v>10</v>
      </c>
      <c r="N1413" s="59">
        <v>10</v>
      </c>
      <c r="O1413" s="59" t="s">
        <v>3578</v>
      </c>
      <c r="P1413" s="58">
        <v>138</v>
      </c>
      <c r="Q1413" s="59">
        <v>0</v>
      </c>
      <c r="R1413" s="59">
        <v>0</v>
      </c>
      <c r="S1413" s="60">
        <f>tblJTL[[#This Row],[timeStamp]]/86400000+DATE(1970,1,1)+TIME(9,0,0)</f>
        <v>46296.420887777778</v>
      </c>
      <c r="T1413" s="57">
        <f>tblJTL[[#This Row],[timeStamp]]+tblJTL[[#This Row],[elapsed]]</f>
        <v>1790816764844</v>
      </c>
      <c r="U1413" s="61">
        <f>(tblJTL[[#This Row],[timeStamp]]-'17_分析サンプル'!$E$18)/1000</f>
        <v>364.524</v>
      </c>
      <c r="V1413" s="57">
        <f>INT(tblJTL[[#This Row],[経過秒]]/60)</f>
        <v>6</v>
      </c>
      <c r="W1413" s="57">
        <f>IF(OR(tblJTL[[#This Row],[success]]=FALSE,tblJTL[[#This Row],[success]]="false"),1,0)</f>
        <v>0</v>
      </c>
      <c r="X1413" s="57">
        <f>IF(AND(tblJTL[[#This Row],[経過秒]]&gt;='17_分析サンプル'!$E$11,tblJTL[[#This Row],[経過秒]]&lt;'17_分析サンプル'!$E$12),1,0)</f>
        <v>1</v>
      </c>
    </row>
    <row r="1414" spans="2:24" ht="14.4" x14ac:dyDescent="0.3">
      <c r="B1414" s="57">
        <v>1790816764834</v>
      </c>
      <c r="C1414" s="58">
        <v>109</v>
      </c>
      <c r="D1414" s="59" t="s">
        <v>1658</v>
      </c>
      <c r="E1414" s="59" t="s">
        <v>1577</v>
      </c>
      <c r="F1414" s="59" t="s">
        <v>2275</v>
      </c>
      <c r="G1414" s="59" t="s">
        <v>3585</v>
      </c>
      <c r="H1414" s="59" t="s">
        <v>2281</v>
      </c>
      <c r="I1414" s="59" t="b">
        <v>1</v>
      </c>
      <c r="J1414" s="59"/>
      <c r="K1414" s="58">
        <v>1838</v>
      </c>
      <c r="L1414" s="58">
        <v>1342</v>
      </c>
      <c r="M1414" s="59">
        <v>10</v>
      </c>
      <c r="N1414" s="59">
        <v>10</v>
      </c>
      <c r="O1414" s="59" t="s">
        <v>3578</v>
      </c>
      <c r="P1414" s="58">
        <v>106</v>
      </c>
      <c r="Q1414" s="59">
        <v>0</v>
      </c>
      <c r="R1414" s="59">
        <v>0</v>
      </c>
      <c r="S1414" s="60">
        <f>tblJTL[[#This Row],[timeStamp]]/86400000+DATE(1970,1,1)+TIME(9,0,0)</f>
        <v>46296.42088928241</v>
      </c>
      <c r="T1414" s="57">
        <f>tblJTL[[#This Row],[timeStamp]]+tblJTL[[#This Row],[elapsed]]</f>
        <v>1790816764943</v>
      </c>
      <c r="U1414" s="61">
        <f>(tblJTL[[#This Row],[timeStamp]]-'17_分析サンプル'!$E$18)/1000</f>
        <v>364.654</v>
      </c>
      <c r="V1414" s="57">
        <f>INT(tblJTL[[#This Row],[経過秒]]/60)</f>
        <v>6</v>
      </c>
      <c r="W1414" s="57">
        <f>IF(OR(tblJTL[[#This Row],[success]]=FALSE,tblJTL[[#This Row],[success]]="false"),1,0)</f>
        <v>0</v>
      </c>
      <c r="X1414" s="57">
        <f>IF(AND(tblJTL[[#This Row],[経過秒]]&gt;='17_分析サンプル'!$E$11,tblJTL[[#This Row],[経過秒]]&lt;'17_分析サンプル'!$E$12),1,0)</f>
        <v>1</v>
      </c>
    </row>
    <row r="1415" spans="2:24" ht="14.4" x14ac:dyDescent="0.3">
      <c r="B1415" s="57">
        <v>1790816765112</v>
      </c>
      <c r="C1415" s="58">
        <v>176</v>
      </c>
      <c r="D1415" s="59" t="s">
        <v>1677</v>
      </c>
      <c r="E1415" s="59" t="s">
        <v>3579</v>
      </c>
      <c r="F1415" s="59" t="s">
        <v>3580</v>
      </c>
      <c r="G1415" s="59" t="s">
        <v>3583</v>
      </c>
      <c r="H1415" s="59" t="s">
        <v>2281</v>
      </c>
      <c r="I1415" s="59" t="b">
        <v>1</v>
      </c>
      <c r="J1415" s="59"/>
      <c r="K1415" s="58">
        <v>425</v>
      </c>
      <c r="L1415" s="58">
        <v>1478</v>
      </c>
      <c r="M1415" s="59">
        <v>10</v>
      </c>
      <c r="N1415" s="59">
        <v>10</v>
      </c>
      <c r="O1415" s="59" t="s">
        <v>3581</v>
      </c>
      <c r="P1415" s="58">
        <v>169</v>
      </c>
      <c r="Q1415" s="59">
        <v>0</v>
      </c>
      <c r="R1415" s="59">
        <v>0</v>
      </c>
      <c r="S1415" s="60">
        <f>tblJTL[[#This Row],[timeStamp]]/86400000+DATE(1970,1,1)+TIME(9,0,0)</f>
        <v>46296.420892499998</v>
      </c>
      <c r="T1415" s="57">
        <f>tblJTL[[#This Row],[timeStamp]]+tblJTL[[#This Row],[elapsed]]</f>
        <v>1790816765288</v>
      </c>
      <c r="U1415" s="61">
        <f>(tblJTL[[#This Row],[timeStamp]]-'17_分析サンプル'!$E$18)/1000</f>
        <v>364.93200000000002</v>
      </c>
      <c r="V1415" s="57">
        <f>INT(tblJTL[[#This Row],[経過秒]]/60)</f>
        <v>6</v>
      </c>
      <c r="W1415" s="57">
        <f>IF(OR(tblJTL[[#This Row],[success]]=FALSE,tblJTL[[#This Row],[success]]="false"),1,0)</f>
        <v>0</v>
      </c>
      <c r="X1415" s="57">
        <f>IF(AND(tblJTL[[#This Row],[経過秒]]&gt;='17_分析サンプル'!$E$11,tblJTL[[#This Row],[経過秒]]&lt;'17_分析サンプル'!$E$12),1,0)</f>
        <v>1</v>
      </c>
    </row>
    <row r="1416" spans="2:24" ht="14.4" x14ac:dyDescent="0.3">
      <c r="B1416" s="57">
        <v>1790816765280</v>
      </c>
      <c r="C1416" s="58">
        <v>118</v>
      </c>
      <c r="D1416" s="59" t="s">
        <v>1658</v>
      </c>
      <c r="E1416" s="59" t="s">
        <v>1577</v>
      </c>
      <c r="F1416" s="59" t="s">
        <v>2275</v>
      </c>
      <c r="G1416" s="59" t="s">
        <v>3588</v>
      </c>
      <c r="H1416" s="59" t="s">
        <v>2281</v>
      </c>
      <c r="I1416" s="59" t="b">
        <v>1</v>
      </c>
      <c r="J1416" s="59"/>
      <c r="K1416" s="58">
        <v>1878</v>
      </c>
      <c r="L1416" s="58">
        <v>1342</v>
      </c>
      <c r="M1416" s="59">
        <v>10</v>
      </c>
      <c r="N1416" s="59">
        <v>10</v>
      </c>
      <c r="O1416" s="59" t="s">
        <v>3578</v>
      </c>
      <c r="P1416" s="58">
        <v>110</v>
      </c>
      <c r="Q1416" s="59">
        <v>0</v>
      </c>
      <c r="R1416" s="59">
        <v>0</v>
      </c>
      <c r="S1416" s="60">
        <f>tblJTL[[#This Row],[timeStamp]]/86400000+DATE(1970,1,1)+TIME(9,0,0)</f>
        <v>46296.42089444444</v>
      </c>
      <c r="T1416" s="57">
        <f>tblJTL[[#This Row],[timeStamp]]+tblJTL[[#This Row],[elapsed]]</f>
        <v>1790816765398</v>
      </c>
      <c r="U1416" s="61">
        <f>(tblJTL[[#This Row],[timeStamp]]-'17_分析サンプル'!$E$18)/1000</f>
        <v>365.1</v>
      </c>
      <c r="V1416" s="57">
        <f>INT(tblJTL[[#This Row],[経過秒]]/60)</f>
        <v>6</v>
      </c>
      <c r="W1416" s="57">
        <f>IF(OR(tblJTL[[#This Row],[success]]=FALSE,tblJTL[[#This Row],[success]]="false"),1,0)</f>
        <v>0</v>
      </c>
      <c r="X1416" s="57">
        <f>IF(AND(tblJTL[[#This Row],[経過秒]]&gt;='17_分析サンプル'!$E$11,tblJTL[[#This Row],[経過秒]]&lt;'17_分析サンプル'!$E$12),1,0)</f>
        <v>1</v>
      </c>
    </row>
    <row r="1417" spans="2:24" ht="14.4" x14ac:dyDescent="0.3">
      <c r="B1417" s="57">
        <v>1790816765695</v>
      </c>
      <c r="C1417" s="58">
        <v>99</v>
      </c>
      <c r="D1417" s="59" t="s">
        <v>1677</v>
      </c>
      <c r="E1417" s="59" t="s">
        <v>3579</v>
      </c>
      <c r="F1417" s="59" t="s">
        <v>3580</v>
      </c>
      <c r="G1417" s="59" t="s">
        <v>3587</v>
      </c>
      <c r="H1417" s="59" t="s">
        <v>2281</v>
      </c>
      <c r="I1417" s="59" t="b">
        <v>1</v>
      </c>
      <c r="J1417" s="59"/>
      <c r="K1417" s="58">
        <v>424</v>
      </c>
      <c r="L1417" s="58">
        <v>1478</v>
      </c>
      <c r="M1417" s="59">
        <v>10</v>
      </c>
      <c r="N1417" s="59">
        <v>10</v>
      </c>
      <c r="O1417" s="59" t="s">
        <v>3581</v>
      </c>
      <c r="P1417" s="58">
        <v>91</v>
      </c>
      <c r="Q1417" s="59">
        <v>0</v>
      </c>
      <c r="R1417" s="59">
        <v>0</v>
      </c>
      <c r="S1417" s="60">
        <f>tblJTL[[#This Row],[timeStamp]]/86400000+DATE(1970,1,1)+TIME(9,0,0)</f>
        <v>46296.420899247685</v>
      </c>
      <c r="T1417" s="57">
        <f>tblJTL[[#This Row],[timeStamp]]+tblJTL[[#This Row],[elapsed]]</f>
        <v>1790816765794</v>
      </c>
      <c r="U1417" s="61">
        <f>(tblJTL[[#This Row],[timeStamp]]-'17_分析サンプル'!$E$18)/1000</f>
        <v>365.51499999999999</v>
      </c>
      <c r="V1417" s="57">
        <f>INT(tblJTL[[#This Row],[経過秒]]/60)</f>
        <v>6</v>
      </c>
      <c r="W1417" s="57">
        <f>IF(OR(tblJTL[[#This Row],[success]]=FALSE,tblJTL[[#This Row],[success]]="false"),1,0)</f>
        <v>0</v>
      </c>
      <c r="X1417" s="57">
        <f>IF(AND(tblJTL[[#This Row],[経過秒]]&gt;='17_分析サンプル'!$E$11,tblJTL[[#This Row],[経過秒]]&lt;'17_分析サンプル'!$E$12),1,0)</f>
        <v>1</v>
      </c>
    </row>
    <row r="1418" spans="2:24" ht="14.4" x14ac:dyDescent="0.3">
      <c r="B1418" s="57">
        <v>1790816765710</v>
      </c>
      <c r="C1418" s="58">
        <v>283</v>
      </c>
      <c r="D1418" s="59" t="s">
        <v>1677</v>
      </c>
      <c r="E1418" s="59" t="s">
        <v>3579</v>
      </c>
      <c r="F1418" s="59" t="s">
        <v>3580</v>
      </c>
      <c r="G1418" s="59" t="s">
        <v>3589</v>
      </c>
      <c r="H1418" s="59" t="s">
        <v>2281</v>
      </c>
      <c r="I1418" s="59" t="b">
        <v>1</v>
      </c>
      <c r="J1418" s="59"/>
      <c r="K1418" s="58">
        <v>432</v>
      </c>
      <c r="L1418" s="58">
        <v>1478</v>
      </c>
      <c r="M1418" s="59">
        <v>10</v>
      </c>
      <c r="N1418" s="59">
        <v>10</v>
      </c>
      <c r="O1418" s="59" t="s">
        <v>3581</v>
      </c>
      <c r="P1418" s="58">
        <v>278</v>
      </c>
      <c r="Q1418" s="59">
        <v>0</v>
      </c>
      <c r="R1418" s="59">
        <v>0</v>
      </c>
      <c r="S1418" s="60">
        <f>tblJTL[[#This Row],[timeStamp]]/86400000+DATE(1970,1,1)+TIME(9,0,0)</f>
        <v>46296.420899421297</v>
      </c>
      <c r="T1418" s="57">
        <f>tblJTL[[#This Row],[timeStamp]]+tblJTL[[#This Row],[elapsed]]</f>
        <v>1790816765993</v>
      </c>
      <c r="U1418" s="61">
        <f>(tblJTL[[#This Row],[timeStamp]]-'17_分析サンプル'!$E$18)/1000</f>
        <v>365.53</v>
      </c>
      <c r="V1418" s="57">
        <f>INT(tblJTL[[#This Row],[経過秒]]/60)</f>
        <v>6</v>
      </c>
      <c r="W1418" s="57">
        <f>IF(OR(tblJTL[[#This Row],[success]]=FALSE,tblJTL[[#This Row],[success]]="false"),1,0)</f>
        <v>0</v>
      </c>
      <c r="X1418" s="57">
        <f>IF(AND(tblJTL[[#This Row],[経過秒]]&gt;='17_分析サンプル'!$E$11,tblJTL[[#This Row],[経過秒]]&lt;'17_分析サンプル'!$E$12),1,0)</f>
        <v>1</v>
      </c>
    </row>
    <row r="1419" spans="2:24" ht="14.4" x14ac:dyDescent="0.3">
      <c r="B1419" s="57">
        <v>1790816765881</v>
      </c>
      <c r="C1419" s="58">
        <v>132</v>
      </c>
      <c r="D1419" s="59" t="s">
        <v>1658</v>
      </c>
      <c r="E1419" s="59" t="s">
        <v>1577</v>
      </c>
      <c r="F1419" s="59" t="s">
        <v>2275</v>
      </c>
      <c r="G1419" s="59" t="s">
        <v>3582</v>
      </c>
      <c r="H1419" s="59" t="s">
        <v>2281</v>
      </c>
      <c r="I1419" s="59" t="b">
        <v>1</v>
      </c>
      <c r="J1419" s="59"/>
      <c r="K1419" s="58">
        <v>1847</v>
      </c>
      <c r="L1419" s="58">
        <v>1342</v>
      </c>
      <c r="M1419" s="59">
        <v>10</v>
      </c>
      <c r="N1419" s="59">
        <v>10</v>
      </c>
      <c r="O1419" s="59" t="s">
        <v>3578</v>
      </c>
      <c r="P1419" s="58">
        <v>125</v>
      </c>
      <c r="Q1419" s="59">
        <v>0</v>
      </c>
      <c r="R1419" s="59">
        <v>0</v>
      </c>
      <c r="S1419" s="60">
        <f>tblJTL[[#This Row],[timeStamp]]/86400000+DATE(1970,1,1)+TIME(9,0,0)</f>
        <v>46296.420901400459</v>
      </c>
      <c r="T1419" s="57">
        <f>tblJTL[[#This Row],[timeStamp]]+tblJTL[[#This Row],[elapsed]]</f>
        <v>1790816766013</v>
      </c>
      <c r="U1419" s="61">
        <f>(tblJTL[[#This Row],[timeStamp]]-'17_分析サンプル'!$E$18)/1000</f>
        <v>365.70100000000002</v>
      </c>
      <c r="V1419" s="57">
        <f>INT(tblJTL[[#This Row],[経過秒]]/60)</f>
        <v>6</v>
      </c>
      <c r="W1419" s="57">
        <f>IF(OR(tblJTL[[#This Row],[success]]=FALSE,tblJTL[[#This Row],[success]]="false"),1,0)</f>
        <v>0</v>
      </c>
      <c r="X1419" s="57">
        <f>IF(AND(tblJTL[[#This Row],[経過秒]]&gt;='17_分析サンプル'!$E$11,tblJTL[[#This Row],[経過秒]]&lt;'17_分析サンプル'!$E$12),1,0)</f>
        <v>1</v>
      </c>
    </row>
    <row r="1420" spans="2:24" ht="14.4" x14ac:dyDescent="0.3">
      <c r="B1420" s="57">
        <v>1790816765732</v>
      </c>
      <c r="C1420" s="58">
        <v>301</v>
      </c>
      <c r="D1420" s="59" t="s">
        <v>1677</v>
      </c>
      <c r="E1420" s="59" t="s">
        <v>3579</v>
      </c>
      <c r="F1420" s="59" t="s">
        <v>3580</v>
      </c>
      <c r="G1420" s="59" t="s">
        <v>3577</v>
      </c>
      <c r="H1420" s="59" t="s">
        <v>2281</v>
      </c>
      <c r="I1420" s="59" t="b">
        <v>1</v>
      </c>
      <c r="J1420" s="59"/>
      <c r="K1420" s="58">
        <v>421</v>
      </c>
      <c r="L1420" s="58">
        <v>1478</v>
      </c>
      <c r="M1420" s="59">
        <v>10</v>
      </c>
      <c r="N1420" s="59">
        <v>10</v>
      </c>
      <c r="O1420" s="59" t="s">
        <v>3581</v>
      </c>
      <c r="P1420" s="58">
        <v>296</v>
      </c>
      <c r="Q1420" s="59">
        <v>0</v>
      </c>
      <c r="R1420" s="59">
        <v>65</v>
      </c>
      <c r="S1420" s="60">
        <f>tblJTL[[#This Row],[timeStamp]]/86400000+DATE(1970,1,1)+TIME(9,0,0)</f>
        <v>46296.420899675926</v>
      </c>
      <c r="T1420" s="57">
        <f>tblJTL[[#This Row],[timeStamp]]+tblJTL[[#This Row],[elapsed]]</f>
        <v>1790816766033</v>
      </c>
      <c r="U1420" s="61">
        <f>(tblJTL[[#This Row],[timeStamp]]-'17_分析サンプル'!$E$18)/1000</f>
        <v>365.55200000000002</v>
      </c>
      <c r="V1420" s="57">
        <f>INT(tblJTL[[#This Row],[経過秒]]/60)</f>
        <v>6</v>
      </c>
      <c r="W1420" s="57">
        <f>IF(OR(tblJTL[[#This Row],[success]]=FALSE,tblJTL[[#This Row],[success]]="false"),1,0)</f>
        <v>0</v>
      </c>
      <c r="X1420" s="57">
        <f>IF(AND(tblJTL[[#This Row],[経過秒]]&gt;='17_分析サンプル'!$E$11,tblJTL[[#This Row],[経過秒]]&lt;'17_分析サンプル'!$E$12),1,0)</f>
        <v>1</v>
      </c>
    </row>
    <row r="1421" spans="2:24" ht="14.4" x14ac:dyDescent="0.3">
      <c r="B1421" s="57">
        <v>1790816766373</v>
      </c>
      <c r="C1421" s="58">
        <v>221</v>
      </c>
      <c r="D1421" s="59" t="s">
        <v>1677</v>
      </c>
      <c r="E1421" s="59" t="s">
        <v>3579</v>
      </c>
      <c r="F1421" s="59" t="s">
        <v>3580</v>
      </c>
      <c r="G1421" s="59" t="s">
        <v>3584</v>
      </c>
      <c r="H1421" s="59" t="s">
        <v>2281</v>
      </c>
      <c r="I1421" s="59" t="b">
        <v>1</v>
      </c>
      <c r="J1421" s="59"/>
      <c r="K1421" s="58">
        <v>413</v>
      </c>
      <c r="L1421" s="58">
        <v>1478</v>
      </c>
      <c r="M1421" s="59">
        <v>10</v>
      </c>
      <c r="N1421" s="59">
        <v>10</v>
      </c>
      <c r="O1421" s="59" t="s">
        <v>3581</v>
      </c>
      <c r="P1421" s="58">
        <v>214</v>
      </c>
      <c r="Q1421" s="59">
        <v>0</v>
      </c>
      <c r="R1421" s="59">
        <v>0</v>
      </c>
      <c r="S1421" s="60">
        <f>tblJTL[[#This Row],[timeStamp]]/86400000+DATE(1970,1,1)+TIME(9,0,0)</f>
        <v>46296.420907094907</v>
      </c>
      <c r="T1421" s="57">
        <f>tblJTL[[#This Row],[timeStamp]]+tblJTL[[#This Row],[elapsed]]</f>
        <v>1790816766594</v>
      </c>
      <c r="U1421" s="61">
        <f>(tblJTL[[#This Row],[timeStamp]]-'17_分析サンプル'!$E$18)/1000</f>
        <v>366.19299999999998</v>
      </c>
      <c r="V1421" s="57">
        <f>INT(tblJTL[[#This Row],[経過秒]]/60)</f>
        <v>6</v>
      </c>
      <c r="W1421" s="57">
        <f>IF(OR(tblJTL[[#This Row],[success]]=FALSE,tblJTL[[#This Row],[success]]="false"),1,0)</f>
        <v>0</v>
      </c>
      <c r="X1421" s="57">
        <f>IF(AND(tblJTL[[#This Row],[経過秒]]&gt;='17_分析サンプル'!$E$11,tblJTL[[#This Row],[経過秒]]&lt;'17_分析サンプル'!$E$12),1,0)</f>
        <v>1</v>
      </c>
    </row>
    <row r="1422" spans="2:24" ht="14.4" x14ac:dyDescent="0.3">
      <c r="B1422" s="57">
        <v>1790816766374</v>
      </c>
      <c r="C1422" s="58">
        <v>220</v>
      </c>
      <c r="D1422" s="59" t="s">
        <v>1677</v>
      </c>
      <c r="E1422" s="59" t="s">
        <v>3579</v>
      </c>
      <c r="F1422" s="59" t="s">
        <v>3580</v>
      </c>
      <c r="G1422" s="59" t="s">
        <v>2278</v>
      </c>
      <c r="H1422" s="59" t="s">
        <v>2281</v>
      </c>
      <c r="I1422" s="59" t="b">
        <v>1</v>
      </c>
      <c r="J1422" s="59"/>
      <c r="K1422" s="58">
        <v>417</v>
      </c>
      <c r="L1422" s="58">
        <v>1478</v>
      </c>
      <c r="M1422" s="59">
        <v>10</v>
      </c>
      <c r="N1422" s="59">
        <v>10</v>
      </c>
      <c r="O1422" s="59" t="s">
        <v>3581</v>
      </c>
      <c r="P1422" s="58">
        <v>215</v>
      </c>
      <c r="Q1422" s="59">
        <v>0</v>
      </c>
      <c r="R1422" s="59">
        <v>0</v>
      </c>
      <c r="S1422" s="60">
        <f>tblJTL[[#This Row],[timeStamp]]/86400000+DATE(1970,1,1)+TIME(9,0,0)</f>
        <v>46296.420907106483</v>
      </c>
      <c r="T1422" s="57">
        <f>tblJTL[[#This Row],[timeStamp]]+tblJTL[[#This Row],[elapsed]]</f>
        <v>1790816766594</v>
      </c>
      <c r="U1422" s="61">
        <f>(tblJTL[[#This Row],[timeStamp]]-'17_分析サンプル'!$E$18)/1000</f>
        <v>366.19400000000002</v>
      </c>
      <c r="V1422" s="57">
        <f>INT(tblJTL[[#This Row],[経過秒]]/60)</f>
        <v>6</v>
      </c>
      <c r="W1422" s="57">
        <f>IF(OR(tblJTL[[#This Row],[success]]=FALSE,tblJTL[[#This Row],[success]]="false"),1,0)</f>
        <v>0</v>
      </c>
      <c r="X1422" s="57">
        <f>IF(AND(tblJTL[[#This Row],[経過秒]]&gt;='17_分析サンプル'!$E$11,tblJTL[[#This Row],[経過秒]]&lt;'17_分析サンプル'!$E$12),1,0)</f>
        <v>1</v>
      </c>
    </row>
    <row r="1423" spans="2:24" ht="14.4" x14ac:dyDescent="0.3">
      <c r="B1423" s="57">
        <v>1790816766486</v>
      </c>
      <c r="C1423" s="58">
        <v>167</v>
      </c>
      <c r="D1423" s="59" t="s">
        <v>1677</v>
      </c>
      <c r="E1423" s="59" t="s">
        <v>3579</v>
      </c>
      <c r="F1423" s="59" t="s">
        <v>3580</v>
      </c>
      <c r="G1423" s="59" t="s">
        <v>3585</v>
      </c>
      <c r="H1423" s="59" t="s">
        <v>2281</v>
      </c>
      <c r="I1423" s="59" t="b">
        <v>1</v>
      </c>
      <c r="J1423" s="59"/>
      <c r="K1423" s="58">
        <v>422</v>
      </c>
      <c r="L1423" s="58">
        <v>1478</v>
      </c>
      <c r="M1423" s="59">
        <v>10</v>
      </c>
      <c r="N1423" s="59">
        <v>10</v>
      </c>
      <c r="O1423" s="59" t="s">
        <v>3581</v>
      </c>
      <c r="P1423" s="58">
        <v>161</v>
      </c>
      <c r="Q1423" s="59">
        <v>0</v>
      </c>
      <c r="R1423" s="59">
        <v>0</v>
      </c>
      <c r="S1423" s="60">
        <f>tblJTL[[#This Row],[timeStamp]]/86400000+DATE(1970,1,1)+TIME(9,0,0)</f>
        <v>46296.420908402783</v>
      </c>
      <c r="T1423" s="57">
        <f>tblJTL[[#This Row],[timeStamp]]+tblJTL[[#This Row],[elapsed]]</f>
        <v>1790816766653</v>
      </c>
      <c r="U1423" s="61">
        <f>(tblJTL[[#This Row],[timeStamp]]-'17_分析サンプル'!$E$18)/1000</f>
        <v>366.30599999999998</v>
      </c>
      <c r="V1423" s="57">
        <f>INT(tblJTL[[#This Row],[経過秒]]/60)</f>
        <v>6</v>
      </c>
      <c r="W1423" s="57">
        <f>IF(OR(tblJTL[[#This Row],[success]]=FALSE,tblJTL[[#This Row],[success]]="false"),1,0)</f>
        <v>0</v>
      </c>
      <c r="X1423" s="57">
        <f>IF(AND(tblJTL[[#This Row],[経過秒]]&gt;='17_分析サンプル'!$E$11,tblJTL[[#This Row],[経過秒]]&lt;'17_分析サンプル'!$E$12),1,0)</f>
        <v>1</v>
      </c>
    </row>
    <row r="1424" spans="2:24" ht="14.4" x14ac:dyDescent="0.3">
      <c r="B1424" s="57">
        <v>1790816766614</v>
      </c>
      <c r="C1424" s="58">
        <v>88</v>
      </c>
      <c r="D1424" s="59" t="s">
        <v>1658</v>
      </c>
      <c r="E1424" s="59" t="s">
        <v>1577</v>
      </c>
      <c r="F1424" s="59" t="s">
        <v>2275</v>
      </c>
      <c r="G1424" s="59" t="s">
        <v>3583</v>
      </c>
      <c r="H1424" s="59" t="s">
        <v>2281</v>
      </c>
      <c r="I1424" s="59" t="b">
        <v>1</v>
      </c>
      <c r="J1424" s="59"/>
      <c r="K1424" s="58">
        <v>1899</v>
      </c>
      <c r="L1424" s="58">
        <v>1342</v>
      </c>
      <c r="M1424" s="59">
        <v>10</v>
      </c>
      <c r="N1424" s="59">
        <v>10</v>
      </c>
      <c r="O1424" s="59" t="s">
        <v>3578</v>
      </c>
      <c r="P1424" s="58">
        <v>85</v>
      </c>
      <c r="Q1424" s="59">
        <v>0</v>
      </c>
      <c r="R1424" s="59">
        <v>0</v>
      </c>
      <c r="S1424" s="60">
        <f>tblJTL[[#This Row],[timeStamp]]/86400000+DATE(1970,1,1)+TIME(9,0,0)</f>
        <v>46296.420909884255</v>
      </c>
      <c r="T1424" s="57">
        <f>tblJTL[[#This Row],[timeStamp]]+tblJTL[[#This Row],[elapsed]]</f>
        <v>1790816766702</v>
      </c>
      <c r="U1424" s="61">
        <f>(tblJTL[[#This Row],[timeStamp]]-'17_分析サンプル'!$E$18)/1000</f>
        <v>366.43400000000003</v>
      </c>
      <c r="V1424" s="57">
        <f>INT(tblJTL[[#This Row],[経過秒]]/60)</f>
        <v>6</v>
      </c>
      <c r="W1424" s="57">
        <f>IF(OR(tblJTL[[#This Row],[success]]=FALSE,tblJTL[[#This Row],[success]]="false"),1,0)</f>
        <v>0</v>
      </c>
      <c r="X1424" s="57">
        <f>IF(AND(tblJTL[[#This Row],[経過秒]]&gt;='17_分析サンプル'!$E$11,tblJTL[[#This Row],[経過秒]]&lt;'17_分析サンプル'!$E$12),1,0)</f>
        <v>1</v>
      </c>
    </row>
    <row r="1425" spans="2:24" ht="14.4" x14ac:dyDescent="0.3">
      <c r="B1425" s="57">
        <v>1790816766945</v>
      </c>
      <c r="C1425" s="58">
        <v>238</v>
      </c>
      <c r="D1425" s="59" t="s">
        <v>1677</v>
      </c>
      <c r="E1425" s="59" t="s">
        <v>3579</v>
      </c>
      <c r="F1425" s="59" t="s">
        <v>3580</v>
      </c>
      <c r="G1425" s="59" t="s">
        <v>3586</v>
      </c>
      <c r="H1425" s="59" t="s">
        <v>2281</v>
      </c>
      <c r="I1425" s="59" t="b">
        <v>1</v>
      </c>
      <c r="J1425" s="59"/>
      <c r="K1425" s="58">
        <v>420</v>
      </c>
      <c r="L1425" s="58">
        <v>1478</v>
      </c>
      <c r="M1425" s="59">
        <v>10</v>
      </c>
      <c r="N1425" s="59">
        <v>10</v>
      </c>
      <c r="O1425" s="59" t="s">
        <v>3581</v>
      </c>
      <c r="P1425" s="58">
        <v>232</v>
      </c>
      <c r="Q1425" s="59">
        <v>0</v>
      </c>
      <c r="R1425" s="59">
        <v>0</v>
      </c>
      <c r="S1425" s="60">
        <f>tblJTL[[#This Row],[timeStamp]]/86400000+DATE(1970,1,1)+TIME(9,0,0)</f>
        <v>46296.420913715279</v>
      </c>
      <c r="T1425" s="57">
        <f>tblJTL[[#This Row],[timeStamp]]+tblJTL[[#This Row],[elapsed]]</f>
        <v>1790816767183</v>
      </c>
      <c r="U1425" s="61">
        <f>(tblJTL[[#This Row],[timeStamp]]-'17_分析サンプル'!$E$18)/1000</f>
        <v>366.76499999999999</v>
      </c>
      <c r="V1425" s="57">
        <f>INT(tblJTL[[#This Row],[経過秒]]/60)</f>
        <v>6</v>
      </c>
      <c r="W1425" s="57">
        <f>IF(OR(tblJTL[[#This Row],[success]]=FALSE,tblJTL[[#This Row],[success]]="false"),1,0)</f>
        <v>0</v>
      </c>
      <c r="X1425" s="57">
        <f>IF(AND(tblJTL[[#This Row],[経過秒]]&gt;='17_分析サンプル'!$E$11,tblJTL[[#This Row],[経過秒]]&lt;'17_分析サンプル'!$E$12),1,0)</f>
        <v>1</v>
      </c>
    </row>
    <row r="1426" spans="2:24" ht="14.4" x14ac:dyDescent="0.3">
      <c r="B1426" s="57">
        <v>1790816767669</v>
      </c>
      <c r="C1426" s="58">
        <v>159</v>
      </c>
      <c r="D1426" s="59" t="s">
        <v>1677</v>
      </c>
      <c r="E1426" s="59" t="s">
        <v>3579</v>
      </c>
      <c r="F1426" s="59" t="s">
        <v>3580</v>
      </c>
      <c r="G1426" s="59" t="s">
        <v>3588</v>
      </c>
      <c r="H1426" s="59" t="s">
        <v>2281</v>
      </c>
      <c r="I1426" s="59" t="b">
        <v>1</v>
      </c>
      <c r="J1426" s="59"/>
      <c r="K1426" s="58">
        <v>420</v>
      </c>
      <c r="L1426" s="58">
        <v>1478</v>
      </c>
      <c r="M1426" s="59">
        <v>10</v>
      </c>
      <c r="N1426" s="59">
        <v>10</v>
      </c>
      <c r="O1426" s="59" t="s">
        <v>3581</v>
      </c>
      <c r="P1426" s="58">
        <v>152</v>
      </c>
      <c r="Q1426" s="59">
        <v>0</v>
      </c>
      <c r="R1426" s="59">
        <v>0</v>
      </c>
      <c r="S1426" s="60">
        <f>tblJTL[[#This Row],[timeStamp]]/86400000+DATE(1970,1,1)+TIME(9,0,0)</f>
        <v>46296.420922094912</v>
      </c>
      <c r="T1426" s="57">
        <f>tblJTL[[#This Row],[timeStamp]]+tblJTL[[#This Row],[elapsed]]</f>
        <v>1790816767828</v>
      </c>
      <c r="U1426" s="61">
        <f>(tblJTL[[#This Row],[timeStamp]]-'17_分析サンプル'!$E$18)/1000</f>
        <v>367.48899999999998</v>
      </c>
      <c r="V1426" s="57">
        <f>INT(tblJTL[[#This Row],[経過秒]]/60)</f>
        <v>6</v>
      </c>
      <c r="W1426" s="57">
        <f>IF(OR(tblJTL[[#This Row],[success]]=FALSE,tblJTL[[#This Row],[success]]="false"),1,0)</f>
        <v>0</v>
      </c>
      <c r="X1426" s="57">
        <f>IF(AND(tblJTL[[#This Row],[経過秒]]&gt;='17_分析サンプル'!$E$11,tblJTL[[#This Row],[経過秒]]&lt;'17_分析サンプル'!$E$12),1,0)</f>
        <v>1</v>
      </c>
    </row>
    <row r="1427" spans="2:24" ht="14.4" x14ac:dyDescent="0.3">
      <c r="B1427" s="57">
        <v>1790816767773</v>
      </c>
      <c r="C1427" s="58">
        <v>81</v>
      </c>
      <c r="D1427" s="59" t="s">
        <v>1658</v>
      </c>
      <c r="E1427" s="59" t="s">
        <v>1577</v>
      </c>
      <c r="F1427" s="59" t="s">
        <v>2275</v>
      </c>
      <c r="G1427" s="59" t="s">
        <v>3584</v>
      </c>
      <c r="H1427" s="59" t="s">
        <v>2281</v>
      </c>
      <c r="I1427" s="59" t="b">
        <v>1</v>
      </c>
      <c r="J1427" s="59"/>
      <c r="K1427" s="58">
        <v>1877</v>
      </c>
      <c r="L1427" s="58">
        <v>1342</v>
      </c>
      <c r="M1427" s="59">
        <v>10</v>
      </c>
      <c r="N1427" s="59">
        <v>10</v>
      </c>
      <c r="O1427" s="59" t="s">
        <v>3578</v>
      </c>
      <c r="P1427" s="58">
        <v>74</v>
      </c>
      <c r="Q1427" s="59">
        <v>0</v>
      </c>
      <c r="R1427" s="59">
        <v>0</v>
      </c>
      <c r="S1427" s="60">
        <f>tblJTL[[#This Row],[timeStamp]]/86400000+DATE(1970,1,1)+TIME(9,0,0)</f>
        <v>46296.42092329861</v>
      </c>
      <c r="T1427" s="57">
        <f>tblJTL[[#This Row],[timeStamp]]+tblJTL[[#This Row],[elapsed]]</f>
        <v>1790816767854</v>
      </c>
      <c r="U1427" s="61">
        <f>(tblJTL[[#This Row],[timeStamp]]-'17_分析サンプル'!$E$18)/1000</f>
        <v>367.59300000000002</v>
      </c>
      <c r="V1427" s="57">
        <f>INT(tblJTL[[#This Row],[経過秒]]/60)</f>
        <v>6</v>
      </c>
      <c r="W1427" s="57">
        <f>IF(OR(tblJTL[[#This Row],[success]]=FALSE,tblJTL[[#This Row],[success]]="false"),1,0)</f>
        <v>0</v>
      </c>
      <c r="X1427" s="57">
        <f>IF(AND(tblJTL[[#This Row],[経過秒]]&gt;='17_分析サンプル'!$E$11,tblJTL[[#This Row],[経過秒]]&lt;'17_分析サンプル'!$E$12),1,0)</f>
        <v>1</v>
      </c>
    </row>
    <row r="1428" spans="2:24" ht="14.4" x14ac:dyDescent="0.3">
      <c r="B1428" s="57">
        <v>1790816767739</v>
      </c>
      <c r="C1428" s="58">
        <v>228</v>
      </c>
      <c r="D1428" s="59" t="s">
        <v>1677</v>
      </c>
      <c r="E1428" s="59" t="s">
        <v>3579</v>
      </c>
      <c r="F1428" s="59" t="s">
        <v>3580</v>
      </c>
      <c r="G1428" s="59" t="s">
        <v>3583</v>
      </c>
      <c r="H1428" s="59" t="s">
        <v>2281</v>
      </c>
      <c r="I1428" s="59" t="b">
        <v>1</v>
      </c>
      <c r="J1428" s="59"/>
      <c r="K1428" s="58">
        <v>414</v>
      </c>
      <c r="L1428" s="58">
        <v>1478</v>
      </c>
      <c r="M1428" s="59">
        <v>10</v>
      </c>
      <c r="N1428" s="59">
        <v>10</v>
      </c>
      <c r="O1428" s="59" t="s">
        <v>3581</v>
      </c>
      <c r="P1428" s="58">
        <v>221</v>
      </c>
      <c r="Q1428" s="59">
        <v>0</v>
      </c>
      <c r="R1428" s="59">
        <v>0</v>
      </c>
      <c r="S1428" s="60">
        <f>tblJTL[[#This Row],[timeStamp]]/86400000+DATE(1970,1,1)+TIME(9,0,0)</f>
        <v>46296.42092290509</v>
      </c>
      <c r="T1428" s="57">
        <f>tblJTL[[#This Row],[timeStamp]]+tblJTL[[#This Row],[elapsed]]</f>
        <v>1790816767967</v>
      </c>
      <c r="U1428" s="61">
        <f>(tblJTL[[#This Row],[timeStamp]]-'17_分析サンプル'!$E$18)/1000</f>
        <v>367.55900000000003</v>
      </c>
      <c r="V1428" s="57">
        <f>INT(tblJTL[[#This Row],[経過秒]]/60)</f>
        <v>6</v>
      </c>
      <c r="W1428" s="57">
        <f>IF(OR(tblJTL[[#This Row],[success]]=FALSE,tblJTL[[#This Row],[success]]="false"),1,0)</f>
        <v>0</v>
      </c>
      <c r="X1428" s="57">
        <f>IF(AND(tblJTL[[#This Row],[経過秒]]&gt;='17_分析サンプル'!$E$11,tblJTL[[#This Row],[経過秒]]&lt;'17_分析サンプル'!$E$12),1,0)</f>
        <v>1</v>
      </c>
    </row>
    <row r="1429" spans="2:24" ht="14.4" x14ac:dyDescent="0.3">
      <c r="B1429" s="57">
        <v>1790816768373</v>
      </c>
      <c r="C1429" s="58">
        <v>79</v>
      </c>
      <c r="D1429" s="59" t="s">
        <v>1658</v>
      </c>
      <c r="E1429" s="59" t="s">
        <v>1577</v>
      </c>
      <c r="F1429" s="59" t="s">
        <v>2275</v>
      </c>
      <c r="G1429" s="59" t="s">
        <v>2278</v>
      </c>
      <c r="H1429" s="59" t="s">
        <v>2281</v>
      </c>
      <c r="I1429" s="59" t="b">
        <v>1</v>
      </c>
      <c r="J1429" s="59"/>
      <c r="K1429" s="58">
        <v>1894</v>
      </c>
      <c r="L1429" s="58">
        <v>1342</v>
      </c>
      <c r="M1429" s="59">
        <v>10</v>
      </c>
      <c r="N1429" s="59">
        <v>10</v>
      </c>
      <c r="O1429" s="59" t="s">
        <v>3578</v>
      </c>
      <c r="P1429" s="58">
        <v>74</v>
      </c>
      <c r="Q1429" s="59">
        <v>0</v>
      </c>
      <c r="R1429" s="59">
        <v>0</v>
      </c>
      <c r="S1429" s="60">
        <f>tblJTL[[#This Row],[timeStamp]]/86400000+DATE(1970,1,1)+TIME(9,0,0)</f>
        <v>46296.420930243054</v>
      </c>
      <c r="T1429" s="57">
        <f>tblJTL[[#This Row],[timeStamp]]+tblJTL[[#This Row],[elapsed]]</f>
        <v>1790816768452</v>
      </c>
      <c r="U1429" s="61">
        <f>(tblJTL[[#This Row],[timeStamp]]-'17_分析サンプル'!$E$18)/1000</f>
        <v>368.19299999999998</v>
      </c>
      <c r="V1429" s="57">
        <f>INT(tblJTL[[#This Row],[経過秒]]/60)</f>
        <v>6</v>
      </c>
      <c r="W1429" s="57">
        <f>IF(OR(tblJTL[[#This Row],[success]]=FALSE,tblJTL[[#This Row],[success]]="false"),1,0)</f>
        <v>0</v>
      </c>
      <c r="X1429" s="57">
        <f>IF(AND(tblJTL[[#This Row],[経過秒]]&gt;='17_分析サンプル'!$E$11,tblJTL[[#This Row],[経過秒]]&lt;'17_分析サンプル'!$E$12),1,0)</f>
        <v>1</v>
      </c>
    </row>
    <row r="1430" spans="2:24" ht="14.4" x14ac:dyDescent="0.3">
      <c r="B1430" s="57">
        <v>1790816768357</v>
      </c>
      <c r="C1430" s="58">
        <v>103</v>
      </c>
      <c r="D1430" s="59" t="s">
        <v>1658</v>
      </c>
      <c r="E1430" s="59" t="s">
        <v>1577</v>
      </c>
      <c r="F1430" s="59" t="s">
        <v>2275</v>
      </c>
      <c r="G1430" s="59" t="s">
        <v>3587</v>
      </c>
      <c r="H1430" s="59" t="s">
        <v>2281</v>
      </c>
      <c r="I1430" s="59" t="b">
        <v>1</v>
      </c>
      <c r="J1430" s="59"/>
      <c r="K1430" s="58">
        <v>1835</v>
      </c>
      <c r="L1430" s="58">
        <v>1342</v>
      </c>
      <c r="M1430" s="59">
        <v>10</v>
      </c>
      <c r="N1430" s="59">
        <v>10</v>
      </c>
      <c r="O1430" s="59" t="s">
        <v>3578</v>
      </c>
      <c r="P1430" s="58">
        <v>96</v>
      </c>
      <c r="Q1430" s="59">
        <v>0</v>
      </c>
      <c r="R1430" s="59">
        <v>0</v>
      </c>
      <c r="S1430" s="60">
        <f>tblJTL[[#This Row],[timeStamp]]/86400000+DATE(1970,1,1)+TIME(9,0,0)</f>
        <v>46296.420930057866</v>
      </c>
      <c r="T1430" s="57">
        <f>tblJTL[[#This Row],[timeStamp]]+tblJTL[[#This Row],[elapsed]]</f>
        <v>1790816768460</v>
      </c>
      <c r="U1430" s="61">
        <f>(tblJTL[[#This Row],[timeStamp]]-'17_分析サンプル'!$E$18)/1000</f>
        <v>368.17700000000002</v>
      </c>
      <c r="V1430" s="57">
        <f>INT(tblJTL[[#This Row],[経過秒]]/60)</f>
        <v>6</v>
      </c>
      <c r="W1430" s="57">
        <f>IF(OR(tblJTL[[#This Row],[success]]=FALSE,tblJTL[[#This Row],[success]]="false"),1,0)</f>
        <v>0</v>
      </c>
      <c r="X1430" s="57">
        <f>IF(AND(tblJTL[[#This Row],[経過秒]]&gt;='17_分析サンプル'!$E$11,tblJTL[[#This Row],[経過秒]]&lt;'17_分析サンプル'!$E$12),1,0)</f>
        <v>1</v>
      </c>
    </row>
    <row r="1431" spans="2:24" ht="14.4" x14ac:dyDescent="0.3">
      <c r="B1431" s="57">
        <v>1790816768421</v>
      </c>
      <c r="C1431" s="58">
        <v>120</v>
      </c>
      <c r="D1431" s="59" t="s">
        <v>1658</v>
      </c>
      <c r="E1431" s="59" t="s">
        <v>1577</v>
      </c>
      <c r="F1431" s="59" t="s">
        <v>2275</v>
      </c>
      <c r="G1431" s="59" t="s">
        <v>3577</v>
      </c>
      <c r="H1431" s="59" t="s">
        <v>2281</v>
      </c>
      <c r="I1431" s="59" t="b">
        <v>1</v>
      </c>
      <c r="J1431" s="59"/>
      <c r="K1431" s="58">
        <v>1880</v>
      </c>
      <c r="L1431" s="58">
        <v>1342</v>
      </c>
      <c r="M1431" s="59">
        <v>10</v>
      </c>
      <c r="N1431" s="59">
        <v>10</v>
      </c>
      <c r="O1431" s="59" t="s">
        <v>3578</v>
      </c>
      <c r="P1431" s="58">
        <v>115</v>
      </c>
      <c r="Q1431" s="59">
        <v>0</v>
      </c>
      <c r="R1431" s="59">
        <v>0</v>
      </c>
      <c r="S1431" s="60">
        <f>tblJTL[[#This Row],[timeStamp]]/86400000+DATE(1970,1,1)+TIME(9,0,0)</f>
        <v>46296.420930798609</v>
      </c>
      <c r="T1431" s="57">
        <f>tblJTL[[#This Row],[timeStamp]]+tblJTL[[#This Row],[elapsed]]</f>
        <v>1790816768541</v>
      </c>
      <c r="U1431" s="61">
        <f>(tblJTL[[#This Row],[timeStamp]]-'17_分析サンプル'!$E$18)/1000</f>
        <v>368.24099999999999</v>
      </c>
      <c r="V1431" s="57">
        <f>INT(tblJTL[[#This Row],[経過秒]]/60)</f>
        <v>6</v>
      </c>
      <c r="W1431" s="57">
        <f>IF(OR(tblJTL[[#This Row],[success]]=FALSE,tblJTL[[#This Row],[success]]="false"),1,0)</f>
        <v>0</v>
      </c>
      <c r="X1431" s="57">
        <f>IF(AND(tblJTL[[#This Row],[経過秒]]&gt;='17_分析サンプル'!$E$11,tblJTL[[#This Row],[経過秒]]&lt;'17_分析サンプル'!$E$12),1,0)</f>
        <v>1</v>
      </c>
    </row>
    <row r="1432" spans="2:24" ht="14.4" x14ac:dyDescent="0.3">
      <c r="B1432" s="57">
        <v>1790816768367</v>
      </c>
      <c r="C1432" s="58">
        <v>210</v>
      </c>
      <c r="D1432" s="59" t="s">
        <v>1677</v>
      </c>
      <c r="E1432" s="59" t="s">
        <v>3579</v>
      </c>
      <c r="F1432" s="59" t="s">
        <v>3580</v>
      </c>
      <c r="G1432" s="59" t="s">
        <v>3582</v>
      </c>
      <c r="H1432" s="59" t="s">
        <v>2281</v>
      </c>
      <c r="I1432" s="59" t="b">
        <v>1</v>
      </c>
      <c r="J1432" s="59"/>
      <c r="K1432" s="58">
        <v>427</v>
      </c>
      <c r="L1432" s="58">
        <v>1478</v>
      </c>
      <c r="M1432" s="59">
        <v>10</v>
      </c>
      <c r="N1432" s="59">
        <v>10</v>
      </c>
      <c r="O1432" s="59" t="s">
        <v>3581</v>
      </c>
      <c r="P1432" s="58">
        <v>204</v>
      </c>
      <c r="Q1432" s="59">
        <v>0</v>
      </c>
      <c r="R1432" s="59">
        <v>0</v>
      </c>
      <c r="S1432" s="60">
        <f>tblJTL[[#This Row],[timeStamp]]/86400000+DATE(1970,1,1)+TIME(9,0,0)</f>
        <v>46296.420930173612</v>
      </c>
      <c r="T1432" s="57">
        <f>tblJTL[[#This Row],[timeStamp]]+tblJTL[[#This Row],[elapsed]]</f>
        <v>1790816768577</v>
      </c>
      <c r="U1432" s="61">
        <f>(tblJTL[[#This Row],[timeStamp]]-'17_分析サンプル'!$E$18)/1000</f>
        <v>368.18700000000001</v>
      </c>
      <c r="V1432" s="57">
        <f>INT(tblJTL[[#This Row],[経過秒]]/60)</f>
        <v>6</v>
      </c>
      <c r="W1432" s="57">
        <f>IF(OR(tblJTL[[#This Row],[success]]=FALSE,tblJTL[[#This Row],[success]]="false"),1,0)</f>
        <v>0</v>
      </c>
      <c r="X1432" s="57">
        <f>IF(AND(tblJTL[[#This Row],[経過秒]]&gt;='17_分析サンプル'!$E$11,tblJTL[[#This Row],[経過秒]]&lt;'17_分析サンプル'!$E$12),1,0)</f>
        <v>1</v>
      </c>
    </row>
    <row r="1433" spans="2:24" ht="14.4" x14ac:dyDescent="0.3">
      <c r="B1433" s="57">
        <v>1790816768603</v>
      </c>
      <c r="C1433" s="58">
        <v>130</v>
      </c>
      <c r="D1433" s="59" t="s">
        <v>1658</v>
      </c>
      <c r="E1433" s="59" t="s">
        <v>1577</v>
      </c>
      <c r="F1433" s="59" t="s">
        <v>2275</v>
      </c>
      <c r="G1433" s="59" t="s">
        <v>3589</v>
      </c>
      <c r="H1433" s="59" t="s">
        <v>2281</v>
      </c>
      <c r="I1433" s="59" t="b">
        <v>1</v>
      </c>
      <c r="J1433" s="59"/>
      <c r="K1433" s="58">
        <v>1835</v>
      </c>
      <c r="L1433" s="58">
        <v>1342</v>
      </c>
      <c r="M1433" s="59">
        <v>10</v>
      </c>
      <c r="N1433" s="59">
        <v>10</v>
      </c>
      <c r="O1433" s="59" t="s">
        <v>3578</v>
      </c>
      <c r="P1433" s="58">
        <v>126</v>
      </c>
      <c r="Q1433" s="59">
        <v>0</v>
      </c>
      <c r="R1433" s="59">
        <v>0</v>
      </c>
      <c r="S1433" s="60">
        <f>tblJTL[[#This Row],[timeStamp]]/86400000+DATE(1970,1,1)+TIME(9,0,0)</f>
        <v>46296.420932905094</v>
      </c>
      <c r="T1433" s="57">
        <f>tblJTL[[#This Row],[timeStamp]]+tblJTL[[#This Row],[elapsed]]</f>
        <v>1790816768733</v>
      </c>
      <c r="U1433" s="61">
        <f>(tblJTL[[#This Row],[timeStamp]]-'17_分析サンプル'!$E$18)/1000</f>
        <v>368.423</v>
      </c>
      <c r="V1433" s="57">
        <f>INT(tblJTL[[#This Row],[経過秒]]/60)</f>
        <v>6</v>
      </c>
      <c r="W1433" s="57">
        <f>IF(OR(tblJTL[[#This Row],[success]]=FALSE,tblJTL[[#This Row],[success]]="false"),1,0)</f>
        <v>0</v>
      </c>
      <c r="X1433" s="57">
        <f>IF(AND(tblJTL[[#This Row],[経過秒]]&gt;='17_分析サンプル'!$E$11,tblJTL[[#This Row],[経過秒]]&lt;'17_分析サンプル'!$E$12),1,0)</f>
        <v>1</v>
      </c>
    </row>
    <row r="1434" spans="2:24" ht="14.4" x14ac:dyDescent="0.3">
      <c r="B1434" s="57">
        <v>1790816768667</v>
      </c>
      <c r="C1434" s="58">
        <v>111</v>
      </c>
      <c r="D1434" s="59" t="s">
        <v>1658</v>
      </c>
      <c r="E1434" s="59" t="s">
        <v>1577</v>
      </c>
      <c r="F1434" s="59" t="s">
        <v>2275</v>
      </c>
      <c r="G1434" s="59" t="s">
        <v>3585</v>
      </c>
      <c r="H1434" s="59" t="s">
        <v>2281</v>
      </c>
      <c r="I1434" s="59" t="b">
        <v>1</v>
      </c>
      <c r="J1434" s="59"/>
      <c r="K1434" s="58">
        <v>1879</v>
      </c>
      <c r="L1434" s="58">
        <v>1342</v>
      </c>
      <c r="M1434" s="59">
        <v>10</v>
      </c>
      <c r="N1434" s="59">
        <v>10</v>
      </c>
      <c r="O1434" s="59" t="s">
        <v>3578</v>
      </c>
      <c r="P1434" s="58">
        <v>104</v>
      </c>
      <c r="Q1434" s="59">
        <v>0</v>
      </c>
      <c r="R1434" s="59">
        <v>0</v>
      </c>
      <c r="S1434" s="60">
        <f>tblJTL[[#This Row],[timeStamp]]/86400000+DATE(1970,1,1)+TIME(9,0,0)</f>
        <v>46296.42093364583</v>
      </c>
      <c r="T1434" s="57">
        <f>tblJTL[[#This Row],[timeStamp]]+tblJTL[[#This Row],[elapsed]]</f>
        <v>1790816768778</v>
      </c>
      <c r="U1434" s="61">
        <f>(tblJTL[[#This Row],[timeStamp]]-'17_分析サンプル'!$E$18)/1000</f>
        <v>368.48700000000002</v>
      </c>
      <c r="V1434" s="57">
        <f>INT(tblJTL[[#This Row],[経過秒]]/60)</f>
        <v>6</v>
      </c>
      <c r="W1434" s="57">
        <f>IF(OR(tblJTL[[#This Row],[success]]=FALSE,tblJTL[[#This Row],[success]]="false"),1,0)</f>
        <v>0</v>
      </c>
      <c r="X1434" s="57">
        <f>IF(AND(tblJTL[[#This Row],[経過秒]]&gt;='17_分析サンプル'!$E$11,tblJTL[[#This Row],[経過秒]]&lt;'17_分析サンプル'!$E$12),1,0)</f>
        <v>1</v>
      </c>
    </row>
    <row r="1435" spans="2:24" ht="14.4" x14ac:dyDescent="0.3">
      <c r="B1435" s="57">
        <v>1790816768686</v>
      </c>
      <c r="C1435" s="58">
        <v>134</v>
      </c>
      <c r="D1435" s="59" t="s">
        <v>1658</v>
      </c>
      <c r="E1435" s="59" t="s">
        <v>1577</v>
      </c>
      <c r="F1435" s="59" t="s">
        <v>2275</v>
      </c>
      <c r="G1435" s="59" t="s">
        <v>3586</v>
      </c>
      <c r="H1435" s="59" t="s">
        <v>2281</v>
      </c>
      <c r="I1435" s="59" t="b">
        <v>1</v>
      </c>
      <c r="J1435" s="59"/>
      <c r="K1435" s="58">
        <v>1880</v>
      </c>
      <c r="L1435" s="58">
        <v>1342</v>
      </c>
      <c r="M1435" s="59">
        <v>10</v>
      </c>
      <c r="N1435" s="59">
        <v>10</v>
      </c>
      <c r="O1435" s="59" t="s">
        <v>3578</v>
      </c>
      <c r="P1435" s="58">
        <v>129</v>
      </c>
      <c r="Q1435" s="59">
        <v>0</v>
      </c>
      <c r="R1435" s="59">
        <v>0</v>
      </c>
      <c r="S1435" s="60">
        <f>tblJTL[[#This Row],[timeStamp]]/86400000+DATE(1970,1,1)+TIME(9,0,0)</f>
        <v>46296.420933865738</v>
      </c>
      <c r="T1435" s="57">
        <f>tblJTL[[#This Row],[timeStamp]]+tblJTL[[#This Row],[elapsed]]</f>
        <v>1790816768820</v>
      </c>
      <c r="U1435" s="61">
        <f>(tblJTL[[#This Row],[timeStamp]]-'17_分析サンプル'!$E$18)/1000</f>
        <v>368.50599999999997</v>
      </c>
      <c r="V1435" s="57">
        <f>INT(tblJTL[[#This Row],[経過秒]]/60)</f>
        <v>6</v>
      </c>
      <c r="W1435" s="57">
        <f>IF(OR(tblJTL[[#This Row],[success]]=FALSE,tblJTL[[#This Row],[success]]="false"),1,0)</f>
        <v>0</v>
      </c>
      <c r="X1435" s="57">
        <f>IF(AND(tblJTL[[#This Row],[経過秒]]&gt;='17_分析サンプル'!$E$11,tblJTL[[#This Row],[経過秒]]&lt;'17_分析サンプル'!$E$12),1,0)</f>
        <v>1</v>
      </c>
    </row>
    <row r="1436" spans="2:24" ht="14.4" x14ac:dyDescent="0.3">
      <c r="B1436" s="57">
        <v>1790816769747</v>
      </c>
      <c r="C1436" s="58">
        <v>105</v>
      </c>
      <c r="D1436" s="59" t="s">
        <v>1658</v>
      </c>
      <c r="E1436" s="59" t="s">
        <v>1577</v>
      </c>
      <c r="F1436" s="59" t="s">
        <v>2275</v>
      </c>
      <c r="G1436" s="59" t="s">
        <v>3582</v>
      </c>
      <c r="H1436" s="59" t="s">
        <v>2281</v>
      </c>
      <c r="I1436" s="59" t="b">
        <v>1</v>
      </c>
      <c r="J1436" s="59"/>
      <c r="K1436" s="58">
        <v>1847</v>
      </c>
      <c r="L1436" s="58">
        <v>1342</v>
      </c>
      <c r="M1436" s="59">
        <v>10</v>
      </c>
      <c r="N1436" s="59">
        <v>10</v>
      </c>
      <c r="O1436" s="59" t="s">
        <v>3578</v>
      </c>
      <c r="P1436" s="58">
        <v>102</v>
      </c>
      <c r="Q1436" s="59">
        <v>0</v>
      </c>
      <c r="R1436" s="59">
        <v>0</v>
      </c>
      <c r="S1436" s="60">
        <f>tblJTL[[#This Row],[timeStamp]]/86400000+DATE(1970,1,1)+TIME(9,0,0)</f>
        <v>46296.420946145838</v>
      </c>
      <c r="T1436" s="57">
        <f>tblJTL[[#This Row],[timeStamp]]+tblJTL[[#This Row],[elapsed]]</f>
        <v>1790816769852</v>
      </c>
      <c r="U1436" s="61">
        <f>(tblJTL[[#This Row],[timeStamp]]-'17_分析サンプル'!$E$18)/1000</f>
        <v>369.56700000000001</v>
      </c>
      <c r="V1436" s="57">
        <f>INT(tblJTL[[#This Row],[経過秒]]/60)</f>
        <v>6</v>
      </c>
      <c r="W1436" s="57">
        <f>IF(OR(tblJTL[[#This Row],[success]]=FALSE,tblJTL[[#This Row],[success]]="false"),1,0)</f>
        <v>0</v>
      </c>
      <c r="X1436" s="57">
        <f>IF(AND(tblJTL[[#This Row],[経過秒]]&gt;='17_分析サンプル'!$E$11,tblJTL[[#This Row],[経過秒]]&lt;'17_分析サンプル'!$E$12),1,0)</f>
        <v>1</v>
      </c>
    </row>
    <row r="1437" spans="2:24" ht="14.4" x14ac:dyDescent="0.3">
      <c r="B1437" s="57">
        <v>1790816769838</v>
      </c>
      <c r="C1437" s="58">
        <v>215</v>
      </c>
      <c r="D1437" s="59" t="s">
        <v>1677</v>
      </c>
      <c r="E1437" s="59" t="s">
        <v>3579</v>
      </c>
      <c r="F1437" s="59" t="s">
        <v>3580</v>
      </c>
      <c r="G1437" s="59" t="s">
        <v>3577</v>
      </c>
      <c r="H1437" s="59" t="s">
        <v>2281</v>
      </c>
      <c r="I1437" s="59" t="b">
        <v>1</v>
      </c>
      <c r="J1437" s="59"/>
      <c r="K1437" s="58">
        <v>419</v>
      </c>
      <c r="L1437" s="58">
        <v>1478</v>
      </c>
      <c r="M1437" s="59">
        <v>10</v>
      </c>
      <c r="N1437" s="59">
        <v>10</v>
      </c>
      <c r="O1437" s="59" t="s">
        <v>3581</v>
      </c>
      <c r="P1437" s="58">
        <v>207</v>
      </c>
      <c r="Q1437" s="59">
        <v>0</v>
      </c>
      <c r="R1437" s="59">
        <v>0</v>
      </c>
      <c r="S1437" s="60">
        <f>tblJTL[[#This Row],[timeStamp]]/86400000+DATE(1970,1,1)+TIME(9,0,0)</f>
        <v>46296.420947199076</v>
      </c>
      <c r="T1437" s="57">
        <f>tblJTL[[#This Row],[timeStamp]]+tblJTL[[#This Row],[elapsed]]</f>
        <v>1790816770053</v>
      </c>
      <c r="U1437" s="61">
        <f>(tblJTL[[#This Row],[timeStamp]]-'17_分析サンプル'!$E$18)/1000</f>
        <v>369.65800000000002</v>
      </c>
      <c r="V1437" s="57">
        <f>INT(tblJTL[[#This Row],[経過秒]]/60)</f>
        <v>6</v>
      </c>
      <c r="W1437" s="57">
        <f>IF(OR(tblJTL[[#This Row],[success]]=FALSE,tblJTL[[#This Row],[success]]="false"),1,0)</f>
        <v>0</v>
      </c>
      <c r="X1437" s="57">
        <f>IF(AND(tblJTL[[#This Row],[経過秒]]&gt;='17_分析サンプル'!$E$11,tblJTL[[#This Row],[経過秒]]&lt;'17_分析サンプル'!$E$12),1,0)</f>
        <v>1</v>
      </c>
    </row>
    <row r="1438" spans="2:24" ht="14.4" x14ac:dyDescent="0.3">
      <c r="B1438" s="57">
        <v>1790816770056</v>
      </c>
      <c r="C1438" s="58">
        <v>93</v>
      </c>
      <c r="D1438" s="59" t="s">
        <v>1658</v>
      </c>
      <c r="E1438" s="59" t="s">
        <v>1577</v>
      </c>
      <c r="F1438" s="59" t="s">
        <v>2275</v>
      </c>
      <c r="G1438" s="59" t="s">
        <v>3588</v>
      </c>
      <c r="H1438" s="59" t="s">
        <v>2281</v>
      </c>
      <c r="I1438" s="59" t="b">
        <v>1</v>
      </c>
      <c r="J1438" s="59"/>
      <c r="K1438" s="58">
        <v>1871</v>
      </c>
      <c r="L1438" s="58">
        <v>1342</v>
      </c>
      <c r="M1438" s="59">
        <v>10</v>
      </c>
      <c r="N1438" s="59">
        <v>10</v>
      </c>
      <c r="O1438" s="59" t="s">
        <v>3578</v>
      </c>
      <c r="P1438" s="58">
        <v>85</v>
      </c>
      <c r="Q1438" s="59">
        <v>0</v>
      </c>
      <c r="R1438" s="59">
        <v>0</v>
      </c>
      <c r="S1438" s="60">
        <f>tblJTL[[#This Row],[timeStamp]]/86400000+DATE(1970,1,1)+TIME(9,0,0)</f>
        <v>46296.420949722218</v>
      </c>
      <c r="T1438" s="57">
        <f>tblJTL[[#This Row],[timeStamp]]+tblJTL[[#This Row],[elapsed]]</f>
        <v>1790816770149</v>
      </c>
      <c r="U1438" s="61">
        <f>(tblJTL[[#This Row],[timeStamp]]-'17_分析サンプル'!$E$18)/1000</f>
        <v>369.87599999999998</v>
      </c>
      <c r="V1438" s="57">
        <f>INT(tblJTL[[#This Row],[経過秒]]/60)</f>
        <v>6</v>
      </c>
      <c r="W1438" s="57">
        <f>IF(OR(tblJTL[[#This Row],[success]]=FALSE,tblJTL[[#This Row],[success]]="false"),1,0)</f>
        <v>0</v>
      </c>
      <c r="X1438" s="57">
        <f>IF(AND(tblJTL[[#This Row],[経過秒]]&gt;='17_分析サンプル'!$E$11,tblJTL[[#This Row],[経過秒]]&lt;'17_分析サンプル'!$E$12),1,0)</f>
        <v>1</v>
      </c>
    </row>
    <row r="1439" spans="2:24" ht="14.4" x14ac:dyDescent="0.3">
      <c r="B1439" s="57">
        <v>1790816770166</v>
      </c>
      <c r="C1439" s="58">
        <v>208</v>
      </c>
      <c r="D1439" s="59" t="s">
        <v>1677</v>
      </c>
      <c r="E1439" s="59" t="s">
        <v>3579</v>
      </c>
      <c r="F1439" s="59" t="s">
        <v>3580</v>
      </c>
      <c r="G1439" s="59" t="s">
        <v>3587</v>
      </c>
      <c r="H1439" s="59" t="s">
        <v>2281</v>
      </c>
      <c r="I1439" s="59" t="b">
        <v>1</v>
      </c>
      <c r="J1439" s="59"/>
      <c r="K1439" s="58">
        <v>417</v>
      </c>
      <c r="L1439" s="58">
        <v>1478</v>
      </c>
      <c r="M1439" s="59">
        <v>10</v>
      </c>
      <c r="N1439" s="59">
        <v>10</v>
      </c>
      <c r="O1439" s="59" t="s">
        <v>3581</v>
      </c>
      <c r="P1439" s="58">
        <v>203</v>
      </c>
      <c r="Q1439" s="59">
        <v>0</v>
      </c>
      <c r="R1439" s="59">
        <v>0</v>
      </c>
      <c r="S1439" s="60">
        <f>tblJTL[[#This Row],[timeStamp]]/86400000+DATE(1970,1,1)+TIME(9,0,0)</f>
        <v>46296.420950995365</v>
      </c>
      <c r="T1439" s="57">
        <f>tblJTL[[#This Row],[timeStamp]]+tblJTL[[#This Row],[elapsed]]</f>
        <v>1790816770374</v>
      </c>
      <c r="U1439" s="61">
        <f>(tblJTL[[#This Row],[timeStamp]]-'17_分析サンプル'!$E$18)/1000</f>
        <v>369.98599999999999</v>
      </c>
      <c r="V1439" s="57">
        <f>INT(tblJTL[[#This Row],[経過秒]]/60)</f>
        <v>6</v>
      </c>
      <c r="W1439" s="57">
        <f>IF(OR(tblJTL[[#This Row],[success]]=FALSE,tblJTL[[#This Row],[success]]="false"),1,0)</f>
        <v>0</v>
      </c>
      <c r="X1439" s="57">
        <f>IF(AND(tblJTL[[#This Row],[経過秒]]&gt;='17_分析サンプル'!$E$11,tblJTL[[#This Row],[経過秒]]&lt;'17_分析サンプル'!$E$12),1,0)</f>
        <v>1</v>
      </c>
    </row>
    <row r="1440" spans="2:24" ht="14.4" x14ac:dyDescent="0.3">
      <c r="B1440" s="57">
        <v>1790816770446</v>
      </c>
      <c r="C1440" s="58">
        <v>200</v>
      </c>
      <c r="D1440" s="59" t="s">
        <v>1677</v>
      </c>
      <c r="E1440" s="59" t="s">
        <v>3579</v>
      </c>
      <c r="F1440" s="59" t="s">
        <v>3580</v>
      </c>
      <c r="G1440" s="59" t="s">
        <v>3585</v>
      </c>
      <c r="H1440" s="59" t="s">
        <v>2281</v>
      </c>
      <c r="I1440" s="59" t="b">
        <v>1</v>
      </c>
      <c r="J1440" s="59"/>
      <c r="K1440" s="58">
        <v>417</v>
      </c>
      <c r="L1440" s="58">
        <v>1478</v>
      </c>
      <c r="M1440" s="59">
        <v>10</v>
      </c>
      <c r="N1440" s="59">
        <v>10</v>
      </c>
      <c r="O1440" s="59" t="s">
        <v>3581</v>
      </c>
      <c r="P1440" s="58">
        <v>198</v>
      </c>
      <c r="Q1440" s="59">
        <v>0</v>
      </c>
      <c r="R1440" s="59">
        <v>0</v>
      </c>
      <c r="S1440" s="60">
        <f>tblJTL[[#This Row],[timeStamp]]/86400000+DATE(1970,1,1)+TIME(9,0,0)</f>
        <v>46296.420954236106</v>
      </c>
      <c r="T1440" s="57">
        <f>tblJTL[[#This Row],[timeStamp]]+tblJTL[[#This Row],[elapsed]]</f>
        <v>1790816770646</v>
      </c>
      <c r="U1440" s="61">
        <f>(tblJTL[[#This Row],[timeStamp]]-'17_分析サンプル'!$E$18)/1000</f>
        <v>370.26600000000002</v>
      </c>
      <c r="V1440" s="57">
        <f>INT(tblJTL[[#This Row],[経過秒]]/60)</f>
        <v>6</v>
      </c>
      <c r="W1440" s="57">
        <f>IF(OR(tblJTL[[#This Row],[success]]=FALSE,tblJTL[[#This Row],[success]]="false"),1,0)</f>
        <v>0</v>
      </c>
      <c r="X1440" s="57">
        <f>IF(AND(tblJTL[[#This Row],[経過秒]]&gt;='17_分析サンプル'!$E$11,tblJTL[[#This Row],[経過秒]]&lt;'17_分析サンプル'!$E$12),1,0)</f>
        <v>1</v>
      </c>
    </row>
    <row r="1441" spans="2:24" ht="14.4" x14ac:dyDescent="0.3">
      <c r="B1441" s="57">
        <v>1790816770560</v>
      </c>
      <c r="C1441" s="58">
        <v>113</v>
      </c>
      <c r="D1441" s="59" t="s">
        <v>1658</v>
      </c>
      <c r="E1441" s="59" t="s">
        <v>1577</v>
      </c>
      <c r="F1441" s="59" t="s">
        <v>2275</v>
      </c>
      <c r="G1441" s="59" t="s">
        <v>3583</v>
      </c>
      <c r="H1441" s="59" t="s">
        <v>2281</v>
      </c>
      <c r="I1441" s="59" t="b">
        <v>1</v>
      </c>
      <c r="J1441" s="59"/>
      <c r="K1441" s="58">
        <v>1848</v>
      </c>
      <c r="L1441" s="58">
        <v>1342</v>
      </c>
      <c r="M1441" s="59">
        <v>10</v>
      </c>
      <c r="N1441" s="59">
        <v>10</v>
      </c>
      <c r="O1441" s="59" t="s">
        <v>3578</v>
      </c>
      <c r="P1441" s="58">
        <v>105</v>
      </c>
      <c r="Q1441" s="59">
        <v>0</v>
      </c>
      <c r="R1441" s="59">
        <v>0</v>
      </c>
      <c r="S1441" s="60">
        <f>tblJTL[[#This Row],[timeStamp]]/86400000+DATE(1970,1,1)+TIME(9,0,0)</f>
        <v>46296.420955555557</v>
      </c>
      <c r="T1441" s="57">
        <f>tblJTL[[#This Row],[timeStamp]]+tblJTL[[#This Row],[elapsed]]</f>
        <v>1790816770673</v>
      </c>
      <c r="U1441" s="61">
        <f>(tblJTL[[#This Row],[timeStamp]]-'17_分析サンプル'!$E$18)/1000</f>
        <v>370.38</v>
      </c>
      <c r="V1441" s="57">
        <f>INT(tblJTL[[#This Row],[経過秒]]/60)</f>
        <v>6</v>
      </c>
      <c r="W1441" s="57">
        <f>IF(OR(tblJTL[[#This Row],[success]]=FALSE,tblJTL[[#This Row],[success]]="false"),1,0)</f>
        <v>0</v>
      </c>
      <c r="X1441" s="57">
        <f>IF(AND(tblJTL[[#This Row],[経過秒]]&gt;='17_分析サンプル'!$E$11,tblJTL[[#This Row],[経過秒]]&lt;'17_分析サンプル'!$E$12),1,0)</f>
        <v>1</v>
      </c>
    </row>
    <row r="1442" spans="2:24" ht="14.4" x14ac:dyDescent="0.3">
      <c r="B1442" s="57">
        <v>1790816770461</v>
      </c>
      <c r="C1442" s="58">
        <v>269</v>
      </c>
      <c r="D1442" s="59" t="s">
        <v>1677</v>
      </c>
      <c r="E1442" s="59" t="s">
        <v>3579</v>
      </c>
      <c r="F1442" s="59" t="s">
        <v>3580</v>
      </c>
      <c r="G1442" s="59" t="s">
        <v>2278</v>
      </c>
      <c r="H1442" s="59" t="s">
        <v>2281</v>
      </c>
      <c r="I1442" s="59" t="b">
        <v>1</v>
      </c>
      <c r="J1442" s="59"/>
      <c r="K1442" s="58">
        <v>417</v>
      </c>
      <c r="L1442" s="58">
        <v>1478</v>
      </c>
      <c r="M1442" s="59">
        <v>10</v>
      </c>
      <c r="N1442" s="59">
        <v>10</v>
      </c>
      <c r="O1442" s="59" t="s">
        <v>3581</v>
      </c>
      <c r="P1442" s="58">
        <v>261</v>
      </c>
      <c r="Q1442" s="59">
        <v>0</v>
      </c>
      <c r="R1442" s="59">
        <v>0</v>
      </c>
      <c r="S1442" s="60">
        <f>tblJTL[[#This Row],[timeStamp]]/86400000+DATE(1970,1,1)+TIME(9,0,0)</f>
        <v>46296.420954409725</v>
      </c>
      <c r="T1442" s="57">
        <f>tblJTL[[#This Row],[timeStamp]]+tblJTL[[#This Row],[elapsed]]</f>
        <v>1790816770730</v>
      </c>
      <c r="U1442" s="61">
        <f>(tblJTL[[#This Row],[timeStamp]]-'17_分析サンプル'!$E$18)/1000</f>
        <v>370.28100000000001</v>
      </c>
      <c r="V1442" s="57">
        <f>INT(tblJTL[[#This Row],[経過秒]]/60)</f>
        <v>6</v>
      </c>
      <c r="W1442" s="57">
        <f>IF(OR(tblJTL[[#This Row],[success]]=FALSE,tblJTL[[#This Row],[success]]="false"),1,0)</f>
        <v>0</v>
      </c>
      <c r="X1442" s="57">
        <f>IF(AND(tblJTL[[#This Row],[経過秒]]&gt;='17_分析サンプル'!$E$11,tblJTL[[#This Row],[経過秒]]&lt;'17_分析サンプル'!$E$12),1,0)</f>
        <v>1</v>
      </c>
    </row>
    <row r="1443" spans="2:24" ht="14.4" x14ac:dyDescent="0.3">
      <c r="B1443" s="57">
        <v>1790816770498</v>
      </c>
      <c r="C1443" s="58">
        <v>249</v>
      </c>
      <c r="D1443" s="59" t="s">
        <v>1677</v>
      </c>
      <c r="E1443" s="59" t="s">
        <v>3579</v>
      </c>
      <c r="F1443" s="59" t="s">
        <v>3580</v>
      </c>
      <c r="G1443" s="59" t="s">
        <v>3584</v>
      </c>
      <c r="H1443" s="59" t="s">
        <v>2281</v>
      </c>
      <c r="I1443" s="59" t="b">
        <v>1</v>
      </c>
      <c r="J1443" s="59"/>
      <c r="K1443" s="58">
        <v>421</v>
      </c>
      <c r="L1443" s="58">
        <v>1478</v>
      </c>
      <c r="M1443" s="59">
        <v>10</v>
      </c>
      <c r="N1443" s="59">
        <v>10</v>
      </c>
      <c r="O1443" s="59" t="s">
        <v>3581</v>
      </c>
      <c r="P1443" s="58">
        <v>241</v>
      </c>
      <c r="Q1443" s="59">
        <v>0</v>
      </c>
      <c r="R1443" s="59">
        <v>0</v>
      </c>
      <c r="S1443" s="60">
        <f>tblJTL[[#This Row],[timeStamp]]/86400000+DATE(1970,1,1)+TIME(9,0,0)</f>
        <v>46296.420954837959</v>
      </c>
      <c r="T1443" s="57">
        <f>tblJTL[[#This Row],[timeStamp]]+tblJTL[[#This Row],[elapsed]]</f>
        <v>1790816770747</v>
      </c>
      <c r="U1443" s="61">
        <f>(tblJTL[[#This Row],[timeStamp]]-'17_分析サンプル'!$E$18)/1000</f>
        <v>370.31799999999998</v>
      </c>
      <c r="V1443" s="57">
        <f>INT(tblJTL[[#This Row],[経過秒]]/60)</f>
        <v>6</v>
      </c>
      <c r="W1443" s="57">
        <f>IF(OR(tblJTL[[#This Row],[success]]=FALSE,tblJTL[[#This Row],[success]]="false"),1,0)</f>
        <v>0</v>
      </c>
      <c r="X1443" s="57">
        <f>IF(AND(tblJTL[[#This Row],[経過秒]]&gt;='17_分析サンプル'!$E$11,tblJTL[[#This Row],[経過秒]]&lt;'17_分析サンプル'!$E$12),1,0)</f>
        <v>1</v>
      </c>
    </row>
    <row r="1444" spans="2:24" ht="14.4" x14ac:dyDescent="0.3">
      <c r="B1444" s="57">
        <v>1790816770652</v>
      </c>
      <c r="C1444" s="58">
        <v>132</v>
      </c>
      <c r="D1444" s="59" t="s">
        <v>1677</v>
      </c>
      <c r="E1444" s="59" t="s">
        <v>3579</v>
      </c>
      <c r="F1444" s="59" t="s">
        <v>3580</v>
      </c>
      <c r="G1444" s="59" t="s">
        <v>3589</v>
      </c>
      <c r="H1444" s="59" t="s">
        <v>2281</v>
      </c>
      <c r="I1444" s="59" t="b">
        <v>1</v>
      </c>
      <c r="J1444" s="59"/>
      <c r="K1444" s="58">
        <v>419</v>
      </c>
      <c r="L1444" s="58">
        <v>1478</v>
      </c>
      <c r="M1444" s="59">
        <v>10</v>
      </c>
      <c r="N1444" s="59">
        <v>10</v>
      </c>
      <c r="O1444" s="59" t="s">
        <v>3581</v>
      </c>
      <c r="P1444" s="58">
        <v>128</v>
      </c>
      <c r="Q1444" s="59">
        <v>0</v>
      </c>
      <c r="R1444" s="59">
        <v>0</v>
      </c>
      <c r="S1444" s="60">
        <f>tblJTL[[#This Row],[timeStamp]]/86400000+DATE(1970,1,1)+TIME(9,0,0)</f>
        <v>46296.420956620372</v>
      </c>
      <c r="T1444" s="57">
        <f>tblJTL[[#This Row],[timeStamp]]+tblJTL[[#This Row],[elapsed]]</f>
        <v>1790816770784</v>
      </c>
      <c r="U1444" s="61">
        <f>(tblJTL[[#This Row],[timeStamp]]-'17_分析サンプル'!$E$18)/1000</f>
        <v>370.47199999999998</v>
      </c>
      <c r="V1444" s="57">
        <f>INT(tblJTL[[#This Row],[経過秒]]/60)</f>
        <v>6</v>
      </c>
      <c r="W1444" s="57">
        <f>IF(OR(tblJTL[[#This Row],[success]]=FALSE,tblJTL[[#This Row],[success]]="false"),1,0)</f>
        <v>0</v>
      </c>
      <c r="X1444" s="57">
        <f>IF(AND(tblJTL[[#This Row],[経過秒]]&gt;='17_分析サンプル'!$E$11,tblJTL[[#This Row],[経過秒]]&lt;'17_分析サンプル'!$E$12),1,0)</f>
        <v>1</v>
      </c>
    </row>
    <row r="1445" spans="2:24" ht="14.4" x14ac:dyDescent="0.3">
      <c r="B1445" s="57">
        <v>1790816771589</v>
      </c>
      <c r="C1445" s="58">
        <v>216</v>
      </c>
      <c r="D1445" s="59" t="s">
        <v>1677</v>
      </c>
      <c r="E1445" s="59" t="s">
        <v>3579</v>
      </c>
      <c r="F1445" s="59" t="s">
        <v>3580</v>
      </c>
      <c r="G1445" s="59" t="s">
        <v>3586</v>
      </c>
      <c r="H1445" s="59" t="s">
        <v>2281</v>
      </c>
      <c r="I1445" s="59" t="b">
        <v>1</v>
      </c>
      <c r="J1445" s="59"/>
      <c r="K1445" s="58">
        <v>435</v>
      </c>
      <c r="L1445" s="58">
        <v>1478</v>
      </c>
      <c r="M1445" s="59">
        <v>10</v>
      </c>
      <c r="N1445" s="59">
        <v>10</v>
      </c>
      <c r="O1445" s="59" t="s">
        <v>3581</v>
      </c>
      <c r="P1445" s="58">
        <v>209</v>
      </c>
      <c r="Q1445" s="59">
        <v>0</v>
      </c>
      <c r="R1445" s="59">
        <v>0</v>
      </c>
      <c r="S1445" s="60">
        <f>tblJTL[[#This Row],[timeStamp]]/86400000+DATE(1970,1,1)+TIME(9,0,0)</f>
        <v>46296.420967465281</v>
      </c>
      <c r="T1445" s="57">
        <f>tblJTL[[#This Row],[timeStamp]]+tblJTL[[#This Row],[elapsed]]</f>
        <v>1790816771805</v>
      </c>
      <c r="U1445" s="61">
        <f>(tblJTL[[#This Row],[timeStamp]]-'17_分析サンプル'!$E$18)/1000</f>
        <v>371.40899999999999</v>
      </c>
      <c r="V1445" s="57">
        <f>INT(tblJTL[[#This Row],[経過秒]]/60)</f>
        <v>6</v>
      </c>
      <c r="W1445" s="57">
        <f>IF(OR(tblJTL[[#This Row],[success]]=FALSE,tblJTL[[#This Row],[success]]="false"),1,0)</f>
        <v>0</v>
      </c>
      <c r="X1445" s="57">
        <f>IF(AND(tblJTL[[#This Row],[経過秒]]&gt;='17_分析サンプル'!$E$11,tblJTL[[#This Row],[経過秒]]&lt;'17_分析サンプル'!$E$12),1,0)</f>
        <v>1</v>
      </c>
    </row>
    <row r="1446" spans="2:24" ht="14.4" x14ac:dyDescent="0.3">
      <c r="B1446" s="57">
        <v>1790816772014</v>
      </c>
      <c r="C1446" s="58">
        <v>140</v>
      </c>
      <c r="D1446" s="59" t="s">
        <v>1658</v>
      </c>
      <c r="E1446" s="59" t="s">
        <v>1577</v>
      </c>
      <c r="F1446" s="59" t="s">
        <v>2275</v>
      </c>
      <c r="G1446" s="59" t="s">
        <v>2278</v>
      </c>
      <c r="H1446" s="59" t="s">
        <v>2281</v>
      </c>
      <c r="I1446" s="59" t="b">
        <v>1</v>
      </c>
      <c r="J1446" s="59"/>
      <c r="K1446" s="58">
        <v>1881</v>
      </c>
      <c r="L1446" s="58">
        <v>1342</v>
      </c>
      <c r="M1446" s="59">
        <v>10</v>
      </c>
      <c r="N1446" s="59">
        <v>10</v>
      </c>
      <c r="O1446" s="59" t="s">
        <v>3578</v>
      </c>
      <c r="P1446" s="58">
        <v>137</v>
      </c>
      <c r="Q1446" s="59">
        <v>0</v>
      </c>
      <c r="R1446" s="59">
        <v>0</v>
      </c>
      <c r="S1446" s="60">
        <f>tblJTL[[#This Row],[timeStamp]]/86400000+DATE(1970,1,1)+TIME(9,0,0)</f>
        <v>46296.420972384258</v>
      </c>
      <c r="T1446" s="57">
        <f>tblJTL[[#This Row],[timeStamp]]+tblJTL[[#This Row],[elapsed]]</f>
        <v>1790816772154</v>
      </c>
      <c r="U1446" s="61">
        <f>(tblJTL[[#This Row],[timeStamp]]-'17_分析サンプル'!$E$18)/1000</f>
        <v>371.834</v>
      </c>
      <c r="V1446" s="57">
        <f>INT(tblJTL[[#This Row],[経過秒]]/60)</f>
        <v>6</v>
      </c>
      <c r="W1446" s="57">
        <f>IF(OR(tblJTL[[#This Row],[success]]=FALSE,tblJTL[[#This Row],[success]]="false"),1,0)</f>
        <v>0</v>
      </c>
      <c r="X1446" s="57">
        <f>IF(AND(tblJTL[[#This Row],[経過秒]]&gt;='17_分析サンプル'!$E$11,tblJTL[[#This Row],[経過秒]]&lt;'17_分析サンプル'!$E$12),1,0)</f>
        <v>1</v>
      </c>
    </row>
    <row r="1447" spans="2:24" ht="14.4" x14ac:dyDescent="0.3">
      <c r="B1447" s="57">
        <v>1790816772340</v>
      </c>
      <c r="C1447" s="58">
        <v>114</v>
      </c>
      <c r="D1447" s="59" t="s">
        <v>1677</v>
      </c>
      <c r="E1447" s="59" t="s">
        <v>3579</v>
      </c>
      <c r="F1447" s="59" t="s">
        <v>3580</v>
      </c>
      <c r="G1447" s="59" t="s">
        <v>3582</v>
      </c>
      <c r="H1447" s="59" t="s">
        <v>2281</v>
      </c>
      <c r="I1447" s="59" t="b">
        <v>1</v>
      </c>
      <c r="J1447" s="59"/>
      <c r="K1447" s="58">
        <v>416</v>
      </c>
      <c r="L1447" s="58">
        <v>1478</v>
      </c>
      <c r="M1447" s="59">
        <v>10</v>
      </c>
      <c r="N1447" s="59">
        <v>10</v>
      </c>
      <c r="O1447" s="59" t="s">
        <v>3581</v>
      </c>
      <c r="P1447" s="58">
        <v>107</v>
      </c>
      <c r="Q1447" s="59">
        <v>0</v>
      </c>
      <c r="R1447" s="59">
        <v>0</v>
      </c>
      <c r="S1447" s="60">
        <f>tblJTL[[#This Row],[timeStamp]]/86400000+DATE(1970,1,1)+TIME(9,0,0)</f>
        <v>46296.420976157402</v>
      </c>
      <c r="T1447" s="57">
        <f>tblJTL[[#This Row],[timeStamp]]+tblJTL[[#This Row],[elapsed]]</f>
        <v>1790816772454</v>
      </c>
      <c r="U1447" s="61">
        <f>(tblJTL[[#This Row],[timeStamp]]-'17_分析サンプル'!$E$18)/1000</f>
        <v>372.16</v>
      </c>
      <c r="V1447" s="57">
        <f>INT(tblJTL[[#This Row],[経過秒]]/60)</f>
        <v>6</v>
      </c>
      <c r="W1447" s="57">
        <f>IF(OR(tblJTL[[#This Row],[success]]=FALSE,tblJTL[[#This Row],[success]]="false"),1,0)</f>
        <v>0</v>
      </c>
      <c r="X1447" s="57">
        <f>IF(AND(tblJTL[[#This Row],[経過秒]]&gt;='17_分析サンプル'!$E$11,tblJTL[[#This Row],[経過秒]]&lt;'17_分析サンプル'!$E$12),1,0)</f>
        <v>1</v>
      </c>
    </row>
    <row r="1448" spans="2:24" ht="14.4" x14ac:dyDescent="0.3">
      <c r="B1448" s="57">
        <v>1790816772639</v>
      </c>
      <c r="C1448" s="58">
        <v>113</v>
      </c>
      <c r="D1448" s="59" t="s">
        <v>1658</v>
      </c>
      <c r="E1448" s="59" t="s">
        <v>1577</v>
      </c>
      <c r="F1448" s="59" t="s">
        <v>2275</v>
      </c>
      <c r="G1448" s="59" t="s">
        <v>3587</v>
      </c>
      <c r="H1448" s="59" t="s">
        <v>2281</v>
      </c>
      <c r="I1448" s="59" t="b">
        <v>1</v>
      </c>
      <c r="J1448" s="59"/>
      <c r="K1448" s="58">
        <v>1897</v>
      </c>
      <c r="L1448" s="58">
        <v>1342</v>
      </c>
      <c r="M1448" s="59">
        <v>10</v>
      </c>
      <c r="N1448" s="59">
        <v>10</v>
      </c>
      <c r="O1448" s="59" t="s">
        <v>3578</v>
      </c>
      <c r="P1448" s="58">
        <v>105</v>
      </c>
      <c r="Q1448" s="59">
        <v>0</v>
      </c>
      <c r="R1448" s="59">
        <v>0</v>
      </c>
      <c r="S1448" s="60">
        <f>tblJTL[[#This Row],[timeStamp]]/86400000+DATE(1970,1,1)+TIME(9,0,0)</f>
        <v>46296.420979618051</v>
      </c>
      <c r="T1448" s="57">
        <f>tblJTL[[#This Row],[timeStamp]]+tblJTL[[#This Row],[elapsed]]</f>
        <v>1790816772752</v>
      </c>
      <c r="U1448" s="61">
        <f>(tblJTL[[#This Row],[timeStamp]]-'17_分析サンプル'!$E$18)/1000</f>
        <v>372.459</v>
      </c>
      <c r="V1448" s="57">
        <f>INT(tblJTL[[#This Row],[経過秒]]/60)</f>
        <v>6</v>
      </c>
      <c r="W1448" s="57">
        <f>IF(OR(tblJTL[[#This Row],[success]]=FALSE,tblJTL[[#This Row],[success]]="false"),1,0)</f>
        <v>0</v>
      </c>
      <c r="X1448" s="57">
        <f>IF(AND(tblJTL[[#This Row],[経過秒]]&gt;='17_分析サンプル'!$E$11,tblJTL[[#This Row],[経過秒]]&lt;'17_分析サンプル'!$E$12),1,0)</f>
        <v>1</v>
      </c>
    </row>
    <row r="1449" spans="2:24" ht="14.4" x14ac:dyDescent="0.3">
      <c r="B1449" s="57">
        <v>1790816772738</v>
      </c>
      <c r="C1449" s="58">
        <v>116</v>
      </c>
      <c r="D1449" s="59" t="s">
        <v>1658</v>
      </c>
      <c r="E1449" s="59" t="s">
        <v>1577</v>
      </c>
      <c r="F1449" s="59" t="s">
        <v>2275</v>
      </c>
      <c r="G1449" s="59" t="s">
        <v>3577</v>
      </c>
      <c r="H1449" s="59" t="s">
        <v>2281</v>
      </c>
      <c r="I1449" s="59" t="b">
        <v>1</v>
      </c>
      <c r="J1449" s="59"/>
      <c r="K1449" s="58">
        <v>1899</v>
      </c>
      <c r="L1449" s="58">
        <v>1342</v>
      </c>
      <c r="M1449" s="59">
        <v>10</v>
      </c>
      <c r="N1449" s="59">
        <v>10</v>
      </c>
      <c r="O1449" s="59" t="s">
        <v>3578</v>
      </c>
      <c r="P1449" s="58">
        <v>111</v>
      </c>
      <c r="Q1449" s="59">
        <v>0</v>
      </c>
      <c r="R1449" s="59">
        <v>0</v>
      </c>
      <c r="S1449" s="60">
        <f>tblJTL[[#This Row],[timeStamp]]/86400000+DATE(1970,1,1)+TIME(9,0,0)</f>
        <v>46296.420980763884</v>
      </c>
      <c r="T1449" s="57">
        <f>tblJTL[[#This Row],[timeStamp]]+tblJTL[[#This Row],[elapsed]]</f>
        <v>1790816772854</v>
      </c>
      <c r="U1449" s="61">
        <f>(tblJTL[[#This Row],[timeStamp]]-'17_分析サンプル'!$E$18)/1000</f>
        <v>372.55799999999999</v>
      </c>
      <c r="V1449" s="57">
        <f>INT(tblJTL[[#This Row],[経過秒]]/60)</f>
        <v>6</v>
      </c>
      <c r="W1449" s="57">
        <f>IF(OR(tblJTL[[#This Row],[success]]=FALSE,tblJTL[[#This Row],[success]]="false"),1,0)</f>
        <v>0</v>
      </c>
      <c r="X1449" s="57">
        <f>IF(AND(tblJTL[[#This Row],[経過秒]]&gt;='17_分析サンプル'!$E$11,tblJTL[[#This Row],[経過秒]]&lt;'17_分析サンプル'!$E$12),1,0)</f>
        <v>1</v>
      </c>
    </row>
    <row r="1450" spans="2:24" ht="14.4" x14ac:dyDescent="0.3">
      <c r="B1450" s="57">
        <v>1790816772862</v>
      </c>
      <c r="C1450" s="58">
        <v>166</v>
      </c>
      <c r="D1450" s="59" t="s">
        <v>1677</v>
      </c>
      <c r="E1450" s="59" t="s">
        <v>3579</v>
      </c>
      <c r="F1450" s="59" t="s">
        <v>3580</v>
      </c>
      <c r="G1450" s="59" t="s">
        <v>3588</v>
      </c>
      <c r="H1450" s="59" t="s">
        <v>2281</v>
      </c>
      <c r="I1450" s="59" t="b">
        <v>1</v>
      </c>
      <c r="J1450" s="59"/>
      <c r="K1450" s="58">
        <v>424</v>
      </c>
      <c r="L1450" s="58">
        <v>1478</v>
      </c>
      <c r="M1450" s="59">
        <v>10</v>
      </c>
      <c r="N1450" s="59">
        <v>10</v>
      </c>
      <c r="O1450" s="59" t="s">
        <v>3581</v>
      </c>
      <c r="P1450" s="58">
        <v>161</v>
      </c>
      <c r="Q1450" s="59">
        <v>0</v>
      </c>
      <c r="R1450" s="59">
        <v>0</v>
      </c>
      <c r="S1450" s="60">
        <f>tblJTL[[#This Row],[timeStamp]]/86400000+DATE(1970,1,1)+TIME(9,0,0)</f>
        <v>46296.420982199073</v>
      </c>
      <c r="T1450" s="57">
        <f>tblJTL[[#This Row],[timeStamp]]+tblJTL[[#This Row],[elapsed]]</f>
        <v>1790816773028</v>
      </c>
      <c r="U1450" s="61">
        <f>(tblJTL[[#This Row],[timeStamp]]-'17_分析サンプル'!$E$18)/1000</f>
        <v>372.68200000000002</v>
      </c>
      <c r="V1450" s="57">
        <f>INT(tblJTL[[#This Row],[経過秒]]/60)</f>
        <v>6</v>
      </c>
      <c r="W1450" s="57">
        <f>IF(OR(tblJTL[[#This Row],[success]]=FALSE,tblJTL[[#This Row],[success]]="false"),1,0)</f>
        <v>0</v>
      </c>
      <c r="X1450" s="57">
        <f>IF(AND(tblJTL[[#This Row],[経過秒]]&gt;='17_分析サンプル'!$E$11,tblJTL[[#This Row],[経過秒]]&lt;'17_分析サンプル'!$E$12),1,0)</f>
        <v>1</v>
      </c>
    </row>
    <row r="1451" spans="2:24" ht="14.4" x14ac:dyDescent="0.3">
      <c r="B1451" s="57">
        <v>1790816773363</v>
      </c>
      <c r="C1451" s="58">
        <v>96</v>
      </c>
      <c r="D1451" s="59" t="s">
        <v>1658</v>
      </c>
      <c r="E1451" s="59" t="s">
        <v>1577</v>
      </c>
      <c r="F1451" s="59" t="s">
        <v>2275</v>
      </c>
      <c r="G1451" s="59" t="s">
        <v>3584</v>
      </c>
      <c r="H1451" s="59" t="s">
        <v>2281</v>
      </c>
      <c r="I1451" s="59" t="b">
        <v>1</v>
      </c>
      <c r="J1451" s="59"/>
      <c r="K1451" s="58">
        <v>1886</v>
      </c>
      <c r="L1451" s="58">
        <v>1342</v>
      </c>
      <c r="M1451" s="59">
        <v>10</v>
      </c>
      <c r="N1451" s="59">
        <v>10</v>
      </c>
      <c r="O1451" s="59" t="s">
        <v>3578</v>
      </c>
      <c r="P1451" s="58">
        <v>92</v>
      </c>
      <c r="Q1451" s="59">
        <v>0</v>
      </c>
      <c r="R1451" s="59">
        <v>0</v>
      </c>
      <c r="S1451" s="60">
        <f>tblJTL[[#This Row],[timeStamp]]/86400000+DATE(1970,1,1)+TIME(9,0,0)</f>
        <v>46296.420987997684</v>
      </c>
      <c r="T1451" s="57">
        <f>tblJTL[[#This Row],[timeStamp]]+tblJTL[[#This Row],[elapsed]]</f>
        <v>1790816773459</v>
      </c>
      <c r="U1451" s="61">
        <f>(tblJTL[[#This Row],[timeStamp]]-'17_分析サンプル'!$E$18)/1000</f>
        <v>373.18299999999999</v>
      </c>
      <c r="V1451" s="57">
        <f>INT(tblJTL[[#This Row],[経過秒]]/60)</f>
        <v>6</v>
      </c>
      <c r="W1451" s="57">
        <f>IF(OR(tblJTL[[#This Row],[success]]=FALSE,tblJTL[[#This Row],[success]]="false"),1,0)</f>
        <v>0</v>
      </c>
      <c r="X1451" s="57">
        <f>IF(AND(tblJTL[[#This Row],[経過秒]]&gt;='17_分析サンプル'!$E$11,tblJTL[[#This Row],[経過秒]]&lt;'17_分析サンプル'!$E$12),1,0)</f>
        <v>1</v>
      </c>
    </row>
    <row r="1452" spans="2:24" ht="14.4" x14ac:dyDescent="0.3">
      <c r="B1452" s="57">
        <v>1790816773327</v>
      </c>
      <c r="C1452" s="58">
        <v>151</v>
      </c>
      <c r="D1452" s="59" t="s">
        <v>1677</v>
      </c>
      <c r="E1452" s="59" t="s">
        <v>3579</v>
      </c>
      <c r="F1452" s="59" t="s">
        <v>3580</v>
      </c>
      <c r="G1452" s="59" t="s">
        <v>3583</v>
      </c>
      <c r="H1452" s="59" t="s">
        <v>2281</v>
      </c>
      <c r="I1452" s="59" t="b">
        <v>1</v>
      </c>
      <c r="J1452" s="59"/>
      <c r="K1452" s="58">
        <v>436</v>
      </c>
      <c r="L1452" s="58">
        <v>1478</v>
      </c>
      <c r="M1452" s="59">
        <v>10</v>
      </c>
      <c r="N1452" s="59">
        <v>10</v>
      </c>
      <c r="O1452" s="59" t="s">
        <v>3581</v>
      </c>
      <c r="P1452" s="58">
        <v>145</v>
      </c>
      <c r="Q1452" s="59">
        <v>0</v>
      </c>
      <c r="R1452" s="59">
        <v>0</v>
      </c>
      <c r="S1452" s="60">
        <f>tblJTL[[#This Row],[timeStamp]]/86400000+DATE(1970,1,1)+TIME(9,0,0)</f>
        <v>46296.420987581019</v>
      </c>
      <c r="T1452" s="57">
        <f>tblJTL[[#This Row],[timeStamp]]+tblJTL[[#This Row],[elapsed]]</f>
        <v>1790816773478</v>
      </c>
      <c r="U1452" s="61">
        <f>(tblJTL[[#This Row],[timeStamp]]-'17_分析サンプル'!$E$18)/1000</f>
        <v>373.14699999999999</v>
      </c>
      <c r="V1452" s="57">
        <f>INT(tblJTL[[#This Row],[経過秒]]/60)</f>
        <v>6</v>
      </c>
      <c r="W1452" s="57">
        <f>IF(OR(tblJTL[[#This Row],[success]]=FALSE,tblJTL[[#This Row],[success]]="false"),1,0)</f>
        <v>0</v>
      </c>
      <c r="X1452" s="57">
        <f>IF(AND(tblJTL[[#This Row],[経過秒]]&gt;='17_分析サンプル'!$E$11,tblJTL[[#This Row],[経過秒]]&lt;'17_分析サンプル'!$E$12),1,0)</f>
        <v>1</v>
      </c>
    </row>
    <row r="1453" spans="2:24" ht="14.4" x14ac:dyDescent="0.3">
      <c r="B1453" s="57">
        <v>1790816773382</v>
      </c>
      <c r="C1453" s="58">
        <v>99</v>
      </c>
      <c r="D1453" s="59" t="s">
        <v>1658</v>
      </c>
      <c r="E1453" s="59" t="s">
        <v>1577</v>
      </c>
      <c r="F1453" s="59" t="s">
        <v>2275</v>
      </c>
      <c r="G1453" s="59" t="s">
        <v>3589</v>
      </c>
      <c r="H1453" s="59" t="s">
        <v>2281</v>
      </c>
      <c r="I1453" s="59" t="b">
        <v>1</v>
      </c>
      <c r="J1453" s="59"/>
      <c r="K1453" s="58">
        <v>1873</v>
      </c>
      <c r="L1453" s="58">
        <v>1342</v>
      </c>
      <c r="M1453" s="59">
        <v>10</v>
      </c>
      <c r="N1453" s="59">
        <v>10</v>
      </c>
      <c r="O1453" s="59" t="s">
        <v>3578</v>
      </c>
      <c r="P1453" s="58">
        <v>94</v>
      </c>
      <c r="Q1453" s="59">
        <v>0</v>
      </c>
      <c r="R1453" s="59">
        <v>0</v>
      </c>
      <c r="S1453" s="60">
        <f>tblJTL[[#This Row],[timeStamp]]/86400000+DATE(1970,1,1)+TIME(9,0,0)</f>
        <v>46296.420988217593</v>
      </c>
      <c r="T1453" s="57">
        <f>tblJTL[[#This Row],[timeStamp]]+tblJTL[[#This Row],[elapsed]]</f>
        <v>1790816773481</v>
      </c>
      <c r="U1453" s="61">
        <f>(tblJTL[[#This Row],[timeStamp]]-'17_分析サンプル'!$E$18)/1000</f>
        <v>373.202</v>
      </c>
      <c r="V1453" s="57">
        <f>INT(tblJTL[[#This Row],[経過秒]]/60)</f>
        <v>6</v>
      </c>
      <c r="W1453" s="57">
        <f>IF(OR(tblJTL[[#This Row],[success]]=FALSE,tblJTL[[#This Row],[success]]="false"),1,0)</f>
        <v>0</v>
      </c>
      <c r="X1453" s="57">
        <f>IF(AND(tblJTL[[#This Row],[経過秒]]&gt;='17_分析サンプル'!$E$11,tblJTL[[#This Row],[経過秒]]&lt;'17_分析サンプル'!$E$12),1,0)</f>
        <v>1</v>
      </c>
    </row>
    <row r="1454" spans="2:24" ht="14.4" x14ac:dyDescent="0.3">
      <c r="B1454" s="57">
        <v>1790816773570</v>
      </c>
      <c r="C1454" s="58">
        <v>87</v>
      </c>
      <c r="D1454" s="59" t="s">
        <v>1658</v>
      </c>
      <c r="E1454" s="59" t="s">
        <v>1577</v>
      </c>
      <c r="F1454" s="59" t="s">
        <v>2275</v>
      </c>
      <c r="G1454" s="59" t="s">
        <v>3585</v>
      </c>
      <c r="H1454" s="59" t="s">
        <v>2281</v>
      </c>
      <c r="I1454" s="59" t="b">
        <v>1</v>
      </c>
      <c r="J1454" s="59"/>
      <c r="K1454" s="58">
        <v>1883</v>
      </c>
      <c r="L1454" s="58">
        <v>1342</v>
      </c>
      <c r="M1454" s="59">
        <v>10</v>
      </c>
      <c r="N1454" s="59">
        <v>10</v>
      </c>
      <c r="O1454" s="59" t="s">
        <v>3578</v>
      </c>
      <c r="P1454" s="58">
        <v>84</v>
      </c>
      <c r="Q1454" s="59">
        <v>0</v>
      </c>
      <c r="R1454" s="59">
        <v>0</v>
      </c>
      <c r="S1454" s="60">
        <f>tblJTL[[#This Row],[timeStamp]]/86400000+DATE(1970,1,1)+TIME(9,0,0)</f>
        <v>46296.420990393519</v>
      </c>
      <c r="T1454" s="57">
        <f>tblJTL[[#This Row],[timeStamp]]+tblJTL[[#This Row],[elapsed]]</f>
        <v>1790816773657</v>
      </c>
      <c r="U1454" s="61">
        <f>(tblJTL[[#This Row],[timeStamp]]-'17_分析サンプル'!$E$18)/1000</f>
        <v>373.39</v>
      </c>
      <c r="V1454" s="57">
        <f>INT(tblJTL[[#This Row],[経過秒]]/60)</f>
        <v>6</v>
      </c>
      <c r="W1454" s="57">
        <f>IF(OR(tblJTL[[#This Row],[success]]=FALSE,tblJTL[[#This Row],[success]]="false"),1,0)</f>
        <v>0</v>
      </c>
      <c r="X1454" s="57">
        <f>IF(AND(tblJTL[[#This Row],[経過秒]]&gt;='17_分析サンプル'!$E$11,tblJTL[[#This Row],[経過秒]]&lt;'17_分析サンプル'!$E$12),1,0)</f>
        <v>1</v>
      </c>
    </row>
    <row r="1455" spans="2:24" ht="14.4" x14ac:dyDescent="0.3">
      <c r="B1455" s="57">
        <v>1790816773754</v>
      </c>
      <c r="C1455" s="58">
        <v>222</v>
      </c>
      <c r="D1455" s="59" t="s">
        <v>1658</v>
      </c>
      <c r="E1455" s="59" t="s">
        <v>1577</v>
      </c>
      <c r="F1455" s="59" t="s">
        <v>2275</v>
      </c>
      <c r="G1455" s="59" t="s">
        <v>3586</v>
      </c>
      <c r="H1455" s="59" t="s">
        <v>2281</v>
      </c>
      <c r="I1455" s="59" t="b">
        <v>1</v>
      </c>
      <c r="J1455" s="59"/>
      <c r="K1455" s="58">
        <v>1871</v>
      </c>
      <c r="L1455" s="58">
        <v>1342</v>
      </c>
      <c r="M1455" s="59">
        <v>10</v>
      </c>
      <c r="N1455" s="59">
        <v>10</v>
      </c>
      <c r="O1455" s="59" t="s">
        <v>3578</v>
      </c>
      <c r="P1455" s="58">
        <v>217</v>
      </c>
      <c r="Q1455" s="59">
        <v>0</v>
      </c>
      <c r="R1455" s="59">
        <v>0</v>
      </c>
      <c r="S1455" s="60">
        <f>tblJTL[[#This Row],[timeStamp]]/86400000+DATE(1970,1,1)+TIME(9,0,0)</f>
        <v>46296.420992523148</v>
      </c>
      <c r="T1455" s="57">
        <f>tblJTL[[#This Row],[timeStamp]]+tblJTL[[#This Row],[elapsed]]</f>
        <v>1790816773976</v>
      </c>
      <c r="U1455" s="61">
        <f>(tblJTL[[#This Row],[timeStamp]]-'17_分析サンプル'!$E$18)/1000</f>
        <v>373.57400000000001</v>
      </c>
      <c r="V1455" s="57">
        <f>INT(tblJTL[[#This Row],[経過秒]]/60)</f>
        <v>6</v>
      </c>
      <c r="W1455" s="57">
        <f>IF(OR(tblJTL[[#This Row],[success]]=FALSE,tblJTL[[#This Row],[success]]="false"),1,0)</f>
        <v>0</v>
      </c>
      <c r="X1455" s="57">
        <f>IF(AND(tblJTL[[#This Row],[経過秒]]&gt;='17_分析サンプル'!$E$11,tblJTL[[#This Row],[経過秒]]&lt;'17_分析サンプル'!$E$12),1,0)</f>
        <v>1</v>
      </c>
    </row>
    <row r="1456" spans="2:24" ht="14.4" x14ac:dyDescent="0.3">
      <c r="B1456" s="57">
        <v>1790816774172</v>
      </c>
      <c r="C1456" s="58">
        <v>240</v>
      </c>
      <c r="D1456" s="59" t="s">
        <v>1677</v>
      </c>
      <c r="E1456" s="59" t="s">
        <v>3579</v>
      </c>
      <c r="F1456" s="59" t="s">
        <v>3580</v>
      </c>
      <c r="G1456" s="59" t="s">
        <v>3577</v>
      </c>
      <c r="H1456" s="59" t="s">
        <v>2281</v>
      </c>
      <c r="I1456" s="59" t="b">
        <v>1</v>
      </c>
      <c r="J1456" s="59"/>
      <c r="K1456" s="58">
        <v>432</v>
      </c>
      <c r="L1456" s="58">
        <v>1478</v>
      </c>
      <c r="M1456" s="59">
        <v>10</v>
      </c>
      <c r="N1456" s="59">
        <v>10</v>
      </c>
      <c r="O1456" s="59" t="s">
        <v>3581</v>
      </c>
      <c r="P1456" s="58">
        <v>234</v>
      </c>
      <c r="Q1456" s="59">
        <v>0</v>
      </c>
      <c r="R1456" s="59">
        <v>0</v>
      </c>
      <c r="S1456" s="60">
        <f>tblJTL[[#This Row],[timeStamp]]/86400000+DATE(1970,1,1)+TIME(9,0,0)</f>
        <v>46296.420997361114</v>
      </c>
      <c r="T1456" s="57">
        <f>tblJTL[[#This Row],[timeStamp]]+tblJTL[[#This Row],[elapsed]]</f>
        <v>1790816774412</v>
      </c>
      <c r="U1456" s="61">
        <f>(tblJTL[[#This Row],[timeStamp]]-'17_分析サンプル'!$E$18)/1000</f>
        <v>373.99200000000002</v>
      </c>
      <c r="V1456" s="57">
        <f>INT(tblJTL[[#This Row],[経過秒]]/60)</f>
        <v>6</v>
      </c>
      <c r="W1456" s="57">
        <f>IF(OR(tblJTL[[#This Row],[success]]=FALSE,tblJTL[[#This Row],[success]]="false"),1,0)</f>
        <v>0</v>
      </c>
      <c r="X1456" s="57">
        <f>IF(AND(tblJTL[[#This Row],[経過秒]]&gt;='17_分析サンプル'!$E$11,tblJTL[[#This Row],[経過秒]]&lt;'17_分析サンプル'!$E$12),1,0)</f>
        <v>1</v>
      </c>
    </row>
    <row r="1457" spans="2:24" ht="14.4" x14ac:dyDescent="0.3">
      <c r="B1457" s="57">
        <v>1790816774275</v>
      </c>
      <c r="C1457" s="58">
        <v>177</v>
      </c>
      <c r="D1457" s="59" t="s">
        <v>1658</v>
      </c>
      <c r="E1457" s="59" t="s">
        <v>1577</v>
      </c>
      <c r="F1457" s="59" t="s">
        <v>2275</v>
      </c>
      <c r="G1457" s="59" t="s">
        <v>3588</v>
      </c>
      <c r="H1457" s="59" t="s">
        <v>2281</v>
      </c>
      <c r="I1457" s="59" t="b">
        <v>1</v>
      </c>
      <c r="J1457" s="59"/>
      <c r="K1457" s="58">
        <v>1895</v>
      </c>
      <c r="L1457" s="58">
        <v>1342</v>
      </c>
      <c r="M1457" s="59">
        <v>10</v>
      </c>
      <c r="N1457" s="59">
        <v>10</v>
      </c>
      <c r="O1457" s="59" t="s">
        <v>3578</v>
      </c>
      <c r="P1457" s="58">
        <v>172</v>
      </c>
      <c r="Q1457" s="59">
        <v>0</v>
      </c>
      <c r="R1457" s="59">
        <v>0</v>
      </c>
      <c r="S1457" s="60">
        <f>tblJTL[[#This Row],[timeStamp]]/86400000+DATE(1970,1,1)+TIME(9,0,0)</f>
        <v>46296.420998553236</v>
      </c>
      <c r="T1457" s="57">
        <f>tblJTL[[#This Row],[timeStamp]]+tblJTL[[#This Row],[elapsed]]</f>
        <v>1790816774452</v>
      </c>
      <c r="U1457" s="61">
        <f>(tblJTL[[#This Row],[timeStamp]]-'17_分析サンプル'!$E$18)/1000</f>
        <v>374.09500000000003</v>
      </c>
      <c r="V1457" s="57">
        <f>INT(tblJTL[[#This Row],[経過秒]]/60)</f>
        <v>6</v>
      </c>
      <c r="W1457" s="57">
        <f>IF(OR(tblJTL[[#This Row],[success]]=FALSE,tblJTL[[#This Row],[success]]="false"),1,0)</f>
        <v>0</v>
      </c>
      <c r="X1457" s="57">
        <f>IF(AND(tblJTL[[#This Row],[経過秒]]&gt;='17_分析サンプル'!$E$11,tblJTL[[#This Row],[経過秒]]&lt;'17_分析サンプル'!$E$12),1,0)</f>
        <v>1</v>
      </c>
    </row>
    <row r="1458" spans="2:24" ht="14.4" x14ac:dyDescent="0.3">
      <c r="B1458" s="57">
        <v>1790816774404</v>
      </c>
      <c r="C1458" s="58">
        <v>250</v>
      </c>
      <c r="D1458" s="59" t="s">
        <v>1677</v>
      </c>
      <c r="E1458" s="59" t="s">
        <v>3579</v>
      </c>
      <c r="F1458" s="59" t="s">
        <v>3580</v>
      </c>
      <c r="G1458" s="59" t="s">
        <v>2278</v>
      </c>
      <c r="H1458" s="59" t="s">
        <v>2281</v>
      </c>
      <c r="I1458" s="59" t="b">
        <v>1</v>
      </c>
      <c r="J1458" s="59"/>
      <c r="K1458" s="58">
        <v>413</v>
      </c>
      <c r="L1458" s="58">
        <v>1478</v>
      </c>
      <c r="M1458" s="59">
        <v>10</v>
      </c>
      <c r="N1458" s="59">
        <v>10</v>
      </c>
      <c r="O1458" s="59" t="s">
        <v>3581</v>
      </c>
      <c r="P1458" s="58">
        <v>247</v>
      </c>
      <c r="Q1458" s="59">
        <v>0</v>
      </c>
      <c r="R1458" s="59">
        <v>0</v>
      </c>
      <c r="S1458" s="60">
        <f>tblJTL[[#This Row],[timeStamp]]/86400000+DATE(1970,1,1)+TIME(9,0,0)</f>
        <v>46296.421000046292</v>
      </c>
      <c r="T1458" s="57">
        <f>tblJTL[[#This Row],[timeStamp]]+tblJTL[[#This Row],[elapsed]]</f>
        <v>1790816774654</v>
      </c>
      <c r="U1458" s="61">
        <f>(tblJTL[[#This Row],[timeStamp]]-'17_分析サンプル'!$E$18)/1000</f>
        <v>374.22399999999999</v>
      </c>
      <c r="V1458" s="57">
        <f>INT(tblJTL[[#This Row],[経過秒]]/60)</f>
        <v>6</v>
      </c>
      <c r="W1458" s="57">
        <f>IF(OR(tblJTL[[#This Row],[success]]=FALSE,tblJTL[[#This Row],[success]]="false"),1,0)</f>
        <v>0</v>
      </c>
      <c r="X1458" s="57">
        <f>IF(AND(tblJTL[[#This Row],[経過秒]]&gt;='17_分析サンプル'!$E$11,tblJTL[[#This Row],[経過秒]]&lt;'17_分析サンプル'!$E$12),1,0)</f>
        <v>1</v>
      </c>
    </row>
    <row r="1459" spans="2:24" ht="14.4" x14ac:dyDescent="0.3">
      <c r="B1459" s="57">
        <v>1790816774732</v>
      </c>
      <c r="C1459" s="58">
        <v>113</v>
      </c>
      <c r="D1459" s="59" t="s">
        <v>1658</v>
      </c>
      <c r="E1459" s="59" t="s">
        <v>1577</v>
      </c>
      <c r="F1459" s="59" t="s">
        <v>2275</v>
      </c>
      <c r="G1459" s="59" t="s">
        <v>3582</v>
      </c>
      <c r="H1459" s="59" t="s">
        <v>2281</v>
      </c>
      <c r="I1459" s="59" t="b">
        <v>1</v>
      </c>
      <c r="J1459" s="59"/>
      <c r="K1459" s="58">
        <v>1859</v>
      </c>
      <c r="L1459" s="58">
        <v>1342</v>
      </c>
      <c r="M1459" s="59">
        <v>10</v>
      </c>
      <c r="N1459" s="59">
        <v>10</v>
      </c>
      <c r="O1459" s="59" t="s">
        <v>3578</v>
      </c>
      <c r="P1459" s="58">
        <v>109</v>
      </c>
      <c r="Q1459" s="59">
        <v>0</v>
      </c>
      <c r="R1459" s="59">
        <v>0</v>
      </c>
      <c r="S1459" s="60">
        <f>tblJTL[[#This Row],[timeStamp]]/86400000+DATE(1970,1,1)+TIME(9,0,0)</f>
        <v>46296.421003842595</v>
      </c>
      <c r="T1459" s="57">
        <f>tblJTL[[#This Row],[timeStamp]]+tblJTL[[#This Row],[elapsed]]</f>
        <v>1790816774845</v>
      </c>
      <c r="U1459" s="61">
        <f>(tblJTL[[#This Row],[timeStamp]]-'17_分析サンプル'!$E$18)/1000</f>
        <v>374.55200000000002</v>
      </c>
      <c r="V1459" s="57">
        <f>INT(tblJTL[[#This Row],[経過秒]]/60)</f>
        <v>6</v>
      </c>
      <c r="W1459" s="57">
        <f>IF(OR(tblJTL[[#This Row],[success]]=FALSE,tblJTL[[#This Row],[success]]="false"),1,0)</f>
        <v>0</v>
      </c>
      <c r="X1459" s="57">
        <f>IF(AND(tblJTL[[#This Row],[経過秒]]&gt;='17_分析サンプル'!$E$11,tblJTL[[#This Row],[経過秒]]&lt;'17_分析サンプル'!$E$12),1,0)</f>
        <v>1</v>
      </c>
    </row>
    <row r="1460" spans="2:24" ht="14.4" x14ac:dyDescent="0.3">
      <c r="B1460" s="57">
        <v>1790816774829</v>
      </c>
      <c r="C1460" s="58">
        <v>114</v>
      </c>
      <c r="D1460" s="59" t="s">
        <v>1658</v>
      </c>
      <c r="E1460" s="59" t="s">
        <v>1577</v>
      </c>
      <c r="F1460" s="59" t="s">
        <v>2275</v>
      </c>
      <c r="G1460" s="59" t="s">
        <v>3583</v>
      </c>
      <c r="H1460" s="59" t="s">
        <v>2281</v>
      </c>
      <c r="I1460" s="59" t="b">
        <v>1</v>
      </c>
      <c r="J1460" s="59"/>
      <c r="K1460" s="58">
        <v>1827</v>
      </c>
      <c r="L1460" s="58">
        <v>1342</v>
      </c>
      <c r="M1460" s="59">
        <v>10</v>
      </c>
      <c r="N1460" s="59">
        <v>10</v>
      </c>
      <c r="O1460" s="59" t="s">
        <v>3578</v>
      </c>
      <c r="P1460" s="58">
        <v>112</v>
      </c>
      <c r="Q1460" s="59">
        <v>0</v>
      </c>
      <c r="R1460" s="59">
        <v>0</v>
      </c>
      <c r="S1460" s="60">
        <f>tblJTL[[#This Row],[timeStamp]]/86400000+DATE(1970,1,1)+TIME(9,0,0)</f>
        <v>46296.421004965276</v>
      </c>
      <c r="T1460" s="57">
        <f>tblJTL[[#This Row],[timeStamp]]+tblJTL[[#This Row],[elapsed]]</f>
        <v>1790816774943</v>
      </c>
      <c r="U1460" s="61">
        <f>(tblJTL[[#This Row],[timeStamp]]-'17_分析サンプル'!$E$18)/1000</f>
        <v>374.649</v>
      </c>
      <c r="V1460" s="57">
        <f>INT(tblJTL[[#This Row],[経過秒]]/60)</f>
        <v>6</v>
      </c>
      <c r="W1460" s="57">
        <f>IF(OR(tblJTL[[#This Row],[success]]=FALSE,tblJTL[[#This Row],[success]]="false"),1,0)</f>
        <v>0</v>
      </c>
      <c r="X1460" s="57">
        <f>IF(AND(tblJTL[[#This Row],[経過秒]]&gt;='17_分析サンプル'!$E$11,tblJTL[[#This Row],[経過秒]]&lt;'17_分析サンプル'!$E$12),1,0)</f>
        <v>1</v>
      </c>
    </row>
    <row r="1461" spans="2:24" ht="14.4" x14ac:dyDescent="0.3">
      <c r="B1461" s="57">
        <v>1790816774875</v>
      </c>
      <c r="C1461" s="58">
        <v>191</v>
      </c>
      <c r="D1461" s="59" t="s">
        <v>1677</v>
      </c>
      <c r="E1461" s="59" t="s">
        <v>3579</v>
      </c>
      <c r="F1461" s="59" t="s">
        <v>3580</v>
      </c>
      <c r="G1461" s="59" t="s">
        <v>3585</v>
      </c>
      <c r="H1461" s="59" t="s">
        <v>2281</v>
      </c>
      <c r="I1461" s="59" t="b">
        <v>1</v>
      </c>
      <c r="J1461" s="59"/>
      <c r="K1461" s="58">
        <v>425</v>
      </c>
      <c r="L1461" s="58">
        <v>1478</v>
      </c>
      <c r="M1461" s="59">
        <v>10</v>
      </c>
      <c r="N1461" s="59">
        <v>10</v>
      </c>
      <c r="O1461" s="59" t="s">
        <v>3581</v>
      </c>
      <c r="P1461" s="58">
        <v>184</v>
      </c>
      <c r="Q1461" s="59">
        <v>0</v>
      </c>
      <c r="R1461" s="59">
        <v>0</v>
      </c>
      <c r="S1461" s="60">
        <f>tblJTL[[#This Row],[timeStamp]]/86400000+DATE(1970,1,1)+TIME(9,0,0)</f>
        <v>46296.421005497687</v>
      </c>
      <c r="T1461" s="57">
        <f>tblJTL[[#This Row],[timeStamp]]+tblJTL[[#This Row],[elapsed]]</f>
        <v>1790816775066</v>
      </c>
      <c r="U1461" s="61">
        <f>(tblJTL[[#This Row],[timeStamp]]-'17_分析サンプル'!$E$18)/1000</f>
        <v>374.69499999999999</v>
      </c>
      <c r="V1461" s="57">
        <f>INT(tblJTL[[#This Row],[経過秒]]/60)</f>
        <v>6</v>
      </c>
      <c r="W1461" s="57">
        <f>IF(OR(tblJTL[[#This Row],[success]]=FALSE,tblJTL[[#This Row],[success]]="false"),1,0)</f>
        <v>0</v>
      </c>
      <c r="X1461" s="57">
        <f>IF(AND(tblJTL[[#This Row],[経過秒]]&gt;='17_分析サンプル'!$E$11,tblJTL[[#This Row],[経過秒]]&lt;'17_分析サンプル'!$E$12),1,0)</f>
        <v>1</v>
      </c>
    </row>
    <row r="1462" spans="2:24" ht="14.4" x14ac:dyDescent="0.3">
      <c r="B1462" s="57">
        <v>1790816775249</v>
      </c>
      <c r="C1462" s="58">
        <v>243</v>
      </c>
      <c r="D1462" s="59" t="s">
        <v>1677</v>
      </c>
      <c r="E1462" s="59" t="s">
        <v>3579</v>
      </c>
      <c r="F1462" s="59" t="s">
        <v>3580</v>
      </c>
      <c r="G1462" s="59" t="s">
        <v>3589</v>
      </c>
      <c r="H1462" s="59" t="s">
        <v>2281</v>
      </c>
      <c r="I1462" s="59" t="b">
        <v>1</v>
      </c>
      <c r="J1462" s="59"/>
      <c r="K1462" s="58">
        <v>415</v>
      </c>
      <c r="L1462" s="58">
        <v>1478</v>
      </c>
      <c r="M1462" s="59">
        <v>10</v>
      </c>
      <c r="N1462" s="59">
        <v>10</v>
      </c>
      <c r="O1462" s="59" t="s">
        <v>3581</v>
      </c>
      <c r="P1462" s="58">
        <v>238</v>
      </c>
      <c r="Q1462" s="59">
        <v>0</v>
      </c>
      <c r="R1462" s="59">
        <v>0</v>
      </c>
      <c r="S1462" s="60">
        <f>tblJTL[[#This Row],[timeStamp]]/86400000+DATE(1970,1,1)+TIME(9,0,0)</f>
        <v>46296.421009826387</v>
      </c>
      <c r="T1462" s="57">
        <f>tblJTL[[#This Row],[timeStamp]]+tblJTL[[#This Row],[elapsed]]</f>
        <v>1790816775492</v>
      </c>
      <c r="U1462" s="61">
        <f>(tblJTL[[#This Row],[timeStamp]]-'17_分析サンプル'!$E$18)/1000</f>
        <v>375.06900000000002</v>
      </c>
      <c r="V1462" s="57">
        <f>INT(tblJTL[[#This Row],[経過秒]]/60)</f>
        <v>6</v>
      </c>
      <c r="W1462" s="57">
        <f>IF(OR(tblJTL[[#This Row],[success]]=FALSE,tblJTL[[#This Row],[success]]="false"),1,0)</f>
        <v>0</v>
      </c>
      <c r="X1462" s="57">
        <f>IF(AND(tblJTL[[#This Row],[経過秒]]&gt;='17_分析サンプル'!$E$11,tblJTL[[#This Row],[経過秒]]&lt;'17_分析サンプル'!$E$12),1,0)</f>
        <v>1</v>
      </c>
    </row>
    <row r="1463" spans="2:24" ht="14.4" x14ac:dyDescent="0.3">
      <c r="B1463" s="57">
        <v>1790816774894</v>
      </c>
      <c r="C1463" s="58">
        <v>859</v>
      </c>
      <c r="D1463" s="59" t="s">
        <v>1677</v>
      </c>
      <c r="E1463" s="59" t="s">
        <v>3579</v>
      </c>
      <c r="F1463" s="59" t="s">
        <v>3580</v>
      </c>
      <c r="G1463" s="59" t="s">
        <v>3587</v>
      </c>
      <c r="H1463" s="59" t="s">
        <v>2281</v>
      </c>
      <c r="I1463" s="59" t="b">
        <v>1</v>
      </c>
      <c r="J1463" s="59"/>
      <c r="K1463" s="58">
        <v>418</v>
      </c>
      <c r="L1463" s="58">
        <v>1478</v>
      </c>
      <c r="M1463" s="59">
        <v>10</v>
      </c>
      <c r="N1463" s="59">
        <v>10</v>
      </c>
      <c r="O1463" s="59" t="s">
        <v>3581</v>
      </c>
      <c r="P1463" s="58">
        <v>852</v>
      </c>
      <c r="Q1463" s="59">
        <v>0</v>
      </c>
      <c r="R1463" s="59">
        <v>0</v>
      </c>
      <c r="S1463" s="60">
        <f>tblJTL[[#This Row],[timeStamp]]/86400000+DATE(1970,1,1)+TIME(9,0,0)</f>
        <v>46296.421005717595</v>
      </c>
      <c r="T1463" s="57">
        <f>tblJTL[[#This Row],[timeStamp]]+tblJTL[[#This Row],[elapsed]]</f>
        <v>1790816775753</v>
      </c>
      <c r="U1463" s="61">
        <f>(tblJTL[[#This Row],[timeStamp]]-'17_分析サンプル'!$E$18)/1000</f>
        <v>374.714</v>
      </c>
      <c r="V1463" s="57">
        <f>INT(tblJTL[[#This Row],[経過秒]]/60)</f>
        <v>6</v>
      </c>
      <c r="W1463" s="57">
        <f>IF(OR(tblJTL[[#This Row],[success]]=FALSE,tblJTL[[#This Row],[success]]="false"),1,0)</f>
        <v>0</v>
      </c>
      <c r="X1463" s="57">
        <f>IF(AND(tblJTL[[#This Row],[経過秒]]&gt;='17_分析サンプル'!$E$11,tblJTL[[#This Row],[経過秒]]&lt;'17_分析サンプル'!$E$12),1,0)</f>
        <v>1</v>
      </c>
    </row>
    <row r="1464" spans="2:24" ht="14.4" x14ac:dyDescent="0.3">
      <c r="B1464" s="57">
        <v>1790816775735</v>
      </c>
      <c r="C1464" s="58">
        <v>169</v>
      </c>
      <c r="D1464" s="59" t="s">
        <v>1677</v>
      </c>
      <c r="E1464" s="59" t="s">
        <v>3579</v>
      </c>
      <c r="F1464" s="59" t="s">
        <v>3580</v>
      </c>
      <c r="G1464" s="59" t="s">
        <v>3588</v>
      </c>
      <c r="H1464" s="59" t="s">
        <v>2281</v>
      </c>
      <c r="I1464" s="59" t="b">
        <v>1</v>
      </c>
      <c r="J1464" s="59"/>
      <c r="K1464" s="58">
        <v>424</v>
      </c>
      <c r="L1464" s="58">
        <v>1478</v>
      </c>
      <c r="M1464" s="59">
        <v>10</v>
      </c>
      <c r="N1464" s="59">
        <v>10</v>
      </c>
      <c r="O1464" s="59" t="s">
        <v>3581</v>
      </c>
      <c r="P1464" s="58">
        <v>166</v>
      </c>
      <c r="Q1464" s="59">
        <v>0</v>
      </c>
      <c r="R1464" s="59">
        <v>0</v>
      </c>
      <c r="S1464" s="60">
        <f>tblJTL[[#This Row],[timeStamp]]/86400000+DATE(1970,1,1)+TIME(9,0,0)</f>
        <v>46296.421015451386</v>
      </c>
      <c r="T1464" s="57">
        <f>tblJTL[[#This Row],[timeStamp]]+tblJTL[[#This Row],[elapsed]]</f>
        <v>1790816775904</v>
      </c>
      <c r="U1464" s="61">
        <f>(tblJTL[[#This Row],[timeStamp]]-'17_分析サンプル'!$E$18)/1000</f>
        <v>375.55500000000001</v>
      </c>
      <c r="V1464" s="57">
        <f>INT(tblJTL[[#This Row],[経過秒]]/60)</f>
        <v>6</v>
      </c>
      <c r="W1464" s="57">
        <f>IF(OR(tblJTL[[#This Row],[success]]=FALSE,tblJTL[[#This Row],[success]]="false"),1,0)</f>
        <v>0</v>
      </c>
      <c r="X1464" s="57">
        <f>IF(AND(tblJTL[[#This Row],[経過秒]]&gt;='17_分析サンプル'!$E$11,tblJTL[[#This Row],[経過秒]]&lt;'17_分析サンプル'!$E$12),1,0)</f>
        <v>1</v>
      </c>
    </row>
    <row r="1465" spans="2:24" ht="14.4" x14ac:dyDescent="0.3">
      <c r="B1465" s="57">
        <v>1790816775954</v>
      </c>
      <c r="C1465" s="58">
        <v>229</v>
      </c>
      <c r="D1465" s="59" t="s">
        <v>1677</v>
      </c>
      <c r="E1465" s="59" t="s">
        <v>3579</v>
      </c>
      <c r="F1465" s="59" t="s">
        <v>3580</v>
      </c>
      <c r="G1465" s="59" t="s">
        <v>3584</v>
      </c>
      <c r="H1465" s="59" t="s">
        <v>2281</v>
      </c>
      <c r="I1465" s="59" t="b">
        <v>1</v>
      </c>
      <c r="J1465" s="59"/>
      <c r="K1465" s="58">
        <v>423</v>
      </c>
      <c r="L1465" s="58">
        <v>1478</v>
      </c>
      <c r="M1465" s="59">
        <v>10</v>
      </c>
      <c r="N1465" s="59">
        <v>10</v>
      </c>
      <c r="O1465" s="59" t="s">
        <v>3581</v>
      </c>
      <c r="P1465" s="58">
        <v>222</v>
      </c>
      <c r="Q1465" s="59">
        <v>0</v>
      </c>
      <c r="R1465" s="59">
        <v>0</v>
      </c>
      <c r="S1465" s="60">
        <f>tblJTL[[#This Row],[timeStamp]]/86400000+DATE(1970,1,1)+TIME(9,0,0)</f>
        <v>46296.421017986111</v>
      </c>
      <c r="T1465" s="57">
        <f>tblJTL[[#This Row],[timeStamp]]+tblJTL[[#This Row],[elapsed]]</f>
        <v>1790816776183</v>
      </c>
      <c r="U1465" s="61">
        <f>(tblJTL[[#This Row],[timeStamp]]-'17_分析サンプル'!$E$18)/1000</f>
        <v>375.774</v>
      </c>
      <c r="V1465" s="57">
        <f>INT(tblJTL[[#This Row],[経過秒]]/60)</f>
        <v>6</v>
      </c>
      <c r="W1465" s="57">
        <f>IF(OR(tblJTL[[#This Row],[success]]=FALSE,tblJTL[[#This Row],[success]]="false"),1,0)</f>
        <v>0</v>
      </c>
      <c r="X1465" s="57">
        <f>IF(AND(tblJTL[[#This Row],[経過秒]]&gt;='17_分析サンプル'!$E$11,tblJTL[[#This Row],[経過秒]]&lt;'17_分析サンプル'!$E$12),1,0)</f>
        <v>1</v>
      </c>
    </row>
    <row r="1466" spans="2:24" ht="14.4" x14ac:dyDescent="0.3">
      <c r="B1466" s="57">
        <v>1790816775987</v>
      </c>
      <c r="C1466" s="58">
        <v>209</v>
      </c>
      <c r="D1466" s="59" t="s">
        <v>1658</v>
      </c>
      <c r="E1466" s="59" t="s">
        <v>1577</v>
      </c>
      <c r="F1466" s="59" t="s">
        <v>2275</v>
      </c>
      <c r="G1466" s="59" t="s">
        <v>2278</v>
      </c>
      <c r="H1466" s="59" t="s">
        <v>2281</v>
      </c>
      <c r="I1466" s="59" t="b">
        <v>1</v>
      </c>
      <c r="J1466" s="59"/>
      <c r="K1466" s="58">
        <v>1829</v>
      </c>
      <c r="L1466" s="58">
        <v>1342</v>
      </c>
      <c r="M1466" s="59">
        <v>10</v>
      </c>
      <c r="N1466" s="59">
        <v>10</v>
      </c>
      <c r="O1466" s="59" t="s">
        <v>3578</v>
      </c>
      <c r="P1466" s="58">
        <v>207</v>
      </c>
      <c r="Q1466" s="59">
        <v>0</v>
      </c>
      <c r="R1466" s="59">
        <v>0</v>
      </c>
      <c r="S1466" s="60">
        <f>tblJTL[[#This Row],[timeStamp]]/86400000+DATE(1970,1,1)+TIME(9,0,0)</f>
        <v>46296.421018368055</v>
      </c>
      <c r="T1466" s="57">
        <f>tblJTL[[#This Row],[timeStamp]]+tblJTL[[#This Row],[elapsed]]</f>
        <v>1790816776196</v>
      </c>
      <c r="U1466" s="61">
        <f>(tblJTL[[#This Row],[timeStamp]]-'17_分析サンプル'!$E$18)/1000</f>
        <v>375.80700000000002</v>
      </c>
      <c r="V1466" s="57">
        <f>INT(tblJTL[[#This Row],[経過秒]]/60)</f>
        <v>6</v>
      </c>
      <c r="W1466" s="57">
        <f>IF(OR(tblJTL[[#This Row],[success]]=FALSE,tblJTL[[#This Row],[success]]="false"),1,0)</f>
        <v>0</v>
      </c>
      <c r="X1466" s="57">
        <f>IF(AND(tblJTL[[#This Row],[経過秒]]&gt;='17_分析サンプル'!$E$11,tblJTL[[#This Row],[経過秒]]&lt;'17_分析サンプル'!$E$12),1,0)</f>
        <v>1</v>
      </c>
    </row>
    <row r="1467" spans="2:24" ht="14.4" x14ac:dyDescent="0.3">
      <c r="B1467" s="57">
        <v>1790816776016</v>
      </c>
      <c r="C1467" s="58">
        <v>342</v>
      </c>
      <c r="D1467" s="59" t="s">
        <v>1677</v>
      </c>
      <c r="E1467" s="59" t="s">
        <v>3579</v>
      </c>
      <c r="F1467" s="59" t="s">
        <v>3580</v>
      </c>
      <c r="G1467" s="59" t="s">
        <v>3583</v>
      </c>
      <c r="H1467" s="59" t="s">
        <v>2281</v>
      </c>
      <c r="I1467" s="59" t="b">
        <v>1</v>
      </c>
      <c r="J1467" s="59"/>
      <c r="K1467" s="58">
        <v>419</v>
      </c>
      <c r="L1467" s="58">
        <v>1478</v>
      </c>
      <c r="M1467" s="59">
        <v>10</v>
      </c>
      <c r="N1467" s="59">
        <v>10</v>
      </c>
      <c r="O1467" s="59" t="s">
        <v>3581</v>
      </c>
      <c r="P1467" s="58">
        <v>337</v>
      </c>
      <c r="Q1467" s="59">
        <v>0</v>
      </c>
      <c r="R1467" s="59">
        <v>0</v>
      </c>
      <c r="S1467" s="60">
        <f>tblJTL[[#This Row],[timeStamp]]/86400000+DATE(1970,1,1)+TIME(9,0,0)</f>
        <v>46296.421018703702</v>
      </c>
      <c r="T1467" s="57">
        <f>tblJTL[[#This Row],[timeStamp]]+tblJTL[[#This Row],[elapsed]]</f>
        <v>1790816776358</v>
      </c>
      <c r="U1467" s="61">
        <f>(tblJTL[[#This Row],[timeStamp]]-'17_分析サンプル'!$E$18)/1000</f>
        <v>375.83600000000001</v>
      </c>
      <c r="V1467" s="57">
        <f>INT(tblJTL[[#This Row],[経過秒]]/60)</f>
        <v>6</v>
      </c>
      <c r="W1467" s="57">
        <f>IF(OR(tblJTL[[#This Row],[success]]=FALSE,tblJTL[[#This Row],[success]]="false"),1,0)</f>
        <v>0</v>
      </c>
      <c r="X1467" s="57">
        <f>IF(AND(tblJTL[[#This Row],[経過秒]]&gt;='17_分析サンプル'!$E$11,tblJTL[[#This Row],[経過秒]]&lt;'17_分析サンプル'!$E$12),1,0)</f>
        <v>1</v>
      </c>
    </row>
    <row r="1468" spans="2:24" ht="14.4" x14ac:dyDescent="0.3">
      <c r="B1468" s="57">
        <v>1790816776252</v>
      </c>
      <c r="C1468" s="58">
        <v>223</v>
      </c>
      <c r="D1468" s="59" t="s">
        <v>1677</v>
      </c>
      <c r="E1468" s="59" t="s">
        <v>3579</v>
      </c>
      <c r="F1468" s="59" t="s">
        <v>3580</v>
      </c>
      <c r="G1468" s="59" t="s">
        <v>3586</v>
      </c>
      <c r="H1468" s="59" t="s">
        <v>2281</v>
      </c>
      <c r="I1468" s="59" t="b">
        <v>1</v>
      </c>
      <c r="J1468" s="59"/>
      <c r="K1468" s="58">
        <v>439</v>
      </c>
      <c r="L1468" s="58">
        <v>1478</v>
      </c>
      <c r="M1468" s="59">
        <v>10</v>
      </c>
      <c r="N1468" s="59">
        <v>10</v>
      </c>
      <c r="O1468" s="59" t="s">
        <v>3581</v>
      </c>
      <c r="P1468" s="58">
        <v>215</v>
      </c>
      <c r="Q1468" s="59">
        <v>0</v>
      </c>
      <c r="R1468" s="59">
        <v>0</v>
      </c>
      <c r="S1468" s="60">
        <f>tblJTL[[#This Row],[timeStamp]]/86400000+DATE(1970,1,1)+TIME(9,0,0)</f>
        <v>46296.421021435184</v>
      </c>
      <c r="T1468" s="57">
        <f>tblJTL[[#This Row],[timeStamp]]+tblJTL[[#This Row],[elapsed]]</f>
        <v>1790816776475</v>
      </c>
      <c r="U1468" s="61">
        <f>(tblJTL[[#This Row],[timeStamp]]-'17_分析サンプル'!$E$18)/1000</f>
        <v>376.072</v>
      </c>
      <c r="V1468" s="57">
        <f>INT(tblJTL[[#This Row],[経過秒]]/60)</f>
        <v>6</v>
      </c>
      <c r="W1468" s="57">
        <f>IF(OR(tblJTL[[#This Row],[success]]=FALSE,tblJTL[[#This Row],[success]]="false"),1,0)</f>
        <v>0</v>
      </c>
      <c r="X1468" s="57">
        <f>IF(AND(tblJTL[[#This Row],[経過秒]]&gt;='17_分析サンプル'!$E$11,tblJTL[[#This Row],[経過秒]]&lt;'17_分析サンプル'!$E$12),1,0)</f>
        <v>1</v>
      </c>
    </row>
    <row r="1469" spans="2:24" ht="14.4" x14ac:dyDescent="0.3">
      <c r="B1469" s="57">
        <v>1790816776629</v>
      </c>
      <c r="C1469" s="58">
        <v>109</v>
      </c>
      <c r="D1469" s="59" t="s">
        <v>1658</v>
      </c>
      <c r="E1469" s="59" t="s">
        <v>1577</v>
      </c>
      <c r="F1469" s="59" t="s">
        <v>2275</v>
      </c>
      <c r="G1469" s="59" t="s">
        <v>3589</v>
      </c>
      <c r="H1469" s="59" t="s">
        <v>2281</v>
      </c>
      <c r="I1469" s="59" t="b">
        <v>1</v>
      </c>
      <c r="J1469" s="59"/>
      <c r="K1469" s="58">
        <v>1871</v>
      </c>
      <c r="L1469" s="58">
        <v>1342</v>
      </c>
      <c r="M1469" s="59">
        <v>10</v>
      </c>
      <c r="N1469" s="59">
        <v>10</v>
      </c>
      <c r="O1469" s="59" t="s">
        <v>3578</v>
      </c>
      <c r="P1469" s="58">
        <v>101</v>
      </c>
      <c r="Q1469" s="59">
        <v>0</v>
      </c>
      <c r="R1469" s="59">
        <v>0</v>
      </c>
      <c r="S1469" s="60">
        <f>tblJTL[[#This Row],[timeStamp]]/86400000+DATE(1970,1,1)+TIME(9,0,0)</f>
        <v>46296.421025798612</v>
      </c>
      <c r="T1469" s="57">
        <f>tblJTL[[#This Row],[timeStamp]]+tblJTL[[#This Row],[elapsed]]</f>
        <v>1790816776738</v>
      </c>
      <c r="U1469" s="61">
        <f>(tblJTL[[#This Row],[timeStamp]]-'17_分析サンプル'!$E$18)/1000</f>
        <v>376.44900000000001</v>
      </c>
      <c r="V1469" s="57">
        <f>INT(tblJTL[[#This Row],[経過秒]]/60)</f>
        <v>6</v>
      </c>
      <c r="W1469" s="57">
        <f>IF(OR(tblJTL[[#This Row],[success]]=FALSE,tblJTL[[#This Row],[success]]="false"),1,0)</f>
        <v>0</v>
      </c>
      <c r="X1469" s="57">
        <f>IF(AND(tblJTL[[#This Row],[経過秒]]&gt;='17_分析サンプル'!$E$11,tblJTL[[#This Row],[経過秒]]&lt;'17_分析サンプル'!$E$12),1,0)</f>
        <v>1</v>
      </c>
    </row>
    <row r="1470" spans="2:24" ht="14.4" x14ac:dyDescent="0.3">
      <c r="B1470" s="57">
        <v>1790816776695</v>
      </c>
      <c r="C1470" s="58">
        <v>102</v>
      </c>
      <c r="D1470" s="59" t="s">
        <v>1658</v>
      </c>
      <c r="E1470" s="59" t="s">
        <v>1577</v>
      </c>
      <c r="F1470" s="59" t="s">
        <v>2275</v>
      </c>
      <c r="G1470" s="59" t="s">
        <v>3585</v>
      </c>
      <c r="H1470" s="59" t="s">
        <v>2281</v>
      </c>
      <c r="I1470" s="59" t="b">
        <v>1</v>
      </c>
      <c r="J1470" s="59"/>
      <c r="K1470" s="58">
        <v>1828</v>
      </c>
      <c r="L1470" s="58">
        <v>1342</v>
      </c>
      <c r="M1470" s="59">
        <v>10</v>
      </c>
      <c r="N1470" s="59">
        <v>10</v>
      </c>
      <c r="O1470" s="59" t="s">
        <v>3578</v>
      </c>
      <c r="P1470" s="58">
        <v>98</v>
      </c>
      <c r="Q1470" s="59">
        <v>0</v>
      </c>
      <c r="R1470" s="59">
        <v>0</v>
      </c>
      <c r="S1470" s="60">
        <f>tblJTL[[#This Row],[timeStamp]]/86400000+DATE(1970,1,1)+TIME(9,0,0)</f>
        <v>46296.421026562501</v>
      </c>
      <c r="T1470" s="57">
        <f>tblJTL[[#This Row],[timeStamp]]+tblJTL[[#This Row],[elapsed]]</f>
        <v>1790816776797</v>
      </c>
      <c r="U1470" s="61">
        <f>(tblJTL[[#This Row],[timeStamp]]-'17_分析サンプル'!$E$18)/1000</f>
        <v>376.51499999999999</v>
      </c>
      <c r="V1470" s="57">
        <f>INT(tblJTL[[#This Row],[経過秒]]/60)</f>
        <v>6</v>
      </c>
      <c r="W1470" s="57">
        <f>IF(OR(tblJTL[[#This Row],[success]]=FALSE,tblJTL[[#This Row],[success]]="false"),1,0)</f>
        <v>0</v>
      </c>
      <c r="X1470" s="57">
        <f>IF(AND(tblJTL[[#This Row],[経過秒]]&gt;='17_分析サンプル'!$E$11,tblJTL[[#This Row],[経過秒]]&lt;'17_分析サンプル'!$E$12),1,0)</f>
        <v>1</v>
      </c>
    </row>
    <row r="1471" spans="2:24" ht="14.4" x14ac:dyDescent="0.3">
      <c r="B1471" s="57">
        <v>1790816776788</v>
      </c>
      <c r="C1471" s="58">
        <v>126</v>
      </c>
      <c r="D1471" s="59" t="s">
        <v>1658</v>
      </c>
      <c r="E1471" s="59" t="s">
        <v>1577</v>
      </c>
      <c r="F1471" s="59" t="s">
        <v>2275</v>
      </c>
      <c r="G1471" s="59" t="s">
        <v>3587</v>
      </c>
      <c r="H1471" s="59" t="s">
        <v>2281</v>
      </c>
      <c r="I1471" s="59" t="b">
        <v>1</v>
      </c>
      <c r="J1471" s="59"/>
      <c r="K1471" s="58">
        <v>1845</v>
      </c>
      <c r="L1471" s="58">
        <v>1342</v>
      </c>
      <c r="M1471" s="59">
        <v>10</v>
      </c>
      <c r="N1471" s="59">
        <v>10</v>
      </c>
      <c r="O1471" s="59" t="s">
        <v>3578</v>
      </c>
      <c r="P1471" s="58">
        <v>122</v>
      </c>
      <c r="Q1471" s="59">
        <v>0</v>
      </c>
      <c r="R1471" s="59">
        <v>0</v>
      </c>
      <c r="S1471" s="60">
        <f>tblJTL[[#This Row],[timeStamp]]/86400000+DATE(1970,1,1)+TIME(9,0,0)</f>
        <v>46296.421027638891</v>
      </c>
      <c r="T1471" s="57">
        <f>tblJTL[[#This Row],[timeStamp]]+tblJTL[[#This Row],[elapsed]]</f>
        <v>1790816776914</v>
      </c>
      <c r="U1471" s="61">
        <f>(tblJTL[[#This Row],[timeStamp]]-'17_分析サンプル'!$E$18)/1000</f>
        <v>376.608</v>
      </c>
      <c r="V1471" s="57">
        <f>INT(tblJTL[[#This Row],[経過秒]]/60)</f>
        <v>6</v>
      </c>
      <c r="W1471" s="57">
        <f>IF(OR(tblJTL[[#This Row],[success]]=FALSE,tblJTL[[#This Row],[success]]="false"),1,0)</f>
        <v>0</v>
      </c>
      <c r="X1471" s="57">
        <f>IF(AND(tblJTL[[#This Row],[経過秒]]&gt;='17_分析サンプル'!$E$11,tblJTL[[#This Row],[経過秒]]&lt;'17_分析サンプル'!$E$12),1,0)</f>
        <v>1</v>
      </c>
    </row>
    <row r="1472" spans="2:24" ht="14.4" x14ac:dyDescent="0.3">
      <c r="B1472" s="57">
        <v>1790816776536</v>
      </c>
      <c r="C1472" s="58">
        <v>427</v>
      </c>
      <c r="D1472" s="59" t="s">
        <v>1677</v>
      </c>
      <c r="E1472" s="59" t="s">
        <v>3579</v>
      </c>
      <c r="F1472" s="59" t="s">
        <v>3580</v>
      </c>
      <c r="G1472" s="59" t="s">
        <v>3582</v>
      </c>
      <c r="H1472" s="59" t="s">
        <v>2281</v>
      </c>
      <c r="I1472" s="59" t="b">
        <v>1</v>
      </c>
      <c r="J1472" s="59"/>
      <c r="K1472" s="58">
        <v>434</v>
      </c>
      <c r="L1472" s="58">
        <v>1478</v>
      </c>
      <c r="M1472" s="59">
        <v>10</v>
      </c>
      <c r="N1472" s="59">
        <v>10</v>
      </c>
      <c r="O1472" s="59" t="s">
        <v>3581</v>
      </c>
      <c r="P1472" s="58">
        <v>420</v>
      </c>
      <c r="Q1472" s="59">
        <v>0</v>
      </c>
      <c r="R1472" s="59">
        <v>40</v>
      </c>
      <c r="S1472" s="60">
        <f>tblJTL[[#This Row],[timeStamp]]/86400000+DATE(1970,1,1)+TIME(9,0,0)</f>
        <v>46296.421024722222</v>
      </c>
      <c r="T1472" s="57">
        <f>tblJTL[[#This Row],[timeStamp]]+tblJTL[[#This Row],[elapsed]]</f>
        <v>1790816776963</v>
      </c>
      <c r="U1472" s="61">
        <f>(tblJTL[[#This Row],[timeStamp]]-'17_分析サンプル'!$E$18)/1000</f>
        <v>376.35599999999999</v>
      </c>
      <c r="V1472" s="57">
        <f>INT(tblJTL[[#This Row],[経過秒]]/60)</f>
        <v>6</v>
      </c>
      <c r="W1472" s="57">
        <f>IF(OR(tblJTL[[#This Row],[success]]=FALSE,tblJTL[[#This Row],[success]]="false"),1,0)</f>
        <v>0</v>
      </c>
      <c r="X1472" s="57">
        <f>IF(AND(tblJTL[[#This Row],[経過秒]]&gt;='17_分析サンプル'!$E$11,tblJTL[[#This Row],[経過秒]]&lt;'17_分析サンプル'!$E$12),1,0)</f>
        <v>1</v>
      </c>
    </row>
    <row r="1473" spans="2:24" ht="14.4" x14ac:dyDescent="0.3">
      <c r="B1473" s="57">
        <v>1790816777344</v>
      </c>
      <c r="C1473" s="58">
        <v>126</v>
      </c>
      <c r="D1473" s="59" t="s">
        <v>1658</v>
      </c>
      <c r="E1473" s="59" t="s">
        <v>1577</v>
      </c>
      <c r="F1473" s="59" t="s">
        <v>2275</v>
      </c>
      <c r="G1473" s="59" t="s">
        <v>3577</v>
      </c>
      <c r="H1473" s="59" t="s">
        <v>2281</v>
      </c>
      <c r="I1473" s="59" t="b">
        <v>1</v>
      </c>
      <c r="J1473" s="59"/>
      <c r="K1473" s="58">
        <v>1841</v>
      </c>
      <c r="L1473" s="58">
        <v>1342</v>
      </c>
      <c r="M1473" s="59">
        <v>10</v>
      </c>
      <c r="N1473" s="59">
        <v>10</v>
      </c>
      <c r="O1473" s="59" t="s">
        <v>3578</v>
      </c>
      <c r="P1473" s="58">
        <v>120</v>
      </c>
      <c r="Q1473" s="59">
        <v>0</v>
      </c>
      <c r="R1473" s="59">
        <v>0</v>
      </c>
      <c r="S1473" s="60">
        <f>tblJTL[[#This Row],[timeStamp]]/86400000+DATE(1970,1,1)+TIME(9,0,0)</f>
        <v>46296.421034074076</v>
      </c>
      <c r="T1473" s="57">
        <f>tblJTL[[#This Row],[timeStamp]]+tblJTL[[#This Row],[elapsed]]</f>
        <v>1790816777470</v>
      </c>
      <c r="U1473" s="61">
        <f>(tblJTL[[#This Row],[timeStamp]]-'17_分析サンプル'!$E$18)/1000</f>
        <v>377.16399999999999</v>
      </c>
      <c r="V1473" s="57">
        <f>INT(tblJTL[[#This Row],[経過秒]]/60)</f>
        <v>6</v>
      </c>
      <c r="W1473" s="57">
        <f>IF(OR(tblJTL[[#This Row],[success]]=FALSE,tblJTL[[#This Row],[success]]="false"),1,0)</f>
        <v>0</v>
      </c>
      <c r="X1473" s="57">
        <f>IF(AND(tblJTL[[#This Row],[経過秒]]&gt;='17_分析サンプル'!$E$11,tblJTL[[#This Row],[経過秒]]&lt;'17_分析サンプル'!$E$12),1,0)</f>
        <v>1</v>
      </c>
    </row>
    <row r="1474" spans="2:24" ht="14.4" x14ac:dyDescent="0.3">
      <c r="B1474" s="57">
        <v>1790816777701</v>
      </c>
      <c r="C1474" s="58">
        <v>105</v>
      </c>
      <c r="D1474" s="59" t="s">
        <v>1658</v>
      </c>
      <c r="E1474" s="59" t="s">
        <v>1577</v>
      </c>
      <c r="F1474" s="59" t="s">
        <v>2275</v>
      </c>
      <c r="G1474" s="59" t="s">
        <v>3584</v>
      </c>
      <c r="H1474" s="59" t="s">
        <v>2281</v>
      </c>
      <c r="I1474" s="59" t="b">
        <v>1</v>
      </c>
      <c r="J1474" s="59"/>
      <c r="K1474" s="58">
        <v>1843</v>
      </c>
      <c r="L1474" s="58">
        <v>1342</v>
      </c>
      <c r="M1474" s="59">
        <v>10</v>
      </c>
      <c r="N1474" s="59">
        <v>10</v>
      </c>
      <c r="O1474" s="59" t="s">
        <v>3578</v>
      </c>
      <c r="P1474" s="58">
        <v>103</v>
      </c>
      <c r="Q1474" s="59">
        <v>0</v>
      </c>
      <c r="R1474" s="59">
        <v>0</v>
      </c>
      <c r="S1474" s="60">
        <f>tblJTL[[#This Row],[timeStamp]]/86400000+DATE(1970,1,1)+TIME(9,0,0)</f>
        <v>46296.421038206019</v>
      </c>
      <c r="T1474" s="57">
        <f>tblJTL[[#This Row],[timeStamp]]+tblJTL[[#This Row],[elapsed]]</f>
        <v>1790816777806</v>
      </c>
      <c r="U1474" s="61">
        <f>(tblJTL[[#This Row],[timeStamp]]-'17_分析サンプル'!$E$18)/1000</f>
        <v>377.52100000000002</v>
      </c>
      <c r="V1474" s="57">
        <f>INT(tblJTL[[#This Row],[経過秒]]/60)</f>
        <v>6</v>
      </c>
      <c r="W1474" s="57">
        <f>IF(OR(tblJTL[[#This Row],[success]]=FALSE,tblJTL[[#This Row],[success]]="false"),1,0)</f>
        <v>0</v>
      </c>
      <c r="X1474" s="57">
        <f>IF(AND(tblJTL[[#This Row],[経過秒]]&gt;='17_分析サンプル'!$E$11,tblJTL[[#This Row],[経過秒]]&lt;'17_分析サンプル'!$E$12),1,0)</f>
        <v>1</v>
      </c>
    </row>
    <row r="1475" spans="2:24" ht="14.4" x14ac:dyDescent="0.3">
      <c r="B1475" s="57">
        <v>1790816777827</v>
      </c>
      <c r="C1475" s="58">
        <v>93</v>
      </c>
      <c r="D1475" s="59" t="s">
        <v>1658</v>
      </c>
      <c r="E1475" s="59" t="s">
        <v>1577</v>
      </c>
      <c r="F1475" s="59" t="s">
        <v>2275</v>
      </c>
      <c r="G1475" s="59" t="s">
        <v>3588</v>
      </c>
      <c r="H1475" s="59" t="s">
        <v>2281</v>
      </c>
      <c r="I1475" s="59" t="b">
        <v>1</v>
      </c>
      <c r="J1475" s="59"/>
      <c r="K1475" s="58">
        <v>1847</v>
      </c>
      <c r="L1475" s="58">
        <v>1342</v>
      </c>
      <c r="M1475" s="59">
        <v>10</v>
      </c>
      <c r="N1475" s="59">
        <v>10</v>
      </c>
      <c r="O1475" s="59" t="s">
        <v>3578</v>
      </c>
      <c r="P1475" s="58">
        <v>89</v>
      </c>
      <c r="Q1475" s="59">
        <v>0</v>
      </c>
      <c r="R1475" s="59">
        <v>0</v>
      </c>
      <c r="S1475" s="60">
        <f>tblJTL[[#This Row],[timeStamp]]/86400000+DATE(1970,1,1)+TIME(9,0,0)</f>
        <v>46296.421039664347</v>
      </c>
      <c r="T1475" s="57">
        <f>tblJTL[[#This Row],[timeStamp]]+tblJTL[[#This Row],[elapsed]]</f>
        <v>1790816777920</v>
      </c>
      <c r="U1475" s="61">
        <f>(tblJTL[[#This Row],[timeStamp]]-'17_分析サンプル'!$E$18)/1000</f>
        <v>377.64699999999999</v>
      </c>
      <c r="V1475" s="57">
        <f>INT(tblJTL[[#This Row],[経過秒]]/60)</f>
        <v>6</v>
      </c>
      <c r="W1475" s="57">
        <f>IF(OR(tblJTL[[#This Row],[success]]=FALSE,tblJTL[[#This Row],[success]]="false"),1,0)</f>
        <v>0</v>
      </c>
      <c r="X1475" s="57">
        <f>IF(AND(tblJTL[[#This Row],[経過秒]]&gt;='17_分析サンプル'!$E$11,tblJTL[[#This Row],[経過秒]]&lt;'17_分析サンプル'!$E$12),1,0)</f>
        <v>1</v>
      </c>
    </row>
    <row r="1476" spans="2:24" ht="14.4" x14ac:dyDescent="0.3">
      <c r="B1476" s="57">
        <v>1790816777923</v>
      </c>
      <c r="C1476" s="58">
        <v>136</v>
      </c>
      <c r="D1476" s="59" t="s">
        <v>1658</v>
      </c>
      <c r="E1476" s="59" t="s">
        <v>1577</v>
      </c>
      <c r="F1476" s="59" t="s">
        <v>2275</v>
      </c>
      <c r="G1476" s="59" t="s">
        <v>3583</v>
      </c>
      <c r="H1476" s="59" t="s">
        <v>2281</v>
      </c>
      <c r="I1476" s="59" t="b">
        <v>1</v>
      </c>
      <c r="J1476" s="59"/>
      <c r="K1476" s="58">
        <v>1897</v>
      </c>
      <c r="L1476" s="58">
        <v>1342</v>
      </c>
      <c r="M1476" s="59">
        <v>10</v>
      </c>
      <c r="N1476" s="59">
        <v>10</v>
      </c>
      <c r="O1476" s="59" t="s">
        <v>3578</v>
      </c>
      <c r="P1476" s="58">
        <v>132</v>
      </c>
      <c r="Q1476" s="59">
        <v>0</v>
      </c>
      <c r="R1476" s="59">
        <v>0</v>
      </c>
      <c r="S1476" s="60">
        <f>tblJTL[[#This Row],[timeStamp]]/86400000+DATE(1970,1,1)+TIME(9,0,0)</f>
        <v>46296.421040775458</v>
      </c>
      <c r="T1476" s="57">
        <f>tblJTL[[#This Row],[timeStamp]]+tblJTL[[#This Row],[elapsed]]</f>
        <v>1790816778059</v>
      </c>
      <c r="U1476" s="61">
        <f>(tblJTL[[#This Row],[timeStamp]]-'17_分析サンプル'!$E$18)/1000</f>
        <v>377.74299999999999</v>
      </c>
      <c r="V1476" s="57">
        <f>INT(tblJTL[[#This Row],[経過秒]]/60)</f>
        <v>6</v>
      </c>
      <c r="W1476" s="57">
        <f>IF(OR(tblJTL[[#This Row],[success]]=FALSE,tblJTL[[#This Row],[success]]="false"),1,0)</f>
        <v>0</v>
      </c>
      <c r="X1476" s="57">
        <f>IF(AND(tblJTL[[#This Row],[経過秒]]&gt;='17_分析サンプル'!$E$11,tblJTL[[#This Row],[経過秒]]&lt;'17_分析サンプル'!$E$12),1,0)</f>
        <v>1</v>
      </c>
    </row>
    <row r="1477" spans="2:24" ht="14.4" x14ac:dyDescent="0.3">
      <c r="B1477" s="57">
        <v>1790816778408</v>
      </c>
      <c r="C1477" s="58">
        <v>318</v>
      </c>
      <c r="D1477" s="59" t="s">
        <v>1677</v>
      </c>
      <c r="E1477" s="59" t="s">
        <v>3579</v>
      </c>
      <c r="F1477" s="59" t="s">
        <v>3580</v>
      </c>
      <c r="G1477" s="59" t="s">
        <v>2278</v>
      </c>
      <c r="H1477" s="59" t="s">
        <v>2281</v>
      </c>
      <c r="I1477" s="59" t="b">
        <v>1</v>
      </c>
      <c r="J1477" s="59"/>
      <c r="K1477" s="58">
        <v>435</v>
      </c>
      <c r="L1477" s="58">
        <v>1478</v>
      </c>
      <c r="M1477" s="59">
        <v>10</v>
      </c>
      <c r="N1477" s="59">
        <v>10</v>
      </c>
      <c r="O1477" s="59" t="s">
        <v>3581</v>
      </c>
      <c r="P1477" s="58">
        <v>316</v>
      </c>
      <c r="Q1477" s="59">
        <v>0</v>
      </c>
      <c r="R1477" s="59">
        <v>0</v>
      </c>
      <c r="S1477" s="60">
        <f>tblJTL[[#This Row],[timeStamp]]/86400000+DATE(1970,1,1)+TIME(9,0,0)</f>
        <v>46296.421046388888</v>
      </c>
      <c r="T1477" s="57">
        <f>tblJTL[[#This Row],[timeStamp]]+tblJTL[[#This Row],[elapsed]]</f>
        <v>1790816778726</v>
      </c>
      <c r="U1477" s="61">
        <f>(tblJTL[[#This Row],[timeStamp]]-'17_分析サンプル'!$E$18)/1000</f>
        <v>378.22800000000001</v>
      </c>
      <c r="V1477" s="57">
        <f>INT(tblJTL[[#This Row],[経過秒]]/60)</f>
        <v>6</v>
      </c>
      <c r="W1477" s="57">
        <f>IF(OR(tblJTL[[#This Row],[success]]=FALSE,tblJTL[[#This Row],[success]]="false"),1,0)</f>
        <v>0</v>
      </c>
      <c r="X1477" s="57">
        <f>IF(AND(tblJTL[[#This Row],[経過秒]]&gt;='17_分析サンプル'!$E$11,tblJTL[[#This Row],[経過秒]]&lt;'17_分析サンプル'!$E$12),1,0)</f>
        <v>1</v>
      </c>
    </row>
    <row r="1478" spans="2:24" ht="14.4" x14ac:dyDescent="0.3">
      <c r="B1478" s="57">
        <v>1790816778563</v>
      </c>
      <c r="C1478" s="58">
        <v>210</v>
      </c>
      <c r="D1478" s="59" t="s">
        <v>1677</v>
      </c>
      <c r="E1478" s="59" t="s">
        <v>3579</v>
      </c>
      <c r="F1478" s="59" t="s">
        <v>3580</v>
      </c>
      <c r="G1478" s="59" t="s">
        <v>3587</v>
      </c>
      <c r="H1478" s="59" t="s">
        <v>2281</v>
      </c>
      <c r="I1478" s="59" t="b">
        <v>1</v>
      </c>
      <c r="J1478" s="59"/>
      <c r="K1478" s="58">
        <v>439</v>
      </c>
      <c r="L1478" s="58">
        <v>1478</v>
      </c>
      <c r="M1478" s="59">
        <v>10</v>
      </c>
      <c r="N1478" s="59">
        <v>10</v>
      </c>
      <c r="O1478" s="59" t="s">
        <v>3581</v>
      </c>
      <c r="P1478" s="58">
        <v>205</v>
      </c>
      <c r="Q1478" s="59">
        <v>0</v>
      </c>
      <c r="R1478" s="59">
        <v>0</v>
      </c>
      <c r="S1478" s="60">
        <f>tblJTL[[#This Row],[timeStamp]]/86400000+DATE(1970,1,1)+TIME(9,0,0)</f>
        <v>46296.42104818287</v>
      </c>
      <c r="T1478" s="57">
        <f>tblJTL[[#This Row],[timeStamp]]+tblJTL[[#This Row],[elapsed]]</f>
        <v>1790816778773</v>
      </c>
      <c r="U1478" s="61">
        <f>(tblJTL[[#This Row],[timeStamp]]-'17_分析サンプル'!$E$18)/1000</f>
        <v>378.38299999999998</v>
      </c>
      <c r="V1478" s="57">
        <f>INT(tblJTL[[#This Row],[経過秒]]/60)</f>
        <v>6</v>
      </c>
      <c r="W1478" s="57">
        <f>IF(OR(tblJTL[[#This Row],[success]]=FALSE,tblJTL[[#This Row],[success]]="false"),1,0)</f>
        <v>0</v>
      </c>
      <c r="X1478" s="57">
        <f>IF(AND(tblJTL[[#This Row],[経過秒]]&gt;='17_分析サンプル'!$E$11,tblJTL[[#This Row],[経過秒]]&lt;'17_分析サンプル'!$E$12),1,0)</f>
        <v>1</v>
      </c>
    </row>
    <row r="1479" spans="2:24" ht="14.4" x14ac:dyDescent="0.3">
      <c r="B1479" s="57">
        <v>1790816778507</v>
      </c>
      <c r="C1479" s="58">
        <v>286</v>
      </c>
      <c r="D1479" s="59" t="s">
        <v>1677</v>
      </c>
      <c r="E1479" s="59" t="s">
        <v>3579</v>
      </c>
      <c r="F1479" s="59" t="s">
        <v>3580</v>
      </c>
      <c r="G1479" s="59" t="s">
        <v>3589</v>
      </c>
      <c r="H1479" s="59" t="s">
        <v>2281</v>
      </c>
      <c r="I1479" s="59" t="b">
        <v>1</v>
      </c>
      <c r="J1479" s="59"/>
      <c r="K1479" s="58">
        <v>437</v>
      </c>
      <c r="L1479" s="58">
        <v>1478</v>
      </c>
      <c r="M1479" s="59">
        <v>10</v>
      </c>
      <c r="N1479" s="59">
        <v>10</v>
      </c>
      <c r="O1479" s="59" t="s">
        <v>3581</v>
      </c>
      <c r="P1479" s="58">
        <v>279</v>
      </c>
      <c r="Q1479" s="59">
        <v>0</v>
      </c>
      <c r="R1479" s="59">
        <v>0</v>
      </c>
      <c r="S1479" s="60">
        <f>tblJTL[[#This Row],[timeStamp]]/86400000+DATE(1970,1,1)+TIME(9,0,0)</f>
        <v>46296.421047534721</v>
      </c>
      <c r="T1479" s="57">
        <f>tblJTL[[#This Row],[timeStamp]]+tblJTL[[#This Row],[elapsed]]</f>
        <v>1790816778793</v>
      </c>
      <c r="U1479" s="61">
        <f>(tblJTL[[#This Row],[timeStamp]]-'17_分析サンプル'!$E$18)/1000</f>
        <v>378.327</v>
      </c>
      <c r="V1479" s="57">
        <f>INT(tblJTL[[#This Row],[経過秒]]/60)</f>
        <v>6</v>
      </c>
      <c r="W1479" s="57">
        <f>IF(OR(tblJTL[[#This Row],[success]]=FALSE,tblJTL[[#This Row],[success]]="false"),1,0)</f>
        <v>0</v>
      </c>
      <c r="X1479" s="57">
        <f>IF(AND(tblJTL[[#This Row],[経過秒]]&gt;='17_分析サンプル'!$E$11,tblJTL[[#This Row],[経過秒]]&lt;'17_分析サンプル'!$E$12),1,0)</f>
        <v>1</v>
      </c>
    </row>
    <row r="1480" spans="2:24" ht="14.4" x14ac:dyDescent="0.3">
      <c r="B1480" s="57">
        <v>1790816778823</v>
      </c>
      <c r="C1480" s="58">
        <v>69</v>
      </c>
      <c r="D1480" s="59" t="s">
        <v>1658</v>
      </c>
      <c r="E1480" s="59" t="s">
        <v>1577</v>
      </c>
      <c r="F1480" s="59" t="s">
        <v>2275</v>
      </c>
      <c r="G1480" s="59" t="s">
        <v>3586</v>
      </c>
      <c r="H1480" s="59" t="s">
        <v>2281</v>
      </c>
      <c r="I1480" s="59" t="b">
        <v>1</v>
      </c>
      <c r="J1480" s="59"/>
      <c r="K1480" s="58">
        <v>1870</v>
      </c>
      <c r="L1480" s="58">
        <v>1342</v>
      </c>
      <c r="M1480" s="59">
        <v>10</v>
      </c>
      <c r="N1480" s="59">
        <v>10</v>
      </c>
      <c r="O1480" s="59" t="s">
        <v>3578</v>
      </c>
      <c r="P1480" s="58">
        <v>65</v>
      </c>
      <c r="Q1480" s="59">
        <v>0</v>
      </c>
      <c r="R1480" s="59">
        <v>0</v>
      </c>
      <c r="S1480" s="60">
        <f>tblJTL[[#This Row],[timeStamp]]/86400000+DATE(1970,1,1)+TIME(9,0,0)</f>
        <v>46296.421051192126</v>
      </c>
      <c r="T1480" s="57">
        <f>tblJTL[[#This Row],[timeStamp]]+tblJTL[[#This Row],[elapsed]]</f>
        <v>1790816778892</v>
      </c>
      <c r="U1480" s="61">
        <f>(tblJTL[[#This Row],[timeStamp]]-'17_分析サンプル'!$E$18)/1000</f>
        <v>378.64299999999997</v>
      </c>
      <c r="V1480" s="57">
        <f>INT(tblJTL[[#This Row],[経過秒]]/60)</f>
        <v>6</v>
      </c>
      <c r="W1480" s="57">
        <f>IF(OR(tblJTL[[#This Row],[success]]=FALSE,tblJTL[[#This Row],[success]]="false"),1,0)</f>
        <v>0</v>
      </c>
      <c r="X1480" s="57">
        <f>IF(AND(tblJTL[[#This Row],[経過秒]]&gt;='17_分析サンプル'!$E$11,tblJTL[[#This Row],[経過秒]]&lt;'17_分析サンプル'!$E$12),1,0)</f>
        <v>1</v>
      </c>
    </row>
    <row r="1481" spans="2:24" ht="14.4" x14ac:dyDescent="0.3">
      <c r="B1481" s="57">
        <v>1790816778908</v>
      </c>
      <c r="C1481" s="58">
        <v>201</v>
      </c>
      <c r="D1481" s="59" t="s">
        <v>1677</v>
      </c>
      <c r="E1481" s="59" t="s">
        <v>3579</v>
      </c>
      <c r="F1481" s="59" t="s">
        <v>3580</v>
      </c>
      <c r="G1481" s="59" t="s">
        <v>3584</v>
      </c>
      <c r="H1481" s="59" t="s">
        <v>2281</v>
      </c>
      <c r="I1481" s="59" t="b">
        <v>1</v>
      </c>
      <c r="J1481" s="59"/>
      <c r="K1481" s="58">
        <v>422</v>
      </c>
      <c r="L1481" s="58">
        <v>1478</v>
      </c>
      <c r="M1481" s="59">
        <v>10</v>
      </c>
      <c r="N1481" s="59">
        <v>10</v>
      </c>
      <c r="O1481" s="59" t="s">
        <v>3581</v>
      </c>
      <c r="P1481" s="58">
        <v>199</v>
      </c>
      <c r="Q1481" s="59">
        <v>0</v>
      </c>
      <c r="R1481" s="59">
        <v>0</v>
      </c>
      <c r="S1481" s="60">
        <f>tblJTL[[#This Row],[timeStamp]]/86400000+DATE(1970,1,1)+TIME(9,0,0)</f>
        <v>46296.421052175923</v>
      </c>
      <c r="T1481" s="57">
        <f>tblJTL[[#This Row],[timeStamp]]+tblJTL[[#This Row],[elapsed]]</f>
        <v>1790816779109</v>
      </c>
      <c r="U1481" s="61">
        <f>(tblJTL[[#This Row],[timeStamp]]-'17_分析サンプル'!$E$18)/1000</f>
        <v>378.72800000000001</v>
      </c>
      <c r="V1481" s="57">
        <f>INT(tblJTL[[#This Row],[経過秒]]/60)</f>
        <v>6</v>
      </c>
      <c r="W1481" s="57">
        <f>IF(OR(tblJTL[[#This Row],[success]]=FALSE,tblJTL[[#This Row],[success]]="false"),1,0)</f>
        <v>0</v>
      </c>
      <c r="X1481" s="57">
        <f>IF(AND(tblJTL[[#This Row],[経過秒]]&gt;='17_分析サンプル'!$E$11,tblJTL[[#This Row],[経過秒]]&lt;'17_分析サンプル'!$E$12),1,0)</f>
        <v>1</v>
      </c>
    </row>
    <row r="1482" spans="2:24" ht="14.4" x14ac:dyDescent="0.3">
      <c r="B1482" s="57">
        <v>1790816779088</v>
      </c>
      <c r="C1482" s="58">
        <v>315</v>
      </c>
      <c r="D1482" s="59" t="s">
        <v>1677</v>
      </c>
      <c r="E1482" s="59" t="s">
        <v>3579</v>
      </c>
      <c r="F1482" s="59" t="s">
        <v>3580</v>
      </c>
      <c r="G1482" s="59" t="s">
        <v>3577</v>
      </c>
      <c r="H1482" s="59" t="s">
        <v>2281</v>
      </c>
      <c r="I1482" s="59" t="b">
        <v>1</v>
      </c>
      <c r="J1482" s="59"/>
      <c r="K1482" s="58">
        <v>440</v>
      </c>
      <c r="L1482" s="58">
        <v>1478</v>
      </c>
      <c r="M1482" s="59">
        <v>10</v>
      </c>
      <c r="N1482" s="59">
        <v>10</v>
      </c>
      <c r="O1482" s="59" t="s">
        <v>3581</v>
      </c>
      <c r="P1482" s="58">
        <v>308</v>
      </c>
      <c r="Q1482" s="59">
        <v>0</v>
      </c>
      <c r="R1482" s="59">
        <v>0</v>
      </c>
      <c r="S1482" s="60">
        <f>tblJTL[[#This Row],[timeStamp]]/86400000+DATE(1970,1,1)+TIME(9,0,0)</f>
        <v>46296.421054259263</v>
      </c>
      <c r="T1482" s="57">
        <f>tblJTL[[#This Row],[timeStamp]]+tblJTL[[#This Row],[elapsed]]</f>
        <v>1790816779403</v>
      </c>
      <c r="U1482" s="61">
        <f>(tblJTL[[#This Row],[timeStamp]]-'17_分析サンプル'!$E$18)/1000</f>
        <v>378.90800000000002</v>
      </c>
      <c r="V1482" s="57">
        <f>INT(tblJTL[[#This Row],[経過秒]]/60)</f>
        <v>6</v>
      </c>
      <c r="W1482" s="57">
        <f>IF(OR(tblJTL[[#This Row],[success]]=FALSE,tblJTL[[#This Row],[success]]="false"),1,0)</f>
        <v>0</v>
      </c>
      <c r="X1482" s="57">
        <f>IF(AND(tblJTL[[#This Row],[経過秒]]&gt;='17_分析サンプル'!$E$11,tblJTL[[#This Row],[経過秒]]&lt;'17_分析サンプル'!$E$12),1,0)</f>
        <v>1</v>
      </c>
    </row>
    <row r="1483" spans="2:24" ht="14.4" x14ac:dyDescent="0.3">
      <c r="B1483" s="57">
        <v>1790816779319</v>
      </c>
      <c r="C1483" s="58">
        <v>124</v>
      </c>
      <c r="D1483" s="59" t="s">
        <v>1658</v>
      </c>
      <c r="E1483" s="59" t="s">
        <v>1577</v>
      </c>
      <c r="F1483" s="59" t="s">
        <v>2275</v>
      </c>
      <c r="G1483" s="59" t="s">
        <v>3582</v>
      </c>
      <c r="H1483" s="59" t="s">
        <v>2281</v>
      </c>
      <c r="I1483" s="59" t="b">
        <v>1</v>
      </c>
      <c r="J1483" s="59"/>
      <c r="K1483" s="58">
        <v>1820</v>
      </c>
      <c r="L1483" s="58">
        <v>1342</v>
      </c>
      <c r="M1483" s="59">
        <v>10</v>
      </c>
      <c r="N1483" s="59">
        <v>10</v>
      </c>
      <c r="O1483" s="59" t="s">
        <v>3578</v>
      </c>
      <c r="P1483" s="58">
        <v>116</v>
      </c>
      <c r="Q1483" s="59">
        <v>0</v>
      </c>
      <c r="R1483" s="59">
        <v>0</v>
      </c>
      <c r="S1483" s="60">
        <f>tblJTL[[#This Row],[timeStamp]]/86400000+DATE(1970,1,1)+TIME(9,0,0)</f>
        <v>46296.421056932872</v>
      </c>
      <c r="T1483" s="57">
        <f>tblJTL[[#This Row],[timeStamp]]+tblJTL[[#This Row],[elapsed]]</f>
        <v>1790816779443</v>
      </c>
      <c r="U1483" s="61">
        <f>(tblJTL[[#This Row],[timeStamp]]-'17_分析サンプル'!$E$18)/1000</f>
        <v>379.13900000000001</v>
      </c>
      <c r="V1483" s="57">
        <f>INT(tblJTL[[#This Row],[経過秒]]/60)</f>
        <v>6</v>
      </c>
      <c r="W1483" s="57">
        <f>IF(OR(tblJTL[[#This Row],[success]]=FALSE,tblJTL[[#This Row],[success]]="false"),1,0)</f>
        <v>0</v>
      </c>
      <c r="X1483" s="57">
        <f>IF(AND(tblJTL[[#This Row],[経過秒]]&gt;='17_分析サンプル'!$E$11,tblJTL[[#This Row],[経過秒]]&lt;'17_分析サンプル'!$E$12),1,0)</f>
        <v>1</v>
      </c>
    </row>
    <row r="1484" spans="2:24" ht="14.4" x14ac:dyDescent="0.3">
      <c r="B1484" s="57">
        <v>1790816779669</v>
      </c>
      <c r="C1484" s="58">
        <v>162</v>
      </c>
      <c r="D1484" s="59" t="s">
        <v>1677</v>
      </c>
      <c r="E1484" s="59" t="s">
        <v>3579</v>
      </c>
      <c r="F1484" s="59" t="s">
        <v>3580</v>
      </c>
      <c r="G1484" s="59" t="s">
        <v>3583</v>
      </c>
      <c r="H1484" s="59" t="s">
        <v>2281</v>
      </c>
      <c r="I1484" s="59" t="b">
        <v>1</v>
      </c>
      <c r="J1484" s="59"/>
      <c r="K1484" s="58">
        <v>410</v>
      </c>
      <c r="L1484" s="58">
        <v>1478</v>
      </c>
      <c r="M1484" s="59">
        <v>10</v>
      </c>
      <c r="N1484" s="59">
        <v>10</v>
      </c>
      <c r="O1484" s="59" t="s">
        <v>3581</v>
      </c>
      <c r="P1484" s="58">
        <v>154</v>
      </c>
      <c r="Q1484" s="59">
        <v>0</v>
      </c>
      <c r="R1484" s="59">
        <v>0</v>
      </c>
      <c r="S1484" s="60">
        <f>tblJTL[[#This Row],[timeStamp]]/86400000+DATE(1970,1,1)+TIME(9,0,0)</f>
        <v>46296.421060983797</v>
      </c>
      <c r="T1484" s="57">
        <f>tblJTL[[#This Row],[timeStamp]]+tblJTL[[#This Row],[elapsed]]</f>
        <v>1790816779831</v>
      </c>
      <c r="U1484" s="61">
        <f>(tblJTL[[#This Row],[timeStamp]]-'17_分析サンプル'!$E$18)/1000</f>
        <v>379.48899999999998</v>
      </c>
      <c r="V1484" s="57">
        <f>INT(tblJTL[[#This Row],[経過秒]]/60)</f>
        <v>6</v>
      </c>
      <c r="W1484" s="57">
        <f>IF(OR(tblJTL[[#This Row],[success]]=FALSE,tblJTL[[#This Row],[success]]="false"),1,0)</f>
        <v>0</v>
      </c>
      <c r="X1484" s="57">
        <f>IF(AND(tblJTL[[#This Row],[経過秒]]&gt;='17_分析サンプル'!$E$11,tblJTL[[#This Row],[経過秒]]&lt;'17_分析サンプル'!$E$12),1,0)</f>
        <v>1</v>
      </c>
    </row>
    <row r="1485" spans="2:24" ht="14.4" x14ac:dyDescent="0.3">
      <c r="B1485" s="57">
        <v>1790816779744</v>
      </c>
      <c r="C1485" s="58">
        <v>178</v>
      </c>
      <c r="D1485" s="59" t="s">
        <v>1677</v>
      </c>
      <c r="E1485" s="59" t="s">
        <v>3579</v>
      </c>
      <c r="F1485" s="59" t="s">
        <v>3580</v>
      </c>
      <c r="G1485" s="59" t="s">
        <v>3585</v>
      </c>
      <c r="H1485" s="59" t="s">
        <v>2281</v>
      </c>
      <c r="I1485" s="59" t="b">
        <v>1</v>
      </c>
      <c r="J1485" s="59"/>
      <c r="K1485" s="58">
        <v>418</v>
      </c>
      <c r="L1485" s="58">
        <v>1478</v>
      </c>
      <c r="M1485" s="59">
        <v>10</v>
      </c>
      <c r="N1485" s="59">
        <v>10</v>
      </c>
      <c r="O1485" s="59" t="s">
        <v>3581</v>
      </c>
      <c r="P1485" s="58">
        <v>175</v>
      </c>
      <c r="Q1485" s="59">
        <v>0</v>
      </c>
      <c r="R1485" s="59">
        <v>0</v>
      </c>
      <c r="S1485" s="60">
        <f>tblJTL[[#This Row],[timeStamp]]/86400000+DATE(1970,1,1)+TIME(9,0,0)</f>
        <v>46296.421061851855</v>
      </c>
      <c r="T1485" s="57">
        <f>tblJTL[[#This Row],[timeStamp]]+tblJTL[[#This Row],[elapsed]]</f>
        <v>1790816779922</v>
      </c>
      <c r="U1485" s="61">
        <f>(tblJTL[[#This Row],[timeStamp]]-'17_分析サンプル'!$E$18)/1000</f>
        <v>379.56400000000002</v>
      </c>
      <c r="V1485" s="57">
        <f>INT(tblJTL[[#This Row],[経過秒]]/60)</f>
        <v>6</v>
      </c>
      <c r="W1485" s="57">
        <f>IF(OR(tblJTL[[#This Row],[success]]=FALSE,tblJTL[[#This Row],[success]]="false"),1,0)</f>
        <v>0</v>
      </c>
      <c r="X1485" s="57">
        <f>IF(AND(tblJTL[[#This Row],[経過秒]]&gt;='17_分析サンプル'!$E$11,tblJTL[[#This Row],[経過秒]]&lt;'17_分析サンプル'!$E$12),1,0)</f>
        <v>1</v>
      </c>
    </row>
    <row r="1486" spans="2:24" ht="14.4" x14ac:dyDescent="0.3">
      <c r="B1486" s="57">
        <v>1790816779966</v>
      </c>
      <c r="C1486" s="58">
        <v>98</v>
      </c>
      <c r="D1486" s="59" t="s">
        <v>1658</v>
      </c>
      <c r="E1486" s="59" t="s">
        <v>1577</v>
      </c>
      <c r="F1486" s="59" t="s">
        <v>2275</v>
      </c>
      <c r="G1486" s="59" t="s">
        <v>3589</v>
      </c>
      <c r="H1486" s="59" t="s">
        <v>2281</v>
      </c>
      <c r="I1486" s="59" t="b">
        <v>1</v>
      </c>
      <c r="J1486" s="59"/>
      <c r="K1486" s="58">
        <v>1825</v>
      </c>
      <c r="L1486" s="58">
        <v>1342</v>
      </c>
      <c r="M1486" s="59">
        <v>10</v>
      </c>
      <c r="N1486" s="59">
        <v>10</v>
      </c>
      <c r="O1486" s="59" t="s">
        <v>3578</v>
      </c>
      <c r="P1486" s="58">
        <v>90</v>
      </c>
      <c r="Q1486" s="59">
        <v>0</v>
      </c>
      <c r="R1486" s="59">
        <v>0</v>
      </c>
      <c r="S1486" s="60">
        <f>tblJTL[[#This Row],[timeStamp]]/86400000+DATE(1970,1,1)+TIME(9,0,0)</f>
        <v>46296.421064421302</v>
      </c>
      <c r="T1486" s="57">
        <f>tblJTL[[#This Row],[timeStamp]]+tblJTL[[#This Row],[elapsed]]</f>
        <v>1790816780064</v>
      </c>
      <c r="U1486" s="61">
        <f>(tblJTL[[#This Row],[timeStamp]]-'17_分析サンプル'!$E$18)/1000</f>
        <v>379.786</v>
      </c>
      <c r="V1486" s="57">
        <f>INT(tblJTL[[#This Row],[経過秒]]/60)</f>
        <v>6</v>
      </c>
      <c r="W1486" s="57">
        <f>IF(OR(tblJTL[[#This Row],[success]]=FALSE,tblJTL[[#This Row],[success]]="false"),1,0)</f>
        <v>0</v>
      </c>
      <c r="X1486" s="57">
        <f>IF(AND(tblJTL[[#This Row],[経過秒]]&gt;='17_分析サンプル'!$E$11,tblJTL[[#This Row],[経過秒]]&lt;'17_分析サンプル'!$E$12),1,0)</f>
        <v>1</v>
      </c>
    </row>
    <row r="1487" spans="2:24" ht="14.4" x14ac:dyDescent="0.3">
      <c r="B1487" s="57">
        <v>1790816780017</v>
      </c>
      <c r="C1487" s="58">
        <v>162</v>
      </c>
      <c r="D1487" s="59" t="s">
        <v>1658</v>
      </c>
      <c r="E1487" s="59" t="s">
        <v>1577</v>
      </c>
      <c r="F1487" s="59" t="s">
        <v>2275</v>
      </c>
      <c r="G1487" s="59" t="s">
        <v>3587</v>
      </c>
      <c r="H1487" s="59" t="s">
        <v>2281</v>
      </c>
      <c r="I1487" s="59" t="b">
        <v>1</v>
      </c>
      <c r="J1487" s="59"/>
      <c r="K1487" s="58">
        <v>1866</v>
      </c>
      <c r="L1487" s="58">
        <v>1342</v>
      </c>
      <c r="M1487" s="59">
        <v>10</v>
      </c>
      <c r="N1487" s="59">
        <v>10</v>
      </c>
      <c r="O1487" s="59" t="s">
        <v>3578</v>
      </c>
      <c r="P1487" s="58">
        <v>156</v>
      </c>
      <c r="Q1487" s="59">
        <v>0</v>
      </c>
      <c r="R1487" s="59">
        <v>0</v>
      </c>
      <c r="S1487" s="60">
        <f>tblJTL[[#This Row],[timeStamp]]/86400000+DATE(1970,1,1)+TIME(9,0,0)</f>
        <v>46296.421065011571</v>
      </c>
      <c r="T1487" s="57">
        <f>tblJTL[[#This Row],[timeStamp]]+tblJTL[[#This Row],[elapsed]]</f>
        <v>1790816780179</v>
      </c>
      <c r="U1487" s="61">
        <f>(tblJTL[[#This Row],[timeStamp]]-'17_分析サンプル'!$E$18)/1000</f>
        <v>379.83699999999999</v>
      </c>
      <c r="V1487" s="57">
        <f>INT(tblJTL[[#This Row],[経過秒]]/60)</f>
        <v>6</v>
      </c>
      <c r="W1487" s="57">
        <f>IF(OR(tblJTL[[#This Row],[success]]=FALSE,tblJTL[[#This Row],[success]]="false"),1,0)</f>
        <v>0</v>
      </c>
      <c r="X1487" s="57">
        <f>IF(AND(tblJTL[[#This Row],[経過秒]]&gt;='17_分析サンプル'!$E$11,tblJTL[[#This Row],[経過秒]]&lt;'17_分析サンプル'!$E$12),1,0)</f>
        <v>1</v>
      </c>
    </row>
    <row r="1488" spans="2:24" ht="14.4" x14ac:dyDescent="0.3">
      <c r="B1488" s="57">
        <v>1790816780113</v>
      </c>
      <c r="C1488" s="58">
        <v>113</v>
      </c>
      <c r="D1488" s="59" t="s">
        <v>1658</v>
      </c>
      <c r="E1488" s="59" t="s">
        <v>1577</v>
      </c>
      <c r="F1488" s="59" t="s">
        <v>2275</v>
      </c>
      <c r="G1488" s="59" t="s">
        <v>2278</v>
      </c>
      <c r="H1488" s="59" t="s">
        <v>2281</v>
      </c>
      <c r="I1488" s="59" t="b">
        <v>1</v>
      </c>
      <c r="J1488" s="59"/>
      <c r="K1488" s="58">
        <v>1871</v>
      </c>
      <c r="L1488" s="58">
        <v>1342</v>
      </c>
      <c r="M1488" s="59">
        <v>10</v>
      </c>
      <c r="N1488" s="59">
        <v>10</v>
      </c>
      <c r="O1488" s="59" t="s">
        <v>3578</v>
      </c>
      <c r="P1488" s="58">
        <v>105</v>
      </c>
      <c r="Q1488" s="59">
        <v>0</v>
      </c>
      <c r="R1488" s="59">
        <v>0</v>
      </c>
      <c r="S1488" s="60">
        <f>tblJTL[[#This Row],[timeStamp]]/86400000+DATE(1970,1,1)+TIME(9,0,0)</f>
        <v>46296.421066122683</v>
      </c>
      <c r="T1488" s="57">
        <f>tblJTL[[#This Row],[timeStamp]]+tblJTL[[#This Row],[elapsed]]</f>
        <v>1790816780226</v>
      </c>
      <c r="U1488" s="61">
        <f>(tblJTL[[#This Row],[timeStamp]]-'17_分析サンプル'!$E$18)/1000</f>
        <v>379.93299999999999</v>
      </c>
      <c r="V1488" s="57">
        <f>INT(tblJTL[[#This Row],[経過秒]]/60)</f>
        <v>6</v>
      </c>
      <c r="W1488" s="57">
        <f>IF(OR(tblJTL[[#This Row],[success]]=FALSE,tblJTL[[#This Row],[success]]="false"),1,0)</f>
        <v>0</v>
      </c>
      <c r="X1488" s="57">
        <f>IF(AND(tblJTL[[#This Row],[経過秒]]&gt;='17_分析サンプル'!$E$11,tblJTL[[#This Row],[経過秒]]&lt;'17_分析サンプル'!$E$12),1,0)</f>
        <v>1</v>
      </c>
    </row>
    <row r="1489" spans="2:24" ht="14.4" x14ac:dyDescent="0.3">
      <c r="B1489" s="57">
        <v>1790816780076</v>
      </c>
      <c r="C1489" s="58">
        <v>219</v>
      </c>
      <c r="D1489" s="59" t="s">
        <v>1677</v>
      </c>
      <c r="E1489" s="59" t="s">
        <v>3579</v>
      </c>
      <c r="F1489" s="59" t="s">
        <v>3580</v>
      </c>
      <c r="G1489" s="59" t="s">
        <v>3588</v>
      </c>
      <c r="H1489" s="59" t="s">
        <v>2281</v>
      </c>
      <c r="I1489" s="59" t="b">
        <v>1</v>
      </c>
      <c r="J1489" s="59"/>
      <c r="K1489" s="58">
        <v>437</v>
      </c>
      <c r="L1489" s="58">
        <v>1478</v>
      </c>
      <c r="M1489" s="59">
        <v>10</v>
      </c>
      <c r="N1489" s="59">
        <v>10</v>
      </c>
      <c r="O1489" s="59" t="s">
        <v>3581</v>
      </c>
      <c r="P1489" s="58">
        <v>211</v>
      </c>
      <c r="Q1489" s="59">
        <v>0</v>
      </c>
      <c r="R1489" s="59">
        <v>0</v>
      </c>
      <c r="S1489" s="60">
        <f>tblJTL[[#This Row],[timeStamp]]/86400000+DATE(1970,1,1)+TIME(9,0,0)</f>
        <v>46296.421065694449</v>
      </c>
      <c r="T1489" s="57">
        <f>tblJTL[[#This Row],[timeStamp]]+tblJTL[[#This Row],[elapsed]]</f>
        <v>1790816780295</v>
      </c>
      <c r="U1489" s="61">
        <f>(tblJTL[[#This Row],[timeStamp]]-'17_分析サンプル'!$E$18)/1000</f>
        <v>379.89600000000002</v>
      </c>
      <c r="V1489" s="57">
        <f>INT(tblJTL[[#This Row],[経過秒]]/60)</f>
        <v>6</v>
      </c>
      <c r="W1489" s="57">
        <f>IF(OR(tblJTL[[#This Row],[success]]=FALSE,tblJTL[[#This Row],[success]]="false"),1,0)</f>
        <v>0</v>
      </c>
      <c r="X1489" s="57">
        <f>IF(AND(tblJTL[[#This Row],[経過秒]]&gt;='17_分析サンプル'!$E$11,tblJTL[[#This Row],[経過秒]]&lt;'17_分析サンプル'!$E$12),1,0)</f>
        <v>1</v>
      </c>
    </row>
    <row r="1490" spans="2:24" ht="14.4" x14ac:dyDescent="0.3">
      <c r="B1490" s="57">
        <v>1790816780385</v>
      </c>
      <c r="C1490" s="58">
        <v>302</v>
      </c>
      <c r="D1490" s="59" t="s">
        <v>1677</v>
      </c>
      <c r="E1490" s="59" t="s">
        <v>3579</v>
      </c>
      <c r="F1490" s="59" t="s">
        <v>3580</v>
      </c>
      <c r="G1490" s="59" t="s">
        <v>3586</v>
      </c>
      <c r="H1490" s="59" t="s">
        <v>2281</v>
      </c>
      <c r="I1490" s="59" t="b">
        <v>1</v>
      </c>
      <c r="J1490" s="59"/>
      <c r="K1490" s="58">
        <v>420</v>
      </c>
      <c r="L1490" s="58">
        <v>1478</v>
      </c>
      <c r="M1490" s="59">
        <v>10</v>
      </c>
      <c r="N1490" s="59">
        <v>10</v>
      </c>
      <c r="O1490" s="59" t="s">
        <v>3581</v>
      </c>
      <c r="P1490" s="58">
        <v>298</v>
      </c>
      <c r="Q1490" s="59">
        <v>0</v>
      </c>
      <c r="R1490" s="59">
        <v>0</v>
      </c>
      <c r="S1490" s="60">
        <f>tblJTL[[#This Row],[timeStamp]]/86400000+DATE(1970,1,1)+TIME(9,0,0)</f>
        <v>46296.421069270829</v>
      </c>
      <c r="T1490" s="57">
        <f>tblJTL[[#This Row],[timeStamp]]+tblJTL[[#This Row],[elapsed]]</f>
        <v>1790816780687</v>
      </c>
      <c r="U1490" s="61">
        <f>(tblJTL[[#This Row],[timeStamp]]-'17_分析サンプル'!$E$18)/1000</f>
        <v>380.20499999999998</v>
      </c>
      <c r="V1490" s="57">
        <f>INT(tblJTL[[#This Row],[経過秒]]/60)</f>
        <v>6</v>
      </c>
      <c r="W1490" s="57">
        <f>IF(OR(tblJTL[[#This Row],[success]]=FALSE,tblJTL[[#This Row],[success]]="false"),1,0)</f>
        <v>0</v>
      </c>
      <c r="X1490" s="57">
        <f>IF(AND(tblJTL[[#This Row],[経過秒]]&gt;='17_分析サンプル'!$E$11,tblJTL[[#This Row],[経過秒]]&lt;'17_分析サンプル'!$E$12),1,0)</f>
        <v>1</v>
      </c>
    </row>
    <row r="1491" spans="2:24" ht="14.4" x14ac:dyDescent="0.3">
      <c r="B1491" s="57">
        <v>1790816781140</v>
      </c>
      <c r="C1491" s="58">
        <v>182</v>
      </c>
      <c r="D1491" s="59" t="s">
        <v>1658</v>
      </c>
      <c r="E1491" s="59" t="s">
        <v>1577</v>
      </c>
      <c r="F1491" s="59" t="s">
        <v>2275</v>
      </c>
      <c r="G1491" s="59" t="s">
        <v>3583</v>
      </c>
      <c r="H1491" s="59" t="s">
        <v>2281</v>
      </c>
      <c r="I1491" s="59" t="b">
        <v>1</v>
      </c>
      <c r="J1491" s="59"/>
      <c r="K1491" s="58">
        <v>1866</v>
      </c>
      <c r="L1491" s="58">
        <v>1342</v>
      </c>
      <c r="M1491" s="59">
        <v>10</v>
      </c>
      <c r="N1491" s="59">
        <v>10</v>
      </c>
      <c r="O1491" s="59" t="s">
        <v>3578</v>
      </c>
      <c r="P1491" s="58">
        <v>178</v>
      </c>
      <c r="Q1491" s="59">
        <v>0</v>
      </c>
      <c r="R1491" s="59">
        <v>0</v>
      </c>
      <c r="S1491" s="60">
        <f>tblJTL[[#This Row],[timeStamp]]/86400000+DATE(1970,1,1)+TIME(9,0,0)</f>
        <v>46296.421078009254</v>
      </c>
      <c r="T1491" s="57">
        <f>tblJTL[[#This Row],[timeStamp]]+tblJTL[[#This Row],[elapsed]]</f>
        <v>1790816781322</v>
      </c>
      <c r="U1491" s="61">
        <f>(tblJTL[[#This Row],[timeStamp]]-'17_分析サンプル'!$E$18)/1000</f>
        <v>380.96</v>
      </c>
      <c r="V1491" s="57">
        <f>INT(tblJTL[[#This Row],[経過秒]]/60)</f>
        <v>6</v>
      </c>
      <c r="W1491" s="57">
        <f>IF(OR(tblJTL[[#This Row],[success]]=FALSE,tblJTL[[#This Row],[success]]="false"),1,0)</f>
        <v>0</v>
      </c>
      <c r="X1491" s="57">
        <f>IF(AND(tblJTL[[#This Row],[経過秒]]&gt;='17_分析サンプル'!$E$11,tblJTL[[#This Row],[経過秒]]&lt;'17_分析サンプル'!$E$12),1,0)</f>
        <v>1</v>
      </c>
    </row>
    <row r="1492" spans="2:24" ht="14.4" x14ac:dyDescent="0.3">
      <c r="B1492" s="57">
        <v>1790816781258</v>
      </c>
      <c r="C1492" s="58">
        <v>120</v>
      </c>
      <c r="D1492" s="59" t="s">
        <v>1658</v>
      </c>
      <c r="E1492" s="59" t="s">
        <v>1577</v>
      </c>
      <c r="F1492" s="59" t="s">
        <v>2275</v>
      </c>
      <c r="G1492" s="59" t="s">
        <v>3584</v>
      </c>
      <c r="H1492" s="59" t="s">
        <v>2281</v>
      </c>
      <c r="I1492" s="59" t="b">
        <v>1</v>
      </c>
      <c r="J1492" s="59"/>
      <c r="K1492" s="58">
        <v>1870</v>
      </c>
      <c r="L1492" s="58">
        <v>1342</v>
      </c>
      <c r="M1492" s="59">
        <v>10</v>
      </c>
      <c r="N1492" s="59">
        <v>10</v>
      </c>
      <c r="O1492" s="59" t="s">
        <v>3578</v>
      </c>
      <c r="P1492" s="58">
        <v>112</v>
      </c>
      <c r="Q1492" s="59">
        <v>0</v>
      </c>
      <c r="R1492" s="59">
        <v>0</v>
      </c>
      <c r="S1492" s="60">
        <f>tblJTL[[#This Row],[timeStamp]]/86400000+DATE(1970,1,1)+TIME(9,0,0)</f>
        <v>46296.421079374995</v>
      </c>
      <c r="T1492" s="57">
        <f>tblJTL[[#This Row],[timeStamp]]+tblJTL[[#This Row],[elapsed]]</f>
        <v>1790816781378</v>
      </c>
      <c r="U1492" s="61">
        <f>(tblJTL[[#This Row],[timeStamp]]-'17_分析サンプル'!$E$18)/1000</f>
        <v>381.07799999999997</v>
      </c>
      <c r="V1492" s="57">
        <f>INT(tblJTL[[#This Row],[経過秒]]/60)</f>
        <v>6</v>
      </c>
      <c r="W1492" s="57">
        <f>IF(OR(tblJTL[[#This Row],[success]]=FALSE,tblJTL[[#This Row],[success]]="false"),1,0)</f>
        <v>0</v>
      </c>
      <c r="X1492" s="57">
        <f>IF(AND(tblJTL[[#This Row],[経過秒]]&gt;='17_分析サンプル'!$E$11,tblJTL[[#This Row],[経過秒]]&lt;'17_分析サンプル'!$E$12),1,0)</f>
        <v>1</v>
      </c>
    </row>
    <row r="1493" spans="2:24" ht="14.4" x14ac:dyDescent="0.3">
      <c r="B1493" s="57">
        <v>1790816781472</v>
      </c>
      <c r="C1493" s="58">
        <v>145</v>
      </c>
      <c r="D1493" s="59" t="s">
        <v>1658</v>
      </c>
      <c r="E1493" s="59" t="s">
        <v>1577</v>
      </c>
      <c r="F1493" s="59" t="s">
        <v>2275</v>
      </c>
      <c r="G1493" s="59" t="s">
        <v>3577</v>
      </c>
      <c r="H1493" s="59" t="s">
        <v>2281</v>
      </c>
      <c r="I1493" s="59" t="b">
        <v>1</v>
      </c>
      <c r="J1493" s="59"/>
      <c r="K1493" s="58">
        <v>1879</v>
      </c>
      <c r="L1493" s="58">
        <v>1342</v>
      </c>
      <c r="M1493" s="59">
        <v>10</v>
      </c>
      <c r="N1493" s="59">
        <v>10</v>
      </c>
      <c r="O1493" s="59" t="s">
        <v>3578</v>
      </c>
      <c r="P1493" s="58">
        <v>140</v>
      </c>
      <c r="Q1493" s="59">
        <v>0</v>
      </c>
      <c r="R1493" s="59">
        <v>0</v>
      </c>
      <c r="S1493" s="60">
        <f>tblJTL[[#This Row],[timeStamp]]/86400000+DATE(1970,1,1)+TIME(9,0,0)</f>
        <v>46296.421081851848</v>
      </c>
      <c r="T1493" s="57">
        <f>tblJTL[[#This Row],[timeStamp]]+tblJTL[[#This Row],[elapsed]]</f>
        <v>1790816781617</v>
      </c>
      <c r="U1493" s="61">
        <f>(tblJTL[[#This Row],[timeStamp]]-'17_分析サンプル'!$E$18)/1000</f>
        <v>381.29199999999997</v>
      </c>
      <c r="V1493" s="57">
        <f>INT(tblJTL[[#This Row],[経過秒]]/60)</f>
        <v>6</v>
      </c>
      <c r="W1493" s="57">
        <f>IF(OR(tblJTL[[#This Row],[success]]=FALSE,tblJTL[[#This Row],[success]]="false"),1,0)</f>
        <v>0</v>
      </c>
      <c r="X1493" s="57">
        <f>IF(AND(tblJTL[[#This Row],[経過秒]]&gt;='17_分析サンプル'!$E$11,tblJTL[[#This Row],[経過秒]]&lt;'17_分析サンプル'!$E$12),1,0)</f>
        <v>1</v>
      </c>
    </row>
    <row r="1494" spans="2:24" ht="14.4" x14ac:dyDescent="0.3">
      <c r="B1494" s="57">
        <v>1790816781891</v>
      </c>
      <c r="C1494" s="58">
        <v>162</v>
      </c>
      <c r="D1494" s="59" t="s">
        <v>1658</v>
      </c>
      <c r="E1494" s="59" t="s">
        <v>1577</v>
      </c>
      <c r="F1494" s="59" t="s">
        <v>2275</v>
      </c>
      <c r="G1494" s="59" t="s">
        <v>3586</v>
      </c>
      <c r="H1494" s="59" t="s">
        <v>2281</v>
      </c>
      <c r="I1494" s="59" t="b">
        <v>1</v>
      </c>
      <c r="J1494" s="59"/>
      <c r="K1494" s="58">
        <v>1880</v>
      </c>
      <c r="L1494" s="58">
        <v>1342</v>
      </c>
      <c r="M1494" s="59">
        <v>10</v>
      </c>
      <c r="N1494" s="59">
        <v>10</v>
      </c>
      <c r="O1494" s="59" t="s">
        <v>3578</v>
      </c>
      <c r="P1494" s="58">
        <v>157</v>
      </c>
      <c r="Q1494" s="59">
        <v>0</v>
      </c>
      <c r="R1494" s="59">
        <v>0</v>
      </c>
      <c r="S1494" s="60">
        <f>tblJTL[[#This Row],[timeStamp]]/86400000+DATE(1970,1,1)+TIME(9,0,0)</f>
        <v>46296.42108670139</v>
      </c>
      <c r="T1494" s="57">
        <f>tblJTL[[#This Row],[timeStamp]]+tblJTL[[#This Row],[elapsed]]</f>
        <v>1790816782053</v>
      </c>
      <c r="U1494" s="61">
        <f>(tblJTL[[#This Row],[timeStamp]]-'17_分析サンプル'!$E$18)/1000</f>
        <v>381.71100000000001</v>
      </c>
      <c r="V1494" s="57">
        <f>INT(tblJTL[[#This Row],[経過秒]]/60)</f>
        <v>6</v>
      </c>
      <c r="W1494" s="57">
        <f>IF(OR(tblJTL[[#This Row],[success]]=FALSE,tblJTL[[#This Row],[success]]="false"),1,0)</f>
        <v>0</v>
      </c>
      <c r="X1494" s="57">
        <f>IF(AND(tblJTL[[#This Row],[経過秒]]&gt;='17_分析サンプル'!$E$11,tblJTL[[#This Row],[経過秒]]&lt;'17_分析サンプル'!$E$12),1,0)</f>
        <v>1</v>
      </c>
    </row>
    <row r="1495" spans="2:24" ht="14.4" x14ac:dyDescent="0.3">
      <c r="B1495" s="57">
        <v>1790816782036</v>
      </c>
      <c r="C1495" s="58">
        <v>87</v>
      </c>
      <c r="D1495" s="59" t="s">
        <v>1658</v>
      </c>
      <c r="E1495" s="59" t="s">
        <v>1577</v>
      </c>
      <c r="F1495" s="59" t="s">
        <v>2275</v>
      </c>
      <c r="G1495" s="59" t="s">
        <v>3585</v>
      </c>
      <c r="H1495" s="59" t="s">
        <v>2281</v>
      </c>
      <c r="I1495" s="59" t="b">
        <v>1</v>
      </c>
      <c r="J1495" s="59"/>
      <c r="K1495" s="58">
        <v>1864</v>
      </c>
      <c r="L1495" s="58">
        <v>1342</v>
      </c>
      <c r="M1495" s="59">
        <v>10</v>
      </c>
      <c r="N1495" s="59">
        <v>10</v>
      </c>
      <c r="O1495" s="59" t="s">
        <v>3578</v>
      </c>
      <c r="P1495" s="58">
        <v>83</v>
      </c>
      <c r="Q1495" s="59">
        <v>0</v>
      </c>
      <c r="R1495" s="59">
        <v>0</v>
      </c>
      <c r="S1495" s="60">
        <f>tblJTL[[#This Row],[timeStamp]]/86400000+DATE(1970,1,1)+TIME(9,0,0)</f>
        <v>46296.421088379633</v>
      </c>
      <c r="T1495" s="57">
        <f>tblJTL[[#This Row],[timeStamp]]+tblJTL[[#This Row],[elapsed]]</f>
        <v>1790816782123</v>
      </c>
      <c r="U1495" s="61">
        <f>(tblJTL[[#This Row],[timeStamp]]-'17_分析サンプル'!$E$18)/1000</f>
        <v>381.85599999999999</v>
      </c>
      <c r="V1495" s="57">
        <f>INT(tblJTL[[#This Row],[経過秒]]/60)</f>
        <v>6</v>
      </c>
      <c r="W1495" s="57">
        <f>IF(OR(tblJTL[[#This Row],[success]]=FALSE,tblJTL[[#This Row],[success]]="false"),1,0)</f>
        <v>0</v>
      </c>
      <c r="X1495" s="57">
        <f>IF(AND(tblJTL[[#This Row],[経過秒]]&gt;='17_分析サンプル'!$E$11,tblJTL[[#This Row],[経過秒]]&lt;'17_分析サンプル'!$E$12),1,0)</f>
        <v>1</v>
      </c>
    </row>
    <row r="1496" spans="2:24" ht="14.4" x14ac:dyDescent="0.3">
      <c r="B1496" s="57">
        <v>1790816781871</v>
      </c>
      <c r="C1496" s="58">
        <v>426</v>
      </c>
      <c r="D1496" s="59" t="s">
        <v>1677</v>
      </c>
      <c r="E1496" s="59" t="s">
        <v>3579</v>
      </c>
      <c r="F1496" s="59" t="s">
        <v>3580</v>
      </c>
      <c r="G1496" s="59" t="s">
        <v>3582</v>
      </c>
      <c r="H1496" s="59" t="s">
        <v>2281</v>
      </c>
      <c r="I1496" s="59" t="b">
        <v>1</v>
      </c>
      <c r="J1496" s="59"/>
      <c r="K1496" s="58">
        <v>424</v>
      </c>
      <c r="L1496" s="58">
        <v>1478</v>
      </c>
      <c r="M1496" s="59">
        <v>10</v>
      </c>
      <c r="N1496" s="59">
        <v>10</v>
      </c>
      <c r="O1496" s="59" t="s">
        <v>3581</v>
      </c>
      <c r="P1496" s="58">
        <v>419</v>
      </c>
      <c r="Q1496" s="59">
        <v>0</v>
      </c>
      <c r="R1496" s="59">
        <v>0</v>
      </c>
      <c r="S1496" s="60">
        <f>tblJTL[[#This Row],[timeStamp]]/86400000+DATE(1970,1,1)+TIME(9,0,0)</f>
        <v>46296.421086469913</v>
      </c>
      <c r="T1496" s="57">
        <f>tblJTL[[#This Row],[timeStamp]]+tblJTL[[#This Row],[elapsed]]</f>
        <v>1790816782297</v>
      </c>
      <c r="U1496" s="61">
        <f>(tblJTL[[#This Row],[timeStamp]]-'17_分析サンプル'!$E$18)/1000</f>
        <v>381.69099999999997</v>
      </c>
      <c r="V1496" s="57">
        <f>INT(tblJTL[[#This Row],[経過秒]]/60)</f>
        <v>6</v>
      </c>
      <c r="W1496" s="57">
        <f>IF(OR(tblJTL[[#This Row],[success]]=FALSE,tblJTL[[#This Row],[success]]="false"),1,0)</f>
        <v>0</v>
      </c>
      <c r="X1496" s="57">
        <f>IF(AND(tblJTL[[#This Row],[経過秒]]&gt;='17_分析サンプル'!$E$11,tblJTL[[#This Row],[経過秒]]&lt;'17_分析サンプル'!$E$12),1,0)</f>
        <v>1</v>
      </c>
    </row>
    <row r="1497" spans="2:24" ht="14.4" x14ac:dyDescent="0.3">
      <c r="B1497" s="57">
        <v>1790816782271</v>
      </c>
      <c r="C1497" s="58">
        <v>257</v>
      </c>
      <c r="D1497" s="59" t="s">
        <v>1677</v>
      </c>
      <c r="E1497" s="59" t="s">
        <v>3579</v>
      </c>
      <c r="F1497" s="59" t="s">
        <v>3580</v>
      </c>
      <c r="G1497" s="59" t="s">
        <v>3589</v>
      </c>
      <c r="H1497" s="59" t="s">
        <v>2281</v>
      </c>
      <c r="I1497" s="59" t="b">
        <v>1</v>
      </c>
      <c r="J1497" s="59"/>
      <c r="K1497" s="58">
        <v>419</v>
      </c>
      <c r="L1497" s="58">
        <v>1478</v>
      </c>
      <c r="M1497" s="59">
        <v>10</v>
      </c>
      <c r="N1497" s="59">
        <v>10</v>
      </c>
      <c r="O1497" s="59" t="s">
        <v>3581</v>
      </c>
      <c r="P1497" s="58">
        <v>249</v>
      </c>
      <c r="Q1497" s="59">
        <v>0</v>
      </c>
      <c r="R1497" s="59">
        <v>0</v>
      </c>
      <c r="S1497" s="60">
        <f>tblJTL[[#This Row],[timeStamp]]/86400000+DATE(1970,1,1)+TIME(9,0,0)</f>
        <v>46296.421091099532</v>
      </c>
      <c r="T1497" s="57">
        <f>tblJTL[[#This Row],[timeStamp]]+tblJTL[[#This Row],[elapsed]]</f>
        <v>1790816782528</v>
      </c>
      <c r="U1497" s="61">
        <f>(tblJTL[[#This Row],[timeStamp]]-'17_分析サンプル'!$E$18)/1000</f>
        <v>382.09100000000001</v>
      </c>
      <c r="V1497" s="57">
        <f>INT(tblJTL[[#This Row],[経過秒]]/60)</f>
        <v>6</v>
      </c>
      <c r="W1497" s="57">
        <f>IF(OR(tblJTL[[#This Row],[success]]=FALSE,tblJTL[[#This Row],[success]]="false"),1,0)</f>
        <v>0</v>
      </c>
      <c r="X1497" s="57">
        <f>IF(AND(tblJTL[[#This Row],[経過秒]]&gt;='17_分析サンプル'!$E$11,tblJTL[[#This Row],[経過秒]]&lt;'17_分析サンプル'!$E$12),1,0)</f>
        <v>1</v>
      </c>
    </row>
    <row r="1498" spans="2:24" ht="14.4" x14ac:dyDescent="0.3">
      <c r="B1498" s="57">
        <v>1790816782209</v>
      </c>
      <c r="C1498" s="58">
        <v>352</v>
      </c>
      <c r="D1498" s="59" t="s">
        <v>1677</v>
      </c>
      <c r="E1498" s="59" t="s">
        <v>3579</v>
      </c>
      <c r="F1498" s="59" t="s">
        <v>3580</v>
      </c>
      <c r="G1498" s="59" t="s">
        <v>3587</v>
      </c>
      <c r="H1498" s="59" t="s">
        <v>2281</v>
      </c>
      <c r="I1498" s="59" t="b">
        <v>1</v>
      </c>
      <c r="J1498" s="59"/>
      <c r="K1498" s="58">
        <v>417</v>
      </c>
      <c r="L1498" s="58">
        <v>1478</v>
      </c>
      <c r="M1498" s="59">
        <v>10</v>
      </c>
      <c r="N1498" s="59">
        <v>10</v>
      </c>
      <c r="O1498" s="59" t="s">
        <v>3581</v>
      </c>
      <c r="P1498" s="58">
        <v>344</v>
      </c>
      <c r="Q1498" s="59">
        <v>0</v>
      </c>
      <c r="R1498" s="59">
        <v>0</v>
      </c>
      <c r="S1498" s="60">
        <f>tblJTL[[#This Row],[timeStamp]]/86400000+DATE(1970,1,1)+TIME(9,0,0)</f>
        <v>46296.421090381948</v>
      </c>
      <c r="T1498" s="57">
        <f>tblJTL[[#This Row],[timeStamp]]+tblJTL[[#This Row],[elapsed]]</f>
        <v>1790816782561</v>
      </c>
      <c r="U1498" s="61">
        <f>(tblJTL[[#This Row],[timeStamp]]-'17_分析サンプル'!$E$18)/1000</f>
        <v>382.029</v>
      </c>
      <c r="V1498" s="57">
        <f>INT(tblJTL[[#This Row],[経過秒]]/60)</f>
        <v>6</v>
      </c>
      <c r="W1498" s="57">
        <f>IF(OR(tblJTL[[#This Row],[success]]=FALSE,tblJTL[[#This Row],[success]]="false"),1,0)</f>
        <v>0</v>
      </c>
      <c r="X1498" s="57">
        <f>IF(AND(tblJTL[[#This Row],[経過秒]]&gt;='17_分析サンプル'!$E$11,tblJTL[[#This Row],[経過秒]]&lt;'17_分析サンプル'!$E$12),1,0)</f>
        <v>1</v>
      </c>
    </row>
    <row r="1499" spans="2:24" ht="14.4" x14ac:dyDescent="0.3">
      <c r="B1499" s="57">
        <v>1790816782593</v>
      </c>
      <c r="C1499" s="58">
        <v>118</v>
      </c>
      <c r="D1499" s="59" t="s">
        <v>1658</v>
      </c>
      <c r="E1499" s="59" t="s">
        <v>1577</v>
      </c>
      <c r="F1499" s="59" t="s">
        <v>2275</v>
      </c>
      <c r="G1499" s="59" t="s">
        <v>3588</v>
      </c>
      <c r="H1499" s="59" t="s">
        <v>2281</v>
      </c>
      <c r="I1499" s="59" t="b">
        <v>1</v>
      </c>
      <c r="J1499" s="59"/>
      <c r="K1499" s="58">
        <v>1886</v>
      </c>
      <c r="L1499" s="58">
        <v>1342</v>
      </c>
      <c r="M1499" s="59">
        <v>10</v>
      </c>
      <c r="N1499" s="59">
        <v>10</v>
      </c>
      <c r="O1499" s="59" t="s">
        <v>3578</v>
      </c>
      <c r="P1499" s="58">
        <v>112</v>
      </c>
      <c r="Q1499" s="59">
        <v>0</v>
      </c>
      <c r="R1499" s="59">
        <v>0</v>
      </c>
      <c r="S1499" s="60">
        <f>tblJTL[[#This Row],[timeStamp]]/86400000+DATE(1970,1,1)+TIME(9,0,0)</f>
        <v>46296.421094826394</v>
      </c>
      <c r="T1499" s="57">
        <f>tblJTL[[#This Row],[timeStamp]]+tblJTL[[#This Row],[elapsed]]</f>
        <v>1790816782711</v>
      </c>
      <c r="U1499" s="61">
        <f>(tblJTL[[#This Row],[timeStamp]]-'17_分析サンプル'!$E$18)/1000</f>
        <v>382.41300000000001</v>
      </c>
      <c r="V1499" s="57">
        <f>INT(tblJTL[[#This Row],[経過秒]]/60)</f>
        <v>6</v>
      </c>
      <c r="W1499" s="57">
        <f>IF(OR(tblJTL[[#This Row],[success]]=FALSE,tblJTL[[#This Row],[success]]="false"),1,0)</f>
        <v>0</v>
      </c>
      <c r="X1499" s="57">
        <f>IF(AND(tblJTL[[#This Row],[経過秒]]&gt;='17_分析サンプル'!$E$11,tblJTL[[#This Row],[経過秒]]&lt;'17_分析サンプル'!$E$12),1,0)</f>
        <v>1</v>
      </c>
    </row>
    <row r="1500" spans="2:24" ht="14.4" x14ac:dyDescent="0.3">
      <c r="B1500" s="57">
        <v>1790816783168</v>
      </c>
      <c r="C1500" s="58">
        <v>301</v>
      </c>
      <c r="D1500" s="59" t="s">
        <v>1677</v>
      </c>
      <c r="E1500" s="59" t="s">
        <v>3579</v>
      </c>
      <c r="F1500" s="59" t="s">
        <v>3580</v>
      </c>
      <c r="G1500" s="59" t="s">
        <v>2278</v>
      </c>
      <c r="H1500" s="59" t="s">
        <v>2281</v>
      </c>
      <c r="I1500" s="59" t="b">
        <v>1</v>
      </c>
      <c r="J1500" s="59"/>
      <c r="K1500" s="58">
        <v>414</v>
      </c>
      <c r="L1500" s="58">
        <v>1478</v>
      </c>
      <c r="M1500" s="59">
        <v>10</v>
      </c>
      <c r="N1500" s="59">
        <v>10</v>
      </c>
      <c r="O1500" s="59" t="s">
        <v>3581</v>
      </c>
      <c r="P1500" s="58">
        <v>298</v>
      </c>
      <c r="Q1500" s="59">
        <v>0</v>
      </c>
      <c r="R1500" s="59">
        <v>0</v>
      </c>
      <c r="S1500" s="60">
        <f>tblJTL[[#This Row],[timeStamp]]/86400000+DATE(1970,1,1)+TIME(9,0,0)</f>
        <v>46296.421101481479</v>
      </c>
      <c r="T1500" s="57">
        <f>tblJTL[[#This Row],[timeStamp]]+tblJTL[[#This Row],[elapsed]]</f>
        <v>1790816783469</v>
      </c>
      <c r="U1500" s="61">
        <f>(tblJTL[[#This Row],[timeStamp]]-'17_分析サンプル'!$E$18)/1000</f>
        <v>382.988</v>
      </c>
      <c r="V1500" s="57">
        <f>INT(tblJTL[[#This Row],[経過秒]]/60)</f>
        <v>6</v>
      </c>
      <c r="W1500" s="57">
        <f>IF(OR(tblJTL[[#This Row],[success]]=FALSE,tblJTL[[#This Row],[success]]="false"),1,0)</f>
        <v>0</v>
      </c>
      <c r="X1500" s="57">
        <f>IF(AND(tblJTL[[#This Row],[経過秒]]&gt;='17_分析サンプル'!$E$11,tblJTL[[#This Row],[経過秒]]&lt;'17_分析サンプル'!$E$12),1,0)</f>
        <v>1</v>
      </c>
    </row>
    <row r="1501" spans="2:24" ht="14.4" x14ac:dyDescent="0.3">
      <c r="B1501" s="57">
        <v>1790816783208</v>
      </c>
      <c r="C1501" s="58">
        <v>330</v>
      </c>
      <c r="D1501" s="59" t="s">
        <v>1677</v>
      </c>
      <c r="E1501" s="59" t="s">
        <v>3579</v>
      </c>
      <c r="F1501" s="59" t="s">
        <v>3580</v>
      </c>
      <c r="G1501" s="59" t="s">
        <v>3583</v>
      </c>
      <c r="H1501" s="59" t="s">
        <v>2281</v>
      </c>
      <c r="I1501" s="59" t="b">
        <v>1</v>
      </c>
      <c r="J1501" s="59"/>
      <c r="K1501" s="58">
        <v>430</v>
      </c>
      <c r="L1501" s="58">
        <v>1478</v>
      </c>
      <c r="M1501" s="59">
        <v>10</v>
      </c>
      <c r="N1501" s="59">
        <v>10</v>
      </c>
      <c r="O1501" s="59" t="s">
        <v>3581</v>
      </c>
      <c r="P1501" s="58">
        <v>325</v>
      </c>
      <c r="Q1501" s="59">
        <v>0</v>
      </c>
      <c r="R1501" s="59">
        <v>0</v>
      </c>
      <c r="S1501" s="60">
        <f>tblJTL[[#This Row],[timeStamp]]/86400000+DATE(1970,1,1)+TIME(9,0,0)</f>
        <v>46296.421101944448</v>
      </c>
      <c r="T1501" s="57">
        <f>tblJTL[[#This Row],[timeStamp]]+tblJTL[[#This Row],[elapsed]]</f>
        <v>1790816783538</v>
      </c>
      <c r="U1501" s="61">
        <f>(tblJTL[[#This Row],[timeStamp]]-'17_分析サンプル'!$E$18)/1000</f>
        <v>383.02800000000002</v>
      </c>
      <c r="V1501" s="57">
        <f>INT(tblJTL[[#This Row],[経過秒]]/60)</f>
        <v>6</v>
      </c>
      <c r="W1501" s="57">
        <f>IF(OR(tblJTL[[#This Row],[success]]=FALSE,tblJTL[[#This Row],[success]]="false"),1,0)</f>
        <v>0</v>
      </c>
      <c r="X1501" s="57">
        <f>IF(AND(tblJTL[[#This Row],[経過秒]]&gt;='17_分析サンプル'!$E$11,tblJTL[[#This Row],[経過秒]]&lt;'17_分析サンプル'!$E$12),1,0)</f>
        <v>1</v>
      </c>
    </row>
    <row r="1502" spans="2:24" ht="14.4" x14ac:dyDescent="0.3">
      <c r="B1502" s="57">
        <v>1790816783271</v>
      </c>
      <c r="C1502" s="58">
        <v>349</v>
      </c>
      <c r="D1502" s="59" t="s">
        <v>1677</v>
      </c>
      <c r="E1502" s="59" t="s">
        <v>3579</v>
      </c>
      <c r="F1502" s="59" t="s">
        <v>3580</v>
      </c>
      <c r="G1502" s="59" t="s">
        <v>3584</v>
      </c>
      <c r="H1502" s="59" t="s">
        <v>2281</v>
      </c>
      <c r="I1502" s="59" t="b">
        <v>1</v>
      </c>
      <c r="J1502" s="59"/>
      <c r="K1502" s="58">
        <v>439</v>
      </c>
      <c r="L1502" s="58">
        <v>1478</v>
      </c>
      <c r="M1502" s="59">
        <v>10</v>
      </c>
      <c r="N1502" s="59">
        <v>10</v>
      </c>
      <c r="O1502" s="59" t="s">
        <v>3581</v>
      </c>
      <c r="P1502" s="58">
        <v>346</v>
      </c>
      <c r="Q1502" s="59">
        <v>0</v>
      </c>
      <c r="R1502" s="59">
        <v>0</v>
      </c>
      <c r="S1502" s="60">
        <f>tblJTL[[#This Row],[timeStamp]]/86400000+DATE(1970,1,1)+TIME(9,0,0)</f>
        <v>46296.421102673616</v>
      </c>
      <c r="T1502" s="57">
        <f>tblJTL[[#This Row],[timeStamp]]+tblJTL[[#This Row],[elapsed]]</f>
        <v>1790816783620</v>
      </c>
      <c r="U1502" s="61">
        <f>(tblJTL[[#This Row],[timeStamp]]-'17_分析サンプル'!$E$18)/1000</f>
        <v>383.09100000000001</v>
      </c>
      <c r="V1502" s="57">
        <f>INT(tblJTL[[#This Row],[経過秒]]/60)</f>
        <v>6</v>
      </c>
      <c r="W1502" s="57">
        <f>IF(OR(tblJTL[[#This Row],[success]]=FALSE,tblJTL[[#This Row],[success]]="false"),1,0)</f>
        <v>0</v>
      </c>
      <c r="X1502" s="57">
        <f>IF(AND(tblJTL[[#This Row],[経過秒]]&gt;='17_分析サンプル'!$E$11,tblJTL[[#This Row],[経過秒]]&lt;'17_分析サンプル'!$E$12),1,0)</f>
        <v>1</v>
      </c>
    </row>
    <row r="1503" spans="2:24" ht="14.4" x14ac:dyDescent="0.3">
      <c r="B1503" s="57">
        <v>1790816783724</v>
      </c>
      <c r="C1503" s="58">
        <v>126</v>
      </c>
      <c r="D1503" s="59" t="s">
        <v>1658</v>
      </c>
      <c r="E1503" s="59" t="s">
        <v>1577</v>
      </c>
      <c r="F1503" s="59" t="s">
        <v>2275</v>
      </c>
      <c r="G1503" s="59" t="s">
        <v>3587</v>
      </c>
      <c r="H1503" s="59" t="s">
        <v>2281</v>
      </c>
      <c r="I1503" s="59" t="b">
        <v>1</v>
      </c>
      <c r="J1503" s="59"/>
      <c r="K1503" s="58">
        <v>1869</v>
      </c>
      <c r="L1503" s="58">
        <v>1342</v>
      </c>
      <c r="M1503" s="59">
        <v>10</v>
      </c>
      <c r="N1503" s="59">
        <v>10</v>
      </c>
      <c r="O1503" s="59" t="s">
        <v>3578</v>
      </c>
      <c r="P1503" s="58">
        <v>122</v>
      </c>
      <c r="Q1503" s="59">
        <v>0</v>
      </c>
      <c r="R1503" s="59">
        <v>0</v>
      </c>
      <c r="S1503" s="60">
        <f>tblJTL[[#This Row],[timeStamp]]/86400000+DATE(1970,1,1)+TIME(9,0,0)</f>
        <v>46296.421107916671</v>
      </c>
      <c r="T1503" s="57">
        <f>tblJTL[[#This Row],[timeStamp]]+tblJTL[[#This Row],[elapsed]]</f>
        <v>1790816783850</v>
      </c>
      <c r="U1503" s="61">
        <f>(tblJTL[[#This Row],[timeStamp]]-'17_分析サンプル'!$E$18)/1000</f>
        <v>383.54399999999998</v>
      </c>
      <c r="V1503" s="57">
        <f>INT(tblJTL[[#This Row],[経過秒]]/60)</f>
        <v>6</v>
      </c>
      <c r="W1503" s="57">
        <f>IF(OR(tblJTL[[#This Row],[success]]=FALSE,tblJTL[[#This Row],[success]]="false"),1,0)</f>
        <v>0</v>
      </c>
      <c r="X1503" s="57">
        <f>IF(AND(tblJTL[[#This Row],[経過秒]]&gt;='17_分析サンプル'!$E$11,tblJTL[[#This Row],[経過秒]]&lt;'17_分析サンプル'!$E$12),1,0)</f>
        <v>1</v>
      </c>
    </row>
    <row r="1504" spans="2:24" ht="14.4" x14ac:dyDescent="0.3">
      <c r="B1504" s="57">
        <v>1790816783760</v>
      </c>
      <c r="C1504" s="58">
        <v>294</v>
      </c>
      <c r="D1504" s="59" t="s">
        <v>1677</v>
      </c>
      <c r="E1504" s="59" t="s">
        <v>3579</v>
      </c>
      <c r="F1504" s="59" t="s">
        <v>3580</v>
      </c>
      <c r="G1504" s="59" t="s">
        <v>3577</v>
      </c>
      <c r="H1504" s="59" t="s">
        <v>2281</v>
      </c>
      <c r="I1504" s="59" t="b">
        <v>1</v>
      </c>
      <c r="J1504" s="59"/>
      <c r="K1504" s="58">
        <v>413</v>
      </c>
      <c r="L1504" s="58">
        <v>1478</v>
      </c>
      <c r="M1504" s="59">
        <v>10</v>
      </c>
      <c r="N1504" s="59">
        <v>10</v>
      </c>
      <c r="O1504" s="59" t="s">
        <v>3581</v>
      </c>
      <c r="P1504" s="58">
        <v>289</v>
      </c>
      <c r="Q1504" s="59">
        <v>0</v>
      </c>
      <c r="R1504" s="59">
        <v>0</v>
      </c>
      <c r="S1504" s="60">
        <f>tblJTL[[#This Row],[timeStamp]]/86400000+DATE(1970,1,1)+TIME(9,0,0)</f>
        <v>46296.421108333336</v>
      </c>
      <c r="T1504" s="57">
        <f>tblJTL[[#This Row],[timeStamp]]+tblJTL[[#This Row],[elapsed]]</f>
        <v>1790816784054</v>
      </c>
      <c r="U1504" s="61">
        <f>(tblJTL[[#This Row],[timeStamp]]-'17_分析サンプル'!$E$18)/1000</f>
        <v>383.58</v>
      </c>
      <c r="V1504" s="57">
        <f>INT(tblJTL[[#This Row],[経過秒]]/60)</f>
        <v>6</v>
      </c>
      <c r="W1504" s="57">
        <f>IF(OR(tblJTL[[#This Row],[success]]=FALSE,tblJTL[[#This Row],[success]]="false"),1,0)</f>
        <v>0</v>
      </c>
      <c r="X1504" s="57">
        <f>IF(AND(tblJTL[[#This Row],[経過秒]]&gt;='17_分析サンプル'!$E$11,tblJTL[[#This Row],[経過秒]]&lt;'17_分析サンプル'!$E$12),1,0)</f>
        <v>1</v>
      </c>
    </row>
    <row r="1505" spans="2:24" ht="14.4" x14ac:dyDescent="0.3">
      <c r="B1505" s="57">
        <v>1790816784030</v>
      </c>
      <c r="C1505" s="58">
        <v>84</v>
      </c>
      <c r="D1505" s="59" t="s">
        <v>1658</v>
      </c>
      <c r="E1505" s="59" t="s">
        <v>1577</v>
      </c>
      <c r="F1505" s="59" t="s">
        <v>2275</v>
      </c>
      <c r="G1505" s="59" t="s">
        <v>3589</v>
      </c>
      <c r="H1505" s="59" t="s">
        <v>2281</v>
      </c>
      <c r="I1505" s="59" t="b">
        <v>1</v>
      </c>
      <c r="J1505" s="59"/>
      <c r="K1505" s="58">
        <v>1875</v>
      </c>
      <c r="L1505" s="58">
        <v>1342</v>
      </c>
      <c r="M1505" s="59">
        <v>10</v>
      </c>
      <c r="N1505" s="59">
        <v>10</v>
      </c>
      <c r="O1505" s="59" t="s">
        <v>3578</v>
      </c>
      <c r="P1505" s="58">
        <v>81</v>
      </c>
      <c r="Q1505" s="59">
        <v>0</v>
      </c>
      <c r="R1505" s="59">
        <v>0</v>
      </c>
      <c r="S1505" s="60">
        <f>tblJTL[[#This Row],[timeStamp]]/86400000+DATE(1970,1,1)+TIME(9,0,0)</f>
        <v>46296.42111145833</v>
      </c>
      <c r="T1505" s="57">
        <f>tblJTL[[#This Row],[timeStamp]]+tblJTL[[#This Row],[elapsed]]</f>
        <v>1790816784114</v>
      </c>
      <c r="U1505" s="61">
        <f>(tblJTL[[#This Row],[timeStamp]]-'17_分析サンプル'!$E$18)/1000</f>
        <v>383.85</v>
      </c>
      <c r="V1505" s="57">
        <f>INT(tblJTL[[#This Row],[経過秒]]/60)</f>
        <v>6</v>
      </c>
      <c r="W1505" s="57">
        <f>IF(OR(tblJTL[[#This Row],[success]]=FALSE,tblJTL[[#This Row],[success]]="false"),1,0)</f>
        <v>0</v>
      </c>
      <c r="X1505" s="57">
        <f>IF(AND(tblJTL[[#This Row],[経過秒]]&gt;='17_分析サンプル'!$E$11,tblJTL[[#This Row],[経過秒]]&lt;'17_分析サンプル'!$E$12),1,0)</f>
        <v>1</v>
      </c>
    </row>
    <row r="1506" spans="2:24" ht="14.4" x14ac:dyDescent="0.3">
      <c r="B1506" s="57">
        <v>1790816784647</v>
      </c>
      <c r="C1506" s="58">
        <v>121</v>
      </c>
      <c r="D1506" s="59" t="s">
        <v>1677</v>
      </c>
      <c r="E1506" s="59" t="s">
        <v>3579</v>
      </c>
      <c r="F1506" s="59" t="s">
        <v>3580</v>
      </c>
      <c r="G1506" s="59" t="s">
        <v>3585</v>
      </c>
      <c r="H1506" s="59" t="s">
        <v>2281</v>
      </c>
      <c r="I1506" s="59" t="b">
        <v>1</v>
      </c>
      <c r="J1506" s="59"/>
      <c r="K1506" s="58">
        <v>411</v>
      </c>
      <c r="L1506" s="58">
        <v>1478</v>
      </c>
      <c r="M1506" s="59">
        <v>10</v>
      </c>
      <c r="N1506" s="59">
        <v>10</v>
      </c>
      <c r="O1506" s="59" t="s">
        <v>3581</v>
      </c>
      <c r="P1506" s="58">
        <v>117</v>
      </c>
      <c r="Q1506" s="59">
        <v>0</v>
      </c>
      <c r="R1506" s="59">
        <v>0</v>
      </c>
      <c r="S1506" s="60">
        <f>tblJTL[[#This Row],[timeStamp]]/86400000+DATE(1970,1,1)+TIME(9,0,0)</f>
        <v>46296.421118599537</v>
      </c>
      <c r="T1506" s="57">
        <f>tblJTL[[#This Row],[timeStamp]]+tblJTL[[#This Row],[elapsed]]</f>
        <v>1790816784768</v>
      </c>
      <c r="U1506" s="61">
        <f>(tblJTL[[#This Row],[timeStamp]]-'17_分析サンプル'!$E$18)/1000</f>
        <v>384.46699999999998</v>
      </c>
      <c r="V1506" s="57">
        <f>INT(tblJTL[[#This Row],[経過秒]]/60)</f>
        <v>6</v>
      </c>
      <c r="W1506" s="57">
        <f>IF(OR(tblJTL[[#This Row],[success]]=FALSE,tblJTL[[#This Row],[success]]="false"),1,0)</f>
        <v>0</v>
      </c>
      <c r="X1506" s="57">
        <f>IF(AND(tblJTL[[#This Row],[経過秒]]&gt;='17_分析サンプル'!$E$11,tblJTL[[#This Row],[経過秒]]&lt;'17_分析サンプル'!$E$12),1,0)</f>
        <v>1</v>
      </c>
    </row>
    <row r="1507" spans="2:24" ht="14.4" x14ac:dyDescent="0.3">
      <c r="B1507" s="57">
        <v>1790816784786</v>
      </c>
      <c r="C1507" s="58">
        <v>191</v>
      </c>
      <c r="D1507" s="59" t="s">
        <v>1677</v>
      </c>
      <c r="E1507" s="59" t="s">
        <v>3579</v>
      </c>
      <c r="F1507" s="59" t="s">
        <v>3580</v>
      </c>
      <c r="G1507" s="59" t="s">
        <v>3586</v>
      </c>
      <c r="H1507" s="59" t="s">
        <v>2281</v>
      </c>
      <c r="I1507" s="59" t="b">
        <v>1</v>
      </c>
      <c r="J1507" s="59"/>
      <c r="K1507" s="58">
        <v>434</v>
      </c>
      <c r="L1507" s="58">
        <v>1478</v>
      </c>
      <c r="M1507" s="59">
        <v>10</v>
      </c>
      <c r="N1507" s="59">
        <v>10</v>
      </c>
      <c r="O1507" s="59" t="s">
        <v>3581</v>
      </c>
      <c r="P1507" s="58">
        <v>184</v>
      </c>
      <c r="Q1507" s="59">
        <v>0</v>
      </c>
      <c r="R1507" s="59">
        <v>0</v>
      </c>
      <c r="S1507" s="60">
        <f>tblJTL[[#This Row],[timeStamp]]/86400000+DATE(1970,1,1)+TIME(9,0,0)</f>
        <v>46296.421120208332</v>
      </c>
      <c r="T1507" s="57">
        <f>tblJTL[[#This Row],[timeStamp]]+tblJTL[[#This Row],[elapsed]]</f>
        <v>1790816784977</v>
      </c>
      <c r="U1507" s="61">
        <f>(tblJTL[[#This Row],[timeStamp]]-'17_分析サンプル'!$E$18)/1000</f>
        <v>384.60599999999999</v>
      </c>
      <c r="V1507" s="57">
        <f>INT(tblJTL[[#This Row],[経過秒]]/60)</f>
        <v>6</v>
      </c>
      <c r="W1507" s="57">
        <f>IF(OR(tblJTL[[#This Row],[success]]=FALSE,tblJTL[[#This Row],[success]]="false"),1,0)</f>
        <v>0</v>
      </c>
      <c r="X1507" s="57">
        <f>IF(AND(tblJTL[[#This Row],[経過秒]]&gt;='17_分析サンプル'!$E$11,tblJTL[[#This Row],[経過秒]]&lt;'17_分析サンプル'!$E$12),1,0)</f>
        <v>1</v>
      </c>
    </row>
    <row r="1508" spans="2:24" ht="14.4" x14ac:dyDescent="0.3">
      <c r="B1508" s="57">
        <v>1790816785000</v>
      </c>
      <c r="C1508" s="58">
        <v>93</v>
      </c>
      <c r="D1508" s="59" t="s">
        <v>1658</v>
      </c>
      <c r="E1508" s="59" t="s">
        <v>1577</v>
      </c>
      <c r="F1508" s="59" t="s">
        <v>2275</v>
      </c>
      <c r="G1508" s="59" t="s">
        <v>2278</v>
      </c>
      <c r="H1508" s="59" t="s">
        <v>2281</v>
      </c>
      <c r="I1508" s="59" t="b">
        <v>1</v>
      </c>
      <c r="J1508" s="59"/>
      <c r="K1508" s="58">
        <v>1867</v>
      </c>
      <c r="L1508" s="58">
        <v>1342</v>
      </c>
      <c r="M1508" s="59">
        <v>10</v>
      </c>
      <c r="N1508" s="59">
        <v>10</v>
      </c>
      <c r="O1508" s="59" t="s">
        <v>3578</v>
      </c>
      <c r="P1508" s="58">
        <v>85</v>
      </c>
      <c r="Q1508" s="59">
        <v>0</v>
      </c>
      <c r="R1508" s="59">
        <v>0</v>
      </c>
      <c r="S1508" s="60">
        <f>tblJTL[[#This Row],[timeStamp]]/86400000+DATE(1970,1,1)+TIME(9,0,0)</f>
        <v>46296.421122685184</v>
      </c>
      <c r="T1508" s="57">
        <f>tblJTL[[#This Row],[timeStamp]]+tblJTL[[#This Row],[elapsed]]</f>
        <v>1790816785093</v>
      </c>
      <c r="U1508" s="61">
        <f>(tblJTL[[#This Row],[timeStamp]]-'17_分析サンプル'!$E$18)/1000</f>
        <v>384.82</v>
      </c>
      <c r="V1508" s="57">
        <f>INT(tblJTL[[#This Row],[経過秒]]/60)</f>
        <v>6</v>
      </c>
      <c r="W1508" s="57">
        <f>IF(OR(tblJTL[[#This Row],[success]]=FALSE,tblJTL[[#This Row],[success]]="false"),1,0)</f>
        <v>0</v>
      </c>
      <c r="X1508" s="57">
        <f>IF(AND(tblJTL[[#This Row],[経過秒]]&gt;='17_分析サンプル'!$E$11,tblJTL[[#This Row],[経過秒]]&lt;'17_分析サンプル'!$E$12),1,0)</f>
        <v>1</v>
      </c>
    </row>
    <row r="1509" spans="2:24" ht="14.4" x14ac:dyDescent="0.3">
      <c r="B1509" s="57">
        <v>1790816785060</v>
      </c>
      <c r="C1509" s="58">
        <v>152</v>
      </c>
      <c r="D1509" s="59" t="s">
        <v>1677</v>
      </c>
      <c r="E1509" s="59" t="s">
        <v>3579</v>
      </c>
      <c r="F1509" s="59" t="s">
        <v>3580</v>
      </c>
      <c r="G1509" s="59" t="s">
        <v>3588</v>
      </c>
      <c r="H1509" s="59" t="s">
        <v>2281</v>
      </c>
      <c r="I1509" s="59" t="b">
        <v>1</v>
      </c>
      <c r="J1509" s="59"/>
      <c r="K1509" s="58">
        <v>433</v>
      </c>
      <c r="L1509" s="58">
        <v>1478</v>
      </c>
      <c r="M1509" s="59">
        <v>10</v>
      </c>
      <c r="N1509" s="59">
        <v>10</v>
      </c>
      <c r="O1509" s="59" t="s">
        <v>3581</v>
      </c>
      <c r="P1509" s="58">
        <v>145</v>
      </c>
      <c r="Q1509" s="59">
        <v>0</v>
      </c>
      <c r="R1509" s="59">
        <v>0</v>
      </c>
      <c r="S1509" s="60">
        <f>tblJTL[[#This Row],[timeStamp]]/86400000+DATE(1970,1,1)+TIME(9,0,0)</f>
        <v>46296.42112337963</v>
      </c>
      <c r="T1509" s="57">
        <f>tblJTL[[#This Row],[timeStamp]]+tblJTL[[#This Row],[elapsed]]</f>
        <v>1790816785212</v>
      </c>
      <c r="U1509" s="61">
        <f>(tblJTL[[#This Row],[timeStamp]]-'17_分析サンプル'!$E$18)/1000</f>
        <v>384.88</v>
      </c>
      <c r="V1509" s="57">
        <f>INT(tblJTL[[#This Row],[経過秒]]/60)</f>
        <v>6</v>
      </c>
      <c r="W1509" s="57">
        <f>IF(OR(tblJTL[[#This Row],[success]]=FALSE,tblJTL[[#This Row],[success]]="false"),1,0)</f>
        <v>0</v>
      </c>
      <c r="X1509" s="57">
        <f>IF(AND(tblJTL[[#This Row],[経過秒]]&gt;='17_分析サンプル'!$E$11,tblJTL[[#This Row],[経過秒]]&lt;'17_分析サンプル'!$E$12),1,0)</f>
        <v>1</v>
      </c>
    </row>
    <row r="1510" spans="2:24" ht="14.4" x14ac:dyDescent="0.3">
      <c r="B1510" s="57">
        <v>1790816785296</v>
      </c>
      <c r="C1510" s="58">
        <v>110</v>
      </c>
      <c r="D1510" s="59" t="s">
        <v>1658</v>
      </c>
      <c r="E1510" s="59" t="s">
        <v>1577</v>
      </c>
      <c r="F1510" s="59" t="s">
        <v>2275</v>
      </c>
      <c r="G1510" s="59" t="s">
        <v>3582</v>
      </c>
      <c r="H1510" s="59" t="s">
        <v>2281</v>
      </c>
      <c r="I1510" s="59" t="b">
        <v>1</v>
      </c>
      <c r="J1510" s="59"/>
      <c r="K1510" s="58">
        <v>1892</v>
      </c>
      <c r="L1510" s="58">
        <v>1342</v>
      </c>
      <c r="M1510" s="59">
        <v>10</v>
      </c>
      <c r="N1510" s="59">
        <v>10</v>
      </c>
      <c r="O1510" s="59" t="s">
        <v>3578</v>
      </c>
      <c r="P1510" s="58">
        <v>103</v>
      </c>
      <c r="Q1510" s="59">
        <v>0</v>
      </c>
      <c r="R1510" s="59">
        <v>0</v>
      </c>
      <c r="S1510" s="60">
        <f>tblJTL[[#This Row],[timeStamp]]/86400000+DATE(1970,1,1)+TIME(9,0,0)</f>
        <v>46296.421126111112</v>
      </c>
      <c r="T1510" s="57">
        <f>tblJTL[[#This Row],[timeStamp]]+tblJTL[[#This Row],[elapsed]]</f>
        <v>1790816785406</v>
      </c>
      <c r="U1510" s="61">
        <f>(tblJTL[[#This Row],[timeStamp]]-'17_分析サンプル'!$E$18)/1000</f>
        <v>385.11599999999999</v>
      </c>
      <c r="V1510" s="57">
        <f>INT(tblJTL[[#This Row],[経過秒]]/60)</f>
        <v>6</v>
      </c>
      <c r="W1510" s="57">
        <f>IF(OR(tblJTL[[#This Row],[success]]=FALSE,tblJTL[[#This Row],[success]]="false"),1,0)</f>
        <v>0</v>
      </c>
      <c r="X1510" s="57">
        <f>IF(AND(tblJTL[[#This Row],[経過秒]]&gt;='17_分析サンプル'!$E$11,tblJTL[[#This Row],[経過秒]]&lt;'17_分析サンプル'!$E$12),1,0)</f>
        <v>1</v>
      </c>
    </row>
    <row r="1511" spans="2:24" ht="14.4" x14ac:dyDescent="0.3">
      <c r="B1511" s="57">
        <v>1790816785494</v>
      </c>
      <c r="C1511" s="58">
        <v>144</v>
      </c>
      <c r="D1511" s="59" t="s">
        <v>1677</v>
      </c>
      <c r="E1511" s="59" t="s">
        <v>3579</v>
      </c>
      <c r="F1511" s="59" t="s">
        <v>3580</v>
      </c>
      <c r="G1511" s="59" t="s">
        <v>3589</v>
      </c>
      <c r="H1511" s="59" t="s">
        <v>2281</v>
      </c>
      <c r="I1511" s="59" t="b">
        <v>1</v>
      </c>
      <c r="J1511" s="59"/>
      <c r="K1511" s="58">
        <v>434</v>
      </c>
      <c r="L1511" s="58">
        <v>1478</v>
      </c>
      <c r="M1511" s="59">
        <v>10</v>
      </c>
      <c r="N1511" s="59">
        <v>10</v>
      </c>
      <c r="O1511" s="59" t="s">
        <v>3581</v>
      </c>
      <c r="P1511" s="58">
        <v>142</v>
      </c>
      <c r="Q1511" s="59">
        <v>0</v>
      </c>
      <c r="R1511" s="59">
        <v>0</v>
      </c>
      <c r="S1511" s="60">
        <f>tblJTL[[#This Row],[timeStamp]]/86400000+DATE(1970,1,1)+TIME(9,0,0)</f>
        <v>46296.421128402777</v>
      </c>
      <c r="T1511" s="57">
        <f>tblJTL[[#This Row],[timeStamp]]+tblJTL[[#This Row],[elapsed]]</f>
        <v>1790816785638</v>
      </c>
      <c r="U1511" s="61">
        <f>(tblJTL[[#This Row],[timeStamp]]-'17_分析サンプル'!$E$18)/1000</f>
        <v>385.31400000000002</v>
      </c>
      <c r="V1511" s="57">
        <f>INT(tblJTL[[#This Row],[経過秒]]/60)</f>
        <v>6</v>
      </c>
      <c r="W1511" s="57">
        <f>IF(OR(tblJTL[[#This Row],[success]]=FALSE,tblJTL[[#This Row],[success]]="false"),1,0)</f>
        <v>0</v>
      </c>
      <c r="X1511" s="57">
        <f>IF(AND(tblJTL[[#This Row],[経過秒]]&gt;='17_分析サンプル'!$E$11,tblJTL[[#This Row],[経過秒]]&lt;'17_分析サンプル'!$E$12),1,0)</f>
        <v>1</v>
      </c>
    </row>
    <row r="1512" spans="2:24" ht="14.4" x14ac:dyDescent="0.3">
      <c r="B1512" s="57">
        <v>1790816785370</v>
      </c>
      <c r="C1512" s="58">
        <v>432</v>
      </c>
      <c r="D1512" s="59" t="s">
        <v>1677</v>
      </c>
      <c r="E1512" s="59" t="s">
        <v>3579</v>
      </c>
      <c r="F1512" s="59" t="s">
        <v>3580</v>
      </c>
      <c r="G1512" s="59" t="s">
        <v>3587</v>
      </c>
      <c r="H1512" s="59" t="s">
        <v>2281</v>
      </c>
      <c r="I1512" s="59" t="b">
        <v>1</v>
      </c>
      <c r="J1512" s="59"/>
      <c r="K1512" s="58">
        <v>417</v>
      </c>
      <c r="L1512" s="58">
        <v>1478</v>
      </c>
      <c r="M1512" s="59">
        <v>10</v>
      </c>
      <c r="N1512" s="59">
        <v>10</v>
      </c>
      <c r="O1512" s="59" t="s">
        <v>3581</v>
      </c>
      <c r="P1512" s="58">
        <v>426</v>
      </c>
      <c r="Q1512" s="59">
        <v>0</v>
      </c>
      <c r="R1512" s="59">
        <v>0</v>
      </c>
      <c r="S1512" s="60">
        <f>tblJTL[[#This Row],[timeStamp]]/86400000+DATE(1970,1,1)+TIME(9,0,0)</f>
        <v>46296.421126967594</v>
      </c>
      <c r="T1512" s="57">
        <f>tblJTL[[#This Row],[timeStamp]]+tblJTL[[#This Row],[elapsed]]</f>
        <v>1790816785802</v>
      </c>
      <c r="U1512" s="61">
        <f>(tblJTL[[#This Row],[timeStamp]]-'17_分析サンプル'!$E$18)/1000</f>
        <v>385.19</v>
      </c>
      <c r="V1512" s="57">
        <f>INT(tblJTL[[#This Row],[経過秒]]/60)</f>
        <v>6</v>
      </c>
      <c r="W1512" s="57">
        <f>IF(OR(tblJTL[[#This Row],[success]]=FALSE,tblJTL[[#This Row],[success]]="false"),1,0)</f>
        <v>0</v>
      </c>
      <c r="X1512" s="57">
        <f>IF(AND(tblJTL[[#This Row],[経過秒]]&gt;='17_分析サンプル'!$E$11,tblJTL[[#This Row],[経過秒]]&lt;'17_分析サンプル'!$E$12),1,0)</f>
        <v>1</v>
      </c>
    </row>
    <row r="1513" spans="2:24" ht="14.4" x14ac:dyDescent="0.3">
      <c r="B1513" s="57">
        <v>1790816786096</v>
      </c>
      <c r="C1513" s="58">
        <v>112</v>
      </c>
      <c r="D1513" s="59" t="s">
        <v>1658</v>
      </c>
      <c r="E1513" s="59" t="s">
        <v>1577</v>
      </c>
      <c r="F1513" s="59" t="s">
        <v>2275</v>
      </c>
      <c r="G1513" s="59" t="s">
        <v>3583</v>
      </c>
      <c r="H1513" s="59" t="s">
        <v>2281</v>
      </c>
      <c r="I1513" s="59" t="b">
        <v>1</v>
      </c>
      <c r="J1513" s="59"/>
      <c r="K1513" s="58">
        <v>1860</v>
      </c>
      <c r="L1513" s="58">
        <v>1342</v>
      </c>
      <c r="M1513" s="59">
        <v>10</v>
      </c>
      <c r="N1513" s="59">
        <v>10</v>
      </c>
      <c r="O1513" s="59" t="s">
        <v>3578</v>
      </c>
      <c r="P1513" s="58">
        <v>108</v>
      </c>
      <c r="Q1513" s="59">
        <v>0</v>
      </c>
      <c r="R1513" s="59">
        <v>0</v>
      </c>
      <c r="S1513" s="60">
        <f>tblJTL[[#This Row],[timeStamp]]/86400000+DATE(1970,1,1)+TIME(9,0,0)</f>
        <v>46296.421135370372</v>
      </c>
      <c r="T1513" s="57">
        <f>tblJTL[[#This Row],[timeStamp]]+tblJTL[[#This Row],[elapsed]]</f>
        <v>1790816786208</v>
      </c>
      <c r="U1513" s="61">
        <f>(tblJTL[[#This Row],[timeStamp]]-'17_分析サンプル'!$E$18)/1000</f>
        <v>385.916</v>
      </c>
      <c r="V1513" s="57">
        <f>INT(tblJTL[[#This Row],[経過秒]]/60)</f>
        <v>6</v>
      </c>
      <c r="W1513" s="57">
        <f>IF(OR(tblJTL[[#This Row],[success]]=FALSE,tblJTL[[#This Row],[success]]="false"),1,0)</f>
        <v>0</v>
      </c>
      <c r="X1513" s="57">
        <f>IF(AND(tblJTL[[#This Row],[経過秒]]&gt;='17_分析サンプル'!$E$11,tblJTL[[#This Row],[経過秒]]&lt;'17_分析サンプル'!$E$12),1,0)</f>
        <v>1</v>
      </c>
    </row>
    <row r="1514" spans="2:24" ht="14.4" x14ac:dyDescent="0.3">
      <c r="B1514" s="57">
        <v>1790816786201</v>
      </c>
      <c r="C1514" s="58">
        <v>136</v>
      </c>
      <c r="D1514" s="59" t="s">
        <v>1658</v>
      </c>
      <c r="E1514" s="59" t="s">
        <v>1577</v>
      </c>
      <c r="F1514" s="59" t="s">
        <v>2275</v>
      </c>
      <c r="G1514" s="59" t="s">
        <v>3586</v>
      </c>
      <c r="H1514" s="59" t="s">
        <v>2281</v>
      </c>
      <c r="I1514" s="59" t="b">
        <v>1</v>
      </c>
      <c r="J1514" s="59"/>
      <c r="K1514" s="58">
        <v>1888</v>
      </c>
      <c r="L1514" s="58">
        <v>1342</v>
      </c>
      <c r="M1514" s="59">
        <v>10</v>
      </c>
      <c r="N1514" s="59">
        <v>10</v>
      </c>
      <c r="O1514" s="59" t="s">
        <v>3578</v>
      </c>
      <c r="P1514" s="58">
        <v>133</v>
      </c>
      <c r="Q1514" s="59">
        <v>0</v>
      </c>
      <c r="R1514" s="59">
        <v>0</v>
      </c>
      <c r="S1514" s="60">
        <f>tblJTL[[#This Row],[timeStamp]]/86400000+DATE(1970,1,1)+TIME(9,0,0)</f>
        <v>46296.421136585646</v>
      </c>
      <c r="T1514" s="57">
        <f>tblJTL[[#This Row],[timeStamp]]+tblJTL[[#This Row],[elapsed]]</f>
        <v>1790816786337</v>
      </c>
      <c r="U1514" s="61">
        <f>(tblJTL[[#This Row],[timeStamp]]-'17_分析サンプル'!$E$18)/1000</f>
        <v>386.02100000000002</v>
      </c>
      <c r="V1514" s="57">
        <f>INT(tblJTL[[#This Row],[経過秒]]/60)</f>
        <v>6</v>
      </c>
      <c r="W1514" s="57">
        <f>IF(OR(tblJTL[[#This Row],[success]]=FALSE,tblJTL[[#This Row],[success]]="false"),1,0)</f>
        <v>0</v>
      </c>
      <c r="X1514" s="57">
        <f>IF(AND(tblJTL[[#This Row],[経過秒]]&gt;='17_分析サンプル'!$E$11,tblJTL[[#This Row],[経過秒]]&lt;'17_分析サンプル'!$E$12),1,0)</f>
        <v>1</v>
      </c>
    </row>
    <row r="1515" spans="2:24" ht="14.4" x14ac:dyDescent="0.3">
      <c r="B1515" s="57">
        <v>1790816786426</v>
      </c>
      <c r="C1515" s="58">
        <v>109</v>
      </c>
      <c r="D1515" s="59" t="s">
        <v>1658</v>
      </c>
      <c r="E1515" s="59" t="s">
        <v>1577</v>
      </c>
      <c r="F1515" s="59" t="s">
        <v>2275</v>
      </c>
      <c r="G1515" s="59" t="s">
        <v>3584</v>
      </c>
      <c r="H1515" s="59" t="s">
        <v>2281</v>
      </c>
      <c r="I1515" s="59" t="b">
        <v>1</v>
      </c>
      <c r="J1515" s="59"/>
      <c r="K1515" s="58">
        <v>1865</v>
      </c>
      <c r="L1515" s="58">
        <v>1342</v>
      </c>
      <c r="M1515" s="59">
        <v>10</v>
      </c>
      <c r="N1515" s="59">
        <v>10</v>
      </c>
      <c r="O1515" s="59" t="s">
        <v>3578</v>
      </c>
      <c r="P1515" s="58">
        <v>104</v>
      </c>
      <c r="Q1515" s="59">
        <v>0</v>
      </c>
      <c r="R1515" s="59">
        <v>0</v>
      </c>
      <c r="S1515" s="60">
        <f>tblJTL[[#This Row],[timeStamp]]/86400000+DATE(1970,1,1)+TIME(9,0,0)</f>
        <v>46296.421139189813</v>
      </c>
      <c r="T1515" s="57">
        <f>tblJTL[[#This Row],[timeStamp]]+tblJTL[[#This Row],[elapsed]]</f>
        <v>1790816786535</v>
      </c>
      <c r="U1515" s="61">
        <f>(tblJTL[[#This Row],[timeStamp]]-'17_分析サンプル'!$E$18)/1000</f>
        <v>386.24599999999998</v>
      </c>
      <c r="V1515" s="57">
        <f>INT(tblJTL[[#This Row],[経過秒]]/60)</f>
        <v>6</v>
      </c>
      <c r="W1515" s="57">
        <f>IF(OR(tblJTL[[#This Row],[success]]=FALSE,tblJTL[[#This Row],[success]]="false"),1,0)</f>
        <v>0</v>
      </c>
      <c r="X1515" s="57">
        <f>IF(AND(tblJTL[[#This Row],[経過秒]]&gt;='17_分析サンプル'!$E$11,tblJTL[[#This Row],[経過秒]]&lt;'17_分析サンプル'!$E$12),1,0)</f>
        <v>1</v>
      </c>
    </row>
    <row r="1516" spans="2:24" ht="14.4" x14ac:dyDescent="0.3">
      <c r="B1516" s="57">
        <v>1790816786189</v>
      </c>
      <c r="C1516" s="58">
        <v>393</v>
      </c>
      <c r="D1516" s="59" t="s">
        <v>1677</v>
      </c>
      <c r="E1516" s="59" t="s">
        <v>3579</v>
      </c>
      <c r="F1516" s="59" t="s">
        <v>3580</v>
      </c>
      <c r="G1516" s="59" t="s">
        <v>2278</v>
      </c>
      <c r="H1516" s="59" t="s">
        <v>2281</v>
      </c>
      <c r="I1516" s="59" t="b">
        <v>1</v>
      </c>
      <c r="J1516" s="59"/>
      <c r="K1516" s="58">
        <v>436</v>
      </c>
      <c r="L1516" s="58">
        <v>1478</v>
      </c>
      <c r="M1516" s="59">
        <v>10</v>
      </c>
      <c r="N1516" s="59">
        <v>10</v>
      </c>
      <c r="O1516" s="59" t="s">
        <v>3581</v>
      </c>
      <c r="P1516" s="58">
        <v>391</v>
      </c>
      <c r="Q1516" s="59">
        <v>0</v>
      </c>
      <c r="R1516" s="59">
        <v>63</v>
      </c>
      <c r="S1516" s="60">
        <f>tblJTL[[#This Row],[timeStamp]]/86400000+DATE(1970,1,1)+TIME(9,0,0)</f>
        <v>46296.421136446763</v>
      </c>
      <c r="T1516" s="57">
        <f>tblJTL[[#This Row],[timeStamp]]+tblJTL[[#This Row],[elapsed]]</f>
        <v>1790816786582</v>
      </c>
      <c r="U1516" s="61">
        <f>(tblJTL[[#This Row],[timeStamp]]-'17_分析サンプル'!$E$18)/1000</f>
        <v>386.00900000000001</v>
      </c>
      <c r="V1516" s="57">
        <f>INT(tblJTL[[#This Row],[経過秒]]/60)</f>
        <v>6</v>
      </c>
      <c r="W1516" s="57">
        <f>IF(OR(tblJTL[[#This Row],[success]]=FALSE,tblJTL[[#This Row],[success]]="false"),1,0)</f>
        <v>0</v>
      </c>
      <c r="X1516" s="57">
        <f>IF(AND(tblJTL[[#This Row],[経過秒]]&gt;='17_分析サンプル'!$E$11,tblJTL[[#This Row],[経過秒]]&lt;'17_分析サンプル'!$E$12),1,0)</f>
        <v>1</v>
      </c>
    </row>
    <row r="1517" spans="2:24" ht="14.4" x14ac:dyDescent="0.3">
      <c r="B1517" s="57">
        <v>1790816786582</v>
      </c>
      <c r="C1517" s="58">
        <v>105</v>
      </c>
      <c r="D1517" s="59" t="s">
        <v>1658</v>
      </c>
      <c r="E1517" s="59" t="s">
        <v>1577</v>
      </c>
      <c r="F1517" s="59" t="s">
        <v>2275</v>
      </c>
      <c r="G1517" s="59" t="s">
        <v>3588</v>
      </c>
      <c r="H1517" s="59" t="s">
        <v>2281</v>
      </c>
      <c r="I1517" s="59" t="b">
        <v>1</v>
      </c>
      <c r="J1517" s="59"/>
      <c r="K1517" s="58">
        <v>1862</v>
      </c>
      <c r="L1517" s="58">
        <v>1342</v>
      </c>
      <c r="M1517" s="59">
        <v>10</v>
      </c>
      <c r="N1517" s="59">
        <v>10</v>
      </c>
      <c r="O1517" s="59" t="s">
        <v>3578</v>
      </c>
      <c r="P1517" s="58">
        <v>98</v>
      </c>
      <c r="Q1517" s="59">
        <v>0</v>
      </c>
      <c r="R1517" s="59">
        <v>0</v>
      </c>
      <c r="S1517" s="60">
        <f>tblJTL[[#This Row],[timeStamp]]/86400000+DATE(1970,1,1)+TIME(9,0,0)</f>
        <v>46296.421140995371</v>
      </c>
      <c r="T1517" s="57">
        <f>tblJTL[[#This Row],[timeStamp]]+tblJTL[[#This Row],[elapsed]]</f>
        <v>1790816786687</v>
      </c>
      <c r="U1517" s="61">
        <f>(tblJTL[[#This Row],[timeStamp]]-'17_分析サンプル'!$E$18)/1000</f>
        <v>386.40199999999999</v>
      </c>
      <c r="V1517" s="57">
        <f>INT(tblJTL[[#This Row],[経過秒]]/60)</f>
        <v>6</v>
      </c>
      <c r="W1517" s="57">
        <f>IF(OR(tblJTL[[#This Row],[success]]=FALSE,tblJTL[[#This Row],[success]]="false"),1,0)</f>
        <v>0</v>
      </c>
      <c r="X1517" s="57">
        <f>IF(AND(tblJTL[[#This Row],[経過秒]]&gt;='17_分析サンプル'!$E$11,tblJTL[[#This Row],[経過秒]]&lt;'17_分析サンプル'!$E$12),1,0)</f>
        <v>1</v>
      </c>
    </row>
    <row r="1518" spans="2:24" ht="14.4" x14ac:dyDescent="0.3">
      <c r="B1518" s="57">
        <v>1790816786703</v>
      </c>
      <c r="C1518" s="58">
        <v>112</v>
      </c>
      <c r="D1518" s="59" t="s">
        <v>1658</v>
      </c>
      <c r="E1518" s="59" t="s">
        <v>1577</v>
      </c>
      <c r="F1518" s="59" t="s">
        <v>2275</v>
      </c>
      <c r="G1518" s="59" t="s">
        <v>3585</v>
      </c>
      <c r="H1518" s="59" t="s">
        <v>2281</v>
      </c>
      <c r="I1518" s="59" t="b">
        <v>1</v>
      </c>
      <c r="J1518" s="59"/>
      <c r="K1518" s="58">
        <v>1900</v>
      </c>
      <c r="L1518" s="58">
        <v>1342</v>
      </c>
      <c r="M1518" s="59">
        <v>10</v>
      </c>
      <c r="N1518" s="59">
        <v>10</v>
      </c>
      <c r="O1518" s="59" t="s">
        <v>3578</v>
      </c>
      <c r="P1518" s="58">
        <v>109</v>
      </c>
      <c r="Q1518" s="59">
        <v>0</v>
      </c>
      <c r="R1518" s="59">
        <v>0</v>
      </c>
      <c r="S1518" s="60">
        <f>tblJTL[[#This Row],[timeStamp]]/86400000+DATE(1970,1,1)+TIME(9,0,0)</f>
        <v>46296.421142395833</v>
      </c>
      <c r="T1518" s="57">
        <f>tblJTL[[#This Row],[timeStamp]]+tblJTL[[#This Row],[elapsed]]</f>
        <v>1790816786815</v>
      </c>
      <c r="U1518" s="61">
        <f>(tblJTL[[#This Row],[timeStamp]]-'17_分析サンプル'!$E$18)/1000</f>
        <v>386.52300000000002</v>
      </c>
      <c r="V1518" s="57">
        <f>INT(tblJTL[[#This Row],[経過秒]]/60)</f>
        <v>6</v>
      </c>
      <c r="W1518" s="57">
        <f>IF(OR(tblJTL[[#This Row],[success]]=FALSE,tblJTL[[#This Row],[success]]="false"),1,0)</f>
        <v>0</v>
      </c>
      <c r="X1518" s="57">
        <f>IF(AND(tblJTL[[#This Row],[経過秒]]&gt;='17_分析サンプル'!$E$11,tblJTL[[#This Row],[経過秒]]&lt;'17_分析サンプル'!$E$12),1,0)</f>
        <v>1</v>
      </c>
    </row>
    <row r="1519" spans="2:24" ht="14.4" x14ac:dyDescent="0.3">
      <c r="B1519" s="57">
        <v>1790816786813</v>
      </c>
      <c r="C1519" s="58">
        <v>140</v>
      </c>
      <c r="D1519" s="59" t="s">
        <v>1658</v>
      </c>
      <c r="E1519" s="59" t="s">
        <v>1577</v>
      </c>
      <c r="F1519" s="59" t="s">
        <v>2275</v>
      </c>
      <c r="G1519" s="59" t="s">
        <v>3577</v>
      </c>
      <c r="H1519" s="59" t="s">
        <v>2281</v>
      </c>
      <c r="I1519" s="59" t="b">
        <v>1</v>
      </c>
      <c r="J1519" s="59"/>
      <c r="K1519" s="58">
        <v>1832</v>
      </c>
      <c r="L1519" s="58">
        <v>1342</v>
      </c>
      <c r="M1519" s="59">
        <v>10</v>
      </c>
      <c r="N1519" s="59">
        <v>10</v>
      </c>
      <c r="O1519" s="59" t="s">
        <v>3578</v>
      </c>
      <c r="P1519" s="58">
        <v>136</v>
      </c>
      <c r="Q1519" s="59">
        <v>0</v>
      </c>
      <c r="R1519" s="59">
        <v>0</v>
      </c>
      <c r="S1519" s="60">
        <f>tblJTL[[#This Row],[timeStamp]]/86400000+DATE(1970,1,1)+TIME(9,0,0)</f>
        <v>46296.42114366898</v>
      </c>
      <c r="T1519" s="57">
        <f>tblJTL[[#This Row],[timeStamp]]+tblJTL[[#This Row],[elapsed]]</f>
        <v>1790816786953</v>
      </c>
      <c r="U1519" s="61">
        <f>(tblJTL[[#This Row],[timeStamp]]-'17_分析サンプル'!$E$18)/1000</f>
        <v>386.63299999999998</v>
      </c>
      <c r="V1519" s="57">
        <f>INT(tblJTL[[#This Row],[経過秒]]/60)</f>
        <v>6</v>
      </c>
      <c r="W1519" s="57">
        <f>IF(OR(tblJTL[[#This Row],[success]]=FALSE,tblJTL[[#This Row],[success]]="false"),1,0)</f>
        <v>0</v>
      </c>
      <c r="X1519" s="57">
        <f>IF(AND(tblJTL[[#This Row],[経過秒]]&gt;='17_分析サンプル'!$E$11,tblJTL[[#This Row],[経過秒]]&lt;'17_分析サンプル'!$E$12),1,0)</f>
        <v>1</v>
      </c>
    </row>
    <row r="1520" spans="2:24" ht="14.4" x14ac:dyDescent="0.3">
      <c r="B1520" s="57">
        <v>1790816787441</v>
      </c>
      <c r="C1520" s="58">
        <v>102</v>
      </c>
      <c r="D1520" s="59" t="s">
        <v>1658</v>
      </c>
      <c r="E1520" s="59" t="s">
        <v>1577</v>
      </c>
      <c r="F1520" s="59" t="s">
        <v>2275</v>
      </c>
      <c r="G1520" s="59" t="s">
        <v>3587</v>
      </c>
      <c r="H1520" s="59" t="s">
        <v>2281</v>
      </c>
      <c r="I1520" s="59" t="b">
        <v>1</v>
      </c>
      <c r="J1520" s="59"/>
      <c r="K1520" s="58">
        <v>1833</v>
      </c>
      <c r="L1520" s="58">
        <v>1342</v>
      </c>
      <c r="M1520" s="59">
        <v>10</v>
      </c>
      <c r="N1520" s="59">
        <v>10</v>
      </c>
      <c r="O1520" s="59" t="s">
        <v>3578</v>
      </c>
      <c r="P1520" s="58">
        <v>95</v>
      </c>
      <c r="Q1520" s="59">
        <v>0</v>
      </c>
      <c r="R1520" s="59">
        <v>0</v>
      </c>
      <c r="S1520" s="60">
        <f>tblJTL[[#This Row],[timeStamp]]/86400000+DATE(1970,1,1)+TIME(9,0,0)</f>
        <v>46296.421150937502</v>
      </c>
      <c r="T1520" s="57">
        <f>tblJTL[[#This Row],[timeStamp]]+tblJTL[[#This Row],[elapsed]]</f>
        <v>1790816787543</v>
      </c>
      <c r="U1520" s="61">
        <f>(tblJTL[[#This Row],[timeStamp]]-'17_分析サンプル'!$E$18)/1000</f>
        <v>387.26100000000002</v>
      </c>
      <c r="V1520" s="57">
        <f>INT(tblJTL[[#This Row],[経過秒]]/60)</f>
        <v>6</v>
      </c>
      <c r="W1520" s="57">
        <f>IF(OR(tblJTL[[#This Row],[success]]=FALSE,tblJTL[[#This Row],[success]]="false"),1,0)</f>
        <v>0</v>
      </c>
      <c r="X1520" s="57">
        <f>IF(AND(tblJTL[[#This Row],[経過秒]]&gt;='17_分析サンプル'!$E$11,tblJTL[[#This Row],[経過秒]]&lt;'17_分析サンプル'!$E$12),1,0)</f>
        <v>1</v>
      </c>
    </row>
    <row r="1521" spans="2:24" ht="14.4" x14ac:dyDescent="0.3">
      <c r="B1521" s="57">
        <v>1790816787460</v>
      </c>
      <c r="C1521" s="58">
        <v>210</v>
      </c>
      <c r="D1521" s="59" t="s">
        <v>1677</v>
      </c>
      <c r="E1521" s="59" t="s">
        <v>3579</v>
      </c>
      <c r="F1521" s="59" t="s">
        <v>3580</v>
      </c>
      <c r="G1521" s="59" t="s">
        <v>3582</v>
      </c>
      <c r="H1521" s="59" t="s">
        <v>2281</v>
      </c>
      <c r="I1521" s="59" t="b">
        <v>1</v>
      </c>
      <c r="J1521" s="59"/>
      <c r="K1521" s="58">
        <v>430</v>
      </c>
      <c r="L1521" s="58">
        <v>1478</v>
      </c>
      <c r="M1521" s="59">
        <v>10</v>
      </c>
      <c r="N1521" s="59">
        <v>10</v>
      </c>
      <c r="O1521" s="59" t="s">
        <v>3581</v>
      </c>
      <c r="P1521" s="58">
        <v>202</v>
      </c>
      <c r="Q1521" s="59">
        <v>0</v>
      </c>
      <c r="R1521" s="59">
        <v>0</v>
      </c>
      <c r="S1521" s="60">
        <f>tblJTL[[#This Row],[timeStamp]]/86400000+DATE(1970,1,1)+TIME(9,0,0)</f>
        <v>46296.42115115741</v>
      </c>
      <c r="T1521" s="57">
        <f>tblJTL[[#This Row],[timeStamp]]+tblJTL[[#This Row],[elapsed]]</f>
        <v>1790816787670</v>
      </c>
      <c r="U1521" s="61">
        <f>(tblJTL[[#This Row],[timeStamp]]-'17_分析サンプル'!$E$18)/1000</f>
        <v>387.28</v>
      </c>
      <c r="V1521" s="57">
        <f>INT(tblJTL[[#This Row],[経過秒]]/60)</f>
        <v>6</v>
      </c>
      <c r="W1521" s="57">
        <f>IF(OR(tblJTL[[#This Row],[success]]=FALSE,tblJTL[[#This Row],[success]]="false"),1,0)</f>
        <v>0</v>
      </c>
      <c r="X1521" s="57">
        <f>IF(AND(tblJTL[[#This Row],[経過秒]]&gt;='17_分析サンプル'!$E$11,tblJTL[[#This Row],[経過秒]]&lt;'17_分析サンプル'!$E$12),1,0)</f>
        <v>1</v>
      </c>
    </row>
    <row r="1522" spans="2:24" ht="14.4" x14ac:dyDescent="0.3">
      <c r="B1522" s="57">
        <v>1790816787615</v>
      </c>
      <c r="C1522" s="58">
        <v>105</v>
      </c>
      <c r="D1522" s="59" t="s">
        <v>1658</v>
      </c>
      <c r="E1522" s="59" t="s">
        <v>1577</v>
      </c>
      <c r="F1522" s="59" t="s">
        <v>2275</v>
      </c>
      <c r="G1522" s="59" t="s">
        <v>3589</v>
      </c>
      <c r="H1522" s="59" t="s">
        <v>2281</v>
      </c>
      <c r="I1522" s="59" t="b">
        <v>1</v>
      </c>
      <c r="J1522" s="59"/>
      <c r="K1522" s="58">
        <v>1840</v>
      </c>
      <c r="L1522" s="58">
        <v>1342</v>
      </c>
      <c r="M1522" s="59">
        <v>10</v>
      </c>
      <c r="N1522" s="59">
        <v>10</v>
      </c>
      <c r="O1522" s="59" t="s">
        <v>3578</v>
      </c>
      <c r="P1522" s="58">
        <v>101</v>
      </c>
      <c r="Q1522" s="59">
        <v>0</v>
      </c>
      <c r="R1522" s="59">
        <v>0</v>
      </c>
      <c r="S1522" s="60">
        <f>tblJTL[[#This Row],[timeStamp]]/86400000+DATE(1970,1,1)+TIME(9,0,0)</f>
        <v>46296.421152951385</v>
      </c>
      <c r="T1522" s="57">
        <f>tblJTL[[#This Row],[timeStamp]]+tblJTL[[#This Row],[elapsed]]</f>
        <v>1790816787720</v>
      </c>
      <c r="U1522" s="61">
        <f>(tblJTL[[#This Row],[timeStamp]]-'17_分析サンプル'!$E$18)/1000</f>
        <v>387.435</v>
      </c>
      <c r="V1522" s="57">
        <f>INT(tblJTL[[#This Row],[経過秒]]/60)</f>
        <v>6</v>
      </c>
      <c r="W1522" s="57">
        <f>IF(OR(tblJTL[[#This Row],[success]]=FALSE,tblJTL[[#This Row],[success]]="false"),1,0)</f>
        <v>0</v>
      </c>
      <c r="X1522" s="57">
        <f>IF(AND(tblJTL[[#This Row],[経過秒]]&gt;='17_分析サンプル'!$E$11,tblJTL[[#This Row],[経過秒]]&lt;'17_分析サンプル'!$E$12),1,0)</f>
        <v>1</v>
      </c>
    </row>
    <row r="1523" spans="2:24" ht="14.4" x14ac:dyDescent="0.3">
      <c r="B1523" s="57">
        <v>1790816788078</v>
      </c>
      <c r="C1523" s="58">
        <v>290</v>
      </c>
      <c r="D1523" s="59" t="s">
        <v>1677</v>
      </c>
      <c r="E1523" s="59" t="s">
        <v>3579</v>
      </c>
      <c r="F1523" s="59" t="s">
        <v>3580</v>
      </c>
      <c r="G1523" s="59" t="s">
        <v>3583</v>
      </c>
      <c r="H1523" s="59" t="s">
        <v>2281</v>
      </c>
      <c r="I1523" s="59" t="b">
        <v>1</v>
      </c>
      <c r="J1523" s="59"/>
      <c r="K1523" s="58">
        <v>439</v>
      </c>
      <c r="L1523" s="58">
        <v>1478</v>
      </c>
      <c r="M1523" s="59">
        <v>10</v>
      </c>
      <c r="N1523" s="59">
        <v>10</v>
      </c>
      <c r="O1523" s="59" t="s">
        <v>3581</v>
      </c>
      <c r="P1523" s="58">
        <v>287</v>
      </c>
      <c r="Q1523" s="59">
        <v>0</v>
      </c>
      <c r="R1523" s="59">
        <v>0</v>
      </c>
      <c r="S1523" s="60">
        <f>tblJTL[[#This Row],[timeStamp]]/86400000+DATE(1970,1,1)+TIME(9,0,0)</f>
        <v>46296.421158310186</v>
      </c>
      <c r="T1523" s="57">
        <f>tblJTL[[#This Row],[timeStamp]]+tblJTL[[#This Row],[elapsed]]</f>
        <v>1790816788368</v>
      </c>
      <c r="U1523" s="61">
        <f>(tblJTL[[#This Row],[timeStamp]]-'17_分析サンプル'!$E$18)/1000</f>
        <v>387.89800000000002</v>
      </c>
      <c r="V1523" s="57">
        <f>INT(tblJTL[[#This Row],[経過秒]]/60)</f>
        <v>6</v>
      </c>
      <c r="W1523" s="57">
        <f>IF(OR(tblJTL[[#This Row],[success]]=FALSE,tblJTL[[#This Row],[success]]="false"),1,0)</f>
        <v>0</v>
      </c>
      <c r="X1523" s="57">
        <f>IF(AND(tblJTL[[#This Row],[経過秒]]&gt;='17_分析サンプル'!$E$11,tblJTL[[#This Row],[経過秒]]&lt;'17_分析サンプル'!$E$12),1,0)</f>
        <v>1</v>
      </c>
    </row>
    <row r="1524" spans="2:24" ht="14.4" x14ac:dyDescent="0.3">
      <c r="B1524" s="57">
        <v>1790816788020</v>
      </c>
      <c r="C1524" s="58">
        <v>363</v>
      </c>
      <c r="D1524" s="59" t="s">
        <v>1677</v>
      </c>
      <c r="E1524" s="59" t="s">
        <v>3579</v>
      </c>
      <c r="F1524" s="59" t="s">
        <v>3580</v>
      </c>
      <c r="G1524" s="59" t="s">
        <v>3585</v>
      </c>
      <c r="H1524" s="59" t="s">
        <v>2281</v>
      </c>
      <c r="I1524" s="59" t="b">
        <v>1</v>
      </c>
      <c r="J1524" s="59"/>
      <c r="K1524" s="58">
        <v>416</v>
      </c>
      <c r="L1524" s="58">
        <v>1478</v>
      </c>
      <c r="M1524" s="59">
        <v>10</v>
      </c>
      <c r="N1524" s="59">
        <v>10</v>
      </c>
      <c r="O1524" s="59" t="s">
        <v>3581</v>
      </c>
      <c r="P1524" s="58">
        <v>359</v>
      </c>
      <c r="Q1524" s="59">
        <v>0</v>
      </c>
      <c r="R1524" s="59">
        <v>0</v>
      </c>
      <c r="S1524" s="60">
        <f>tblJTL[[#This Row],[timeStamp]]/86400000+DATE(1970,1,1)+TIME(9,0,0)</f>
        <v>46296.421157638892</v>
      </c>
      <c r="T1524" s="57">
        <f>tblJTL[[#This Row],[timeStamp]]+tblJTL[[#This Row],[elapsed]]</f>
        <v>1790816788383</v>
      </c>
      <c r="U1524" s="61">
        <f>(tblJTL[[#This Row],[timeStamp]]-'17_分析サンプル'!$E$18)/1000</f>
        <v>387.84</v>
      </c>
      <c r="V1524" s="57">
        <f>INT(tblJTL[[#This Row],[経過秒]]/60)</f>
        <v>6</v>
      </c>
      <c r="W1524" s="57">
        <f>IF(OR(tblJTL[[#This Row],[success]]=FALSE,tblJTL[[#This Row],[success]]="false"),1,0)</f>
        <v>0</v>
      </c>
      <c r="X1524" s="57">
        <f>IF(AND(tblJTL[[#This Row],[経過秒]]&gt;='17_分析サンプル'!$E$11,tblJTL[[#This Row],[経過秒]]&lt;'17_分析サンプル'!$E$12),1,0)</f>
        <v>1</v>
      </c>
    </row>
    <row r="1525" spans="2:24" ht="14.4" x14ac:dyDescent="0.3">
      <c r="B1525" s="57">
        <v>1790816788233</v>
      </c>
      <c r="C1525" s="58">
        <v>165</v>
      </c>
      <c r="D1525" s="59" t="s">
        <v>1677</v>
      </c>
      <c r="E1525" s="59" t="s">
        <v>3579</v>
      </c>
      <c r="F1525" s="59" t="s">
        <v>3580</v>
      </c>
      <c r="G1525" s="59" t="s">
        <v>3586</v>
      </c>
      <c r="H1525" s="59" t="s">
        <v>2281</v>
      </c>
      <c r="I1525" s="59" t="b">
        <v>1</v>
      </c>
      <c r="J1525" s="59"/>
      <c r="K1525" s="58">
        <v>429</v>
      </c>
      <c r="L1525" s="58">
        <v>1478</v>
      </c>
      <c r="M1525" s="59">
        <v>10</v>
      </c>
      <c r="N1525" s="59">
        <v>10</v>
      </c>
      <c r="O1525" s="59" t="s">
        <v>3581</v>
      </c>
      <c r="P1525" s="58">
        <v>162</v>
      </c>
      <c r="Q1525" s="59">
        <v>0</v>
      </c>
      <c r="R1525" s="59">
        <v>0</v>
      </c>
      <c r="S1525" s="60">
        <f>tblJTL[[#This Row],[timeStamp]]/86400000+DATE(1970,1,1)+TIME(9,0,0)</f>
        <v>46296.421160104168</v>
      </c>
      <c r="T1525" s="57">
        <f>tblJTL[[#This Row],[timeStamp]]+tblJTL[[#This Row],[elapsed]]</f>
        <v>1790816788398</v>
      </c>
      <c r="U1525" s="61">
        <f>(tblJTL[[#This Row],[timeStamp]]-'17_分析サンプル'!$E$18)/1000</f>
        <v>388.053</v>
      </c>
      <c r="V1525" s="57">
        <f>INT(tblJTL[[#This Row],[経過秒]]/60)</f>
        <v>6</v>
      </c>
      <c r="W1525" s="57">
        <f>IF(OR(tblJTL[[#This Row],[success]]=FALSE,tblJTL[[#This Row],[success]]="false"),1,0)</f>
        <v>0</v>
      </c>
      <c r="X1525" s="57">
        <f>IF(AND(tblJTL[[#This Row],[経過秒]]&gt;='17_分析サンプル'!$E$11,tblJTL[[#This Row],[経過秒]]&lt;'17_分析サンプル'!$E$12),1,0)</f>
        <v>1</v>
      </c>
    </row>
    <row r="1526" spans="2:24" ht="14.4" x14ac:dyDescent="0.3">
      <c r="B1526" s="57">
        <v>1790816788451</v>
      </c>
      <c r="C1526" s="58">
        <v>225</v>
      </c>
      <c r="D1526" s="59" t="s">
        <v>1677</v>
      </c>
      <c r="E1526" s="59" t="s">
        <v>3579</v>
      </c>
      <c r="F1526" s="59" t="s">
        <v>3580</v>
      </c>
      <c r="G1526" s="59" t="s">
        <v>3588</v>
      </c>
      <c r="H1526" s="59" t="s">
        <v>2281</v>
      </c>
      <c r="I1526" s="59" t="b">
        <v>1</v>
      </c>
      <c r="J1526" s="59"/>
      <c r="K1526" s="58">
        <v>439</v>
      </c>
      <c r="L1526" s="58">
        <v>1478</v>
      </c>
      <c r="M1526" s="59">
        <v>10</v>
      </c>
      <c r="N1526" s="59">
        <v>10</v>
      </c>
      <c r="O1526" s="59" t="s">
        <v>3581</v>
      </c>
      <c r="P1526" s="58">
        <v>217</v>
      </c>
      <c r="Q1526" s="59">
        <v>0</v>
      </c>
      <c r="R1526" s="59">
        <v>0</v>
      </c>
      <c r="S1526" s="60">
        <f>tblJTL[[#This Row],[timeStamp]]/86400000+DATE(1970,1,1)+TIME(9,0,0)</f>
        <v>46296.421162627317</v>
      </c>
      <c r="T1526" s="57">
        <f>tblJTL[[#This Row],[timeStamp]]+tblJTL[[#This Row],[elapsed]]</f>
        <v>1790816788676</v>
      </c>
      <c r="U1526" s="61">
        <f>(tblJTL[[#This Row],[timeStamp]]-'17_分析サンプル'!$E$18)/1000</f>
        <v>388.27100000000002</v>
      </c>
      <c r="V1526" s="57">
        <f>INT(tblJTL[[#This Row],[経過秒]]/60)</f>
        <v>6</v>
      </c>
      <c r="W1526" s="57">
        <f>IF(OR(tblJTL[[#This Row],[success]]=FALSE,tblJTL[[#This Row],[success]]="false"),1,0)</f>
        <v>0</v>
      </c>
      <c r="X1526" s="57">
        <f>IF(AND(tblJTL[[#This Row],[経過秒]]&gt;='17_分析サンプル'!$E$11,tblJTL[[#This Row],[経過秒]]&lt;'17_分析サンプル'!$E$12),1,0)</f>
        <v>1</v>
      </c>
    </row>
    <row r="1527" spans="2:24" ht="14.4" x14ac:dyDescent="0.3">
      <c r="B1527" s="57">
        <v>1790816788597</v>
      </c>
      <c r="C1527" s="58">
        <v>223</v>
      </c>
      <c r="D1527" s="59" t="s">
        <v>1677</v>
      </c>
      <c r="E1527" s="59" t="s">
        <v>3579</v>
      </c>
      <c r="F1527" s="59" t="s">
        <v>3580</v>
      </c>
      <c r="G1527" s="59" t="s">
        <v>3584</v>
      </c>
      <c r="H1527" s="59" t="s">
        <v>2281</v>
      </c>
      <c r="I1527" s="59" t="b">
        <v>1</v>
      </c>
      <c r="J1527" s="59"/>
      <c r="K1527" s="58">
        <v>437</v>
      </c>
      <c r="L1527" s="58">
        <v>1478</v>
      </c>
      <c r="M1527" s="59">
        <v>10</v>
      </c>
      <c r="N1527" s="59">
        <v>10</v>
      </c>
      <c r="O1527" s="59" t="s">
        <v>3581</v>
      </c>
      <c r="P1527" s="58">
        <v>216</v>
      </c>
      <c r="Q1527" s="59">
        <v>0</v>
      </c>
      <c r="R1527" s="59">
        <v>0</v>
      </c>
      <c r="S1527" s="60">
        <f>tblJTL[[#This Row],[timeStamp]]/86400000+DATE(1970,1,1)+TIME(9,0,0)</f>
        <v>46296.421164317129</v>
      </c>
      <c r="T1527" s="57">
        <f>tblJTL[[#This Row],[timeStamp]]+tblJTL[[#This Row],[elapsed]]</f>
        <v>1790816788820</v>
      </c>
      <c r="U1527" s="61">
        <f>(tblJTL[[#This Row],[timeStamp]]-'17_分析サンプル'!$E$18)/1000</f>
        <v>388.41699999999997</v>
      </c>
      <c r="V1527" s="57">
        <f>INT(tblJTL[[#This Row],[経過秒]]/60)</f>
        <v>6</v>
      </c>
      <c r="W1527" s="57">
        <f>IF(OR(tblJTL[[#This Row],[success]]=FALSE,tblJTL[[#This Row],[success]]="false"),1,0)</f>
        <v>0</v>
      </c>
      <c r="X1527" s="57">
        <f>IF(AND(tblJTL[[#This Row],[経過秒]]&gt;='17_分析サンプル'!$E$11,tblJTL[[#This Row],[経過秒]]&lt;'17_分析サンプル'!$E$12),1,0)</f>
        <v>1</v>
      </c>
    </row>
    <row r="1528" spans="2:24" ht="14.4" x14ac:dyDescent="0.3">
      <c r="B1528" s="57">
        <v>1790816788942</v>
      </c>
      <c r="C1528" s="58">
        <v>110</v>
      </c>
      <c r="D1528" s="59" t="s">
        <v>1658</v>
      </c>
      <c r="E1528" s="59" t="s">
        <v>1577</v>
      </c>
      <c r="F1528" s="59" t="s">
        <v>2275</v>
      </c>
      <c r="G1528" s="59" t="s">
        <v>2278</v>
      </c>
      <c r="H1528" s="59" t="s">
        <v>2281</v>
      </c>
      <c r="I1528" s="59" t="b">
        <v>1</v>
      </c>
      <c r="J1528" s="59"/>
      <c r="K1528" s="58">
        <v>1858</v>
      </c>
      <c r="L1528" s="58">
        <v>1342</v>
      </c>
      <c r="M1528" s="59">
        <v>10</v>
      </c>
      <c r="N1528" s="59">
        <v>10</v>
      </c>
      <c r="O1528" s="59" t="s">
        <v>3578</v>
      </c>
      <c r="P1528" s="58">
        <v>103</v>
      </c>
      <c r="Q1528" s="59">
        <v>0</v>
      </c>
      <c r="R1528" s="59">
        <v>0</v>
      </c>
      <c r="S1528" s="60">
        <f>tblJTL[[#This Row],[timeStamp]]/86400000+DATE(1970,1,1)+TIME(9,0,0)</f>
        <v>46296.421168310189</v>
      </c>
      <c r="T1528" s="57">
        <f>tblJTL[[#This Row],[timeStamp]]+tblJTL[[#This Row],[elapsed]]</f>
        <v>1790816789052</v>
      </c>
      <c r="U1528" s="61">
        <f>(tblJTL[[#This Row],[timeStamp]]-'17_分析サンプル'!$E$18)/1000</f>
        <v>388.762</v>
      </c>
      <c r="V1528" s="57">
        <f>INT(tblJTL[[#This Row],[経過秒]]/60)</f>
        <v>6</v>
      </c>
      <c r="W1528" s="57">
        <f>IF(OR(tblJTL[[#This Row],[success]]=FALSE,tblJTL[[#This Row],[success]]="false"),1,0)</f>
        <v>0</v>
      </c>
      <c r="X1528" s="57">
        <f>IF(AND(tblJTL[[#This Row],[経過秒]]&gt;='17_分析サンプル'!$E$11,tblJTL[[#This Row],[経過秒]]&lt;'17_分析サンプル'!$E$12),1,0)</f>
        <v>1</v>
      </c>
    </row>
    <row r="1529" spans="2:24" ht="14.4" x14ac:dyDescent="0.3">
      <c r="B1529" s="57">
        <v>1790816788913</v>
      </c>
      <c r="C1529" s="58">
        <v>150</v>
      </c>
      <c r="D1529" s="59" t="s">
        <v>1677</v>
      </c>
      <c r="E1529" s="59" t="s">
        <v>3579</v>
      </c>
      <c r="F1529" s="59" t="s">
        <v>3580</v>
      </c>
      <c r="G1529" s="59" t="s">
        <v>3577</v>
      </c>
      <c r="H1529" s="59" t="s">
        <v>2281</v>
      </c>
      <c r="I1529" s="59" t="b">
        <v>1</v>
      </c>
      <c r="J1529" s="59"/>
      <c r="K1529" s="58">
        <v>433</v>
      </c>
      <c r="L1529" s="58">
        <v>1478</v>
      </c>
      <c r="M1529" s="59">
        <v>10</v>
      </c>
      <c r="N1529" s="59">
        <v>10</v>
      </c>
      <c r="O1529" s="59" t="s">
        <v>3581</v>
      </c>
      <c r="P1529" s="58">
        <v>143</v>
      </c>
      <c r="Q1529" s="59">
        <v>0</v>
      </c>
      <c r="R1529" s="59">
        <v>0</v>
      </c>
      <c r="S1529" s="60">
        <f>tblJTL[[#This Row],[timeStamp]]/86400000+DATE(1970,1,1)+TIME(9,0,0)</f>
        <v>46296.421167974535</v>
      </c>
      <c r="T1529" s="57">
        <f>tblJTL[[#This Row],[timeStamp]]+tblJTL[[#This Row],[elapsed]]</f>
        <v>1790816789063</v>
      </c>
      <c r="U1529" s="61">
        <f>(tblJTL[[#This Row],[timeStamp]]-'17_分析サンプル'!$E$18)/1000</f>
        <v>388.733</v>
      </c>
      <c r="V1529" s="57">
        <f>INT(tblJTL[[#This Row],[経過秒]]/60)</f>
        <v>6</v>
      </c>
      <c r="W1529" s="57">
        <f>IF(OR(tblJTL[[#This Row],[success]]=FALSE,tblJTL[[#This Row],[success]]="false"),1,0)</f>
        <v>0</v>
      </c>
      <c r="X1529" s="57">
        <f>IF(AND(tblJTL[[#This Row],[経過秒]]&gt;='17_分析サンプル'!$E$11,tblJTL[[#This Row],[経過秒]]&lt;'17_分析サンプル'!$E$12),1,0)</f>
        <v>1</v>
      </c>
    </row>
    <row r="1530" spans="2:24" ht="14.4" x14ac:dyDescent="0.3">
      <c r="B1530" s="57">
        <v>1790816789004</v>
      </c>
      <c r="C1530" s="58">
        <v>208</v>
      </c>
      <c r="D1530" s="59" t="s">
        <v>1677</v>
      </c>
      <c r="E1530" s="59" t="s">
        <v>3579</v>
      </c>
      <c r="F1530" s="59" t="s">
        <v>3580</v>
      </c>
      <c r="G1530" s="59" t="s">
        <v>3589</v>
      </c>
      <c r="H1530" s="59" t="s">
        <v>2281</v>
      </c>
      <c r="I1530" s="59" t="b">
        <v>1</v>
      </c>
      <c r="J1530" s="59"/>
      <c r="K1530" s="58">
        <v>439</v>
      </c>
      <c r="L1530" s="58">
        <v>1478</v>
      </c>
      <c r="M1530" s="59">
        <v>10</v>
      </c>
      <c r="N1530" s="59">
        <v>10</v>
      </c>
      <c r="O1530" s="59" t="s">
        <v>3581</v>
      </c>
      <c r="P1530" s="58">
        <v>203</v>
      </c>
      <c r="Q1530" s="59">
        <v>0</v>
      </c>
      <c r="R1530" s="59">
        <v>0</v>
      </c>
      <c r="S1530" s="60">
        <f>tblJTL[[#This Row],[timeStamp]]/86400000+DATE(1970,1,1)+TIME(9,0,0)</f>
        <v>46296.421169027773</v>
      </c>
      <c r="T1530" s="57">
        <f>tblJTL[[#This Row],[timeStamp]]+tblJTL[[#This Row],[elapsed]]</f>
        <v>1790816789212</v>
      </c>
      <c r="U1530" s="61">
        <f>(tblJTL[[#This Row],[timeStamp]]-'17_分析サンプル'!$E$18)/1000</f>
        <v>388.82400000000001</v>
      </c>
      <c r="V1530" s="57">
        <f>INT(tblJTL[[#This Row],[経過秒]]/60)</f>
        <v>6</v>
      </c>
      <c r="W1530" s="57">
        <f>IF(OR(tblJTL[[#This Row],[success]]=FALSE,tblJTL[[#This Row],[success]]="false"),1,0)</f>
        <v>0</v>
      </c>
      <c r="X1530" s="57">
        <f>IF(AND(tblJTL[[#This Row],[経過秒]]&gt;='17_分析サンプル'!$E$11,tblJTL[[#This Row],[経過秒]]&lt;'17_分析サンプル'!$E$12),1,0)</f>
        <v>1</v>
      </c>
    </row>
    <row r="1531" spans="2:24" ht="14.4" x14ac:dyDescent="0.3">
      <c r="B1531" s="57">
        <v>1790816789292</v>
      </c>
      <c r="C1531" s="58">
        <v>122</v>
      </c>
      <c r="D1531" s="59" t="s">
        <v>1658</v>
      </c>
      <c r="E1531" s="59" t="s">
        <v>1577</v>
      </c>
      <c r="F1531" s="59" t="s">
        <v>2275</v>
      </c>
      <c r="G1531" s="59" t="s">
        <v>3582</v>
      </c>
      <c r="H1531" s="59" t="s">
        <v>2281</v>
      </c>
      <c r="I1531" s="59" t="b">
        <v>1</v>
      </c>
      <c r="J1531" s="59"/>
      <c r="K1531" s="58">
        <v>1836</v>
      </c>
      <c r="L1531" s="58">
        <v>1342</v>
      </c>
      <c r="M1531" s="59">
        <v>10</v>
      </c>
      <c r="N1531" s="59">
        <v>10</v>
      </c>
      <c r="O1531" s="59" t="s">
        <v>3578</v>
      </c>
      <c r="P1531" s="58">
        <v>115</v>
      </c>
      <c r="Q1531" s="59">
        <v>0</v>
      </c>
      <c r="R1531" s="59">
        <v>0</v>
      </c>
      <c r="S1531" s="60">
        <f>tblJTL[[#This Row],[timeStamp]]/86400000+DATE(1970,1,1)+TIME(9,0,0)</f>
        <v>46296.421172361108</v>
      </c>
      <c r="T1531" s="57">
        <f>tblJTL[[#This Row],[timeStamp]]+tblJTL[[#This Row],[elapsed]]</f>
        <v>1790816789414</v>
      </c>
      <c r="U1531" s="61">
        <f>(tblJTL[[#This Row],[timeStamp]]-'17_分析サンプル'!$E$18)/1000</f>
        <v>389.11200000000002</v>
      </c>
      <c r="V1531" s="57">
        <f>INT(tblJTL[[#This Row],[経過秒]]/60)</f>
        <v>6</v>
      </c>
      <c r="W1531" s="57">
        <f>IF(OR(tblJTL[[#This Row],[success]]=FALSE,tblJTL[[#This Row],[success]]="false"),1,0)</f>
        <v>0</v>
      </c>
      <c r="X1531" s="57">
        <f>IF(AND(tblJTL[[#This Row],[経過秒]]&gt;='17_分析サンプル'!$E$11,tblJTL[[#This Row],[経過秒]]&lt;'17_分析サンプル'!$E$12),1,0)</f>
        <v>1</v>
      </c>
    </row>
    <row r="1532" spans="2:24" ht="14.4" x14ac:dyDescent="0.3">
      <c r="B1532" s="57">
        <v>1790816789729</v>
      </c>
      <c r="C1532" s="58">
        <v>102</v>
      </c>
      <c r="D1532" s="59" t="s">
        <v>1658</v>
      </c>
      <c r="E1532" s="59" t="s">
        <v>1577</v>
      </c>
      <c r="F1532" s="59" t="s">
        <v>2275</v>
      </c>
      <c r="G1532" s="59" t="s">
        <v>3586</v>
      </c>
      <c r="H1532" s="59" t="s">
        <v>2281</v>
      </c>
      <c r="I1532" s="59" t="b">
        <v>1</v>
      </c>
      <c r="J1532" s="59"/>
      <c r="K1532" s="58">
        <v>1867</v>
      </c>
      <c r="L1532" s="58">
        <v>1342</v>
      </c>
      <c r="M1532" s="59">
        <v>10</v>
      </c>
      <c r="N1532" s="59">
        <v>10</v>
      </c>
      <c r="O1532" s="59" t="s">
        <v>3578</v>
      </c>
      <c r="P1532" s="58">
        <v>99</v>
      </c>
      <c r="Q1532" s="59">
        <v>0</v>
      </c>
      <c r="R1532" s="59">
        <v>0</v>
      </c>
      <c r="S1532" s="60">
        <f>tblJTL[[#This Row],[timeStamp]]/86400000+DATE(1970,1,1)+TIME(9,0,0)</f>
        <v>46296.421177418983</v>
      </c>
      <c r="T1532" s="57">
        <f>tblJTL[[#This Row],[timeStamp]]+tblJTL[[#This Row],[elapsed]]</f>
        <v>1790816789831</v>
      </c>
      <c r="U1532" s="61">
        <f>(tblJTL[[#This Row],[timeStamp]]-'17_分析サンプル'!$E$18)/1000</f>
        <v>389.54899999999998</v>
      </c>
      <c r="V1532" s="57">
        <f>INT(tblJTL[[#This Row],[経過秒]]/60)</f>
        <v>6</v>
      </c>
      <c r="W1532" s="57">
        <f>IF(OR(tblJTL[[#This Row],[success]]=FALSE,tblJTL[[#This Row],[success]]="false"),1,0)</f>
        <v>0</v>
      </c>
      <c r="X1532" s="57">
        <f>IF(AND(tblJTL[[#This Row],[経過秒]]&gt;='17_分析サンプル'!$E$11,tblJTL[[#This Row],[経過秒]]&lt;'17_分析サンプル'!$E$12),1,0)</f>
        <v>1</v>
      </c>
    </row>
    <row r="1533" spans="2:24" ht="14.4" x14ac:dyDescent="0.3">
      <c r="B1533" s="57">
        <v>1790816789989</v>
      </c>
      <c r="C1533" s="58">
        <v>116</v>
      </c>
      <c r="D1533" s="59" t="s">
        <v>1658</v>
      </c>
      <c r="E1533" s="59" t="s">
        <v>1577</v>
      </c>
      <c r="F1533" s="59" t="s">
        <v>2275</v>
      </c>
      <c r="G1533" s="59" t="s">
        <v>3585</v>
      </c>
      <c r="H1533" s="59" t="s">
        <v>2281</v>
      </c>
      <c r="I1533" s="59" t="b">
        <v>1</v>
      </c>
      <c r="J1533" s="59"/>
      <c r="K1533" s="58">
        <v>1882</v>
      </c>
      <c r="L1533" s="58">
        <v>1342</v>
      </c>
      <c r="M1533" s="59">
        <v>10</v>
      </c>
      <c r="N1533" s="59">
        <v>10</v>
      </c>
      <c r="O1533" s="59" t="s">
        <v>3578</v>
      </c>
      <c r="P1533" s="58">
        <v>111</v>
      </c>
      <c r="Q1533" s="59">
        <v>0</v>
      </c>
      <c r="R1533" s="59">
        <v>0</v>
      </c>
      <c r="S1533" s="60">
        <f>tblJTL[[#This Row],[timeStamp]]/86400000+DATE(1970,1,1)+TIME(9,0,0)</f>
        <v>46296.421180428239</v>
      </c>
      <c r="T1533" s="57">
        <f>tblJTL[[#This Row],[timeStamp]]+tblJTL[[#This Row],[elapsed]]</f>
        <v>1790816790105</v>
      </c>
      <c r="U1533" s="61">
        <f>(tblJTL[[#This Row],[timeStamp]]-'17_分析サンプル'!$E$18)/1000</f>
        <v>389.80900000000003</v>
      </c>
      <c r="V1533" s="57">
        <f>INT(tblJTL[[#This Row],[経過秒]]/60)</f>
        <v>6</v>
      </c>
      <c r="W1533" s="57">
        <f>IF(OR(tblJTL[[#This Row],[success]]=FALSE,tblJTL[[#This Row],[success]]="false"),1,0)</f>
        <v>0</v>
      </c>
      <c r="X1533" s="57">
        <f>IF(AND(tblJTL[[#This Row],[経過秒]]&gt;='17_分析サンプル'!$E$11,tblJTL[[#This Row],[経過秒]]&lt;'17_分析サンプル'!$E$12),1,0)</f>
        <v>1</v>
      </c>
    </row>
    <row r="1534" spans="2:24" ht="14.4" x14ac:dyDescent="0.3">
      <c r="B1534" s="57">
        <v>1790816790077</v>
      </c>
      <c r="C1534" s="58">
        <v>233</v>
      </c>
      <c r="D1534" s="59" t="s">
        <v>1677</v>
      </c>
      <c r="E1534" s="59" t="s">
        <v>3579</v>
      </c>
      <c r="F1534" s="59" t="s">
        <v>3580</v>
      </c>
      <c r="G1534" s="59" t="s">
        <v>3587</v>
      </c>
      <c r="H1534" s="59" t="s">
        <v>2281</v>
      </c>
      <c r="I1534" s="59" t="b">
        <v>1</v>
      </c>
      <c r="J1534" s="59"/>
      <c r="K1534" s="58">
        <v>411</v>
      </c>
      <c r="L1534" s="58">
        <v>1478</v>
      </c>
      <c r="M1534" s="59">
        <v>10</v>
      </c>
      <c r="N1534" s="59">
        <v>10</v>
      </c>
      <c r="O1534" s="59" t="s">
        <v>3581</v>
      </c>
      <c r="P1534" s="58">
        <v>230</v>
      </c>
      <c r="Q1534" s="59">
        <v>0</v>
      </c>
      <c r="R1534" s="59">
        <v>0</v>
      </c>
      <c r="S1534" s="60">
        <f>tblJTL[[#This Row],[timeStamp]]/86400000+DATE(1970,1,1)+TIME(9,0,0)</f>
        <v>46296.421181446756</v>
      </c>
      <c r="T1534" s="57">
        <f>tblJTL[[#This Row],[timeStamp]]+tblJTL[[#This Row],[elapsed]]</f>
        <v>1790816790310</v>
      </c>
      <c r="U1534" s="61">
        <f>(tblJTL[[#This Row],[timeStamp]]-'17_分析サンプル'!$E$18)/1000</f>
        <v>389.89699999999999</v>
      </c>
      <c r="V1534" s="57">
        <f>INT(tblJTL[[#This Row],[経過秒]]/60)</f>
        <v>6</v>
      </c>
      <c r="W1534" s="57">
        <f>IF(OR(tblJTL[[#This Row],[success]]=FALSE,tblJTL[[#This Row],[success]]="false"),1,0)</f>
        <v>0</v>
      </c>
      <c r="X1534" s="57">
        <f>IF(AND(tblJTL[[#This Row],[経過秒]]&gt;='17_分析サンプル'!$E$11,tblJTL[[#This Row],[経過秒]]&lt;'17_分析サンプル'!$E$12),1,0)</f>
        <v>1</v>
      </c>
    </row>
    <row r="1535" spans="2:24" ht="14.4" x14ac:dyDescent="0.3">
      <c r="B1535" s="57">
        <v>1790816791028</v>
      </c>
      <c r="C1535" s="58">
        <v>121</v>
      </c>
      <c r="D1535" s="59" t="s">
        <v>1658</v>
      </c>
      <c r="E1535" s="59" t="s">
        <v>1577</v>
      </c>
      <c r="F1535" s="59" t="s">
        <v>2275</v>
      </c>
      <c r="G1535" s="59" t="s">
        <v>3583</v>
      </c>
      <c r="H1535" s="59" t="s">
        <v>2281</v>
      </c>
      <c r="I1535" s="59" t="b">
        <v>1</v>
      </c>
      <c r="J1535" s="59"/>
      <c r="K1535" s="58">
        <v>1832</v>
      </c>
      <c r="L1535" s="58">
        <v>1342</v>
      </c>
      <c r="M1535" s="59">
        <v>10</v>
      </c>
      <c r="N1535" s="59">
        <v>10</v>
      </c>
      <c r="O1535" s="59" t="s">
        <v>3578</v>
      </c>
      <c r="P1535" s="58">
        <v>116</v>
      </c>
      <c r="Q1535" s="59">
        <v>0</v>
      </c>
      <c r="R1535" s="59">
        <v>53</v>
      </c>
      <c r="S1535" s="60">
        <f>tblJTL[[#This Row],[timeStamp]]/86400000+DATE(1970,1,1)+TIME(9,0,0)</f>
        <v>46296.421192453708</v>
      </c>
      <c r="T1535" s="57">
        <f>tblJTL[[#This Row],[timeStamp]]+tblJTL[[#This Row],[elapsed]]</f>
        <v>1790816791149</v>
      </c>
      <c r="U1535" s="61">
        <f>(tblJTL[[#This Row],[timeStamp]]-'17_分析サンプル'!$E$18)/1000</f>
        <v>390.84800000000001</v>
      </c>
      <c r="V1535" s="57">
        <f>INT(tblJTL[[#This Row],[経過秒]]/60)</f>
        <v>6</v>
      </c>
      <c r="W1535" s="57">
        <f>IF(OR(tblJTL[[#This Row],[success]]=FALSE,tblJTL[[#This Row],[success]]="false"),1,0)</f>
        <v>0</v>
      </c>
      <c r="X1535" s="57">
        <f>IF(AND(tblJTL[[#This Row],[経過秒]]&gt;='17_分析サンプル'!$E$11,tblJTL[[#This Row],[経過秒]]&lt;'17_分析サンプル'!$E$12),1,0)</f>
        <v>1</v>
      </c>
    </row>
    <row r="1536" spans="2:24" ht="14.4" x14ac:dyDescent="0.3">
      <c r="B1536" s="57">
        <v>1790816791259</v>
      </c>
      <c r="C1536" s="58">
        <v>98</v>
      </c>
      <c r="D1536" s="59" t="s">
        <v>1658</v>
      </c>
      <c r="E1536" s="59" t="s">
        <v>1577</v>
      </c>
      <c r="F1536" s="59" t="s">
        <v>2275</v>
      </c>
      <c r="G1536" s="59" t="s">
        <v>3584</v>
      </c>
      <c r="H1536" s="59" t="s">
        <v>2281</v>
      </c>
      <c r="I1536" s="59" t="b">
        <v>1</v>
      </c>
      <c r="J1536" s="59"/>
      <c r="K1536" s="58">
        <v>1892</v>
      </c>
      <c r="L1536" s="58">
        <v>1342</v>
      </c>
      <c r="M1536" s="59">
        <v>10</v>
      </c>
      <c r="N1536" s="59">
        <v>10</v>
      </c>
      <c r="O1536" s="59" t="s">
        <v>3578</v>
      </c>
      <c r="P1536" s="58">
        <v>91</v>
      </c>
      <c r="Q1536" s="59">
        <v>0</v>
      </c>
      <c r="R1536" s="59">
        <v>0</v>
      </c>
      <c r="S1536" s="60">
        <f>tblJTL[[#This Row],[timeStamp]]/86400000+DATE(1970,1,1)+TIME(9,0,0)</f>
        <v>46296.421195127317</v>
      </c>
      <c r="T1536" s="57">
        <f>tblJTL[[#This Row],[timeStamp]]+tblJTL[[#This Row],[elapsed]]</f>
        <v>1790816791357</v>
      </c>
      <c r="U1536" s="61">
        <f>(tblJTL[[#This Row],[timeStamp]]-'17_分析サンプル'!$E$18)/1000</f>
        <v>391.07900000000001</v>
      </c>
      <c r="V1536" s="57">
        <f>INT(tblJTL[[#This Row],[経過秒]]/60)</f>
        <v>6</v>
      </c>
      <c r="W1536" s="57">
        <f>IF(OR(tblJTL[[#This Row],[success]]=FALSE,tblJTL[[#This Row],[success]]="false"),1,0)</f>
        <v>0</v>
      </c>
      <c r="X1536" s="57">
        <f>IF(AND(tblJTL[[#This Row],[経過秒]]&gt;='17_分析サンプル'!$E$11,tblJTL[[#This Row],[経過秒]]&lt;'17_分析サンプル'!$E$12),1,0)</f>
        <v>1</v>
      </c>
    </row>
    <row r="1537" spans="2:24" ht="14.4" x14ac:dyDescent="0.3">
      <c r="B1537" s="57">
        <v>1790816791295</v>
      </c>
      <c r="C1537" s="58">
        <v>66</v>
      </c>
      <c r="D1537" s="59" t="s">
        <v>1658</v>
      </c>
      <c r="E1537" s="59" t="s">
        <v>1577</v>
      </c>
      <c r="F1537" s="59" t="s">
        <v>2275</v>
      </c>
      <c r="G1537" s="59" t="s">
        <v>3577</v>
      </c>
      <c r="H1537" s="59" t="s">
        <v>2281</v>
      </c>
      <c r="I1537" s="59" t="b">
        <v>1</v>
      </c>
      <c r="J1537" s="59"/>
      <c r="K1537" s="58">
        <v>1867</v>
      </c>
      <c r="L1537" s="58">
        <v>1342</v>
      </c>
      <c r="M1537" s="59">
        <v>10</v>
      </c>
      <c r="N1537" s="59">
        <v>10</v>
      </c>
      <c r="O1537" s="59" t="s">
        <v>3578</v>
      </c>
      <c r="P1537" s="58">
        <v>58</v>
      </c>
      <c r="Q1537" s="59">
        <v>0</v>
      </c>
      <c r="R1537" s="59">
        <v>0</v>
      </c>
      <c r="S1537" s="60">
        <f>tblJTL[[#This Row],[timeStamp]]/86400000+DATE(1970,1,1)+TIME(9,0,0)</f>
        <v>46296.421195543982</v>
      </c>
      <c r="T1537" s="57">
        <f>tblJTL[[#This Row],[timeStamp]]+tblJTL[[#This Row],[elapsed]]</f>
        <v>1790816791361</v>
      </c>
      <c r="U1537" s="61">
        <f>(tblJTL[[#This Row],[timeStamp]]-'17_分析サンプル'!$E$18)/1000</f>
        <v>391.11500000000001</v>
      </c>
      <c r="V1537" s="57">
        <f>INT(tblJTL[[#This Row],[経過秒]]/60)</f>
        <v>6</v>
      </c>
      <c r="W1537" s="57">
        <f>IF(OR(tblJTL[[#This Row],[success]]=FALSE,tblJTL[[#This Row],[success]]="false"),1,0)</f>
        <v>0</v>
      </c>
      <c r="X1537" s="57">
        <f>IF(AND(tblJTL[[#This Row],[経過秒]]&gt;='17_分析サンプル'!$E$11,tblJTL[[#This Row],[経過秒]]&lt;'17_分析サンプル'!$E$12),1,0)</f>
        <v>1</v>
      </c>
    </row>
    <row r="1538" spans="2:24" ht="14.4" x14ac:dyDescent="0.3">
      <c r="B1538" s="57">
        <v>1790816791189</v>
      </c>
      <c r="C1538" s="58">
        <v>198</v>
      </c>
      <c r="D1538" s="59" t="s">
        <v>1677</v>
      </c>
      <c r="E1538" s="59" t="s">
        <v>3579</v>
      </c>
      <c r="F1538" s="59" t="s">
        <v>3580</v>
      </c>
      <c r="G1538" s="59" t="s">
        <v>2278</v>
      </c>
      <c r="H1538" s="59" t="s">
        <v>2281</v>
      </c>
      <c r="I1538" s="59" t="b">
        <v>1</v>
      </c>
      <c r="J1538" s="59"/>
      <c r="K1538" s="58">
        <v>418</v>
      </c>
      <c r="L1538" s="58">
        <v>1478</v>
      </c>
      <c r="M1538" s="59">
        <v>10</v>
      </c>
      <c r="N1538" s="59">
        <v>10</v>
      </c>
      <c r="O1538" s="59" t="s">
        <v>3581</v>
      </c>
      <c r="P1538" s="58">
        <v>195</v>
      </c>
      <c r="Q1538" s="59">
        <v>0</v>
      </c>
      <c r="R1538" s="59">
        <v>0</v>
      </c>
      <c r="S1538" s="60">
        <f>tblJTL[[#This Row],[timeStamp]]/86400000+DATE(1970,1,1)+TIME(9,0,0)</f>
        <v>46296.421194317125</v>
      </c>
      <c r="T1538" s="57">
        <f>tblJTL[[#This Row],[timeStamp]]+tblJTL[[#This Row],[elapsed]]</f>
        <v>1790816791387</v>
      </c>
      <c r="U1538" s="61">
        <f>(tblJTL[[#This Row],[timeStamp]]-'17_分析サンプル'!$E$18)/1000</f>
        <v>391.00900000000001</v>
      </c>
      <c r="V1538" s="57">
        <f>INT(tblJTL[[#This Row],[経過秒]]/60)</f>
        <v>6</v>
      </c>
      <c r="W1538" s="57">
        <f>IF(OR(tblJTL[[#This Row],[success]]=FALSE,tblJTL[[#This Row],[success]]="false"),1,0)</f>
        <v>0</v>
      </c>
      <c r="X1538" s="57">
        <f>IF(AND(tblJTL[[#This Row],[経過秒]]&gt;='17_分析サンプル'!$E$11,tblJTL[[#This Row],[経過秒]]&lt;'17_分析サンプル'!$E$12),1,0)</f>
        <v>1</v>
      </c>
    </row>
    <row r="1539" spans="2:24" ht="14.4" x14ac:dyDescent="0.3">
      <c r="B1539" s="57">
        <v>1790816791466</v>
      </c>
      <c r="C1539" s="58">
        <v>133</v>
      </c>
      <c r="D1539" s="59" t="s">
        <v>1677</v>
      </c>
      <c r="E1539" s="59" t="s">
        <v>3579</v>
      </c>
      <c r="F1539" s="59" t="s">
        <v>3580</v>
      </c>
      <c r="G1539" s="59" t="s">
        <v>3585</v>
      </c>
      <c r="H1539" s="59" t="s">
        <v>2281</v>
      </c>
      <c r="I1539" s="59" t="b">
        <v>1</v>
      </c>
      <c r="J1539" s="59"/>
      <c r="K1539" s="58">
        <v>430</v>
      </c>
      <c r="L1539" s="58">
        <v>1478</v>
      </c>
      <c r="M1539" s="59">
        <v>10</v>
      </c>
      <c r="N1539" s="59">
        <v>10</v>
      </c>
      <c r="O1539" s="59" t="s">
        <v>3581</v>
      </c>
      <c r="P1539" s="58">
        <v>128</v>
      </c>
      <c r="Q1539" s="59">
        <v>0</v>
      </c>
      <c r="R1539" s="59">
        <v>0</v>
      </c>
      <c r="S1539" s="60">
        <f>tblJTL[[#This Row],[timeStamp]]/86400000+DATE(1970,1,1)+TIME(9,0,0)</f>
        <v>46296.421197523145</v>
      </c>
      <c r="T1539" s="57">
        <f>tblJTL[[#This Row],[timeStamp]]+tblJTL[[#This Row],[elapsed]]</f>
        <v>1790816791599</v>
      </c>
      <c r="U1539" s="61">
        <f>(tblJTL[[#This Row],[timeStamp]]-'17_分析サンプル'!$E$18)/1000</f>
        <v>391.286</v>
      </c>
      <c r="V1539" s="57">
        <f>INT(tblJTL[[#This Row],[経過秒]]/60)</f>
        <v>6</v>
      </c>
      <c r="W1539" s="57">
        <f>IF(OR(tblJTL[[#This Row],[success]]=FALSE,tblJTL[[#This Row],[success]]="false"),1,0)</f>
        <v>0</v>
      </c>
      <c r="X1539" s="57">
        <f>IF(AND(tblJTL[[#This Row],[経過秒]]&gt;='17_分析サンプル'!$E$11,tblJTL[[#This Row],[経過秒]]&lt;'17_分析サンプル'!$E$12),1,0)</f>
        <v>1</v>
      </c>
    </row>
    <row r="1540" spans="2:24" ht="14.4" x14ac:dyDescent="0.3">
      <c r="B1540" s="57">
        <v>1790816791586</v>
      </c>
      <c r="C1540" s="58">
        <v>119</v>
      </c>
      <c r="D1540" s="59" t="s">
        <v>1658</v>
      </c>
      <c r="E1540" s="59" t="s">
        <v>1577</v>
      </c>
      <c r="F1540" s="59" t="s">
        <v>2275</v>
      </c>
      <c r="G1540" s="59" t="s">
        <v>3588</v>
      </c>
      <c r="H1540" s="59" t="s">
        <v>2281</v>
      </c>
      <c r="I1540" s="59" t="b">
        <v>1</v>
      </c>
      <c r="J1540" s="59"/>
      <c r="K1540" s="58">
        <v>1881</v>
      </c>
      <c r="L1540" s="58">
        <v>1342</v>
      </c>
      <c r="M1540" s="59">
        <v>10</v>
      </c>
      <c r="N1540" s="59">
        <v>10</v>
      </c>
      <c r="O1540" s="59" t="s">
        <v>3578</v>
      </c>
      <c r="P1540" s="58">
        <v>117</v>
      </c>
      <c r="Q1540" s="59">
        <v>0</v>
      </c>
      <c r="R1540" s="59">
        <v>0</v>
      </c>
      <c r="S1540" s="60">
        <f>tblJTL[[#This Row],[timeStamp]]/86400000+DATE(1970,1,1)+TIME(9,0,0)</f>
        <v>46296.421198912038</v>
      </c>
      <c r="T1540" s="57">
        <f>tblJTL[[#This Row],[timeStamp]]+tblJTL[[#This Row],[elapsed]]</f>
        <v>1790816791705</v>
      </c>
      <c r="U1540" s="61">
        <f>(tblJTL[[#This Row],[timeStamp]]-'17_分析サンプル'!$E$18)/1000</f>
        <v>391.40600000000001</v>
      </c>
      <c r="V1540" s="57">
        <f>INT(tblJTL[[#This Row],[経過秒]]/60)</f>
        <v>6</v>
      </c>
      <c r="W1540" s="57">
        <f>IF(OR(tblJTL[[#This Row],[success]]=FALSE,tblJTL[[#This Row],[success]]="false"),1,0)</f>
        <v>0</v>
      </c>
      <c r="X1540" s="57">
        <f>IF(AND(tblJTL[[#This Row],[経過秒]]&gt;='17_分析サンプル'!$E$11,tblJTL[[#This Row],[経過秒]]&lt;'17_分析サンプル'!$E$12),1,0)</f>
        <v>1</v>
      </c>
    </row>
    <row r="1541" spans="2:24" ht="14.4" x14ac:dyDescent="0.3">
      <c r="B1541" s="57">
        <v>1790816791580</v>
      </c>
      <c r="C1541" s="58">
        <v>225</v>
      </c>
      <c r="D1541" s="59" t="s">
        <v>1677</v>
      </c>
      <c r="E1541" s="59" t="s">
        <v>3579</v>
      </c>
      <c r="F1541" s="59" t="s">
        <v>3580</v>
      </c>
      <c r="G1541" s="59" t="s">
        <v>3582</v>
      </c>
      <c r="H1541" s="59" t="s">
        <v>2281</v>
      </c>
      <c r="I1541" s="59" t="b">
        <v>1</v>
      </c>
      <c r="J1541" s="59"/>
      <c r="K1541" s="58">
        <v>425</v>
      </c>
      <c r="L1541" s="58">
        <v>1478</v>
      </c>
      <c r="M1541" s="59">
        <v>10</v>
      </c>
      <c r="N1541" s="59">
        <v>10</v>
      </c>
      <c r="O1541" s="59" t="s">
        <v>3581</v>
      </c>
      <c r="P1541" s="58">
        <v>221</v>
      </c>
      <c r="Q1541" s="59">
        <v>0</v>
      </c>
      <c r="R1541" s="59">
        <v>0</v>
      </c>
      <c r="S1541" s="60">
        <f>tblJTL[[#This Row],[timeStamp]]/86400000+DATE(1970,1,1)+TIME(9,0,0)</f>
        <v>46296.421198842596</v>
      </c>
      <c r="T1541" s="57">
        <f>tblJTL[[#This Row],[timeStamp]]+tblJTL[[#This Row],[elapsed]]</f>
        <v>1790816791805</v>
      </c>
      <c r="U1541" s="61">
        <f>(tblJTL[[#This Row],[timeStamp]]-'17_分析サンプル'!$E$18)/1000</f>
        <v>391.4</v>
      </c>
      <c r="V1541" s="57">
        <f>INT(tblJTL[[#This Row],[経過秒]]/60)</f>
        <v>6</v>
      </c>
      <c r="W1541" s="57">
        <f>IF(OR(tblJTL[[#This Row],[success]]=FALSE,tblJTL[[#This Row],[success]]="false"),1,0)</f>
        <v>0</v>
      </c>
      <c r="X1541" s="57">
        <f>IF(AND(tblJTL[[#This Row],[経過秒]]&gt;='17_分析サンプル'!$E$11,tblJTL[[#This Row],[経過秒]]&lt;'17_分析サンプル'!$E$12),1,0)</f>
        <v>1</v>
      </c>
    </row>
    <row r="1542" spans="2:24" ht="14.4" x14ac:dyDescent="0.3">
      <c r="B1542" s="57">
        <v>1790816791729</v>
      </c>
      <c r="C1542" s="58">
        <v>137</v>
      </c>
      <c r="D1542" s="59" t="s">
        <v>1658</v>
      </c>
      <c r="E1542" s="59" t="s">
        <v>1577</v>
      </c>
      <c r="F1542" s="59" t="s">
        <v>2275</v>
      </c>
      <c r="G1542" s="59" t="s">
        <v>3589</v>
      </c>
      <c r="H1542" s="59" t="s">
        <v>2281</v>
      </c>
      <c r="I1542" s="59" t="b">
        <v>1</v>
      </c>
      <c r="J1542" s="59"/>
      <c r="K1542" s="58">
        <v>1841</v>
      </c>
      <c r="L1542" s="58">
        <v>1342</v>
      </c>
      <c r="M1542" s="59">
        <v>10</v>
      </c>
      <c r="N1542" s="59">
        <v>10</v>
      </c>
      <c r="O1542" s="59" t="s">
        <v>3578</v>
      </c>
      <c r="P1542" s="58">
        <v>130</v>
      </c>
      <c r="Q1542" s="59">
        <v>0</v>
      </c>
      <c r="R1542" s="59">
        <v>0</v>
      </c>
      <c r="S1542" s="60">
        <f>tblJTL[[#This Row],[timeStamp]]/86400000+DATE(1970,1,1)+TIME(9,0,0)</f>
        <v>46296.421200567129</v>
      </c>
      <c r="T1542" s="57">
        <f>tblJTL[[#This Row],[timeStamp]]+tblJTL[[#This Row],[elapsed]]</f>
        <v>1790816791866</v>
      </c>
      <c r="U1542" s="61">
        <f>(tblJTL[[#This Row],[timeStamp]]-'17_分析サンプル'!$E$18)/1000</f>
        <v>391.54899999999998</v>
      </c>
      <c r="V1542" s="57">
        <f>INT(tblJTL[[#This Row],[経過秒]]/60)</f>
        <v>6</v>
      </c>
      <c r="W1542" s="57">
        <f>IF(OR(tblJTL[[#This Row],[success]]=FALSE,tblJTL[[#This Row],[success]]="false"),1,0)</f>
        <v>0</v>
      </c>
      <c r="X1542" s="57">
        <f>IF(AND(tblJTL[[#This Row],[経過秒]]&gt;='17_分析サンプル'!$E$11,tblJTL[[#This Row],[経過秒]]&lt;'17_分析サンプル'!$E$12),1,0)</f>
        <v>1</v>
      </c>
    </row>
    <row r="1543" spans="2:24" ht="14.4" x14ac:dyDescent="0.3">
      <c r="B1543" s="57">
        <v>1790816792070</v>
      </c>
      <c r="C1543" s="58">
        <v>94</v>
      </c>
      <c r="D1543" s="59" t="s">
        <v>1658</v>
      </c>
      <c r="E1543" s="59" t="s">
        <v>1577</v>
      </c>
      <c r="F1543" s="59" t="s">
        <v>2275</v>
      </c>
      <c r="G1543" s="59" t="s">
        <v>3587</v>
      </c>
      <c r="H1543" s="59" t="s">
        <v>2281</v>
      </c>
      <c r="I1543" s="59" t="b">
        <v>1</v>
      </c>
      <c r="J1543" s="59"/>
      <c r="K1543" s="58">
        <v>1824</v>
      </c>
      <c r="L1543" s="58">
        <v>1342</v>
      </c>
      <c r="M1543" s="59">
        <v>10</v>
      </c>
      <c r="N1543" s="59">
        <v>10</v>
      </c>
      <c r="O1543" s="59" t="s">
        <v>3578</v>
      </c>
      <c r="P1543" s="58">
        <v>89</v>
      </c>
      <c r="Q1543" s="59">
        <v>0</v>
      </c>
      <c r="R1543" s="59">
        <v>0</v>
      </c>
      <c r="S1543" s="60">
        <f>tblJTL[[#This Row],[timeStamp]]/86400000+DATE(1970,1,1)+TIME(9,0,0)</f>
        <v>46296.421204513885</v>
      </c>
      <c r="T1543" s="57">
        <f>tblJTL[[#This Row],[timeStamp]]+tblJTL[[#This Row],[elapsed]]</f>
        <v>1790816792164</v>
      </c>
      <c r="U1543" s="61">
        <f>(tblJTL[[#This Row],[timeStamp]]-'17_分析サンプル'!$E$18)/1000</f>
        <v>391.89</v>
      </c>
      <c r="V1543" s="57">
        <f>INT(tblJTL[[#This Row],[経過秒]]/60)</f>
        <v>6</v>
      </c>
      <c r="W1543" s="57">
        <f>IF(OR(tblJTL[[#This Row],[success]]=FALSE,tblJTL[[#This Row],[success]]="false"),1,0)</f>
        <v>0</v>
      </c>
      <c r="X1543" s="57">
        <f>IF(AND(tblJTL[[#This Row],[経過秒]]&gt;='17_分析サンプル'!$E$11,tblJTL[[#This Row],[経過秒]]&lt;'17_分析サンプル'!$E$12),1,0)</f>
        <v>1</v>
      </c>
    </row>
    <row r="1544" spans="2:24" ht="14.4" x14ac:dyDescent="0.3">
      <c r="B1544" s="57">
        <v>1790816792414</v>
      </c>
      <c r="C1544" s="58">
        <v>145</v>
      </c>
      <c r="D1544" s="59" t="s">
        <v>1677</v>
      </c>
      <c r="E1544" s="59" t="s">
        <v>3579</v>
      </c>
      <c r="F1544" s="59" t="s">
        <v>3580</v>
      </c>
      <c r="G1544" s="59" t="s">
        <v>3583</v>
      </c>
      <c r="H1544" s="59" t="s">
        <v>2281</v>
      </c>
      <c r="I1544" s="59" t="b">
        <v>1</v>
      </c>
      <c r="J1544" s="59"/>
      <c r="K1544" s="58">
        <v>418</v>
      </c>
      <c r="L1544" s="58">
        <v>1478</v>
      </c>
      <c r="M1544" s="59">
        <v>10</v>
      </c>
      <c r="N1544" s="59">
        <v>10</v>
      </c>
      <c r="O1544" s="59" t="s">
        <v>3581</v>
      </c>
      <c r="P1544" s="58">
        <v>137</v>
      </c>
      <c r="Q1544" s="59">
        <v>0</v>
      </c>
      <c r="R1544" s="59">
        <v>0</v>
      </c>
      <c r="S1544" s="60">
        <f>tblJTL[[#This Row],[timeStamp]]/86400000+DATE(1970,1,1)+TIME(9,0,0)</f>
        <v>46296.421208495369</v>
      </c>
      <c r="T1544" s="57">
        <f>tblJTL[[#This Row],[timeStamp]]+tblJTL[[#This Row],[elapsed]]</f>
        <v>1790816792559</v>
      </c>
      <c r="U1544" s="61">
        <f>(tblJTL[[#This Row],[timeStamp]]-'17_分析サンプル'!$E$18)/1000</f>
        <v>392.23399999999998</v>
      </c>
      <c r="V1544" s="57">
        <f>INT(tblJTL[[#This Row],[経過秒]]/60)</f>
        <v>6</v>
      </c>
      <c r="W1544" s="57">
        <f>IF(OR(tblJTL[[#This Row],[success]]=FALSE,tblJTL[[#This Row],[success]]="false"),1,0)</f>
        <v>0</v>
      </c>
      <c r="X1544" s="57">
        <f>IF(AND(tblJTL[[#This Row],[経過秒]]&gt;='17_分析サンプル'!$E$11,tblJTL[[#This Row],[経過秒]]&lt;'17_分析サンプル'!$E$12),1,0)</f>
        <v>1</v>
      </c>
    </row>
    <row r="1545" spans="2:24" ht="14.4" x14ac:dyDescent="0.3">
      <c r="B1545" s="57">
        <v>1790816792508</v>
      </c>
      <c r="C1545" s="58">
        <v>322</v>
      </c>
      <c r="D1545" s="59" t="s">
        <v>1677</v>
      </c>
      <c r="E1545" s="59" t="s">
        <v>3579</v>
      </c>
      <c r="F1545" s="59" t="s">
        <v>3580</v>
      </c>
      <c r="G1545" s="59" t="s">
        <v>3577</v>
      </c>
      <c r="H1545" s="59" t="s">
        <v>2281</v>
      </c>
      <c r="I1545" s="59" t="b">
        <v>1</v>
      </c>
      <c r="J1545" s="59"/>
      <c r="K1545" s="58">
        <v>413</v>
      </c>
      <c r="L1545" s="58">
        <v>1478</v>
      </c>
      <c r="M1545" s="59">
        <v>10</v>
      </c>
      <c r="N1545" s="59">
        <v>10</v>
      </c>
      <c r="O1545" s="59" t="s">
        <v>3581</v>
      </c>
      <c r="P1545" s="58">
        <v>315</v>
      </c>
      <c r="Q1545" s="59">
        <v>0</v>
      </c>
      <c r="R1545" s="59">
        <v>0</v>
      </c>
      <c r="S1545" s="60">
        <f>tblJTL[[#This Row],[timeStamp]]/86400000+DATE(1970,1,1)+TIME(9,0,0)</f>
        <v>46296.421209583335</v>
      </c>
      <c r="T1545" s="57">
        <f>tblJTL[[#This Row],[timeStamp]]+tblJTL[[#This Row],[elapsed]]</f>
        <v>1790816792830</v>
      </c>
      <c r="U1545" s="61">
        <f>(tblJTL[[#This Row],[timeStamp]]-'17_分析サンプル'!$E$18)/1000</f>
        <v>392.32799999999997</v>
      </c>
      <c r="V1545" s="57">
        <f>INT(tblJTL[[#This Row],[経過秒]]/60)</f>
        <v>6</v>
      </c>
      <c r="W1545" s="57">
        <f>IF(OR(tblJTL[[#This Row],[success]]=FALSE,tblJTL[[#This Row],[success]]="false"),1,0)</f>
        <v>0</v>
      </c>
      <c r="X1545" s="57">
        <f>IF(AND(tblJTL[[#This Row],[経過秒]]&gt;='17_分析サンプル'!$E$11,tblJTL[[#This Row],[経過秒]]&lt;'17_分析サンプル'!$E$12),1,0)</f>
        <v>1</v>
      </c>
    </row>
    <row r="1546" spans="2:24" ht="14.4" x14ac:dyDescent="0.3">
      <c r="B1546" s="57">
        <v>1790816792774</v>
      </c>
      <c r="C1546" s="58">
        <v>82</v>
      </c>
      <c r="D1546" s="59" t="s">
        <v>1658</v>
      </c>
      <c r="E1546" s="59" t="s">
        <v>1577</v>
      </c>
      <c r="F1546" s="59" t="s">
        <v>2275</v>
      </c>
      <c r="G1546" s="59" t="s">
        <v>3585</v>
      </c>
      <c r="H1546" s="59" t="s">
        <v>2281</v>
      </c>
      <c r="I1546" s="59" t="b">
        <v>1</v>
      </c>
      <c r="J1546" s="59"/>
      <c r="K1546" s="58">
        <v>1848</v>
      </c>
      <c r="L1546" s="58">
        <v>1342</v>
      </c>
      <c r="M1546" s="59">
        <v>10</v>
      </c>
      <c r="N1546" s="59">
        <v>10</v>
      </c>
      <c r="O1546" s="59" t="s">
        <v>3578</v>
      </c>
      <c r="P1546" s="58">
        <v>74</v>
      </c>
      <c r="Q1546" s="59">
        <v>0</v>
      </c>
      <c r="R1546" s="59">
        <v>0</v>
      </c>
      <c r="S1546" s="60">
        <f>tblJTL[[#This Row],[timeStamp]]/86400000+DATE(1970,1,1)+TIME(9,0,0)</f>
        <v>46296.42121266204</v>
      </c>
      <c r="T1546" s="57">
        <f>tblJTL[[#This Row],[timeStamp]]+tblJTL[[#This Row],[elapsed]]</f>
        <v>1790816792856</v>
      </c>
      <c r="U1546" s="61">
        <f>(tblJTL[[#This Row],[timeStamp]]-'17_分析サンプル'!$E$18)/1000</f>
        <v>392.59399999999999</v>
      </c>
      <c r="V1546" s="57">
        <f>INT(tblJTL[[#This Row],[経過秒]]/60)</f>
        <v>6</v>
      </c>
      <c r="W1546" s="57">
        <f>IF(OR(tblJTL[[#This Row],[success]]=FALSE,tblJTL[[#This Row],[success]]="false"),1,0)</f>
        <v>0</v>
      </c>
      <c r="X1546" s="57">
        <f>IF(AND(tblJTL[[#This Row],[経過秒]]&gt;='17_分析サンプル'!$E$11,tblJTL[[#This Row],[経過秒]]&lt;'17_分析サンプル'!$E$12),1,0)</f>
        <v>1</v>
      </c>
    </row>
    <row r="1547" spans="2:24" ht="14.4" x14ac:dyDescent="0.3">
      <c r="B1547" s="57">
        <v>1790816792703</v>
      </c>
      <c r="C1547" s="58">
        <v>377</v>
      </c>
      <c r="D1547" s="59" t="s">
        <v>1677</v>
      </c>
      <c r="E1547" s="59" t="s">
        <v>3579</v>
      </c>
      <c r="F1547" s="59" t="s">
        <v>3580</v>
      </c>
      <c r="G1547" s="59" t="s">
        <v>3586</v>
      </c>
      <c r="H1547" s="59" t="s">
        <v>2281</v>
      </c>
      <c r="I1547" s="59" t="b">
        <v>1</v>
      </c>
      <c r="J1547" s="59"/>
      <c r="K1547" s="58">
        <v>427</v>
      </c>
      <c r="L1547" s="58">
        <v>1478</v>
      </c>
      <c r="M1547" s="59">
        <v>10</v>
      </c>
      <c r="N1547" s="59">
        <v>10</v>
      </c>
      <c r="O1547" s="59" t="s">
        <v>3581</v>
      </c>
      <c r="P1547" s="58">
        <v>374</v>
      </c>
      <c r="Q1547" s="59">
        <v>0</v>
      </c>
      <c r="R1547" s="59">
        <v>0</v>
      </c>
      <c r="S1547" s="60">
        <f>tblJTL[[#This Row],[timeStamp]]/86400000+DATE(1970,1,1)+TIME(9,0,0)</f>
        <v>46296.421211840279</v>
      </c>
      <c r="T1547" s="57">
        <f>tblJTL[[#This Row],[timeStamp]]+tblJTL[[#This Row],[elapsed]]</f>
        <v>1790816793080</v>
      </c>
      <c r="U1547" s="61">
        <f>(tblJTL[[#This Row],[timeStamp]]-'17_分析サンプル'!$E$18)/1000</f>
        <v>392.52300000000002</v>
      </c>
      <c r="V1547" s="57">
        <f>INT(tblJTL[[#This Row],[経過秒]]/60)</f>
        <v>6</v>
      </c>
      <c r="W1547" s="57">
        <f>IF(OR(tblJTL[[#This Row],[success]]=FALSE,tblJTL[[#This Row],[success]]="false"),1,0)</f>
        <v>0</v>
      </c>
      <c r="X1547" s="57">
        <f>IF(AND(tblJTL[[#This Row],[経過秒]]&gt;='17_分析サンプル'!$E$11,tblJTL[[#This Row],[経過秒]]&lt;'17_分析サンプル'!$E$12),1,0)</f>
        <v>1</v>
      </c>
    </row>
    <row r="1548" spans="2:24" ht="14.4" x14ac:dyDescent="0.3">
      <c r="B1548" s="57">
        <v>1790816793128</v>
      </c>
      <c r="C1548" s="58">
        <v>65</v>
      </c>
      <c r="D1548" s="59" t="s">
        <v>1658</v>
      </c>
      <c r="E1548" s="59" t="s">
        <v>1577</v>
      </c>
      <c r="F1548" s="59" t="s">
        <v>2275</v>
      </c>
      <c r="G1548" s="59" t="s">
        <v>2278</v>
      </c>
      <c r="H1548" s="59" t="s">
        <v>2281</v>
      </c>
      <c r="I1548" s="59" t="b">
        <v>1</v>
      </c>
      <c r="J1548" s="59"/>
      <c r="K1548" s="58">
        <v>1834</v>
      </c>
      <c r="L1548" s="58">
        <v>1342</v>
      </c>
      <c r="M1548" s="59">
        <v>10</v>
      </c>
      <c r="N1548" s="59">
        <v>10</v>
      </c>
      <c r="O1548" s="59" t="s">
        <v>3578</v>
      </c>
      <c r="P1548" s="58">
        <v>63</v>
      </c>
      <c r="Q1548" s="59">
        <v>0</v>
      </c>
      <c r="R1548" s="59">
        <v>0</v>
      </c>
      <c r="S1548" s="60">
        <f>tblJTL[[#This Row],[timeStamp]]/86400000+DATE(1970,1,1)+TIME(9,0,0)</f>
        <v>46296.421216759263</v>
      </c>
      <c r="T1548" s="57">
        <f>tblJTL[[#This Row],[timeStamp]]+tblJTL[[#This Row],[elapsed]]</f>
        <v>1790816793193</v>
      </c>
      <c r="U1548" s="61">
        <f>(tblJTL[[#This Row],[timeStamp]]-'17_分析サンプル'!$E$18)/1000</f>
        <v>392.94799999999998</v>
      </c>
      <c r="V1548" s="57">
        <f>INT(tblJTL[[#This Row],[経過秒]]/60)</f>
        <v>6</v>
      </c>
      <c r="W1548" s="57">
        <f>IF(OR(tblJTL[[#This Row],[success]]=FALSE,tblJTL[[#This Row],[success]]="false"),1,0)</f>
        <v>0</v>
      </c>
      <c r="X1548" s="57">
        <f>IF(AND(tblJTL[[#This Row],[経過秒]]&gt;='17_分析サンプル'!$E$11,tblJTL[[#This Row],[経過秒]]&lt;'17_分析サンプル'!$E$12),1,0)</f>
        <v>1</v>
      </c>
    </row>
    <row r="1549" spans="2:24" ht="14.4" x14ac:dyDescent="0.3">
      <c r="B1549" s="57">
        <v>1790816793199</v>
      </c>
      <c r="C1549" s="58">
        <v>369</v>
      </c>
      <c r="D1549" s="59" t="s">
        <v>1677</v>
      </c>
      <c r="E1549" s="59" t="s">
        <v>3579</v>
      </c>
      <c r="F1549" s="59" t="s">
        <v>3580</v>
      </c>
      <c r="G1549" s="59" t="s">
        <v>3588</v>
      </c>
      <c r="H1549" s="59" t="s">
        <v>2281</v>
      </c>
      <c r="I1549" s="59" t="b">
        <v>1</v>
      </c>
      <c r="J1549" s="59"/>
      <c r="K1549" s="58">
        <v>419</v>
      </c>
      <c r="L1549" s="58">
        <v>1478</v>
      </c>
      <c r="M1549" s="59">
        <v>10</v>
      </c>
      <c r="N1549" s="59">
        <v>10</v>
      </c>
      <c r="O1549" s="59" t="s">
        <v>3581</v>
      </c>
      <c r="P1549" s="58">
        <v>366</v>
      </c>
      <c r="Q1549" s="59">
        <v>0</v>
      </c>
      <c r="R1549" s="59">
        <v>0</v>
      </c>
      <c r="S1549" s="60">
        <f>tblJTL[[#This Row],[timeStamp]]/86400000+DATE(1970,1,1)+TIME(9,0,0)</f>
        <v>46296.421217581017</v>
      </c>
      <c r="T1549" s="57">
        <f>tblJTL[[#This Row],[timeStamp]]+tblJTL[[#This Row],[elapsed]]</f>
        <v>1790816793568</v>
      </c>
      <c r="U1549" s="61">
        <f>(tblJTL[[#This Row],[timeStamp]]-'17_分析サンプル'!$E$18)/1000</f>
        <v>393.01900000000001</v>
      </c>
      <c r="V1549" s="57">
        <f>INT(tblJTL[[#This Row],[経過秒]]/60)</f>
        <v>6</v>
      </c>
      <c r="W1549" s="57">
        <f>IF(OR(tblJTL[[#This Row],[success]]=FALSE,tblJTL[[#This Row],[success]]="false"),1,0)</f>
        <v>0</v>
      </c>
      <c r="X1549" s="57">
        <f>IF(AND(tblJTL[[#This Row],[経過秒]]&gt;='17_分析サンプル'!$E$11,tblJTL[[#This Row],[経過秒]]&lt;'17_分析サンプル'!$E$12),1,0)</f>
        <v>1</v>
      </c>
    </row>
    <row r="1550" spans="2:24" ht="14.4" x14ac:dyDescent="0.3">
      <c r="B1550" s="57">
        <v>1790816793455</v>
      </c>
      <c r="C1550" s="58">
        <v>119</v>
      </c>
      <c r="D1550" s="59" t="s">
        <v>1658</v>
      </c>
      <c r="E1550" s="59" t="s">
        <v>1577</v>
      </c>
      <c r="F1550" s="59" t="s">
        <v>2275</v>
      </c>
      <c r="G1550" s="59" t="s">
        <v>3582</v>
      </c>
      <c r="H1550" s="59" t="s">
        <v>2281</v>
      </c>
      <c r="I1550" s="59" t="b">
        <v>1</v>
      </c>
      <c r="J1550" s="59"/>
      <c r="K1550" s="58">
        <v>1862</v>
      </c>
      <c r="L1550" s="58">
        <v>1342</v>
      </c>
      <c r="M1550" s="59">
        <v>10</v>
      </c>
      <c r="N1550" s="59">
        <v>10</v>
      </c>
      <c r="O1550" s="59" t="s">
        <v>3578</v>
      </c>
      <c r="P1550" s="58">
        <v>113</v>
      </c>
      <c r="Q1550" s="59">
        <v>0</v>
      </c>
      <c r="R1550" s="59">
        <v>0</v>
      </c>
      <c r="S1550" s="60">
        <f>tblJTL[[#This Row],[timeStamp]]/86400000+DATE(1970,1,1)+TIME(9,0,0)</f>
        <v>46296.421220543984</v>
      </c>
      <c r="T1550" s="57">
        <f>tblJTL[[#This Row],[timeStamp]]+tblJTL[[#This Row],[elapsed]]</f>
        <v>1790816793574</v>
      </c>
      <c r="U1550" s="61">
        <f>(tblJTL[[#This Row],[timeStamp]]-'17_分析サンプル'!$E$18)/1000</f>
        <v>393.27499999999998</v>
      </c>
      <c r="V1550" s="57">
        <f>INT(tblJTL[[#This Row],[経過秒]]/60)</f>
        <v>6</v>
      </c>
      <c r="W1550" s="57">
        <f>IF(OR(tblJTL[[#This Row],[success]]=FALSE,tblJTL[[#This Row],[success]]="false"),1,0)</f>
        <v>0</v>
      </c>
      <c r="X1550" s="57">
        <f>IF(AND(tblJTL[[#This Row],[経過秒]]&gt;='17_分析サンプル'!$E$11,tblJTL[[#This Row],[経過秒]]&lt;'17_分析サンプル'!$E$12),1,0)</f>
        <v>1</v>
      </c>
    </row>
    <row r="1551" spans="2:24" ht="14.4" x14ac:dyDescent="0.3">
      <c r="B1551" s="57">
        <v>1790816793537</v>
      </c>
      <c r="C1551" s="58">
        <v>206</v>
      </c>
      <c r="D1551" s="59" t="s">
        <v>1677</v>
      </c>
      <c r="E1551" s="59" t="s">
        <v>3579</v>
      </c>
      <c r="F1551" s="59" t="s">
        <v>3580</v>
      </c>
      <c r="G1551" s="59" t="s">
        <v>3584</v>
      </c>
      <c r="H1551" s="59" t="s">
        <v>2281</v>
      </c>
      <c r="I1551" s="59" t="b">
        <v>1</v>
      </c>
      <c r="J1551" s="59"/>
      <c r="K1551" s="58">
        <v>425</v>
      </c>
      <c r="L1551" s="58">
        <v>1478</v>
      </c>
      <c r="M1551" s="59">
        <v>10</v>
      </c>
      <c r="N1551" s="59">
        <v>10</v>
      </c>
      <c r="O1551" s="59" t="s">
        <v>3581</v>
      </c>
      <c r="P1551" s="58">
        <v>198</v>
      </c>
      <c r="Q1551" s="59">
        <v>0</v>
      </c>
      <c r="R1551" s="59">
        <v>64</v>
      </c>
      <c r="S1551" s="60">
        <f>tblJTL[[#This Row],[timeStamp]]/86400000+DATE(1970,1,1)+TIME(9,0,0)</f>
        <v>46296.421221493059</v>
      </c>
      <c r="T1551" s="57">
        <f>tblJTL[[#This Row],[timeStamp]]+tblJTL[[#This Row],[elapsed]]</f>
        <v>1790816793743</v>
      </c>
      <c r="U1551" s="61">
        <f>(tblJTL[[#This Row],[timeStamp]]-'17_分析サンプル'!$E$18)/1000</f>
        <v>393.35700000000003</v>
      </c>
      <c r="V1551" s="57">
        <f>INT(tblJTL[[#This Row],[経過秒]]/60)</f>
        <v>6</v>
      </c>
      <c r="W1551" s="57">
        <f>IF(OR(tblJTL[[#This Row],[success]]=FALSE,tblJTL[[#This Row],[success]]="false"),1,0)</f>
        <v>0</v>
      </c>
      <c r="X1551" s="57">
        <f>IF(AND(tblJTL[[#This Row],[経過秒]]&gt;='17_分析サンプル'!$E$11,tblJTL[[#This Row],[経過秒]]&lt;'17_分析サンプル'!$E$12),1,0)</f>
        <v>1</v>
      </c>
    </row>
    <row r="1552" spans="2:24" ht="14.4" x14ac:dyDescent="0.3">
      <c r="B1552" s="57">
        <v>1790816793936</v>
      </c>
      <c r="C1552" s="58">
        <v>103</v>
      </c>
      <c r="D1552" s="59" t="s">
        <v>1658</v>
      </c>
      <c r="E1552" s="59" t="s">
        <v>1577</v>
      </c>
      <c r="F1552" s="59" t="s">
        <v>2275</v>
      </c>
      <c r="G1552" s="59" t="s">
        <v>3583</v>
      </c>
      <c r="H1552" s="59" t="s">
        <v>2281</v>
      </c>
      <c r="I1552" s="59" t="b">
        <v>1</v>
      </c>
      <c r="J1552" s="59"/>
      <c r="K1552" s="58">
        <v>1855</v>
      </c>
      <c r="L1552" s="58">
        <v>1342</v>
      </c>
      <c r="M1552" s="59">
        <v>10</v>
      </c>
      <c r="N1552" s="59">
        <v>10</v>
      </c>
      <c r="O1552" s="59" t="s">
        <v>3578</v>
      </c>
      <c r="P1552" s="58">
        <v>95</v>
      </c>
      <c r="Q1552" s="59">
        <v>0</v>
      </c>
      <c r="R1552" s="59">
        <v>0</v>
      </c>
      <c r="S1552" s="60">
        <f>tblJTL[[#This Row],[timeStamp]]/86400000+DATE(1970,1,1)+TIME(9,0,0)</f>
        <v>46296.42122611111</v>
      </c>
      <c r="T1552" s="57">
        <f>tblJTL[[#This Row],[timeStamp]]+tblJTL[[#This Row],[elapsed]]</f>
        <v>1790816794039</v>
      </c>
      <c r="U1552" s="61">
        <f>(tblJTL[[#This Row],[timeStamp]]-'17_分析サンプル'!$E$18)/1000</f>
        <v>393.75599999999997</v>
      </c>
      <c r="V1552" s="57">
        <f>INT(tblJTL[[#This Row],[経過秒]]/60)</f>
        <v>6</v>
      </c>
      <c r="W1552" s="57">
        <f>IF(OR(tblJTL[[#This Row],[success]]=FALSE,tblJTL[[#This Row],[success]]="false"),1,0)</f>
        <v>0</v>
      </c>
      <c r="X1552" s="57">
        <f>IF(AND(tblJTL[[#This Row],[経過秒]]&gt;='17_分析サンプル'!$E$11,tblJTL[[#This Row],[経過秒]]&lt;'17_分析サンプル'!$E$12),1,0)</f>
        <v>1</v>
      </c>
    </row>
    <row r="1553" spans="2:24" ht="14.4" x14ac:dyDescent="0.3">
      <c r="B1553" s="57">
        <v>1790816794018</v>
      </c>
      <c r="C1553" s="58">
        <v>188</v>
      </c>
      <c r="D1553" s="59" t="s">
        <v>1677</v>
      </c>
      <c r="E1553" s="59" t="s">
        <v>3579</v>
      </c>
      <c r="F1553" s="59" t="s">
        <v>3580</v>
      </c>
      <c r="G1553" s="59" t="s">
        <v>3587</v>
      </c>
      <c r="H1553" s="59" t="s">
        <v>2281</v>
      </c>
      <c r="I1553" s="59" t="b">
        <v>1</v>
      </c>
      <c r="J1553" s="59"/>
      <c r="K1553" s="58">
        <v>419</v>
      </c>
      <c r="L1553" s="58">
        <v>1478</v>
      </c>
      <c r="M1553" s="59">
        <v>10</v>
      </c>
      <c r="N1553" s="59">
        <v>10</v>
      </c>
      <c r="O1553" s="59" t="s">
        <v>3581</v>
      </c>
      <c r="P1553" s="58">
        <v>186</v>
      </c>
      <c r="Q1553" s="59">
        <v>0</v>
      </c>
      <c r="R1553" s="59">
        <v>0</v>
      </c>
      <c r="S1553" s="60">
        <f>tblJTL[[#This Row],[timeStamp]]/86400000+DATE(1970,1,1)+TIME(9,0,0)</f>
        <v>46296.421227060186</v>
      </c>
      <c r="T1553" s="57">
        <f>tblJTL[[#This Row],[timeStamp]]+tblJTL[[#This Row],[elapsed]]</f>
        <v>1790816794206</v>
      </c>
      <c r="U1553" s="61">
        <f>(tblJTL[[#This Row],[timeStamp]]-'17_分析サンプル'!$E$18)/1000</f>
        <v>393.83800000000002</v>
      </c>
      <c r="V1553" s="57">
        <f>INT(tblJTL[[#This Row],[経過秒]]/60)</f>
        <v>6</v>
      </c>
      <c r="W1553" s="57">
        <f>IF(OR(tblJTL[[#This Row],[success]]=FALSE,tblJTL[[#This Row],[success]]="false"),1,0)</f>
        <v>0</v>
      </c>
      <c r="X1553" s="57">
        <f>IF(AND(tblJTL[[#This Row],[経過秒]]&gt;='17_分析サンプル'!$E$11,tblJTL[[#This Row],[経過秒]]&lt;'17_分析サンプル'!$E$12),1,0)</f>
        <v>1</v>
      </c>
    </row>
    <row r="1554" spans="2:24" ht="14.4" x14ac:dyDescent="0.3">
      <c r="B1554" s="57">
        <v>1790816794250</v>
      </c>
      <c r="C1554" s="58">
        <v>197</v>
      </c>
      <c r="D1554" s="59" t="s">
        <v>1677</v>
      </c>
      <c r="E1554" s="59" t="s">
        <v>3579</v>
      </c>
      <c r="F1554" s="59" t="s">
        <v>3580</v>
      </c>
      <c r="G1554" s="59" t="s">
        <v>3585</v>
      </c>
      <c r="H1554" s="59" t="s">
        <v>2281</v>
      </c>
      <c r="I1554" s="59" t="b">
        <v>1</v>
      </c>
      <c r="J1554" s="59"/>
      <c r="K1554" s="58">
        <v>418</v>
      </c>
      <c r="L1554" s="58">
        <v>1478</v>
      </c>
      <c r="M1554" s="59">
        <v>10</v>
      </c>
      <c r="N1554" s="59">
        <v>10</v>
      </c>
      <c r="O1554" s="59" t="s">
        <v>3581</v>
      </c>
      <c r="P1554" s="58">
        <v>190</v>
      </c>
      <c r="Q1554" s="59">
        <v>0</v>
      </c>
      <c r="R1554" s="59">
        <v>0</v>
      </c>
      <c r="S1554" s="60">
        <f>tblJTL[[#This Row],[timeStamp]]/86400000+DATE(1970,1,1)+TIME(9,0,0)</f>
        <v>46296.421229745371</v>
      </c>
      <c r="T1554" s="57">
        <f>tblJTL[[#This Row],[timeStamp]]+tblJTL[[#This Row],[elapsed]]</f>
        <v>1790816794447</v>
      </c>
      <c r="U1554" s="61">
        <f>(tblJTL[[#This Row],[timeStamp]]-'17_分析サンプル'!$E$18)/1000</f>
        <v>394.07</v>
      </c>
      <c r="V1554" s="57">
        <f>INT(tblJTL[[#This Row],[経過秒]]/60)</f>
        <v>6</v>
      </c>
      <c r="W1554" s="57">
        <f>IF(OR(tblJTL[[#This Row],[success]]=FALSE,tblJTL[[#This Row],[success]]="false"),1,0)</f>
        <v>0</v>
      </c>
      <c r="X1554" s="57">
        <f>IF(AND(tblJTL[[#This Row],[経過秒]]&gt;='17_分析サンプル'!$E$11,tblJTL[[#This Row],[経過秒]]&lt;'17_分析サンプル'!$E$12),1,0)</f>
        <v>1</v>
      </c>
    </row>
    <row r="1555" spans="2:24" ht="14.4" x14ac:dyDescent="0.3">
      <c r="B1555" s="57">
        <v>1790816794288</v>
      </c>
      <c r="C1555" s="58">
        <v>321</v>
      </c>
      <c r="D1555" s="59" t="s">
        <v>1677</v>
      </c>
      <c r="E1555" s="59" t="s">
        <v>3579</v>
      </c>
      <c r="F1555" s="59" t="s">
        <v>3580</v>
      </c>
      <c r="G1555" s="59" t="s">
        <v>3589</v>
      </c>
      <c r="H1555" s="59" t="s">
        <v>2281</v>
      </c>
      <c r="I1555" s="59" t="b">
        <v>1</v>
      </c>
      <c r="J1555" s="59"/>
      <c r="K1555" s="58">
        <v>419</v>
      </c>
      <c r="L1555" s="58">
        <v>1478</v>
      </c>
      <c r="M1555" s="59">
        <v>10</v>
      </c>
      <c r="N1555" s="59">
        <v>10</v>
      </c>
      <c r="O1555" s="59" t="s">
        <v>3581</v>
      </c>
      <c r="P1555" s="58">
        <v>318</v>
      </c>
      <c r="Q1555" s="59">
        <v>0</v>
      </c>
      <c r="R1555" s="59">
        <v>0</v>
      </c>
      <c r="S1555" s="60">
        <f>tblJTL[[#This Row],[timeStamp]]/86400000+DATE(1970,1,1)+TIME(9,0,0)</f>
        <v>46296.42123018518</v>
      </c>
      <c r="T1555" s="57">
        <f>tblJTL[[#This Row],[timeStamp]]+tblJTL[[#This Row],[elapsed]]</f>
        <v>1790816794609</v>
      </c>
      <c r="U1555" s="61">
        <f>(tblJTL[[#This Row],[timeStamp]]-'17_分析サンプル'!$E$18)/1000</f>
        <v>394.108</v>
      </c>
      <c r="V1555" s="57">
        <f>INT(tblJTL[[#This Row],[経過秒]]/60)</f>
        <v>6</v>
      </c>
      <c r="W1555" s="57">
        <f>IF(OR(tblJTL[[#This Row],[success]]=FALSE,tblJTL[[#This Row],[success]]="false"),1,0)</f>
        <v>0</v>
      </c>
      <c r="X1555" s="57">
        <f>IF(AND(tblJTL[[#This Row],[経過秒]]&gt;='17_分析サンプル'!$E$11,tblJTL[[#This Row],[経過秒]]&lt;'17_分析サンプル'!$E$12),1,0)</f>
        <v>1</v>
      </c>
    </row>
    <row r="1556" spans="2:24" ht="14.4" x14ac:dyDescent="0.3">
      <c r="B1556" s="57">
        <v>1790816794931</v>
      </c>
      <c r="C1556" s="58">
        <v>47</v>
      </c>
      <c r="D1556" s="59" t="s">
        <v>1658</v>
      </c>
      <c r="E1556" s="59" t="s">
        <v>1577</v>
      </c>
      <c r="F1556" s="59" t="s">
        <v>2275</v>
      </c>
      <c r="G1556" s="59" t="s">
        <v>3586</v>
      </c>
      <c r="H1556" s="59" t="s">
        <v>2281</v>
      </c>
      <c r="I1556" s="59" t="b">
        <v>1</v>
      </c>
      <c r="J1556" s="59"/>
      <c r="K1556" s="58">
        <v>1900</v>
      </c>
      <c r="L1556" s="58">
        <v>1342</v>
      </c>
      <c r="M1556" s="59">
        <v>10</v>
      </c>
      <c r="N1556" s="59">
        <v>10</v>
      </c>
      <c r="O1556" s="59" t="s">
        <v>3578</v>
      </c>
      <c r="P1556" s="58">
        <v>43</v>
      </c>
      <c r="Q1556" s="59">
        <v>0</v>
      </c>
      <c r="R1556" s="59">
        <v>0</v>
      </c>
      <c r="S1556" s="60">
        <f>tblJTL[[#This Row],[timeStamp]]/86400000+DATE(1970,1,1)+TIME(9,0,0)</f>
        <v>46296.421237627314</v>
      </c>
      <c r="T1556" s="57">
        <f>tblJTL[[#This Row],[timeStamp]]+tblJTL[[#This Row],[elapsed]]</f>
        <v>1790816794978</v>
      </c>
      <c r="U1556" s="61">
        <f>(tblJTL[[#This Row],[timeStamp]]-'17_分析サンプル'!$E$18)/1000</f>
        <v>394.75099999999998</v>
      </c>
      <c r="V1556" s="57">
        <f>INT(tblJTL[[#This Row],[経過秒]]/60)</f>
        <v>6</v>
      </c>
      <c r="W1556" s="57">
        <f>IF(OR(tblJTL[[#This Row],[success]]=FALSE,tblJTL[[#This Row],[success]]="false"),1,0)</f>
        <v>0</v>
      </c>
      <c r="X1556" s="57">
        <f>IF(AND(tblJTL[[#This Row],[経過秒]]&gt;='17_分析サンプル'!$E$11,tblJTL[[#This Row],[経過秒]]&lt;'17_分析サンプル'!$E$12),1,0)</f>
        <v>1</v>
      </c>
    </row>
    <row r="1557" spans="2:24" ht="14.4" x14ac:dyDescent="0.3">
      <c r="B1557" s="57">
        <v>1790816795041</v>
      </c>
      <c r="C1557" s="58">
        <v>81</v>
      </c>
      <c r="D1557" s="59" t="s">
        <v>1658</v>
      </c>
      <c r="E1557" s="59" t="s">
        <v>1577</v>
      </c>
      <c r="F1557" s="59" t="s">
        <v>2275</v>
      </c>
      <c r="G1557" s="59" t="s">
        <v>3577</v>
      </c>
      <c r="H1557" s="59" t="s">
        <v>2281</v>
      </c>
      <c r="I1557" s="59" t="b">
        <v>1</v>
      </c>
      <c r="J1557" s="59"/>
      <c r="K1557" s="58">
        <v>1856</v>
      </c>
      <c r="L1557" s="58">
        <v>1342</v>
      </c>
      <c r="M1557" s="59">
        <v>10</v>
      </c>
      <c r="N1557" s="59">
        <v>10</v>
      </c>
      <c r="O1557" s="59" t="s">
        <v>3578</v>
      </c>
      <c r="P1557" s="58">
        <v>74</v>
      </c>
      <c r="Q1557" s="59">
        <v>0</v>
      </c>
      <c r="R1557" s="59">
        <v>0</v>
      </c>
      <c r="S1557" s="60">
        <f>tblJTL[[#This Row],[timeStamp]]/86400000+DATE(1970,1,1)+TIME(9,0,0)</f>
        <v>46296.421238900468</v>
      </c>
      <c r="T1557" s="57">
        <f>tblJTL[[#This Row],[timeStamp]]+tblJTL[[#This Row],[elapsed]]</f>
        <v>1790816795122</v>
      </c>
      <c r="U1557" s="61">
        <f>(tblJTL[[#This Row],[timeStamp]]-'17_分析サンプル'!$E$18)/1000</f>
        <v>394.86099999999999</v>
      </c>
      <c r="V1557" s="57">
        <f>INT(tblJTL[[#This Row],[経過秒]]/60)</f>
        <v>6</v>
      </c>
      <c r="W1557" s="57">
        <f>IF(OR(tblJTL[[#This Row],[success]]=FALSE,tblJTL[[#This Row],[success]]="false"),1,0)</f>
        <v>0</v>
      </c>
      <c r="X1557" s="57">
        <f>IF(AND(tblJTL[[#This Row],[経過秒]]&gt;='17_分析サンプル'!$E$11,tblJTL[[#This Row],[経過秒]]&lt;'17_分析サンプル'!$E$12),1,0)</f>
        <v>1</v>
      </c>
    </row>
    <row r="1558" spans="2:24" ht="14.4" x14ac:dyDescent="0.3">
      <c r="B1558" s="57">
        <v>1790816795238</v>
      </c>
      <c r="C1558" s="58">
        <v>79</v>
      </c>
      <c r="D1558" s="59" t="s">
        <v>1658</v>
      </c>
      <c r="E1558" s="59" t="s">
        <v>1577</v>
      </c>
      <c r="F1558" s="59" t="s">
        <v>2275</v>
      </c>
      <c r="G1558" s="59" t="s">
        <v>3588</v>
      </c>
      <c r="H1558" s="59" t="s">
        <v>2281</v>
      </c>
      <c r="I1558" s="59" t="b">
        <v>1</v>
      </c>
      <c r="J1558" s="59"/>
      <c r="K1558" s="58">
        <v>1832</v>
      </c>
      <c r="L1558" s="58">
        <v>1342</v>
      </c>
      <c r="M1558" s="59">
        <v>10</v>
      </c>
      <c r="N1558" s="59">
        <v>10</v>
      </c>
      <c r="O1558" s="59" t="s">
        <v>3578</v>
      </c>
      <c r="P1558" s="58">
        <v>77</v>
      </c>
      <c r="Q1558" s="59">
        <v>0</v>
      </c>
      <c r="R1558" s="59">
        <v>0</v>
      </c>
      <c r="S1558" s="60">
        <f>tblJTL[[#This Row],[timeStamp]]/86400000+DATE(1970,1,1)+TIME(9,0,0)</f>
        <v>46296.421241180557</v>
      </c>
      <c r="T1558" s="57">
        <f>tblJTL[[#This Row],[timeStamp]]+tblJTL[[#This Row],[elapsed]]</f>
        <v>1790816795317</v>
      </c>
      <c r="U1558" s="61">
        <f>(tblJTL[[#This Row],[timeStamp]]-'17_分析サンプル'!$E$18)/1000</f>
        <v>395.05799999999999</v>
      </c>
      <c r="V1558" s="57">
        <f>INT(tblJTL[[#This Row],[経過秒]]/60)</f>
        <v>6</v>
      </c>
      <c r="W1558" s="57">
        <f>IF(OR(tblJTL[[#This Row],[success]]=FALSE,tblJTL[[#This Row],[success]]="false"),1,0)</f>
        <v>0</v>
      </c>
      <c r="X1558" s="57">
        <f>IF(AND(tblJTL[[#This Row],[経過秒]]&gt;='17_分析サンプル'!$E$11,tblJTL[[#This Row],[経過秒]]&lt;'17_分析サンプル'!$E$12),1,0)</f>
        <v>1</v>
      </c>
    </row>
    <row r="1559" spans="2:24" ht="14.4" x14ac:dyDescent="0.3">
      <c r="B1559" s="57">
        <v>1790816795642</v>
      </c>
      <c r="C1559" s="58">
        <v>110</v>
      </c>
      <c r="D1559" s="59" t="s">
        <v>1658</v>
      </c>
      <c r="E1559" s="59" t="s">
        <v>1577</v>
      </c>
      <c r="F1559" s="59" t="s">
        <v>2275</v>
      </c>
      <c r="G1559" s="59" t="s">
        <v>3589</v>
      </c>
      <c r="H1559" s="59" t="s">
        <v>2281</v>
      </c>
      <c r="I1559" s="59" t="b">
        <v>1</v>
      </c>
      <c r="J1559" s="59"/>
      <c r="K1559" s="58">
        <v>1843</v>
      </c>
      <c r="L1559" s="58">
        <v>1342</v>
      </c>
      <c r="M1559" s="59">
        <v>10</v>
      </c>
      <c r="N1559" s="59">
        <v>10</v>
      </c>
      <c r="O1559" s="59" t="s">
        <v>3578</v>
      </c>
      <c r="P1559" s="58">
        <v>107</v>
      </c>
      <c r="Q1559" s="59">
        <v>0</v>
      </c>
      <c r="R1559" s="59">
        <v>0</v>
      </c>
      <c r="S1559" s="60">
        <f>tblJTL[[#This Row],[timeStamp]]/86400000+DATE(1970,1,1)+TIME(9,0,0)</f>
        <v>46296.42124585648</v>
      </c>
      <c r="T1559" s="57">
        <f>tblJTL[[#This Row],[timeStamp]]+tblJTL[[#This Row],[elapsed]]</f>
        <v>1790816795752</v>
      </c>
      <c r="U1559" s="61">
        <f>(tblJTL[[#This Row],[timeStamp]]-'17_分析サンプル'!$E$18)/1000</f>
        <v>395.46199999999999</v>
      </c>
      <c r="V1559" s="57">
        <f>INT(tblJTL[[#This Row],[経過秒]]/60)</f>
        <v>6</v>
      </c>
      <c r="W1559" s="57">
        <f>IF(OR(tblJTL[[#This Row],[success]]=FALSE,tblJTL[[#This Row],[success]]="false"),1,0)</f>
        <v>0</v>
      </c>
      <c r="X1559" s="57">
        <f>IF(AND(tblJTL[[#This Row],[経過秒]]&gt;='17_分析サンプル'!$E$11,tblJTL[[#This Row],[経過秒]]&lt;'17_分析サンプル'!$E$12),1,0)</f>
        <v>1</v>
      </c>
    </row>
    <row r="1560" spans="2:24" ht="14.4" x14ac:dyDescent="0.3">
      <c r="B1560" s="57">
        <v>1790816795669</v>
      </c>
      <c r="C1560" s="58">
        <v>147</v>
      </c>
      <c r="D1560" s="59" t="s">
        <v>1677</v>
      </c>
      <c r="E1560" s="59" t="s">
        <v>3579</v>
      </c>
      <c r="F1560" s="59" t="s">
        <v>3580</v>
      </c>
      <c r="G1560" s="59" t="s">
        <v>2278</v>
      </c>
      <c r="H1560" s="59" t="s">
        <v>2281</v>
      </c>
      <c r="I1560" s="59" t="b">
        <v>1</v>
      </c>
      <c r="J1560" s="59"/>
      <c r="K1560" s="58">
        <v>417</v>
      </c>
      <c r="L1560" s="58">
        <v>1478</v>
      </c>
      <c r="M1560" s="59">
        <v>10</v>
      </c>
      <c r="N1560" s="59">
        <v>10</v>
      </c>
      <c r="O1560" s="59" t="s">
        <v>3581</v>
      </c>
      <c r="P1560" s="58">
        <v>143</v>
      </c>
      <c r="Q1560" s="59">
        <v>0</v>
      </c>
      <c r="R1560" s="59">
        <v>0</v>
      </c>
      <c r="S1560" s="60">
        <f>tblJTL[[#This Row],[timeStamp]]/86400000+DATE(1970,1,1)+TIME(9,0,0)</f>
        <v>46296.421246168982</v>
      </c>
      <c r="T1560" s="57">
        <f>tblJTL[[#This Row],[timeStamp]]+tblJTL[[#This Row],[elapsed]]</f>
        <v>1790816795816</v>
      </c>
      <c r="U1560" s="61">
        <f>(tblJTL[[#This Row],[timeStamp]]-'17_分析サンプル'!$E$18)/1000</f>
        <v>395.48899999999998</v>
      </c>
      <c r="V1560" s="57">
        <f>INT(tblJTL[[#This Row],[経過秒]]/60)</f>
        <v>6</v>
      </c>
      <c r="W1560" s="57">
        <f>IF(OR(tblJTL[[#This Row],[success]]=FALSE,tblJTL[[#This Row],[success]]="false"),1,0)</f>
        <v>0</v>
      </c>
      <c r="X1560" s="57">
        <f>IF(AND(tblJTL[[#This Row],[経過秒]]&gt;='17_分析サンプル'!$E$11,tblJTL[[#This Row],[経過秒]]&lt;'17_分析サンプル'!$E$12),1,0)</f>
        <v>1</v>
      </c>
    </row>
    <row r="1561" spans="2:24" ht="14.4" x14ac:dyDescent="0.3">
      <c r="B1561" s="57">
        <v>1790816795672</v>
      </c>
      <c r="C1561" s="58">
        <v>318</v>
      </c>
      <c r="D1561" s="59" t="s">
        <v>1677</v>
      </c>
      <c r="E1561" s="59" t="s">
        <v>3579</v>
      </c>
      <c r="F1561" s="59" t="s">
        <v>3580</v>
      </c>
      <c r="G1561" s="59" t="s">
        <v>3583</v>
      </c>
      <c r="H1561" s="59" t="s">
        <v>2281</v>
      </c>
      <c r="I1561" s="59" t="b">
        <v>1</v>
      </c>
      <c r="J1561" s="59"/>
      <c r="K1561" s="58">
        <v>438</v>
      </c>
      <c r="L1561" s="58">
        <v>1478</v>
      </c>
      <c r="M1561" s="59">
        <v>10</v>
      </c>
      <c r="N1561" s="59">
        <v>10</v>
      </c>
      <c r="O1561" s="59" t="s">
        <v>3581</v>
      </c>
      <c r="P1561" s="58">
        <v>313</v>
      </c>
      <c r="Q1561" s="59">
        <v>0</v>
      </c>
      <c r="R1561" s="59">
        <v>0</v>
      </c>
      <c r="S1561" s="60">
        <f>tblJTL[[#This Row],[timeStamp]]/86400000+DATE(1970,1,1)+TIME(9,0,0)</f>
        <v>46296.421246203703</v>
      </c>
      <c r="T1561" s="57">
        <f>tblJTL[[#This Row],[timeStamp]]+tblJTL[[#This Row],[elapsed]]</f>
        <v>1790816795990</v>
      </c>
      <c r="U1561" s="61">
        <f>(tblJTL[[#This Row],[timeStamp]]-'17_分析サンプル'!$E$18)/1000</f>
        <v>395.49200000000002</v>
      </c>
      <c r="V1561" s="57">
        <f>INT(tblJTL[[#This Row],[経過秒]]/60)</f>
        <v>6</v>
      </c>
      <c r="W1561" s="57">
        <f>IF(OR(tblJTL[[#This Row],[success]]=FALSE,tblJTL[[#This Row],[success]]="false"),1,0)</f>
        <v>0</v>
      </c>
      <c r="X1561" s="57">
        <f>IF(AND(tblJTL[[#This Row],[経過秒]]&gt;='17_分析サンプル'!$E$11,tblJTL[[#This Row],[経過秒]]&lt;'17_分析サンプル'!$E$12),1,0)</f>
        <v>1</v>
      </c>
    </row>
    <row r="1562" spans="2:24" ht="14.4" x14ac:dyDescent="0.3">
      <c r="B1562" s="57">
        <v>1790816796088</v>
      </c>
      <c r="C1562" s="58">
        <v>90</v>
      </c>
      <c r="D1562" s="59" t="s">
        <v>1658</v>
      </c>
      <c r="E1562" s="59" t="s">
        <v>1577</v>
      </c>
      <c r="F1562" s="59" t="s">
        <v>2275</v>
      </c>
      <c r="G1562" s="59" t="s">
        <v>3587</v>
      </c>
      <c r="H1562" s="59" t="s">
        <v>2281</v>
      </c>
      <c r="I1562" s="59" t="b">
        <v>1</v>
      </c>
      <c r="J1562" s="59"/>
      <c r="K1562" s="58">
        <v>1853</v>
      </c>
      <c r="L1562" s="58">
        <v>1342</v>
      </c>
      <c r="M1562" s="59">
        <v>10</v>
      </c>
      <c r="N1562" s="59">
        <v>10</v>
      </c>
      <c r="O1562" s="59" t="s">
        <v>3578</v>
      </c>
      <c r="P1562" s="58">
        <v>87</v>
      </c>
      <c r="Q1562" s="59">
        <v>0</v>
      </c>
      <c r="R1562" s="59">
        <v>0</v>
      </c>
      <c r="S1562" s="60">
        <f>tblJTL[[#This Row],[timeStamp]]/86400000+DATE(1970,1,1)+TIME(9,0,0)</f>
        <v>46296.421251018517</v>
      </c>
      <c r="T1562" s="57">
        <f>tblJTL[[#This Row],[timeStamp]]+tblJTL[[#This Row],[elapsed]]</f>
        <v>1790816796178</v>
      </c>
      <c r="U1562" s="61">
        <f>(tblJTL[[#This Row],[timeStamp]]-'17_分析サンプル'!$E$18)/1000</f>
        <v>395.90800000000002</v>
      </c>
      <c r="V1562" s="57">
        <f>INT(tblJTL[[#This Row],[経過秒]]/60)</f>
        <v>6</v>
      </c>
      <c r="W1562" s="57">
        <f>IF(OR(tblJTL[[#This Row],[success]]=FALSE,tblJTL[[#This Row],[success]]="false"),1,0)</f>
        <v>0</v>
      </c>
      <c r="X1562" s="57">
        <f>IF(AND(tblJTL[[#This Row],[経過秒]]&gt;='17_分析サンプル'!$E$11,tblJTL[[#This Row],[経過秒]]&lt;'17_分析サンプル'!$E$12),1,0)</f>
        <v>1</v>
      </c>
    </row>
    <row r="1563" spans="2:24" ht="14.4" x14ac:dyDescent="0.3">
      <c r="B1563" s="57">
        <v>1790816796227</v>
      </c>
      <c r="C1563" s="58">
        <v>113</v>
      </c>
      <c r="D1563" s="59" t="s">
        <v>1658</v>
      </c>
      <c r="E1563" s="59" t="s">
        <v>1577</v>
      </c>
      <c r="F1563" s="59" t="s">
        <v>2275</v>
      </c>
      <c r="G1563" s="59" t="s">
        <v>3585</v>
      </c>
      <c r="H1563" s="59" t="s">
        <v>2281</v>
      </c>
      <c r="I1563" s="59" t="b">
        <v>1</v>
      </c>
      <c r="J1563" s="59"/>
      <c r="K1563" s="58">
        <v>1879</v>
      </c>
      <c r="L1563" s="58">
        <v>1342</v>
      </c>
      <c r="M1563" s="59">
        <v>10</v>
      </c>
      <c r="N1563" s="59">
        <v>10</v>
      </c>
      <c r="O1563" s="59" t="s">
        <v>3578</v>
      </c>
      <c r="P1563" s="58">
        <v>106</v>
      </c>
      <c r="Q1563" s="59">
        <v>0</v>
      </c>
      <c r="R1563" s="59">
        <v>0</v>
      </c>
      <c r="S1563" s="60">
        <f>tblJTL[[#This Row],[timeStamp]]/86400000+DATE(1970,1,1)+TIME(9,0,0)</f>
        <v>46296.421252627319</v>
      </c>
      <c r="T1563" s="57">
        <f>tblJTL[[#This Row],[timeStamp]]+tblJTL[[#This Row],[elapsed]]</f>
        <v>1790816796340</v>
      </c>
      <c r="U1563" s="61">
        <f>(tblJTL[[#This Row],[timeStamp]]-'17_分析サンプル'!$E$18)/1000</f>
        <v>396.04700000000003</v>
      </c>
      <c r="V1563" s="57">
        <f>INT(tblJTL[[#This Row],[経過秒]]/60)</f>
        <v>6</v>
      </c>
      <c r="W1563" s="57">
        <f>IF(OR(tblJTL[[#This Row],[success]]=FALSE,tblJTL[[#This Row],[success]]="false"),1,0)</f>
        <v>0</v>
      </c>
      <c r="X1563" s="57">
        <f>IF(AND(tblJTL[[#This Row],[経過秒]]&gt;='17_分析サンプル'!$E$11,tblJTL[[#This Row],[経過秒]]&lt;'17_分析サンプル'!$E$12),1,0)</f>
        <v>1</v>
      </c>
    </row>
    <row r="1564" spans="2:24" ht="14.4" x14ac:dyDescent="0.3">
      <c r="B1564" s="57">
        <v>1790816796128</v>
      </c>
      <c r="C1564" s="58">
        <v>269</v>
      </c>
      <c r="D1564" s="59" t="s">
        <v>1677</v>
      </c>
      <c r="E1564" s="59" t="s">
        <v>3579</v>
      </c>
      <c r="F1564" s="59" t="s">
        <v>3580</v>
      </c>
      <c r="G1564" s="59" t="s">
        <v>3586</v>
      </c>
      <c r="H1564" s="59" t="s">
        <v>2281</v>
      </c>
      <c r="I1564" s="59" t="b">
        <v>1</v>
      </c>
      <c r="J1564" s="59"/>
      <c r="K1564" s="58">
        <v>430</v>
      </c>
      <c r="L1564" s="58">
        <v>1478</v>
      </c>
      <c r="M1564" s="59">
        <v>10</v>
      </c>
      <c r="N1564" s="59">
        <v>10</v>
      </c>
      <c r="O1564" s="59" t="s">
        <v>3581</v>
      </c>
      <c r="P1564" s="58">
        <v>265</v>
      </c>
      <c r="Q1564" s="59">
        <v>0</v>
      </c>
      <c r="R1564" s="59">
        <v>0</v>
      </c>
      <c r="S1564" s="60">
        <f>tblJTL[[#This Row],[timeStamp]]/86400000+DATE(1970,1,1)+TIME(9,0,0)</f>
        <v>46296.421251481486</v>
      </c>
      <c r="T1564" s="57">
        <f>tblJTL[[#This Row],[timeStamp]]+tblJTL[[#This Row],[elapsed]]</f>
        <v>1790816796397</v>
      </c>
      <c r="U1564" s="61">
        <f>(tblJTL[[#This Row],[timeStamp]]-'17_分析サンプル'!$E$18)/1000</f>
        <v>395.94799999999998</v>
      </c>
      <c r="V1564" s="57">
        <f>INT(tblJTL[[#This Row],[経過秒]]/60)</f>
        <v>6</v>
      </c>
      <c r="W1564" s="57">
        <f>IF(OR(tblJTL[[#This Row],[success]]=FALSE,tblJTL[[#This Row],[success]]="false"),1,0)</f>
        <v>0</v>
      </c>
      <c r="X1564" s="57">
        <f>IF(AND(tblJTL[[#This Row],[経過秒]]&gt;='17_分析サンプル'!$E$11,tblJTL[[#This Row],[経過秒]]&lt;'17_分析サンプル'!$E$12),1,0)</f>
        <v>1</v>
      </c>
    </row>
    <row r="1565" spans="2:24" ht="14.4" x14ac:dyDescent="0.3">
      <c r="B1565" s="57">
        <v>1790816796520</v>
      </c>
      <c r="C1565" s="58">
        <v>86</v>
      </c>
      <c r="D1565" s="59" t="s">
        <v>1658</v>
      </c>
      <c r="E1565" s="59" t="s">
        <v>1577</v>
      </c>
      <c r="F1565" s="59" t="s">
        <v>2275</v>
      </c>
      <c r="G1565" s="59" t="s">
        <v>3584</v>
      </c>
      <c r="H1565" s="59" t="s">
        <v>2281</v>
      </c>
      <c r="I1565" s="59" t="b">
        <v>1</v>
      </c>
      <c r="J1565" s="59"/>
      <c r="K1565" s="58">
        <v>1847</v>
      </c>
      <c r="L1565" s="58">
        <v>1342</v>
      </c>
      <c r="M1565" s="59">
        <v>10</v>
      </c>
      <c r="N1565" s="59">
        <v>10</v>
      </c>
      <c r="O1565" s="59" t="s">
        <v>3578</v>
      </c>
      <c r="P1565" s="58">
        <v>82</v>
      </c>
      <c r="Q1565" s="59">
        <v>0</v>
      </c>
      <c r="R1565" s="59">
        <v>0</v>
      </c>
      <c r="S1565" s="60">
        <f>tblJTL[[#This Row],[timeStamp]]/86400000+DATE(1970,1,1)+TIME(9,0,0)</f>
        <v>46296.421256018519</v>
      </c>
      <c r="T1565" s="57">
        <f>tblJTL[[#This Row],[timeStamp]]+tblJTL[[#This Row],[elapsed]]</f>
        <v>1790816796606</v>
      </c>
      <c r="U1565" s="61">
        <f>(tblJTL[[#This Row],[timeStamp]]-'17_分析サンプル'!$E$18)/1000</f>
        <v>396.34</v>
      </c>
      <c r="V1565" s="57">
        <f>INT(tblJTL[[#This Row],[経過秒]]/60)</f>
        <v>6</v>
      </c>
      <c r="W1565" s="57">
        <f>IF(OR(tblJTL[[#This Row],[success]]=FALSE,tblJTL[[#This Row],[success]]="false"),1,0)</f>
        <v>0</v>
      </c>
      <c r="X1565" s="57">
        <f>IF(AND(tblJTL[[#This Row],[経過秒]]&gt;='17_分析サンプル'!$E$11,tblJTL[[#This Row],[経過秒]]&lt;'17_分析サンプル'!$E$12),1,0)</f>
        <v>1</v>
      </c>
    </row>
    <row r="1566" spans="2:24" ht="14.4" x14ac:dyDescent="0.3">
      <c r="B1566" s="57">
        <v>1790816796565</v>
      </c>
      <c r="C1566" s="58">
        <v>328</v>
      </c>
      <c r="D1566" s="59" t="s">
        <v>1677</v>
      </c>
      <c r="E1566" s="59" t="s">
        <v>3579</v>
      </c>
      <c r="F1566" s="59" t="s">
        <v>3580</v>
      </c>
      <c r="G1566" s="59" t="s">
        <v>3582</v>
      </c>
      <c r="H1566" s="59" t="s">
        <v>2281</v>
      </c>
      <c r="I1566" s="59" t="b">
        <v>1</v>
      </c>
      <c r="J1566" s="59"/>
      <c r="K1566" s="58">
        <v>428</v>
      </c>
      <c r="L1566" s="58">
        <v>1478</v>
      </c>
      <c r="M1566" s="59">
        <v>10</v>
      </c>
      <c r="N1566" s="59">
        <v>10</v>
      </c>
      <c r="O1566" s="59" t="s">
        <v>3581</v>
      </c>
      <c r="P1566" s="58">
        <v>322</v>
      </c>
      <c r="Q1566" s="59">
        <v>0</v>
      </c>
      <c r="R1566" s="59">
        <v>0</v>
      </c>
      <c r="S1566" s="60">
        <f>tblJTL[[#This Row],[timeStamp]]/86400000+DATE(1970,1,1)+TIME(9,0,0)</f>
        <v>46296.421256539354</v>
      </c>
      <c r="T1566" s="57">
        <f>tblJTL[[#This Row],[timeStamp]]+tblJTL[[#This Row],[elapsed]]</f>
        <v>1790816796893</v>
      </c>
      <c r="U1566" s="61">
        <f>(tblJTL[[#This Row],[timeStamp]]-'17_分析サンプル'!$E$18)/1000</f>
        <v>396.38499999999999</v>
      </c>
      <c r="V1566" s="57">
        <f>INT(tblJTL[[#This Row],[経過秒]]/60)</f>
        <v>6</v>
      </c>
      <c r="W1566" s="57">
        <f>IF(OR(tblJTL[[#This Row],[success]]=FALSE,tblJTL[[#This Row],[success]]="false"),1,0)</f>
        <v>0</v>
      </c>
      <c r="X1566" s="57">
        <f>IF(AND(tblJTL[[#This Row],[経過秒]]&gt;='17_分析サンプル'!$E$11,tblJTL[[#This Row],[経過秒]]&lt;'17_分析サンプル'!$E$12),1,0)</f>
        <v>1</v>
      </c>
    </row>
    <row r="1567" spans="2:24" ht="14.4" x14ac:dyDescent="0.3">
      <c r="B1567" s="57">
        <v>1790816796644</v>
      </c>
      <c r="C1567" s="58">
        <v>263</v>
      </c>
      <c r="D1567" s="59" t="s">
        <v>1677</v>
      </c>
      <c r="E1567" s="59" t="s">
        <v>3579</v>
      </c>
      <c r="F1567" s="59" t="s">
        <v>3580</v>
      </c>
      <c r="G1567" s="59" t="s">
        <v>3577</v>
      </c>
      <c r="H1567" s="59" t="s">
        <v>2281</v>
      </c>
      <c r="I1567" s="59" t="b">
        <v>1</v>
      </c>
      <c r="J1567" s="59"/>
      <c r="K1567" s="58">
        <v>428</v>
      </c>
      <c r="L1567" s="58">
        <v>1478</v>
      </c>
      <c r="M1567" s="59">
        <v>10</v>
      </c>
      <c r="N1567" s="59">
        <v>10</v>
      </c>
      <c r="O1567" s="59" t="s">
        <v>3581</v>
      </c>
      <c r="P1567" s="58">
        <v>255</v>
      </c>
      <c r="Q1567" s="59">
        <v>0</v>
      </c>
      <c r="R1567" s="59">
        <v>0</v>
      </c>
      <c r="S1567" s="60">
        <f>tblJTL[[#This Row],[timeStamp]]/86400000+DATE(1970,1,1)+TIME(9,0,0)</f>
        <v>46296.421257453709</v>
      </c>
      <c r="T1567" s="57">
        <f>tblJTL[[#This Row],[timeStamp]]+tblJTL[[#This Row],[elapsed]]</f>
        <v>1790816796907</v>
      </c>
      <c r="U1567" s="61">
        <f>(tblJTL[[#This Row],[timeStamp]]-'17_分析サンプル'!$E$18)/1000</f>
        <v>396.464</v>
      </c>
      <c r="V1567" s="57">
        <f>INT(tblJTL[[#This Row],[経過秒]]/60)</f>
        <v>6</v>
      </c>
      <c r="W1567" s="57">
        <f>IF(OR(tblJTL[[#This Row],[success]]=FALSE,tblJTL[[#This Row],[success]]="false"),1,0)</f>
        <v>0</v>
      </c>
      <c r="X1567" s="57">
        <f>IF(AND(tblJTL[[#This Row],[経過秒]]&gt;='17_分析サンプル'!$E$11,tblJTL[[#This Row],[経過秒]]&lt;'17_分析サンプル'!$E$12),1,0)</f>
        <v>1</v>
      </c>
    </row>
    <row r="1568" spans="2:24" ht="14.4" x14ac:dyDescent="0.3">
      <c r="B1568" s="57">
        <v>1790816796565</v>
      </c>
      <c r="C1568" s="58">
        <v>381</v>
      </c>
      <c r="D1568" s="59" t="s">
        <v>1677</v>
      </c>
      <c r="E1568" s="59" t="s">
        <v>3579</v>
      </c>
      <c r="F1568" s="59" t="s">
        <v>3580</v>
      </c>
      <c r="G1568" s="59" t="s">
        <v>3588</v>
      </c>
      <c r="H1568" s="59" t="s">
        <v>2281</v>
      </c>
      <c r="I1568" s="59" t="b">
        <v>1</v>
      </c>
      <c r="J1568" s="59"/>
      <c r="K1568" s="58">
        <v>440</v>
      </c>
      <c r="L1568" s="58">
        <v>1478</v>
      </c>
      <c r="M1568" s="59">
        <v>10</v>
      </c>
      <c r="N1568" s="59">
        <v>10</v>
      </c>
      <c r="O1568" s="59" t="s">
        <v>3581</v>
      </c>
      <c r="P1568" s="58">
        <v>376</v>
      </c>
      <c r="Q1568" s="59">
        <v>0</v>
      </c>
      <c r="R1568" s="59">
        <v>0</v>
      </c>
      <c r="S1568" s="60">
        <f>tblJTL[[#This Row],[timeStamp]]/86400000+DATE(1970,1,1)+TIME(9,0,0)</f>
        <v>46296.421256539354</v>
      </c>
      <c r="T1568" s="57">
        <f>tblJTL[[#This Row],[timeStamp]]+tblJTL[[#This Row],[elapsed]]</f>
        <v>1790816796946</v>
      </c>
      <c r="U1568" s="61">
        <f>(tblJTL[[#This Row],[timeStamp]]-'17_分析サンプル'!$E$18)/1000</f>
        <v>396.38499999999999</v>
      </c>
      <c r="V1568" s="57">
        <f>INT(tblJTL[[#This Row],[経過秒]]/60)</f>
        <v>6</v>
      </c>
      <c r="W1568" s="57">
        <f>IF(OR(tblJTL[[#This Row],[success]]=FALSE,tblJTL[[#This Row],[success]]="false"),1,0)</f>
        <v>0</v>
      </c>
      <c r="X1568" s="57">
        <f>IF(AND(tblJTL[[#This Row],[経過秒]]&gt;='17_分析サンプル'!$E$11,tblJTL[[#This Row],[経過秒]]&lt;'17_分析サンプル'!$E$12),1,0)</f>
        <v>1</v>
      </c>
    </row>
    <row r="1569" spans="2:24" ht="14.4" x14ac:dyDescent="0.3">
      <c r="B1569" s="57">
        <v>1790816796893</v>
      </c>
      <c r="C1569" s="58">
        <v>92</v>
      </c>
      <c r="D1569" s="59" t="s">
        <v>1658</v>
      </c>
      <c r="E1569" s="59" t="s">
        <v>1577</v>
      </c>
      <c r="F1569" s="59" t="s">
        <v>2275</v>
      </c>
      <c r="G1569" s="59" t="s">
        <v>2278</v>
      </c>
      <c r="H1569" s="59" t="s">
        <v>2281</v>
      </c>
      <c r="I1569" s="59" t="b">
        <v>1</v>
      </c>
      <c r="J1569" s="59"/>
      <c r="K1569" s="58">
        <v>1845</v>
      </c>
      <c r="L1569" s="58">
        <v>1342</v>
      </c>
      <c r="M1569" s="59">
        <v>10</v>
      </c>
      <c r="N1569" s="59">
        <v>10</v>
      </c>
      <c r="O1569" s="59" t="s">
        <v>3578</v>
      </c>
      <c r="P1569" s="58">
        <v>87</v>
      </c>
      <c r="Q1569" s="59">
        <v>0</v>
      </c>
      <c r="R1569" s="59">
        <v>0</v>
      </c>
      <c r="S1569" s="60">
        <f>tblJTL[[#This Row],[timeStamp]]/86400000+DATE(1970,1,1)+TIME(9,0,0)</f>
        <v>46296.421260335643</v>
      </c>
      <c r="T1569" s="57">
        <f>tblJTL[[#This Row],[timeStamp]]+tblJTL[[#This Row],[elapsed]]</f>
        <v>1790816796985</v>
      </c>
      <c r="U1569" s="61">
        <f>(tblJTL[[#This Row],[timeStamp]]-'17_分析サンプル'!$E$18)/1000</f>
        <v>396.71300000000002</v>
      </c>
      <c r="V1569" s="57">
        <f>INT(tblJTL[[#This Row],[経過秒]]/60)</f>
        <v>6</v>
      </c>
      <c r="W1569" s="57">
        <f>IF(OR(tblJTL[[#This Row],[success]]=FALSE,tblJTL[[#This Row],[success]]="false"),1,0)</f>
        <v>0</v>
      </c>
      <c r="X1569" s="57">
        <f>IF(AND(tblJTL[[#This Row],[経過秒]]&gt;='17_分析サンプル'!$E$11,tblJTL[[#This Row],[経過秒]]&lt;'17_分析サンプル'!$E$12),1,0)</f>
        <v>1</v>
      </c>
    </row>
    <row r="1570" spans="2:24" ht="14.4" x14ac:dyDescent="0.3">
      <c r="B1570" s="57">
        <v>1790816797563</v>
      </c>
      <c r="C1570" s="58">
        <v>77</v>
      </c>
      <c r="D1570" s="59" t="s">
        <v>1658</v>
      </c>
      <c r="E1570" s="59" t="s">
        <v>1577</v>
      </c>
      <c r="F1570" s="59" t="s">
        <v>2275</v>
      </c>
      <c r="G1570" s="59" t="s">
        <v>3586</v>
      </c>
      <c r="H1570" s="59" t="s">
        <v>2281</v>
      </c>
      <c r="I1570" s="59" t="b">
        <v>1</v>
      </c>
      <c r="J1570" s="59"/>
      <c r="K1570" s="58">
        <v>1835</v>
      </c>
      <c r="L1570" s="58">
        <v>1342</v>
      </c>
      <c r="M1570" s="59">
        <v>10</v>
      </c>
      <c r="N1570" s="59">
        <v>10</v>
      </c>
      <c r="O1570" s="59" t="s">
        <v>3578</v>
      </c>
      <c r="P1570" s="58">
        <v>75</v>
      </c>
      <c r="Q1570" s="59">
        <v>0</v>
      </c>
      <c r="R1570" s="59">
        <v>0</v>
      </c>
      <c r="S1570" s="60">
        <f>tblJTL[[#This Row],[timeStamp]]/86400000+DATE(1970,1,1)+TIME(9,0,0)</f>
        <v>46296.421268090278</v>
      </c>
      <c r="T1570" s="57">
        <f>tblJTL[[#This Row],[timeStamp]]+tblJTL[[#This Row],[elapsed]]</f>
        <v>1790816797640</v>
      </c>
      <c r="U1570" s="61">
        <f>(tblJTL[[#This Row],[timeStamp]]-'17_分析サンプル'!$E$18)/1000</f>
        <v>397.38299999999998</v>
      </c>
      <c r="V1570" s="57">
        <f>INT(tblJTL[[#This Row],[経過秒]]/60)</f>
        <v>6</v>
      </c>
      <c r="W1570" s="57">
        <f>IF(OR(tblJTL[[#This Row],[success]]=FALSE,tblJTL[[#This Row],[success]]="false"),1,0)</f>
        <v>0</v>
      </c>
      <c r="X1570" s="57">
        <f>IF(AND(tblJTL[[#This Row],[経過秒]]&gt;='17_分析サンプル'!$E$11,tblJTL[[#This Row],[経過秒]]&lt;'17_分析サンプル'!$E$12),1,0)</f>
        <v>1</v>
      </c>
    </row>
    <row r="1571" spans="2:24" ht="14.4" x14ac:dyDescent="0.3">
      <c r="B1571" s="57">
        <v>1790816797407</v>
      </c>
      <c r="C1571" s="58">
        <v>406</v>
      </c>
      <c r="D1571" s="59" t="s">
        <v>1677</v>
      </c>
      <c r="E1571" s="59" t="s">
        <v>3579</v>
      </c>
      <c r="F1571" s="59" t="s">
        <v>3580</v>
      </c>
      <c r="G1571" s="59" t="s">
        <v>3589</v>
      </c>
      <c r="H1571" s="59" t="s">
        <v>2281</v>
      </c>
      <c r="I1571" s="59" t="b">
        <v>1</v>
      </c>
      <c r="J1571" s="59"/>
      <c r="K1571" s="58">
        <v>438</v>
      </c>
      <c r="L1571" s="58">
        <v>1478</v>
      </c>
      <c r="M1571" s="59">
        <v>10</v>
      </c>
      <c r="N1571" s="59">
        <v>10</v>
      </c>
      <c r="O1571" s="59" t="s">
        <v>3581</v>
      </c>
      <c r="P1571" s="58">
        <v>398</v>
      </c>
      <c r="Q1571" s="59">
        <v>0</v>
      </c>
      <c r="R1571" s="59">
        <v>0</v>
      </c>
      <c r="S1571" s="60">
        <f>tblJTL[[#This Row],[timeStamp]]/86400000+DATE(1970,1,1)+TIME(9,0,0)</f>
        <v>46296.421266284728</v>
      </c>
      <c r="T1571" s="57">
        <f>tblJTL[[#This Row],[timeStamp]]+tblJTL[[#This Row],[elapsed]]</f>
        <v>1790816797813</v>
      </c>
      <c r="U1571" s="61">
        <f>(tblJTL[[#This Row],[timeStamp]]-'17_分析サンプル'!$E$18)/1000</f>
        <v>397.22699999999998</v>
      </c>
      <c r="V1571" s="57">
        <f>INT(tblJTL[[#This Row],[経過秒]]/60)</f>
        <v>6</v>
      </c>
      <c r="W1571" s="57">
        <f>IF(OR(tblJTL[[#This Row],[success]]=FALSE,tblJTL[[#This Row],[success]]="false"),1,0)</f>
        <v>0</v>
      </c>
      <c r="X1571" s="57">
        <f>IF(AND(tblJTL[[#This Row],[経過秒]]&gt;='17_分析サンプル'!$E$11,tblJTL[[#This Row],[経過秒]]&lt;'17_分析サンプル'!$E$12),1,0)</f>
        <v>1</v>
      </c>
    </row>
    <row r="1572" spans="2:24" ht="14.4" x14ac:dyDescent="0.3">
      <c r="B1572" s="57">
        <v>1790816798222</v>
      </c>
      <c r="C1572" s="58">
        <v>105</v>
      </c>
      <c r="D1572" s="59" t="s">
        <v>1658</v>
      </c>
      <c r="E1572" s="59" t="s">
        <v>1577</v>
      </c>
      <c r="F1572" s="59" t="s">
        <v>2275</v>
      </c>
      <c r="G1572" s="59" t="s">
        <v>3583</v>
      </c>
      <c r="H1572" s="59" t="s">
        <v>2281</v>
      </c>
      <c r="I1572" s="59" t="b">
        <v>1</v>
      </c>
      <c r="J1572" s="59"/>
      <c r="K1572" s="58">
        <v>1900</v>
      </c>
      <c r="L1572" s="58">
        <v>1342</v>
      </c>
      <c r="M1572" s="59">
        <v>10</v>
      </c>
      <c r="N1572" s="59">
        <v>10</v>
      </c>
      <c r="O1572" s="59" t="s">
        <v>3578</v>
      </c>
      <c r="P1572" s="58">
        <v>102</v>
      </c>
      <c r="Q1572" s="59">
        <v>0</v>
      </c>
      <c r="R1572" s="59">
        <v>0</v>
      </c>
      <c r="S1572" s="60">
        <f>tblJTL[[#This Row],[timeStamp]]/86400000+DATE(1970,1,1)+TIME(9,0,0)</f>
        <v>46296.421275717592</v>
      </c>
      <c r="T1572" s="57">
        <f>tblJTL[[#This Row],[timeStamp]]+tblJTL[[#This Row],[elapsed]]</f>
        <v>1790816798327</v>
      </c>
      <c r="U1572" s="61">
        <f>(tblJTL[[#This Row],[timeStamp]]-'17_分析サンプル'!$E$18)/1000</f>
        <v>398.04199999999997</v>
      </c>
      <c r="V1572" s="57">
        <f>INT(tblJTL[[#This Row],[経過秒]]/60)</f>
        <v>6</v>
      </c>
      <c r="W1572" s="57">
        <f>IF(OR(tblJTL[[#This Row],[success]]=FALSE,tblJTL[[#This Row],[success]]="false"),1,0)</f>
        <v>0</v>
      </c>
      <c r="X1572" s="57">
        <f>IF(AND(tblJTL[[#This Row],[経過秒]]&gt;='17_分析サンプル'!$E$11,tblJTL[[#This Row],[経過秒]]&lt;'17_分析サンプル'!$E$12),1,0)</f>
        <v>1</v>
      </c>
    </row>
    <row r="1573" spans="2:24" ht="14.4" x14ac:dyDescent="0.3">
      <c r="B1573" s="57">
        <v>1790816798474</v>
      </c>
      <c r="C1573" s="58">
        <v>219</v>
      </c>
      <c r="D1573" s="59" t="s">
        <v>1677</v>
      </c>
      <c r="E1573" s="59" t="s">
        <v>3579</v>
      </c>
      <c r="F1573" s="59" t="s">
        <v>3580</v>
      </c>
      <c r="G1573" s="59" t="s">
        <v>3584</v>
      </c>
      <c r="H1573" s="59" t="s">
        <v>2281</v>
      </c>
      <c r="I1573" s="59" t="b">
        <v>1</v>
      </c>
      <c r="J1573" s="59"/>
      <c r="K1573" s="58">
        <v>417</v>
      </c>
      <c r="L1573" s="58">
        <v>1478</v>
      </c>
      <c r="M1573" s="59">
        <v>10</v>
      </c>
      <c r="N1573" s="59">
        <v>10</v>
      </c>
      <c r="O1573" s="59" t="s">
        <v>3581</v>
      </c>
      <c r="P1573" s="58">
        <v>211</v>
      </c>
      <c r="Q1573" s="59">
        <v>0</v>
      </c>
      <c r="R1573" s="59">
        <v>0</v>
      </c>
      <c r="S1573" s="60">
        <f>tblJTL[[#This Row],[timeStamp]]/86400000+DATE(1970,1,1)+TIME(9,0,0)</f>
        <v>46296.421278634254</v>
      </c>
      <c r="T1573" s="57">
        <f>tblJTL[[#This Row],[timeStamp]]+tblJTL[[#This Row],[elapsed]]</f>
        <v>1790816798693</v>
      </c>
      <c r="U1573" s="61">
        <f>(tblJTL[[#This Row],[timeStamp]]-'17_分析サンプル'!$E$18)/1000</f>
        <v>398.29399999999998</v>
      </c>
      <c r="V1573" s="57">
        <f>INT(tblJTL[[#This Row],[経過秒]]/60)</f>
        <v>6</v>
      </c>
      <c r="W1573" s="57">
        <f>IF(OR(tblJTL[[#This Row],[success]]=FALSE,tblJTL[[#This Row],[success]]="false"),1,0)</f>
        <v>0</v>
      </c>
      <c r="X1573" s="57">
        <f>IF(AND(tblJTL[[#This Row],[経過秒]]&gt;='17_分析サンプル'!$E$11,tblJTL[[#This Row],[経過秒]]&lt;'17_分析サンプル'!$E$12),1,0)</f>
        <v>1</v>
      </c>
    </row>
    <row r="1574" spans="2:24" ht="14.4" x14ac:dyDescent="0.3">
      <c r="B1574" s="57">
        <v>1790816798578</v>
      </c>
      <c r="C1574" s="58">
        <v>137</v>
      </c>
      <c r="D1574" s="59" t="s">
        <v>1677</v>
      </c>
      <c r="E1574" s="59" t="s">
        <v>3579</v>
      </c>
      <c r="F1574" s="59" t="s">
        <v>3580</v>
      </c>
      <c r="G1574" s="59" t="s">
        <v>3587</v>
      </c>
      <c r="H1574" s="59" t="s">
        <v>2281</v>
      </c>
      <c r="I1574" s="59" t="b">
        <v>1</v>
      </c>
      <c r="J1574" s="59"/>
      <c r="K1574" s="58">
        <v>427</v>
      </c>
      <c r="L1574" s="58">
        <v>1478</v>
      </c>
      <c r="M1574" s="59">
        <v>10</v>
      </c>
      <c r="N1574" s="59">
        <v>10</v>
      </c>
      <c r="O1574" s="59" t="s">
        <v>3581</v>
      </c>
      <c r="P1574" s="58">
        <v>133</v>
      </c>
      <c r="Q1574" s="59">
        <v>0</v>
      </c>
      <c r="R1574" s="59">
        <v>0</v>
      </c>
      <c r="S1574" s="60">
        <f>tblJTL[[#This Row],[timeStamp]]/86400000+DATE(1970,1,1)+TIME(9,0,0)</f>
        <v>46296.421279837959</v>
      </c>
      <c r="T1574" s="57">
        <f>tblJTL[[#This Row],[timeStamp]]+tblJTL[[#This Row],[elapsed]]</f>
        <v>1790816798715</v>
      </c>
      <c r="U1574" s="61">
        <f>(tblJTL[[#This Row],[timeStamp]]-'17_分析サンプル'!$E$18)/1000</f>
        <v>398.39800000000002</v>
      </c>
      <c r="V1574" s="57">
        <f>INT(tblJTL[[#This Row],[経過秒]]/60)</f>
        <v>6</v>
      </c>
      <c r="W1574" s="57">
        <f>IF(OR(tblJTL[[#This Row],[success]]=FALSE,tblJTL[[#This Row],[success]]="false"),1,0)</f>
        <v>0</v>
      </c>
      <c r="X1574" s="57">
        <f>IF(AND(tblJTL[[#This Row],[経過秒]]&gt;='17_分析サンプル'!$E$11,tblJTL[[#This Row],[経過秒]]&lt;'17_分析サンプル'!$E$12),1,0)</f>
        <v>1</v>
      </c>
    </row>
    <row r="1575" spans="2:24" ht="14.4" x14ac:dyDescent="0.3">
      <c r="B1575" s="57">
        <v>1790816798947</v>
      </c>
      <c r="C1575" s="58">
        <v>283</v>
      </c>
      <c r="D1575" s="59" t="s">
        <v>1658</v>
      </c>
      <c r="E1575" s="59" t="s">
        <v>1577</v>
      </c>
      <c r="F1575" s="59" t="s">
        <v>2275</v>
      </c>
      <c r="G1575" s="59" t="s">
        <v>3582</v>
      </c>
      <c r="H1575" s="59" t="s">
        <v>2281</v>
      </c>
      <c r="I1575" s="59" t="b">
        <v>1</v>
      </c>
      <c r="J1575" s="59"/>
      <c r="K1575" s="58">
        <v>1866</v>
      </c>
      <c r="L1575" s="58">
        <v>1342</v>
      </c>
      <c r="M1575" s="59">
        <v>10</v>
      </c>
      <c r="N1575" s="59">
        <v>10</v>
      </c>
      <c r="O1575" s="59" t="s">
        <v>3578</v>
      </c>
      <c r="P1575" s="58">
        <v>278</v>
      </c>
      <c r="Q1575" s="59">
        <v>0</v>
      </c>
      <c r="R1575" s="59">
        <v>0</v>
      </c>
      <c r="S1575" s="60">
        <f>tblJTL[[#This Row],[timeStamp]]/86400000+DATE(1970,1,1)+TIME(9,0,0)</f>
        <v>46296.421284108801</v>
      </c>
      <c r="T1575" s="57">
        <f>tblJTL[[#This Row],[timeStamp]]+tblJTL[[#This Row],[elapsed]]</f>
        <v>1790816799230</v>
      </c>
      <c r="U1575" s="61">
        <f>(tblJTL[[#This Row],[timeStamp]]-'17_分析サンプル'!$E$18)/1000</f>
        <v>398.767</v>
      </c>
      <c r="V1575" s="57">
        <f>INT(tblJTL[[#This Row],[経過秒]]/60)</f>
        <v>6</v>
      </c>
      <c r="W1575" s="57">
        <f>IF(OR(tblJTL[[#This Row],[success]]=FALSE,tblJTL[[#This Row],[success]]="false"),1,0)</f>
        <v>0</v>
      </c>
      <c r="X1575" s="57">
        <f>IF(AND(tblJTL[[#This Row],[経過秒]]&gt;='17_分析サンプル'!$E$11,tblJTL[[#This Row],[経過秒]]&lt;'17_分析サンプル'!$E$12),1,0)</f>
        <v>1</v>
      </c>
    </row>
    <row r="1576" spans="2:24" ht="14.4" x14ac:dyDescent="0.3">
      <c r="B1576" s="57">
        <v>1790816799193</v>
      </c>
      <c r="C1576" s="58">
        <v>165</v>
      </c>
      <c r="D1576" s="59" t="s">
        <v>1677</v>
      </c>
      <c r="E1576" s="59" t="s">
        <v>3579</v>
      </c>
      <c r="F1576" s="59" t="s">
        <v>3580</v>
      </c>
      <c r="G1576" s="59" t="s">
        <v>2278</v>
      </c>
      <c r="H1576" s="59" t="s">
        <v>2281</v>
      </c>
      <c r="I1576" s="59" t="b">
        <v>1</v>
      </c>
      <c r="J1576" s="59"/>
      <c r="K1576" s="58">
        <v>426</v>
      </c>
      <c r="L1576" s="58">
        <v>1478</v>
      </c>
      <c r="M1576" s="59">
        <v>10</v>
      </c>
      <c r="N1576" s="59">
        <v>10</v>
      </c>
      <c r="O1576" s="59" t="s">
        <v>3581</v>
      </c>
      <c r="P1576" s="58">
        <v>161</v>
      </c>
      <c r="Q1576" s="59">
        <v>0</v>
      </c>
      <c r="R1576" s="59">
        <v>0</v>
      </c>
      <c r="S1576" s="60">
        <f>tblJTL[[#This Row],[timeStamp]]/86400000+DATE(1970,1,1)+TIME(9,0,0)</f>
        <v>46296.421286956014</v>
      </c>
      <c r="T1576" s="57">
        <f>tblJTL[[#This Row],[timeStamp]]+tblJTL[[#This Row],[elapsed]]</f>
        <v>1790816799358</v>
      </c>
      <c r="U1576" s="61">
        <f>(tblJTL[[#This Row],[timeStamp]]-'17_分析サンプル'!$E$18)/1000</f>
        <v>399.01299999999998</v>
      </c>
      <c r="V1576" s="57">
        <f>INT(tblJTL[[#This Row],[経過秒]]/60)</f>
        <v>6</v>
      </c>
      <c r="W1576" s="57">
        <f>IF(OR(tblJTL[[#This Row],[success]]=FALSE,tblJTL[[#This Row],[success]]="false"),1,0)</f>
        <v>0</v>
      </c>
      <c r="X1576" s="57">
        <f>IF(AND(tblJTL[[#This Row],[経過秒]]&gt;='17_分析サンプル'!$E$11,tblJTL[[#This Row],[経過秒]]&lt;'17_分析サンプル'!$E$12),1,0)</f>
        <v>1</v>
      </c>
    </row>
    <row r="1577" spans="2:24" ht="14.4" x14ac:dyDescent="0.3">
      <c r="B1577" s="57">
        <v>1790816799079</v>
      </c>
      <c r="C1577" s="58">
        <v>313</v>
      </c>
      <c r="D1577" s="59" t="s">
        <v>1677</v>
      </c>
      <c r="E1577" s="59" t="s">
        <v>3579</v>
      </c>
      <c r="F1577" s="59" t="s">
        <v>3580</v>
      </c>
      <c r="G1577" s="59" t="s">
        <v>3585</v>
      </c>
      <c r="H1577" s="59" t="s">
        <v>2281</v>
      </c>
      <c r="I1577" s="59" t="b">
        <v>1</v>
      </c>
      <c r="J1577" s="59"/>
      <c r="K1577" s="58">
        <v>426</v>
      </c>
      <c r="L1577" s="58">
        <v>1478</v>
      </c>
      <c r="M1577" s="59">
        <v>10</v>
      </c>
      <c r="N1577" s="59">
        <v>10</v>
      </c>
      <c r="O1577" s="59" t="s">
        <v>3581</v>
      </c>
      <c r="P1577" s="58">
        <v>309</v>
      </c>
      <c r="Q1577" s="59">
        <v>0</v>
      </c>
      <c r="R1577" s="59">
        <v>0</v>
      </c>
      <c r="S1577" s="60">
        <f>tblJTL[[#This Row],[timeStamp]]/86400000+DATE(1970,1,1)+TIME(9,0,0)</f>
        <v>46296.421285636578</v>
      </c>
      <c r="T1577" s="57">
        <f>tblJTL[[#This Row],[timeStamp]]+tblJTL[[#This Row],[elapsed]]</f>
        <v>1790816799392</v>
      </c>
      <c r="U1577" s="61">
        <f>(tblJTL[[#This Row],[timeStamp]]-'17_分析サンプル'!$E$18)/1000</f>
        <v>398.899</v>
      </c>
      <c r="V1577" s="57">
        <f>INT(tblJTL[[#This Row],[経過秒]]/60)</f>
        <v>6</v>
      </c>
      <c r="W1577" s="57">
        <f>IF(OR(tblJTL[[#This Row],[success]]=FALSE,tblJTL[[#This Row],[success]]="false"),1,0)</f>
        <v>0</v>
      </c>
      <c r="X1577" s="57">
        <f>IF(AND(tblJTL[[#This Row],[経過秒]]&gt;='17_分析サンプル'!$E$11,tblJTL[[#This Row],[経過秒]]&lt;'17_分析サンプル'!$E$12),1,0)</f>
        <v>1</v>
      </c>
    </row>
    <row r="1578" spans="2:24" ht="14.4" x14ac:dyDescent="0.3">
      <c r="B1578" s="57">
        <v>1790816799399</v>
      </c>
      <c r="C1578" s="58">
        <v>73</v>
      </c>
      <c r="D1578" s="59" t="s">
        <v>1658</v>
      </c>
      <c r="E1578" s="59" t="s">
        <v>1577</v>
      </c>
      <c r="F1578" s="59" t="s">
        <v>2275</v>
      </c>
      <c r="G1578" s="59" t="s">
        <v>3577</v>
      </c>
      <c r="H1578" s="59" t="s">
        <v>2281</v>
      </c>
      <c r="I1578" s="59" t="b">
        <v>1</v>
      </c>
      <c r="J1578" s="59"/>
      <c r="K1578" s="58">
        <v>1848</v>
      </c>
      <c r="L1578" s="58">
        <v>1342</v>
      </c>
      <c r="M1578" s="59">
        <v>10</v>
      </c>
      <c r="N1578" s="59">
        <v>10</v>
      </c>
      <c r="O1578" s="59" t="s">
        <v>3578</v>
      </c>
      <c r="P1578" s="58">
        <v>69</v>
      </c>
      <c r="Q1578" s="59">
        <v>0</v>
      </c>
      <c r="R1578" s="59">
        <v>0</v>
      </c>
      <c r="S1578" s="60">
        <f>tblJTL[[#This Row],[timeStamp]]/86400000+DATE(1970,1,1)+TIME(9,0,0)</f>
        <v>46296.421289340273</v>
      </c>
      <c r="T1578" s="57">
        <f>tblJTL[[#This Row],[timeStamp]]+tblJTL[[#This Row],[elapsed]]</f>
        <v>1790816799472</v>
      </c>
      <c r="U1578" s="61">
        <f>(tblJTL[[#This Row],[timeStamp]]-'17_分析サンプル'!$E$18)/1000</f>
        <v>399.21899999999999</v>
      </c>
      <c r="V1578" s="57">
        <f>INT(tblJTL[[#This Row],[経過秒]]/60)</f>
        <v>6</v>
      </c>
      <c r="W1578" s="57">
        <f>IF(OR(tblJTL[[#This Row],[success]]=FALSE,tblJTL[[#This Row],[success]]="false"),1,0)</f>
        <v>0</v>
      </c>
      <c r="X1578" s="57">
        <f>IF(AND(tblJTL[[#This Row],[経過秒]]&gt;='17_分析サンプル'!$E$11,tblJTL[[#This Row],[経過秒]]&lt;'17_分析サンプル'!$E$12),1,0)</f>
        <v>1</v>
      </c>
    </row>
    <row r="1579" spans="2:24" ht="14.4" x14ac:dyDescent="0.3">
      <c r="B1579" s="57">
        <v>1790816799467</v>
      </c>
      <c r="C1579" s="58">
        <v>77</v>
      </c>
      <c r="D1579" s="59" t="s">
        <v>1658</v>
      </c>
      <c r="E1579" s="59" t="s">
        <v>1577</v>
      </c>
      <c r="F1579" s="59" t="s">
        <v>2275</v>
      </c>
      <c r="G1579" s="59" t="s">
        <v>3588</v>
      </c>
      <c r="H1579" s="59" t="s">
        <v>2281</v>
      </c>
      <c r="I1579" s="59" t="b">
        <v>1</v>
      </c>
      <c r="J1579" s="59"/>
      <c r="K1579" s="58">
        <v>1850</v>
      </c>
      <c r="L1579" s="58">
        <v>1342</v>
      </c>
      <c r="M1579" s="59">
        <v>10</v>
      </c>
      <c r="N1579" s="59">
        <v>10</v>
      </c>
      <c r="O1579" s="59" t="s">
        <v>3578</v>
      </c>
      <c r="P1579" s="58">
        <v>74</v>
      </c>
      <c r="Q1579" s="59">
        <v>0</v>
      </c>
      <c r="R1579" s="59">
        <v>0</v>
      </c>
      <c r="S1579" s="60">
        <f>tblJTL[[#This Row],[timeStamp]]/86400000+DATE(1970,1,1)+TIME(9,0,0)</f>
        <v>46296.421290127313</v>
      </c>
      <c r="T1579" s="57">
        <f>tblJTL[[#This Row],[timeStamp]]+tblJTL[[#This Row],[elapsed]]</f>
        <v>1790816799544</v>
      </c>
      <c r="U1579" s="61">
        <f>(tblJTL[[#This Row],[timeStamp]]-'17_分析サンプル'!$E$18)/1000</f>
        <v>399.28699999999998</v>
      </c>
      <c r="V1579" s="57">
        <f>INT(tblJTL[[#This Row],[経過秒]]/60)</f>
        <v>6</v>
      </c>
      <c r="W1579" s="57">
        <f>IF(OR(tblJTL[[#This Row],[success]]=FALSE,tblJTL[[#This Row],[success]]="false"),1,0)</f>
        <v>0</v>
      </c>
      <c r="X1579" s="57">
        <f>IF(AND(tblJTL[[#This Row],[経過秒]]&gt;='17_分析サンプル'!$E$11,tblJTL[[#This Row],[経過秒]]&lt;'17_分析サンプル'!$E$12),1,0)</f>
        <v>1</v>
      </c>
    </row>
    <row r="1580" spans="2:24" ht="14.4" x14ac:dyDescent="0.3">
      <c r="B1580" s="57">
        <v>1790816799588</v>
      </c>
      <c r="C1580" s="58">
        <v>153</v>
      </c>
      <c r="D1580" s="59" t="s">
        <v>1658</v>
      </c>
      <c r="E1580" s="59" t="s">
        <v>1577</v>
      </c>
      <c r="F1580" s="59" t="s">
        <v>2275</v>
      </c>
      <c r="G1580" s="59" t="s">
        <v>3589</v>
      </c>
      <c r="H1580" s="59" t="s">
        <v>2281</v>
      </c>
      <c r="I1580" s="59" t="b">
        <v>1</v>
      </c>
      <c r="J1580" s="59"/>
      <c r="K1580" s="58">
        <v>1893</v>
      </c>
      <c r="L1580" s="58">
        <v>1342</v>
      </c>
      <c r="M1580" s="59">
        <v>10</v>
      </c>
      <c r="N1580" s="59">
        <v>10</v>
      </c>
      <c r="O1580" s="59" t="s">
        <v>3578</v>
      </c>
      <c r="P1580" s="58">
        <v>150</v>
      </c>
      <c r="Q1580" s="59">
        <v>0</v>
      </c>
      <c r="R1580" s="59">
        <v>0</v>
      </c>
      <c r="S1580" s="60">
        <f>tblJTL[[#This Row],[timeStamp]]/86400000+DATE(1970,1,1)+TIME(9,0,0)</f>
        <v>46296.421291527775</v>
      </c>
      <c r="T1580" s="57">
        <f>tblJTL[[#This Row],[timeStamp]]+tblJTL[[#This Row],[elapsed]]</f>
        <v>1790816799741</v>
      </c>
      <c r="U1580" s="61">
        <f>(tblJTL[[#This Row],[timeStamp]]-'17_分析サンプル'!$E$18)/1000</f>
        <v>399.40800000000002</v>
      </c>
      <c r="V1580" s="57">
        <f>INT(tblJTL[[#This Row],[経過秒]]/60)</f>
        <v>6</v>
      </c>
      <c r="W1580" s="57">
        <f>IF(OR(tblJTL[[#This Row],[success]]=FALSE,tblJTL[[#This Row],[success]]="false"),1,0)</f>
        <v>0</v>
      </c>
      <c r="X1580" s="57">
        <f>IF(AND(tblJTL[[#This Row],[経過秒]]&gt;='17_分析サンプル'!$E$11,tblJTL[[#This Row],[経過秒]]&lt;'17_分析サンプル'!$E$12),1,0)</f>
        <v>1</v>
      </c>
    </row>
    <row r="1581" spans="2:24" ht="14.4" x14ac:dyDescent="0.3">
      <c r="B1581" s="57">
        <v>1790816800004</v>
      </c>
      <c r="C1581" s="58">
        <v>262</v>
      </c>
      <c r="D1581" s="59" t="s">
        <v>1677</v>
      </c>
      <c r="E1581" s="59" t="s">
        <v>3579</v>
      </c>
      <c r="F1581" s="59" t="s">
        <v>3580</v>
      </c>
      <c r="G1581" s="59" t="s">
        <v>3586</v>
      </c>
      <c r="H1581" s="59" t="s">
        <v>2281</v>
      </c>
      <c r="I1581" s="59" t="b">
        <v>1</v>
      </c>
      <c r="J1581" s="59"/>
      <c r="K1581" s="58">
        <v>428</v>
      </c>
      <c r="L1581" s="58">
        <v>1478</v>
      </c>
      <c r="M1581" s="59">
        <v>10</v>
      </c>
      <c r="N1581" s="59">
        <v>10</v>
      </c>
      <c r="O1581" s="59" t="s">
        <v>3581</v>
      </c>
      <c r="P1581" s="58">
        <v>256</v>
      </c>
      <c r="Q1581" s="59">
        <v>0</v>
      </c>
      <c r="R1581" s="59">
        <v>0</v>
      </c>
      <c r="S1581" s="60">
        <f>tblJTL[[#This Row],[timeStamp]]/86400000+DATE(1970,1,1)+TIME(9,0,0)</f>
        <v>46296.421296342596</v>
      </c>
      <c r="T1581" s="57">
        <f>tblJTL[[#This Row],[timeStamp]]+tblJTL[[#This Row],[elapsed]]</f>
        <v>1790816800266</v>
      </c>
      <c r="U1581" s="61">
        <f>(tblJTL[[#This Row],[timeStamp]]-'17_分析サンプル'!$E$18)/1000</f>
        <v>399.82400000000001</v>
      </c>
      <c r="V1581" s="57">
        <f>INT(tblJTL[[#This Row],[経過秒]]/60)</f>
        <v>6</v>
      </c>
      <c r="W1581" s="57">
        <f>IF(OR(tblJTL[[#This Row],[success]]=FALSE,tblJTL[[#This Row],[success]]="false"),1,0)</f>
        <v>0</v>
      </c>
      <c r="X1581" s="57">
        <f>IF(AND(tblJTL[[#This Row],[経過秒]]&gt;='17_分析サンプル'!$E$11,tblJTL[[#This Row],[経過秒]]&lt;'17_分析サンプル'!$E$12),1,0)</f>
        <v>1</v>
      </c>
    </row>
    <row r="1582" spans="2:24" ht="14.4" x14ac:dyDescent="0.3">
      <c r="B1582" s="57">
        <v>1790816800375</v>
      </c>
      <c r="C1582" s="58">
        <v>85</v>
      </c>
      <c r="D1582" s="59" t="s">
        <v>1658</v>
      </c>
      <c r="E1582" s="59" t="s">
        <v>1577</v>
      </c>
      <c r="F1582" s="59" t="s">
        <v>2275</v>
      </c>
      <c r="G1582" s="59" t="s">
        <v>3587</v>
      </c>
      <c r="H1582" s="59" t="s">
        <v>2281</v>
      </c>
      <c r="I1582" s="59" t="b">
        <v>1</v>
      </c>
      <c r="J1582" s="59"/>
      <c r="K1582" s="58">
        <v>1821</v>
      </c>
      <c r="L1582" s="58">
        <v>1342</v>
      </c>
      <c r="M1582" s="59">
        <v>10</v>
      </c>
      <c r="N1582" s="59">
        <v>10</v>
      </c>
      <c r="O1582" s="59" t="s">
        <v>3578</v>
      </c>
      <c r="P1582" s="58">
        <v>77</v>
      </c>
      <c r="Q1582" s="59">
        <v>0</v>
      </c>
      <c r="R1582" s="59">
        <v>0</v>
      </c>
      <c r="S1582" s="60">
        <f>tblJTL[[#This Row],[timeStamp]]/86400000+DATE(1970,1,1)+TIME(9,0,0)</f>
        <v>46296.421300636575</v>
      </c>
      <c r="T1582" s="57">
        <f>tblJTL[[#This Row],[timeStamp]]+tblJTL[[#This Row],[elapsed]]</f>
        <v>1790816800460</v>
      </c>
      <c r="U1582" s="61">
        <f>(tblJTL[[#This Row],[timeStamp]]-'17_分析サンプル'!$E$18)/1000</f>
        <v>400.19499999999999</v>
      </c>
      <c r="V1582" s="57">
        <f>INT(tblJTL[[#This Row],[経過秒]]/60)</f>
        <v>6</v>
      </c>
      <c r="W1582" s="57">
        <f>IF(OR(tblJTL[[#This Row],[success]]=FALSE,tblJTL[[#This Row],[success]]="false"),1,0)</f>
        <v>0</v>
      </c>
      <c r="X1582" s="57">
        <f>IF(AND(tblJTL[[#This Row],[経過秒]]&gt;='17_分析サンプル'!$E$11,tblJTL[[#This Row],[経過秒]]&lt;'17_分析サンプル'!$E$12),1,0)</f>
        <v>1</v>
      </c>
    </row>
    <row r="1583" spans="2:24" ht="14.4" x14ac:dyDescent="0.3">
      <c r="B1583" s="57">
        <v>1790816800653</v>
      </c>
      <c r="C1583" s="58">
        <v>166</v>
      </c>
      <c r="D1583" s="59" t="s">
        <v>1677</v>
      </c>
      <c r="E1583" s="59" t="s">
        <v>3579</v>
      </c>
      <c r="F1583" s="59" t="s">
        <v>3580</v>
      </c>
      <c r="G1583" s="59" t="s">
        <v>3583</v>
      </c>
      <c r="H1583" s="59" t="s">
        <v>2281</v>
      </c>
      <c r="I1583" s="59" t="b">
        <v>1</v>
      </c>
      <c r="J1583" s="59"/>
      <c r="K1583" s="58">
        <v>415</v>
      </c>
      <c r="L1583" s="58">
        <v>1478</v>
      </c>
      <c r="M1583" s="59">
        <v>10</v>
      </c>
      <c r="N1583" s="59">
        <v>10</v>
      </c>
      <c r="O1583" s="59" t="s">
        <v>3581</v>
      </c>
      <c r="P1583" s="58">
        <v>163</v>
      </c>
      <c r="Q1583" s="59">
        <v>0</v>
      </c>
      <c r="R1583" s="59">
        <v>0</v>
      </c>
      <c r="S1583" s="60">
        <f>tblJTL[[#This Row],[timeStamp]]/86400000+DATE(1970,1,1)+TIME(9,0,0)</f>
        <v>46296.421303854164</v>
      </c>
      <c r="T1583" s="57">
        <f>tblJTL[[#This Row],[timeStamp]]+tblJTL[[#This Row],[elapsed]]</f>
        <v>1790816800819</v>
      </c>
      <c r="U1583" s="61">
        <f>(tblJTL[[#This Row],[timeStamp]]-'17_分析サンプル'!$E$18)/1000</f>
        <v>400.47300000000001</v>
      </c>
      <c r="V1583" s="57">
        <f>INT(tblJTL[[#This Row],[経過秒]]/60)</f>
        <v>6</v>
      </c>
      <c r="W1583" s="57">
        <f>IF(OR(tblJTL[[#This Row],[success]]=FALSE,tblJTL[[#This Row],[success]]="false"),1,0)</f>
        <v>0</v>
      </c>
      <c r="X1583" s="57">
        <f>IF(AND(tblJTL[[#This Row],[経過秒]]&gt;='17_分析サンプル'!$E$11,tblJTL[[#This Row],[経過秒]]&lt;'17_分析サンプル'!$E$12),1,0)</f>
        <v>1</v>
      </c>
    </row>
    <row r="1584" spans="2:24" ht="14.4" x14ac:dyDescent="0.3">
      <c r="B1584" s="57">
        <v>1790816800876</v>
      </c>
      <c r="C1584" s="58">
        <v>81</v>
      </c>
      <c r="D1584" s="59" t="s">
        <v>1658</v>
      </c>
      <c r="E1584" s="59" t="s">
        <v>1577</v>
      </c>
      <c r="F1584" s="59" t="s">
        <v>2275</v>
      </c>
      <c r="G1584" s="59" t="s">
        <v>3585</v>
      </c>
      <c r="H1584" s="59" t="s">
        <v>2281</v>
      </c>
      <c r="I1584" s="59" t="b">
        <v>1</v>
      </c>
      <c r="J1584" s="59"/>
      <c r="K1584" s="58">
        <v>1881</v>
      </c>
      <c r="L1584" s="58">
        <v>1342</v>
      </c>
      <c r="M1584" s="59">
        <v>10</v>
      </c>
      <c r="N1584" s="59">
        <v>10</v>
      </c>
      <c r="O1584" s="59" t="s">
        <v>3578</v>
      </c>
      <c r="P1584" s="58">
        <v>76</v>
      </c>
      <c r="Q1584" s="59">
        <v>0</v>
      </c>
      <c r="R1584" s="59">
        <v>0</v>
      </c>
      <c r="S1584" s="60">
        <f>tblJTL[[#This Row],[timeStamp]]/86400000+DATE(1970,1,1)+TIME(9,0,0)</f>
        <v>46296.421306435186</v>
      </c>
      <c r="T1584" s="57">
        <f>tblJTL[[#This Row],[timeStamp]]+tblJTL[[#This Row],[elapsed]]</f>
        <v>1790816800957</v>
      </c>
      <c r="U1584" s="61">
        <f>(tblJTL[[#This Row],[timeStamp]]-'17_分析サンプル'!$E$18)/1000</f>
        <v>400.69600000000003</v>
      </c>
      <c r="V1584" s="57">
        <f>INT(tblJTL[[#This Row],[経過秒]]/60)</f>
        <v>6</v>
      </c>
      <c r="W1584" s="57">
        <f>IF(OR(tblJTL[[#This Row],[success]]=FALSE,tblJTL[[#This Row],[success]]="false"),1,0)</f>
        <v>0</v>
      </c>
      <c r="X1584" s="57">
        <f>IF(AND(tblJTL[[#This Row],[経過秒]]&gt;='17_分析サンプル'!$E$11,tblJTL[[#This Row],[経過秒]]&lt;'17_分析サンプル'!$E$12),1,0)</f>
        <v>1</v>
      </c>
    </row>
    <row r="1585" spans="2:24" ht="14.4" x14ac:dyDescent="0.3">
      <c r="B1585" s="57">
        <v>1790816800789</v>
      </c>
      <c r="C1585" s="58">
        <v>207</v>
      </c>
      <c r="D1585" s="59" t="s">
        <v>1677</v>
      </c>
      <c r="E1585" s="59" t="s">
        <v>3579</v>
      </c>
      <c r="F1585" s="59" t="s">
        <v>3580</v>
      </c>
      <c r="G1585" s="59" t="s">
        <v>3589</v>
      </c>
      <c r="H1585" s="59" t="s">
        <v>2281</v>
      </c>
      <c r="I1585" s="59" t="b">
        <v>1</v>
      </c>
      <c r="J1585" s="59"/>
      <c r="K1585" s="58">
        <v>416</v>
      </c>
      <c r="L1585" s="58">
        <v>1478</v>
      </c>
      <c r="M1585" s="59">
        <v>10</v>
      </c>
      <c r="N1585" s="59">
        <v>10</v>
      </c>
      <c r="O1585" s="59" t="s">
        <v>3581</v>
      </c>
      <c r="P1585" s="58">
        <v>201</v>
      </c>
      <c r="Q1585" s="59">
        <v>0</v>
      </c>
      <c r="R1585" s="59">
        <v>0</v>
      </c>
      <c r="S1585" s="60">
        <f>tblJTL[[#This Row],[timeStamp]]/86400000+DATE(1970,1,1)+TIME(9,0,0)</f>
        <v>46296.421305428245</v>
      </c>
      <c r="T1585" s="57">
        <f>tblJTL[[#This Row],[timeStamp]]+tblJTL[[#This Row],[elapsed]]</f>
        <v>1790816800996</v>
      </c>
      <c r="U1585" s="61">
        <f>(tblJTL[[#This Row],[timeStamp]]-'17_分析サンプル'!$E$18)/1000</f>
        <v>400.60899999999998</v>
      </c>
      <c r="V1585" s="57">
        <f>INT(tblJTL[[#This Row],[経過秒]]/60)</f>
        <v>6</v>
      </c>
      <c r="W1585" s="57">
        <f>IF(OR(tblJTL[[#This Row],[success]]=FALSE,tblJTL[[#This Row],[success]]="false"),1,0)</f>
        <v>0</v>
      </c>
      <c r="X1585" s="57">
        <f>IF(AND(tblJTL[[#This Row],[経過秒]]&gt;='17_分析サンプル'!$E$11,tblJTL[[#This Row],[経過秒]]&lt;'17_分析サンプル'!$E$12),1,0)</f>
        <v>1</v>
      </c>
    </row>
    <row r="1586" spans="2:24" ht="14.4" x14ac:dyDescent="0.3">
      <c r="B1586" s="57">
        <v>1790816800903</v>
      </c>
      <c r="C1586" s="58">
        <v>165</v>
      </c>
      <c r="D1586" s="59" t="s">
        <v>1658</v>
      </c>
      <c r="E1586" s="59" t="s">
        <v>1577</v>
      </c>
      <c r="F1586" s="59" t="s">
        <v>2275</v>
      </c>
      <c r="G1586" s="59" t="s">
        <v>2278</v>
      </c>
      <c r="H1586" s="59" t="s">
        <v>2281</v>
      </c>
      <c r="I1586" s="59" t="b">
        <v>1</v>
      </c>
      <c r="J1586" s="59"/>
      <c r="K1586" s="58">
        <v>1835</v>
      </c>
      <c r="L1586" s="58">
        <v>1342</v>
      </c>
      <c r="M1586" s="59">
        <v>10</v>
      </c>
      <c r="N1586" s="59">
        <v>10</v>
      </c>
      <c r="O1586" s="59" t="s">
        <v>3578</v>
      </c>
      <c r="P1586" s="58">
        <v>163</v>
      </c>
      <c r="Q1586" s="59">
        <v>0</v>
      </c>
      <c r="R1586" s="59">
        <v>0</v>
      </c>
      <c r="S1586" s="60">
        <f>tblJTL[[#This Row],[timeStamp]]/86400000+DATE(1970,1,1)+TIME(9,0,0)</f>
        <v>46296.421306747681</v>
      </c>
      <c r="T1586" s="57">
        <f>tblJTL[[#This Row],[timeStamp]]+tblJTL[[#This Row],[elapsed]]</f>
        <v>1790816801068</v>
      </c>
      <c r="U1586" s="61">
        <f>(tblJTL[[#This Row],[timeStamp]]-'17_分析サンプル'!$E$18)/1000</f>
        <v>400.72300000000001</v>
      </c>
      <c r="V1586" s="57">
        <f>INT(tblJTL[[#This Row],[経過秒]]/60)</f>
        <v>6</v>
      </c>
      <c r="W1586" s="57">
        <f>IF(OR(tblJTL[[#This Row],[success]]=FALSE,tblJTL[[#This Row],[success]]="false"),1,0)</f>
        <v>0</v>
      </c>
      <c r="X1586" s="57">
        <f>IF(AND(tblJTL[[#This Row],[経過秒]]&gt;='17_分析サンプル'!$E$11,tblJTL[[#This Row],[経過秒]]&lt;'17_分析サンプル'!$E$12),1,0)</f>
        <v>1</v>
      </c>
    </row>
    <row r="1587" spans="2:24" ht="14.4" x14ac:dyDescent="0.3">
      <c r="B1587" s="57">
        <v>1790816801004</v>
      </c>
      <c r="C1587" s="58">
        <v>335</v>
      </c>
      <c r="D1587" s="59" t="s">
        <v>1677</v>
      </c>
      <c r="E1587" s="59" t="s">
        <v>3579</v>
      </c>
      <c r="F1587" s="59" t="s">
        <v>3580</v>
      </c>
      <c r="G1587" s="59" t="s">
        <v>3582</v>
      </c>
      <c r="H1587" s="59" t="s">
        <v>2281</v>
      </c>
      <c r="I1587" s="59" t="b">
        <v>1</v>
      </c>
      <c r="J1587" s="59"/>
      <c r="K1587" s="58">
        <v>437</v>
      </c>
      <c r="L1587" s="58">
        <v>1478</v>
      </c>
      <c r="M1587" s="59">
        <v>10</v>
      </c>
      <c r="N1587" s="59">
        <v>10</v>
      </c>
      <c r="O1587" s="59" t="s">
        <v>3581</v>
      </c>
      <c r="P1587" s="58">
        <v>331</v>
      </c>
      <c r="Q1587" s="59">
        <v>0</v>
      </c>
      <c r="R1587" s="59">
        <v>0</v>
      </c>
      <c r="S1587" s="60">
        <f>tblJTL[[#This Row],[timeStamp]]/86400000+DATE(1970,1,1)+TIME(9,0,0)</f>
        <v>46296.421307916666</v>
      </c>
      <c r="T1587" s="57">
        <f>tblJTL[[#This Row],[timeStamp]]+tblJTL[[#This Row],[elapsed]]</f>
        <v>1790816801339</v>
      </c>
      <c r="U1587" s="61">
        <f>(tblJTL[[#This Row],[timeStamp]]-'17_分析サンプル'!$E$18)/1000</f>
        <v>400.82400000000001</v>
      </c>
      <c r="V1587" s="57">
        <f>INT(tblJTL[[#This Row],[経過秒]]/60)</f>
        <v>6</v>
      </c>
      <c r="W1587" s="57">
        <f>IF(OR(tblJTL[[#This Row],[success]]=FALSE,tblJTL[[#This Row],[success]]="false"),1,0)</f>
        <v>0</v>
      </c>
      <c r="X1587" s="57">
        <f>IF(AND(tblJTL[[#This Row],[経過秒]]&gt;='17_分析サンプル'!$E$11,tblJTL[[#This Row],[経過秒]]&lt;'17_分析サンプル'!$E$12),1,0)</f>
        <v>1</v>
      </c>
    </row>
    <row r="1588" spans="2:24" ht="14.4" x14ac:dyDescent="0.3">
      <c r="B1588" s="57">
        <v>1790816801261</v>
      </c>
      <c r="C1588" s="58">
        <v>118</v>
      </c>
      <c r="D1588" s="59" t="s">
        <v>1658</v>
      </c>
      <c r="E1588" s="59" t="s">
        <v>1577</v>
      </c>
      <c r="F1588" s="59" t="s">
        <v>2275</v>
      </c>
      <c r="G1588" s="59" t="s">
        <v>3584</v>
      </c>
      <c r="H1588" s="59" t="s">
        <v>2281</v>
      </c>
      <c r="I1588" s="59" t="b">
        <v>1</v>
      </c>
      <c r="J1588" s="59"/>
      <c r="K1588" s="58">
        <v>1850</v>
      </c>
      <c r="L1588" s="58">
        <v>1342</v>
      </c>
      <c r="M1588" s="59">
        <v>10</v>
      </c>
      <c r="N1588" s="59">
        <v>10</v>
      </c>
      <c r="O1588" s="59" t="s">
        <v>3578</v>
      </c>
      <c r="P1588" s="58">
        <v>113</v>
      </c>
      <c r="Q1588" s="59">
        <v>0</v>
      </c>
      <c r="R1588" s="59">
        <v>0</v>
      </c>
      <c r="S1588" s="60">
        <f>tblJTL[[#This Row],[timeStamp]]/86400000+DATE(1970,1,1)+TIME(9,0,0)</f>
        <v>46296.421310891208</v>
      </c>
      <c r="T1588" s="57">
        <f>tblJTL[[#This Row],[timeStamp]]+tblJTL[[#This Row],[elapsed]]</f>
        <v>1790816801379</v>
      </c>
      <c r="U1588" s="61">
        <f>(tblJTL[[#This Row],[timeStamp]]-'17_分析サンプル'!$E$18)/1000</f>
        <v>401.08100000000002</v>
      </c>
      <c r="V1588" s="57">
        <f>INT(tblJTL[[#This Row],[経過秒]]/60)</f>
        <v>6</v>
      </c>
      <c r="W1588" s="57">
        <f>IF(OR(tblJTL[[#This Row],[success]]=FALSE,tblJTL[[#This Row],[success]]="false"),1,0)</f>
        <v>0</v>
      </c>
      <c r="X1588" s="57">
        <f>IF(AND(tblJTL[[#This Row],[経過秒]]&gt;='17_分析サンプル'!$E$11,tblJTL[[#This Row],[経過秒]]&lt;'17_分析サンプル'!$E$12),1,0)</f>
        <v>1</v>
      </c>
    </row>
    <row r="1589" spans="2:24" ht="14.4" x14ac:dyDescent="0.3">
      <c r="B1589" s="57">
        <v>1790816801790</v>
      </c>
      <c r="C1589" s="58">
        <v>164</v>
      </c>
      <c r="D1589" s="59" t="s">
        <v>1677</v>
      </c>
      <c r="E1589" s="59" t="s">
        <v>3579</v>
      </c>
      <c r="F1589" s="59" t="s">
        <v>3580</v>
      </c>
      <c r="G1589" s="59" t="s">
        <v>3588</v>
      </c>
      <c r="H1589" s="59" t="s">
        <v>2281</v>
      </c>
      <c r="I1589" s="59" t="b">
        <v>1</v>
      </c>
      <c r="J1589" s="59"/>
      <c r="K1589" s="58">
        <v>437</v>
      </c>
      <c r="L1589" s="58">
        <v>1478</v>
      </c>
      <c r="M1589" s="59">
        <v>10</v>
      </c>
      <c r="N1589" s="59">
        <v>10</v>
      </c>
      <c r="O1589" s="59" t="s">
        <v>3581</v>
      </c>
      <c r="P1589" s="58">
        <v>160</v>
      </c>
      <c r="Q1589" s="59">
        <v>0</v>
      </c>
      <c r="R1589" s="59">
        <v>0</v>
      </c>
      <c r="S1589" s="60">
        <f>tblJTL[[#This Row],[timeStamp]]/86400000+DATE(1970,1,1)+TIME(9,0,0)</f>
        <v>46296.42131701389</v>
      </c>
      <c r="T1589" s="57">
        <f>tblJTL[[#This Row],[timeStamp]]+tblJTL[[#This Row],[elapsed]]</f>
        <v>1790816801954</v>
      </c>
      <c r="U1589" s="61">
        <f>(tblJTL[[#This Row],[timeStamp]]-'17_分析サンプル'!$E$18)/1000</f>
        <v>401.61</v>
      </c>
      <c r="V1589" s="57">
        <f>INT(tblJTL[[#This Row],[経過秒]]/60)</f>
        <v>6</v>
      </c>
      <c r="W1589" s="57">
        <f>IF(OR(tblJTL[[#This Row],[success]]=FALSE,tblJTL[[#This Row],[success]]="false"),1,0)</f>
        <v>0</v>
      </c>
      <c r="X1589" s="57">
        <f>IF(AND(tblJTL[[#This Row],[経過秒]]&gt;='17_分析サンプル'!$E$11,tblJTL[[#This Row],[経過秒]]&lt;'17_分析サンプル'!$E$12),1,0)</f>
        <v>1</v>
      </c>
    </row>
    <row r="1590" spans="2:24" ht="14.4" x14ac:dyDescent="0.3">
      <c r="B1590" s="57">
        <v>1790816802129</v>
      </c>
      <c r="C1590" s="58">
        <v>221</v>
      </c>
      <c r="D1590" s="59" t="s">
        <v>1677</v>
      </c>
      <c r="E1590" s="59" t="s">
        <v>3579</v>
      </c>
      <c r="F1590" s="59" t="s">
        <v>3580</v>
      </c>
      <c r="G1590" s="59" t="s">
        <v>3577</v>
      </c>
      <c r="H1590" s="59" t="s">
        <v>2281</v>
      </c>
      <c r="I1590" s="59" t="b">
        <v>1</v>
      </c>
      <c r="J1590" s="59"/>
      <c r="K1590" s="58">
        <v>411</v>
      </c>
      <c r="L1590" s="58">
        <v>1478</v>
      </c>
      <c r="M1590" s="59">
        <v>10</v>
      </c>
      <c r="N1590" s="59">
        <v>10</v>
      </c>
      <c r="O1590" s="59" t="s">
        <v>3581</v>
      </c>
      <c r="P1590" s="58">
        <v>216</v>
      </c>
      <c r="Q1590" s="59">
        <v>0</v>
      </c>
      <c r="R1590" s="59">
        <v>0</v>
      </c>
      <c r="S1590" s="60">
        <f>tblJTL[[#This Row],[timeStamp]]/86400000+DATE(1970,1,1)+TIME(9,0,0)</f>
        <v>46296.421320937501</v>
      </c>
      <c r="T1590" s="57">
        <f>tblJTL[[#This Row],[timeStamp]]+tblJTL[[#This Row],[elapsed]]</f>
        <v>1790816802350</v>
      </c>
      <c r="U1590" s="61">
        <f>(tblJTL[[#This Row],[timeStamp]]-'17_分析サンプル'!$E$18)/1000</f>
        <v>401.94900000000001</v>
      </c>
      <c r="V1590" s="57">
        <f>INT(tblJTL[[#This Row],[経過秒]]/60)</f>
        <v>6</v>
      </c>
      <c r="W1590" s="57">
        <f>IF(OR(tblJTL[[#This Row],[success]]=FALSE,tblJTL[[#This Row],[success]]="false"),1,0)</f>
        <v>0</v>
      </c>
      <c r="X1590" s="57">
        <f>IF(AND(tblJTL[[#This Row],[経過秒]]&gt;='17_分析サンプル'!$E$11,tblJTL[[#This Row],[経過秒]]&lt;'17_分析サンプル'!$E$12),1,0)</f>
        <v>1</v>
      </c>
    </row>
    <row r="1591" spans="2:24" ht="14.4" x14ac:dyDescent="0.3">
      <c r="B1591" s="57">
        <v>1790816802567</v>
      </c>
      <c r="C1591" s="58">
        <v>138</v>
      </c>
      <c r="D1591" s="59" t="s">
        <v>1658</v>
      </c>
      <c r="E1591" s="59" t="s">
        <v>1577</v>
      </c>
      <c r="F1591" s="59" t="s">
        <v>2275</v>
      </c>
      <c r="G1591" s="59" t="s">
        <v>3586</v>
      </c>
      <c r="H1591" s="59" t="s">
        <v>2281</v>
      </c>
      <c r="I1591" s="59" t="b">
        <v>1</v>
      </c>
      <c r="J1591" s="59"/>
      <c r="K1591" s="58">
        <v>1866</v>
      </c>
      <c r="L1591" s="58">
        <v>1342</v>
      </c>
      <c r="M1591" s="59">
        <v>10</v>
      </c>
      <c r="N1591" s="59">
        <v>10</v>
      </c>
      <c r="O1591" s="59" t="s">
        <v>3578</v>
      </c>
      <c r="P1591" s="58">
        <v>135</v>
      </c>
      <c r="Q1591" s="59">
        <v>0</v>
      </c>
      <c r="R1591" s="59">
        <v>0</v>
      </c>
      <c r="S1591" s="60">
        <f>tblJTL[[#This Row],[timeStamp]]/86400000+DATE(1970,1,1)+TIME(9,0,0)</f>
        <v>46296.421326006945</v>
      </c>
      <c r="T1591" s="57">
        <f>tblJTL[[#This Row],[timeStamp]]+tblJTL[[#This Row],[elapsed]]</f>
        <v>1790816802705</v>
      </c>
      <c r="U1591" s="61">
        <f>(tblJTL[[#This Row],[timeStamp]]-'17_分析サンプル'!$E$18)/1000</f>
        <v>402.387</v>
      </c>
      <c r="V1591" s="57">
        <f>INT(tblJTL[[#This Row],[経過秒]]/60)</f>
        <v>6</v>
      </c>
      <c r="W1591" s="57">
        <f>IF(OR(tblJTL[[#This Row],[success]]=FALSE,tblJTL[[#This Row],[success]]="false"),1,0)</f>
        <v>0</v>
      </c>
      <c r="X1591" s="57">
        <f>IF(AND(tblJTL[[#This Row],[経過秒]]&gt;='17_分析サンプル'!$E$11,tblJTL[[#This Row],[経過秒]]&lt;'17_分析サンプル'!$E$12),1,0)</f>
        <v>1</v>
      </c>
    </row>
    <row r="1592" spans="2:24" ht="14.4" x14ac:dyDescent="0.3">
      <c r="B1592" s="57">
        <v>1790816802665</v>
      </c>
      <c r="C1592" s="58">
        <v>92</v>
      </c>
      <c r="D1592" s="59" t="s">
        <v>1658</v>
      </c>
      <c r="E1592" s="59" t="s">
        <v>1577</v>
      </c>
      <c r="F1592" s="59" t="s">
        <v>2275</v>
      </c>
      <c r="G1592" s="59" t="s">
        <v>3582</v>
      </c>
      <c r="H1592" s="59" t="s">
        <v>2281</v>
      </c>
      <c r="I1592" s="59" t="b">
        <v>1</v>
      </c>
      <c r="J1592" s="59"/>
      <c r="K1592" s="58">
        <v>1894</v>
      </c>
      <c r="L1592" s="58">
        <v>1342</v>
      </c>
      <c r="M1592" s="59">
        <v>10</v>
      </c>
      <c r="N1592" s="59">
        <v>10</v>
      </c>
      <c r="O1592" s="59" t="s">
        <v>3578</v>
      </c>
      <c r="P1592" s="58">
        <v>84</v>
      </c>
      <c r="Q1592" s="59">
        <v>0</v>
      </c>
      <c r="R1592" s="59">
        <v>0</v>
      </c>
      <c r="S1592" s="60">
        <f>tblJTL[[#This Row],[timeStamp]]/86400000+DATE(1970,1,1)+TIME(9,0,0)</f>
        <v>46296.421327141201</v>
      </c>
      <c r="T1592" s="57">
        <f>tblJTL[[#This Row],[timeStamp]]+tblJTL[[#This Row],[elapsed]]</f>
        <v>1790816802757</v>
      </c>
      <c r="U1592" s="61">
        <f>(tblJTL[[#This Row],[timeStamp]]-'17_分析サンプル'!$E$18)/1000</f>
        <v>402.48500000000001</v>
      </c>
      <c r="V1592" s="57">
        <f>INT(tblJTL[[#This Row],[経過秒]]/60)</f>
        <v>6</v>
      </c>
      <c r="W1592" s="57">
        <f>IF(OR(tblJTL[[#This Row],[success]]=FALSE,tblJTL[[#This Row],[success]]="false"),1,0)</f>
        <v>0</v>
      </c>
      <c r="X1592" s="57">
        <f>IF(AND(tblJTL[[#This Row],[経過秒]]&gt;='17_分析サンプル'!$E$11,tblJTL[[#This Row],[経過秒]]&lt;'17_分析サンプル'!$E$12),1,0)</f>
        <v>1</v>
      </c>
    </row>
    <row r="1593" spans="2:24" ht="14.4" x14ac:dyDescent="0.3">
      <c r="B1593" s="57">
        <v>1790816802919</v>
      </c>
      <c r="C1593" s="58">
        <v>328</v>
      </c>
      <c r="D1593" s="59" t="s">
        <v>1677</v>
      </c>
      <c r="E1593" s="59" t="s">
        <v>3579</v>
      </c>
      <c r="F1593" s="59" t="s">
        <v>3580</v>
      </c>
      <c r="G1593" s="59" t="s">
        <v>2278</v>
      </c>
      <c r="H1593" s="59" t="s">
        <v>2281</v>
      </c>
      <c r="I1593" s="59" t="b">
        <v>1</v>
      </c>
      <c r="J1593" s="59"/>
      <c r="K1593" s="58">
        <v>432</v>
      </c>
      <c r="L1593" s="58">
        <v>1478</v>
      </c>
      <c r="M1593" s="59">
        <v>10</v>
      </c>
      <c r="N1593" s="59">
        <v>10</v>
      </c>
      <c r="O1593" s="59" t="s">
        <v>3581</v>
      </c>
      <c r="P1593" s="58">
        <v>326</v>
      </c>
      <c r="Q1593" s="59">
        <v>0</v>
      </c>
      <c r="R1593" s="59">
        <v>0</v>
      </c>
      <c r="S1593" s="60">
        <f>tblJTL[[#This Row],[timeStamp]]/86400000+DATE(1970,1,1)+TIME(9,0,0)</f>
        <v>46296.421330081022</v>
      </c>
      <c r="T1593" s="57">
        <f>tblJTL[[#This Row],[timeStamp]]+tblJTL[[#This Row],[elapsed]]</f>
        <v>1790816803247</v>
      </c>
      <c r="U1593" s="61">
        <f>(tblJTL[[#This Row],[timeStamp]]-'17_分析サンプル'!$E$18)/1000</f>
        <v>402.73899999999998</v>
      </c>
      <c r="V1593" s="57">
        <f>INT(tblJTL[[#This Row],[経過秒]]/60)</f>
        <v>6</v>
      </c>
      <c r="W1593" s="57">
        <f>IF(OR(tblJTL[[#This Row],[success]]=FALSE,tblJTL[[#This Row],[success]]="false"),1,0)</f>
        <v>0</v>
      </c>
      <c r="X1593" s="57">
        <f>IF(AND(tblJTL[[#This Row],[経過秒]]&gt;='17_分析サンプル'!$E$11,tblJTL[[#This Row],[経過秒]]&lt;'17_分析サンプル'!$E$12),1,0)</f>
        <v>1</v>
      </c>
    </row>
    <row r="1594" spans="2:24" ht="14.4" x14ac:dyDescent="0.3">
      <c r="B1594" s="57">
        <v>1790816802994</v>
      </c>
      <c r="C1594" s="58">
        <v>301</v>
      </c>
      <c r="D1594" s="59" t="s">
        <v>1677</v>
      </c>
      <c r="E1594" s="59" t="s">
        <v>3579</v>
      </c>
      <c r="F1594" s="59" t="s">
        <v>3580</v>
      </c>
      <c r="G1594" s="59" t="s">
        <v>3587</v>
      </c>
      <c r="H1594" s="59" t="s">
        <v>2281</v>
      </c>
      <c r="I1594" s="59" t="b">
        <v>1</v>
      </c>
      <c r="J1594" s="59"/>
      <c r="K1594" s="58">
        <v>418</v>
      </c>
      <c r="L1594" s="58">
        <v>1478</v>
      </c>
      <c r="M1594" s="59">
        <v>10</v>
      </c>
      <c r="N1594" s="59">
        <v>10</v>
      </c>
      <c r="O1594" s="59" t="s">
        <v>3581</v>
      </c>
      <c r="P1594" s="58">
        <v>298</v>
      </c>
      <c r="Q1594" s="59">
        <v>0</v>
      </c>
      <c r="R1594" s="59">
        <v>0</v>
      </c>
      <c r="S1594" s="60">
        <f>tblJTL[[#This Row],[timeStamp]]/86400000+DATE(1970,1,1)+TIME(9,0,0)</f>
        <v>46296.421330949073</v>
      </c>
      <c r="T1594" s="57">
        <f>tblJTL[[#This Row],[timeStamp]]+tblJTL[[#This Row],[elapsed]]</f>
        <v>1790816803295</v>
      </c>
      <c r="U1594" s="61">
        <f>(tblJTL[[#This Row],[timeStamp]]-'17_分析サンプル'!$E$18)/1000</f>
        <v>402.81400000000002</v>
      </c>
      <c r="V1594" s="57">
        <f>INT(tblJTL[[#This Row],[経過秒]]/60)</f>
        <v>6</v>
      </c>
      <c r="W1594" s="57">
        <f>IF(OR(tblJTL[[#This Row],[success]]=FALSE,tblJTL[[#This Row],[success]]="false"),1,0)</f>
        <v>0</v>
      </c>
      <c r="X1594" s="57">
        <f>IF(AND(tblJTL[[#This Row],[経過秒]]&gt;='17_分析サンプル'!$E$11,tblJTL[[#This Row],[経過秒]]&lt;'17_分析サンプル'!$E$12),1,0)</f>
        <v>1</v>
      </c>
    </row>
    <row r="1595" spans="2:24" ht="14.4" x14ac:dyDescent="0.3">
      <c r="B1595" s="57">
        <v>1790816803234</v>
      </c>
      <c r="C1595" s="58">
        <v>128</v>
      </c>
      <c r="D1595" s="59" t="s">
        <v>1658</v>
      </c>
      <c r="E1595" s="59" t="s">
        <v>1577</v>
      </c>
      <c r="F1595" s="59" t="s">
        <v>2275</v>
      </c>
      <c r="G1595" s="59" t="s">
        <v>3589</v>
      </c>
      <c r="H1595" s="59" t="s">
        <v>2281</v>
      </c>
      <c r="I1595" s="59" t="b">
        <v>1</v>
      </c>
      <c r="J1595" s="59"/>
      <c r="K1595" s="58">
        <v>1825</v>
      </c>
      <c r="L1595" s="58">
        <v>1342</v>
      </c>
      <c r="M1595" s="59">
        <v>10</v>
      </c>
      <c r="N1595" s="59">
        <v>10</v>
      </c>
      <c r="O1595" s="59" t="s">
        <v>3578</v>
      </c>
      <c r="P1595" s="58">
        <v>121</v>
      </c>
      <c r="Q1595" s="59">
        <v>0</v>
      </c>
      <c r="R1595" s="59">
        <v>0</v>
      </c>
      <c r="S1595" s="60">
        <f>tblJTL[[#This Row],[timeStamp]]/86400000+DATE(1970,1,1)+TIME(9,0,0)</f>
        <v>46296.421333726852</v>
      </c>
      <c r="T1595" s="57">
        <f>tblJTL[[#This Row],[timeStamp]]+tblJTL[[#This Row],[elapsed]]</f>
        <v>1790816803362</v>
      </c>
      <c r="U1595" s="61">
        <f>(tblJTL[[#This Row],[timeStamp]]-'17_分析サンプル'!$E$18)/1000</f>
        <v>403.05399999999997</v>
      </c>
      <c r="V1595" s="57">
        <f>INT(tblJTL[[#This Row],[経過秒]]/60)</f>
        <v>6</v>
      </c>
      <c r="W1595" s="57">
        <f>IF(OR(tblJTL[[#This Row],[success]]=FALSE,tblJTL[[#This Row],[success]]="false"),1,0)</f>
        <v>0</v>
      </c>
      <c r="X1595" s="57">
        <f>IF(AND(tblJTL[[#This Row],[経過秒]]&gt;='17_分析サンプル'!$E$11,tblJTL[[#This Row],[経過秒]]&lt;'17_分析サンプル'!$E$12),1,0)</f>
        <v>1</v>
      </c>
    </row>
    <row r="1596" spans="2:24" ht="14.4" x14ac:dyDescent="0.3">
      <c r="B1596" s="57">
        <v>1790816803261</v>
      </c>
      <c r="C1596" s="58">
        <v>117</v>
      </c>
      <c r="D1596" s="59" t="s">
        <v>1658</v>
      </c>
      <c r="E1596" s="59" t="s">
        <v>1577</v>
      </c>
      <c r="F1596" s="59" t="s">
        <v>2275</v>
      </c>
      <c r="G1596" s="59" t="s">
        <v>3583</v>
      </c>
      <c r="H1596" s="59" t="s">
        <v>2281</v>
      </c>
      <c r="I1596" s="59" t="b">
        <v>1</v>
      </c>
      <c r="J1596" s="59"/>
      <c r="K1596" s="58">
        <v>1831</v>
      </c>
      <c r="L1596" s="58">
        <v>1342</v>
      </c>
      <c r="M1596" s="59">
        <v>10</v>
      </c>
      <c r="N1596" s="59">
        <v>10</v>
      </c>
      <c r="O1596" s="59" t="s">
        <v>3578</v>
      </c>
      <c r="P1596" s="58">
        <v>114</v>
      </c>
      <c r="Q1596" s="59">
        <v>0</v>
      </c>
      <c r="R1596" s="59">
        <v>0</v>
      </c>
      <c r="S1596" s="60">
        <f>tblJTL[[#This Row],[timeStamp]]/86400000+DATE(1970,1,1)+TIME(9,0,0)</f>
        <v>46296.421334039347</v>
      </c>
      <c r="T1596" s="57">
        <f>tblJTL[[#This Row],[timeStamp]]+tblJTL[[#This Row],[elapsed]]</f>
        <v>1790816803378</v>
      </c>
      <c r="U1596" s="61">
        <f>(tblJTL[[#This Row],[timeStamp]]-'17_分析サンプル'!$E$18)/1000</f>
        <v>403.08100000000002</v>
      </c>
      <c r="V1596" s="57">
        <f>INT(tblJTL[[#This Row],[経過秒]]/60)</f>
        <v>6</v>
      </c>
      <c r="W1596" s="57">
        <f>IF(OR(tblJTL[[#This Row],[success]]=FALSE,tblJTL[[#This Row],[success]]="false"),1,0)</f>
        <v>0</v>
      </c>
      <c r="X1596" s="57">
        <f>IF(AND(tblJTL[[#This Row],[経過秒]]&gt;='17_分析サンプル'!$E$11,tblJTL[[#This Row],[経過秒]]&lt;'17_分析サンプル'!$E$12),1,0)</f>
        <v>1</v>
      </c>
    </row>
    <row r="1597" spans="2:24" ht="14.4" x14ac:dyDescent="0.3">
      <c r="B1597" s="57">
        <v>1790816803336</v>
      </c>
      <c r="C1597" s="58">
        <v>148</v>
      </c>
      <c r="D1597" s="59" t="s">
        <v>1677</v>
      </c>
      <c r="E1597" s="59" t="s">
        <v>3579</v>
      </c>
      <c r="F1597" s="59" t="s">
        <v>3580</v>
      </c>
      <c r="G1597" s="59" t="s">
        <v>3584</v>
      </c>
      <c r="H1597" s="59" t="s">
        <v>2281</v>
      </c>
      <c r="I1597" s="59" t="b">
        <v>1</v>
      </c>
      <c r="J1597" s="59"/>
      <c r="K1597" s="58">
        <v>416</v>
      </c>
      <c r="L1597" s="58">
        <v>1478</v>
      </c>
      <c r="M1597" s="59">
        <v>10</v>
      </c>
      <c r="N1597" s="59">
        <v>10</v>
      </c>
      <c r="O1597" s="59" t="s">
        <v>3581</v>
      </c>
      <c r="P1597" s="58">
        <v>144</v>
      </c>
      <c r="Q1597" s="59">
        <v>0</v>
      </c>
      <c r="R1597" s="59">
        <v>0</v>
      </c>
      <c r="S1597" s="60">
        <f>tblJTL[[#This Row],[timeStamp]]/86400000+DATE(1970,1,1)+TIME(9,0,0)</f>
        <v>46296.421334907413</v>
      </c>
      <c r="T1597" s="57">
        <f>tblJTL[[#This Row],[timeStamp]]+tblJTL[[#This Row],[elapsed]]</f>
        <v>1790816803484</v>
      </c>
      <c r="U1597" s="61">
        <f>(tblJTL[[#This Row],[timeStamp]]-'17_分析サンプル'!$E$18)/1000</f>
        <v>403.15600000000001</v>
      </c>
      <c r="V1597" s="57">
        <f>INT(tblJTL[[#This Row],[経過秒]]/60)</f>
        <v>6</v>
      </c>
      <c r="W1597" s="57">
        <f>IF(OR(tblJTL[[#This Row],[success]]=FALSE,tblJTL[[#This Row],[success]]="false"),1,0)</f>
        <v>0</v>
      </c>
      <c r="X1597" s="57">
        <f>IF(AND(tblJTL[[#This Row],[経過秒]]&gt;='17_分析サンプル'!$E$11,tblJTL[[#This Row],[経過秒]]&lt;'17_分析サンプル'!$E$12),1,0)</f>
        <v>1</v>
      </c>
    </row>
    <row r="1598" spans="2:24" ht="14.4" x14ac:dyDescent="0.3">
      <c r="B1598" s="57">
        <v>1790816803385</v>
      </c>
      <c r="C1598" s="58">
        <v>160</v>
      </c>
      <c r="D1598" s="59" t="s">
        <v>1658</v>
      </c>
      <c r="E1598" s="59" t="s">
        <v>1577</v>
      </c>
      <c r="F1598" s="59" t="s">
        <v>2275</v>
      </c>
      <c r="G1598" s="59" t="s">
        <v>3588</v>
      </c>
      <c r="H1598" s="59" t="s">
        <v>2281</v>
      </c>
      <c r="I1598" s="59" t="b">
        <v>1</v>
      </c>
      <c r="J1598" s="59"/>
      <c r="K1598" s="58">
        <v>1892</v>
      </c>
      <c r="L1598" s="58">
        <v>1342</v>
      </c>
      <c r="M1598" s="59">
        <v>10</v>
      </c>
      <c r="N1598" s="59">
        <v>10</v>
      </c>
      <c r="O1598" s="59" t="s">
        <v>3578</v>
      </c>
      <c r="P1598" s="58">
        <v>152</v>
      </c>
      <c r="Q1598" s="59">
        <v>0</v>
      </c>
      <c r="R1598" s="59">
        <v>0</v>
      </c>
      <c r="S1598" s="60">
        <f>tblJTL[[#This Row],[timeStamp]]/86400000+DATE(1970,1,1)+TIME(9,0,0)</f>
        <v>46296.421335474537</v>
      </c>
      <c r="T1598" s="57">
        <f>tblJTL[[#This Row],[timeStamp]]+tblJTL[[#This Row],[elapsed]]</f>
        <v>1790816803545</v>
      </c>
      <c r="U1598" s="61">
        <f>(tblJTL[[#This Row],[timeStamp]]-'17_分析サンプル'!$E$18)/1000</f>
        <v>403.20499999999998</v>
      </c>
      <c r="V1598" s="57">
        <f>INT(tblJTL[[#This Row],[経過秒]]/60)</f>
        <v>6</v>
      </c>
      <c r="W1598" s="57">
        <f>IF(OR(tblJTL[[#This Row],[success]]=FALSE,tblJTL[[#This Row],[success]]="false"),1,0)</f>
        <v>0</v>
      </c>
      <c r="X1598" s="57">
        <f>IF(AND(tblJTL[[#This Row],[経過秒]]&gt;='17_分析サンプル'!$E$11,tblJTL[[#This Row],[経過秒]]&lt;'17_分析サンプル'!$E$12),1,0)</f>
        <v>1</v>
      </c>
    </row>
    <row r="1599" spans="2:24" ht="14.4" x14ac:dyDescent="0.3">
      <c r="B1599" s="57">
        <v>1790816803493</v>
      </c>
      <c r="C1599" s="58">
        <v>86</v>
      </c>
      <c r="D1599" s="59" t="s">
        <v>1658</v>
      </c>
      <c r="E1599" s="59" t="s">
        <v>1577</v>
      </c>
      <c r="F1599" s="59" t="s">
        <v>2275</v>
      </c>
      <c r="G1599" s="59" t="s">
        <v>3577</v>
      </c>
      <c r="H1599" s="59" t="s">
        <v>2281</v>
      </c>
      <c r="I1599" s="59" t="b">
        <v>1</v>
      </c>
      <c r="J1599" s="59"/>
      <c r="K1599" s="58">
        <v>1866</v>
      </c>
      <c r="L1599" s="58">
        <v>1342</v>
      </c>
      <c r="M1599" s="59">
        <v>10</v>
      </c>
      <c r="N1599" s="59">
        <v>10</v>
      </c>
      <c r="O1599" s="59" t="s">
        <v>3578</v>
      </c>
      <c r="P1599" s="58">
        <v>82</v>
      </c>
      <c r="Q1599" s="59">
        <v>0</v>
      </c>
      <c r="R1599" s="59">
        <v>0</v>
      </c>
      <c r="S1599" s="60">
        <f>tblJTL[[#This Row],[timeStamp]]/86400000+DATE(1970,1,1)+TIME(9,0,0)</f>
        <v>46296.421336724539</v>
      </c>
      <c r="T1599" s="57">
        <f>tblJTL[[#This Row],[timeStamp]]+tblJTL[[#This Row],[elapsed]]</f>
        <v>1790816803579</v>
      </c>
      <c r="U1599" s="61">
        <f>(tblJTL[[#This Row],[timeStamp]]-'17_分析サンプル'!$E$18)/1000</f>
        <v>403.31299999999999</v>
      </c>
      <c r="V1599" s="57">
        <f>INT(tblJTL[[#This Row],[経過秒]]/60)</f>
        <v>6</v>
      </c>
      <c r="W1599" s="57">
        <f>IF(OR(tblJTL[[#This Row],[success]]=FALSE,tblJTL[[#This Row],[success]]="false"),1,0)</f>
        <v>0</v>
      </c>
      <c r="X1599" s="57">
        <f>IF(AND(tblJTL[[#This Row],[経過秒]]&gt;='17_分析サンプル'!$E$11,tblJTL[[#This Row],[経過秒]]&lt;'17_分析サンプル'!$E$12),1,0)</f>
        <v>1</v>
      </c>
    </row>
    <row r="1600" spans="2:24" ht="14.4" x14ac:dyDescent="0.3">
      <c r="B1600" s="57">
        <v>1790816803530</v>
      </c>
      <c r="C1600" s="58">
        <v>290</v>
      </c>
      <c r="D1600" s="59" t="s">
        <v>1677</v>
      </c>
      <c r="E1600" s="59" t="s">
        <v>3579</v>
      </c>
      <c r="F1600" s="59" t="s">
        <v>3580</v>
      </c>
      <c r="G1600" s="59" t="s">
        <v>3585</v>
      </c>
      <c r="H1600" s="59" t="s">
        <v>2281</v>
      </c>
      <c r="I1600" s="59" t="b">
        <v>1</v>
      </c>
      <c r="J1600" s="59"/>
      <c r="K1600" s="58">
        <v>425</v>
      </c>
      <c r="L1600" s="58">
        <v>1478</v>
      </c>
      <c r="M1600" s="59">
        <v>10</v>
      </c>
      <c r="N1600" s="59">
        <v>10</v>
      </c>
      <c r="O1600" s="59" t="s">
        <v>3581</v>
      </c>
      <c r="P1600" s="58">
        <v>286</v>
      </c>
      <c r="Q1600" s="59">
        <v>0</v>
      </c>
      <c r="R1600" s="59">
        <v>58</v>
      </c>
      <c r="S1600" s="60">
        <f>tblJTL[[#This Row],[timeStamp]]/86400000+DATE(1970,1,1)+TIME(9,0,0)</f>
        <v>46296.421337152773</v>
      </c>
      <c r="T1600" s="57">
        <f>tblJTL[[#This Row],[timeStamp]]+tblJTL[[#This Row],[elapsed]]</f>
        <v>1790816803820</v>
      </c>
      <c r="U1600" s="61">
        <f>(tblJTL[[#This Row],[timeStamp]]-'17_分析サンプル'!$E$18)/1000</f>
        <v>403.35</v>
      </c>
      <c r="V1600" s="57">
        <f>INT(tblJTL[[#This Row],[経過秒]]/60)</f>
        <v>6</v>
      </c>
      <c r="W1600" s="57">
        <f>IF(OR(tblJTL[[#This Row],[success]]=FALSE,tblJTL[[#This Row],[success]]="false"),1,0)</f>
        <v>0</v>
      </c>
      <c r="X1600" s="57">
        <f>IF(AND(tblJTL[[#This Row],[経過秒]]&gt;='17_分析サンプル'!$E$11,tblJTL[[#This Row],[経過秒]]&lt;'17_分析サンプル'!$E$12),1,0)</f>
        <v>1</v>
      </c>
    </row>
    <row r="1601" spans="2:24" ht="14.4" x14ac:dyDescent="0.3">
      <c r="B1601" s="57">
        <v>1790816804753</v>
      </c>
      <c r="C1601" s="58">
        <v>101</v>
      </c>
      <c r="D1601" s="59" t="s">
        <v>1658</v>
      </c>
      <c r="E1601" s="59" t="s">
        <v>1577</v>
      </c>
      <c r="F1601" s="59" t="s">
        <v>2275</v>
      </c>
      <c r="G1601" s="59" t="s">
        <v>3584</v>
      </c>
      <c r="H1601" s="59" t="s">
        <v>2281</v>
      </c>
      <c r="I1601" s="59" t="b">
        <v>1</v>
      </c>
      <c r="J1601" s="59"/>
      <c r="K1601" s="58">
        <v>1900</v>
      </c>
      <c r="L1601" s="58">
        <v>1342</v>
      </c>
      <c r="M1601" s="59">
        <v>10</v>
      </c>
      <c r="N1601" s="59">
        <v>10</v>
      </c>
      <c r="O1601" s="59" t="s">
        <v>3578</v>
      </c>
      <c r="P1601" s="58">
        <v>96</v>
      </c>
      <c r="Q1601" s="59">
        <v>0</v>
      </c>
      <c r="R1601" s="59">
        <v>0</v>
      </c>
      <c r="S1601" s="60">
        <f>tblJTL[[#This Row],[timeStamp]]/86400000+DATE(1970,1,1)+TIME(9,0,0)</f>
        <v>46296.421351307872</v>
      </c>
      <c r="T1601" s="57">
        <f>tblJTL[[#This Row],[timeStamp]]+tblJTL[[#This Row],[elapsed]]</f>
        <v>1790816804854</v>
      </c>
      <c r="U1601" s="61">
        <f>(tblJTL[[#This Row],[timeStamp]]-'17_分析サンプル'!$E$18)/1000</f>
        <v>404.57299999999998</v>
      </c>
      <c r="V1601" s="57">
        <f>INT(tblJTL[[#This Row],[経過秒]]/60)</f>
        <v>6</v>
      </c>
      <c r="W1601" s="57">
        <f>IF(OR(tblJTL[[#This Row],[success]]=FALSE,tblJTL[[#This Row],[success]]="false"),1,0)</f>
        <v>0</v>
      </c>
      <c r="X1601" s="57">
        <f>IF(AND(tblJTL[[#This Row],[経過秒]]&gt;='17_分析サンプル'!$E$11,tblJTL[[#This Row],[経過秒]]&lt;'17_分析サンプル'!$E$12),1,0)</f>
        <v>1</v>
      </c>
    </row>
    <row r="1602" spans="2:24" ht="14.4" x14ac:dyDescent="0.3">
      <c r="B1602" s="57">
        <v>1790816804972</v>
      </c>
      <c r="C1602" s="58">
        <v>240</v>
      </c>
      <c r="D1602" s="59" t="s">
        <v>1677</v>
      </c>
      <c r="E1602" s="59" t="s">
        <v>3579</v>
      </c>
      <c r="F1602" s="59" t="s">
        <v>3580</v>
      </c>
      <c r="G1602" s="59" t="s">
        <v>3588</v>
      </c>
      <c r="H1602" s="59" t="s">
        <v>2281</v>
      </c>
      <c r="I1602" s="59" t="b">
        <v>1</v>
      </c>
      <c r="J1602" s="59"/>
      <c r="K1602" s="58">
        <v>418</v>
      </c>
      <c r="L1602" s="58">
        <v>1478</v>
      </c>
      <c r="M1602" s="59">
        <v>10</v>
      </c>
      <c r="N1602" s="59">
        <v>10</v>
      </c>
      <c r="O1602" s="59" t="s">
        <v>3581</v>
      </c>
      <c r="P1602" s="58">
        <v>233</v>
      </c>
      <c r="Q1602" s="59">
        <v>0</v>
      </c>
      <c r="R1602" s="59">
        <v>0</v>
      </c>
      <c r="S1602" s="60">
        <f>tblJTL[[#This Row],[timeStamp]]/86400000+DATE(1970,1,1)+TIME(9,0,0)</f>
        <v>46296.421353842597</v>
      </c>
      <c r="T1602" s="57">
        <f>tblJTL[[#This Row],[timeStamp]]+tblJTL[[#This Row],[elapsed]]</f>
        <v>1790816805212</v>
      </c>
      <c r="U1602" s="61">
        <f>(tblJTL[[#This Row],[timeStamp]]-'17_分析サンプル'!$E$18)/1000</f>
        <v>404.79199999999997</v>
      </c>
      <c r="V1602" s="57">
        <f>INT(tblJTL[[#This Row],[経過秒]]/60)</f>
        <v>6</v>
      </c>
      <c r="W1602" s="57">
        <f>IF(OR(tblJTL[[#This Row],[success]]=FALSE,tblJTL[[#This Row],[success]]="false"),1,0)</f>
        <v>0</v>
      </c>
      <c r="X1602" s="57">
        <f>IF(AND(tblJTL[[#This Row],[経過秒]]&gt;='17_分析サンプル'!$E$11,tblJTL[[#This Row],[経過秒]]&lt;'17_分析サンプル'!$E$12),1,0)</f>
        <v>1</v>
      </c>
    </row>
    <row r="1603" spans="2:24" ht="14.4" x14ac:dyDescent="0.3">
      <c r="B1603" s="57">
        <v>1790816805162</v>
      </c>
      <c r="C1603" s="58">
        <v>96</v>
      </c>
      <c r="D1603" s="59" t="s">
        <v>1658</v>
      </c>
      <c r="E1603" s="59" t="s">
        <v>1577</v>
      </c>
      <c r="F1603" s="59" t="s">
        <v>2275</v>
      </c>
      <c r="G1603" s="59" t="s">
        <v>2278</v>
      </c>
      <c r="H1603" s="59" t="s">
        <v>2281</v>
      </c>
      <c r="I1603" s="59" t="b">
        <v>1</v>
      </c>
      <c r="J1603" s="59"/>
      <c r="K1603" s="58">
        <v>1860</v>
      </c>
      <c r="L1603" s="58">
        <v>1342</v>
      </c>
      <c r="M1603" s="59">
        <v>10</v>
      </c>
      <c r="N1603" s="59">
        <v>10</v>
      </c>
      <c r="O1603" s="59" t="s">
        <v>3578</v>
      </c>
      <c r="P1603" s="58">
        <v>91</v>
      </c>
      <c r="Q1603" s="59">
        <v>0</v>
      </c>
      <c r="R1603" s="59">
        <v>0</v>
      </c>
      <c r="S1603" s="60">
        <f>tblJTL[[#This Row],[timeStamp]]/86400000+DATE(1970,1,1)+TIME(9,0,0)</f>
        <v>46296.421356041668</v>
      </c>
      <c r="T1603" s="57">
        <f>tblJTL[[#This Row],[timeStamp]]+tblJTL[[#This Row],[elapsed]]</f>
        <v>1790816805258</v>
      </c>
      <c r="U1603" s="61">
        <f>(tblJTL[[#This Row],[timeStamp]]-'17_分析サンプル'!$E$18)/1000</f>
        <v>404.98200000000003</v>
      </c>
      <c r="V1603" s="57">
        <f>INT(tblJTL[[#This Row],[経過秒]]/60)</f>
        <v>6</v>
      </c>
      <c r="W1603" s="57">
        <f>IF(OR(tblJTL[[#This Row],[success]]=FALSE,tblJTL[[#This Row],[success]]="false"),1,0)</f>
        <v>0</v>
      </c>
      <c r="X1603" s="57">
        <f>IF(AND(tblJTL[[#This Row],[経過秒]]&gt;='17_分析サンプル'!$E$11,tblJTL[[#This Row],[経過秒]]&lt;'17_分析サンプル'!$E$12),1,0)</f>
        <v>1</v>
      </c>
    </row>
    <row r="1604" spans="2:24" ht="14.4" x14ac:dyDescent="0.3">
      <c r="B1604" s="57">
        <v>1790816805226</v>
      </c>
      <c r="C1604" s="58">
        <v>188</v>
      </c>
      <c r="D1604" s="59" t="s">
        <v>1677</v>
      </c>
      <c r="E1604" s="59" t="s">
        <v>3579</v>
      </c>
      <c r="F1604" s="59" t="s">
        <v>3580</v>
      </c>
      <c r="G1604" s="59" t="s">
        <v>3589</v>
      </c>
      <c r="H1604" s="59" t="s">
        <v>2281</v>
      </c>
      <c r="I1604" s="59" t="b">
        <v>1</v>
      </c>
      <c r="J1604" s="59"/>
      <c r="K1604" s="58">
        <v>439</v>
      </c>
      <c r="L1604" s="58">
        <v>1478</v>
      </c>
      <c r="M1604" s="59">
        <v>10</v>
      </c>
      <c r="N1604" s="59">
        <v>10</v>
      </c>
      <c r="O1604" s="59" t="s">
        <v>3581</v>
      </c>
      <c r="P1604" s="58">
        <v>185</v>
      </c>
      <c r="Q1604" s="59">
        <v>0</v>
      </c>
      <c r="R1604" s="59">
        <v>0</v>
      </c>
      <c r="S1604" s="60">
        <f>tblJTL[[#This Row],[timeStamp]]/86400000+DATE(1970,1,1)+TIME(9,0,0)</f>
        <v>46296.421356782404</v>
      </c>
      <c r="T1604" s="57">
        <f>tblJTL[[#This Row],[timeStamp]]+tblJTL[[#This Row],[elapsed]]</f>
        <v>1790816805414</v>
      </c>
      <c r="U1604" s="61">
        <f>(tblJTL[[#This Row],[timeStamp]]-'17_分析サンプル'!$E$18)/1000</f>
        <v>405.04599999999999</v>
      </c>
      <c r="V1604" s="57">
        <f>INT(tblJTL[[#This Row],[経過秒]]/60)</f>
        <v>6</v>
      </c>
      <c r="W1604" s="57">
        <f>IF(OR(tblJTL[[#This Row],[success]]=FALSE,tblJTL[[#This Row],[success]]="false"),1,0)</f>
        <v>0</v>
      </c>
      <c r="X1604" s="57">
        <f>IF(AND(tblJTL[[#This Row],[経過秒]]&gt;='17_分析サンプル'!$E$11,tblJTL[[#This Row],[経過秒]]&lt;'17_分析サンプル'!$E$12),1,0)</f>
        <v>1</v>
      </c>
    </row>
    <row r="1605" spans="2:24" ht="14.4" x14ac:dyDescent="0.3">
      <c r="B1605" s="57">
        <v>1790816805400</v>
      </c>
      <c r="C1605" s="58">
        <v>245</v>
      </c>
      <c r="D1605" s="59" t="s">
        <v>1677</v>
      </c>
      <c r="E1605" s="59" t="s">
        <v>3579</v>
      </c>
      <c r="F1605" s="59" t="s">
        <v>3580</v>
      </c>
      <c r="G1605" s="59" t="s">
        <v>3586</v>
      </c>
      <c r="H1605" s="59" t="s">
        <v>2281</v>
      </c>
      <c r="I1605" s="59" t="b">
        <v>1</v>
      </c>
      <c r="J1605" s="59"/>
      <c r="K1605" s="58">
        <v>436</v>
      </c>
      <c r="L1605" s="58">
        <v>1478</v>
      </c>
      <c r="M1605" s="59">
        <v>10</v>
      </c>
      <c r="N1605" s="59">
        <v>10</v>
      </c>
      <c r="O1605" s="59" t="s">
        <v>3581</v>
      </c>
      <c r="P1605" s="58">
        <v>242</v>
      </c>
      <c r="Q1605" s="59">
        <v>0</v>
      </c>
      <c r="R1605" s="59">
        <v>0</v>
      </c>
      <c r="S1605" s="60">
        <f>tblJTL[[#This Row],[timeStamp]]/86400000+DATE(1970,1,1)+TIME(9,0,0)</f>
        <v>46296.421358796295</v>
      </c>
      <c r="T1605" s="57">
        <f>tblJTL[[#This Row],[timeStamp]]+tblJTL[[#This Row],[elapsed]]</f>
        <v>1790816805645</v>
      </c>
      <c r="U1605" s="61">
        <f>(tblJTL[[#This Row],[timeStamp]]-'17_分析サンプル'!$E$18)/1000</f>
        <v>405.22</v>
      </c>
      <c r="V1605" s="57">
        <f>INT(tblJTL[[#This Row],[経過秒]]/60)</f>
        <v>6</v>
      </c>
      <c r="W1605" s="57">
        <f>IF(OR(tblJTL[[#This Row],[success]]=FALSE,tblJTL[[#This Row],[success]]="false"),1,0)</f>
        <v>0</v>
      </c>
      <c r="X1605" s="57">
        <f>IF(AND(tblJTL[[#This Row],[経過秒]]&gt;='17_分析サンプル'!$E$11,tblJTL[[#This Row],[経過秒]]&lt;'17_分析サンプル'!$E$12),1,0)</f>
        <v>1</v>
      </c>
    </row>
    <row r="1606" spans="2:24" ht="14.4" x14ac:dyDescent="0.3">
      <c r="B1606" s="57">
        <v>1790816805493</v>
      </c>
      <c r="C1606" s="58">
        <v>212</v>
      </c>
      <c r="D1606" s="59" t="s">
        <v>1677</v>
      </c>
      <c r="E1606" s="59" t="s">
        <v>3579</v>
      </c>
      <c r="F1606" s="59" t="s">
        <v>3580</v>
      </c>
      <c r="G1606" s="59" t="s">
        <v>3582</v>
      </c>
      <c r="H1606" s="59" t="s">
        <v>2281</v>
      </c>
      <c r="I1606" s="59" t="b">
        <v>1</v>
      </c>
      <c r="J1606" s="59"/>
      <c r="K1606" s="58">
        <v>411</v>
      </c>
      <c r="L1606" s="58">
        <v>1478</v>
      </c>
      <c r="M1606" s="59">
        <v>10</v>
      </c>
      <c r="N1606" s="59">
        <v>10</v>
      </c>
      <c r="O1606" s="59" t="s">
        <v>3581</v>
      </c>
      <c r="P1606" s="58">
        <v>205</v>
      </c>
      <c r="Q1606" s="59">
        <v>0</v>
      </c>
      <c r="R1606" s="59">
        <v>0</v>
      </c>
      <c r="S1606" s="60">
        <f>tblJTL[[#This Row],[timeStamp]]/86400000+DATE(1970,1,1)+TIME(9,0,0)</f>
        <v>46296.421359872686</v>
      </c>
      <c r="T1606" s="57">
        <f>tblJTL[[#This Row],[timeStamp]]+tblJTL[[#This Row],[elapsed]]</f>
        <v>1790816805705</v>
      </c>
      <c r="U1606" s="61">
        <f>(tblJTL[[#This Row],[timeStamp]]-'17_分析サンプル'!$E$18)/1000</f>
        <v>405.31299999999999</v>
      </c>
      <c r="V1606" s="57">
        <f>INT(tblJTL[[#This Row],[経過秒]]/60)</f>
        <v>6</v>
      </c>
      <c r="W1606" s="57">
        <f>IF(OR(tblJTL[[#This Row],[success]]=FALSE,tblJTL[[#This Row],[success]]="false"),1,0)</f>
        <v>0</v>
      </c>
      <c r="X1606" s="57">
        <f>IF(AND(tblJTL[[#This Row],[経過秒]]&gt;='17_分析サンプル'!$E$11,tblJTL[[#This Row],[経過秒]]&lt;'17_分析サンプル'!$E$12),1,0)</f>
        <v>1</v>
      </c>
    </row>
    <row r="1607" spans="2:24" ht="14.4" x14ac:dyDescent="0.3">
      <c r="B1607" s="57">
        <v>1790816805942</v>
      </c>
      <c r="C1607" s="58">
        <v>67</v>
      </c>
      <c r="D1607" s="59" t="s">
        <v>1658</v>
      </c>
      <c r="E1607" s="59" t="s">
        <v>1577</v>
      </c>
      <c r="F1607" s="59" t="s">
        <v>2275</v>
      </c>
      <c r="G1607" s="59" t="s">
        <v>3587</v>
      </c>
      <c r="H1607" s="59" t="s">
        <v>2281</v>
      </c>
      <c r="I1607" s="59" t="b">
        <v>1</v>
      </c>
      <c r="J1607" s="59"/>
      <c r="K1607" s="58">
        <v>1856</v>
      </c>
      <c r="L1607" s="58">
        <v>1342</v>
      </c>
      <c r="M1607" s="59">
        <v>10</v>
      </c>
      <c r="N1607" s="59">
        <v>10</v>
      </c>
      <c r="O1607" s="59" t="s">
        <v>3578</v>
      </c>
      <c r="P1607" s="58">
        <v>59</v>
      </c>
      <c r="Q1607" s="59">
        <v>0</v>
      </c>
      <c r="R1607" s="59">
        <v>0</v>
      </c>
      <c r="S1607" s="60">
        <f>tblJTL[[#This Row],[timeStamp]]/86400000+DATE(1970,1,1)+TIME(9,0,0)</f>
        <v>46296.421365069444</v>
      </c>
      <c r="T1607" s="57">
        <f>tblJTL[[#This Row],[timeStamp]]+tblJTL[[#This Row],[elapsed]]</f>
        <v>1790816806009</v>
      </c>
      <c r="U1607" s="61">
        <f>(tblJTL[[#This Row],[timeStamp]]-'17_分析サンプル'!$E$18)/1000</f>
        <v>405.762</v>
      </c>
      <c r="V1607" s="57">
        <f>INT(tblJTL[[#This Row],[経過秒]]/60)</f>
        <v>6</v>
      </c>
      <c r="W1607" s="57">
        <f>IF(OR(tblJTL[[#This Row],[success]]=FALSE,tblJTL[[#This Row],[success]]="false"),1,0)</f>
        <v>0</v>
      </c>
      <c r="X1607" s="57">
        <f>IF(AND(tblJTL[[#This Row],[経過秒]]&gt;='17_分析サンプル'!$E$11,tblJTL[[#This Row],[経過秒]]&lt;'17_分析サンプル'!$E$12),1,0)</f>
        <v>1</v>
      </c>
    </row>
    <row r="1608" spans="2:24" ht="14.4" x14ac:dyDescent="0.3">
      <c r="B1608" s="57">
        <v>1790816806341</v>
      </c>
      <c r="C1608" s="58">
        <v>137</v>
      </c>
      <c r="D1608" s="59" t="s">
        <v>1658</v>
      </c>
      <c r="E1608" s="59" t="s">
        <v>1577</v>
      </c>
      <c r="F1608" s="59" t="s">
        <v>2275</v>
      </c>
      <c r="G1608" s="59" t="s">
        <v>3585</v>
      </c>
      <c r="H1608" s="59" t="s">
        <v>2281</v>
      </c>
      <c r="I1608" s="59" t="b">
        <v>1</v>
      </c>
      <c r="J1608" s="59"/>
      <c r="K1608" s="58">
        <v>1897</v>
      </c>
      <c r="L1608" s="58">
        <v>1342</v>
      </c>
      <c r="M1608" s="59">
        <v>10</v>
      </c>
      <c r="N1608" s="59">
        <v>10</v>
      </c>
      <c r="O1608" s="59" t="s">
        <v>3578</v>
      </c>
      <c r="P1608" s="58">
        <v>129</v>
      </c>
      <c r="Q1608" s="59">
        <v>0</v>
      </c>
      <c r="R1608" s="59">
        <v>0</v>
      </c>
      <c r="S1608" s="60">
        <f>tblJTL[[#This Row],[timeStamp]]/86400000+DATE(1970,1,1)+TIME(9,0,0)</f>
        <v>46296.421369687501</v>
      </c>
      <c r="T1608" s="57">
        <f>tblJTL[[#This Row],[timeStamp]]+tblJTL[[#This Row],[elapsed]]</f>
        <v>1790816806478</v>
      </c>
      <c r="U1608" s="61">
        <f>(tblJTL[[#This Row],[timeStamp]]-'17_分析サンプル'!$E$18)/1000</f>
        <v>406.161</v>
      </c>
      <c r="V1608" s="57">
        <f>INT(tblJTL[[#This Row],[経過秒]]/60)</f>
        <v>6</v>
      </c>
      <c r="W1608" s="57">
        <f>IF(OR(tblJTL[[#This Row],[success]]=FALSE,tblJTL[[#This Row],[success]]="false"),1,0)</f>
        <v>0</v>
      </c>
      <c r="X1608" s="57">
        <f>IF(AND(tblJTL[[#This Row],[経過秒]]&gt;='17_分析サンプル'!$E$11,tblJTL[[#This Row],[経過秒]]&lt;'17_分析サンプル'!$E$12),1,0)</f>
        <v>1</v>
      </c>
    </row>
    <row r="1609" spans="2:24" ht="14.4" x14ac:dyDescent="0.3">
      <c r="B1609" s="57">
        <v>1790816806163</v>
      </c>
      <c r="C1609" s="58">
        <v>413</v>
      </c>
      <c r="D1609" s="59" t="s">
        <v>1677</v>
      </c>
      <c r="E1609" s="59" t="s">
        <v>3579</v>
      </c>
      <c r="F1609" s="59" t="s">
        <v>3580</v>
      </c>
      <c r="G1609" s="59" t="s">
        <v>3583</v>
      </c>
      <c r="H1609" s="59" t="s">
        <v>2281</v>
      </c>
      <c r="I1609" s="59" t="b">
        <v>1</v>
      </c>
      <c r="J1609" s="59"/>
      <c r="K1609" s="58">
        <v>417</v>
      </c>
      <c r="L1609" s="58">
        <v>1478</v>
      </c>
      <c r="M1609" s="59">
        <v>10</v>
      </c>
      <c r="N1609" s="59">
        <v>10</v>
      </c>
      <c r="O1609" s="59" t="s">
        <v>3581</v>
      </c>
      <c r="P1609" s="58">
        <v>410</v>
      </c>
      <c r="Q1609" s="59">
        <v>0</v>
      </c>
      <c r="R1609" s="59">
        <v>0</v>
      </c>
      <c r="S1609" s="60">
        <f>tblJTL[[#This Row],[timeStamp]]/86400000+DATE(1970,1,1)+TIME(9,0,0)</f>
        <v>46296.421367627314</v>
      </c>
      <c r="T1609" s="57">
        <f>tblJTL[[#This Row],[timeStamp]]+tblJTL[[#This Row],[elapsed]]</f>
        <v>1790816806576</v>
      </c>
      <c r="U1609" s="61">
        <f>(tblJTL[[#This Row],[timeStamp]]-'17_分析サンプル'!$E$18)/1000</f>
        <v>405.983</v>
      </c>
      <c r="V1609" s="57">
        <f>INT(tblJTL[[#This Row],[経過秒]]/60)</f>
        <v>6</v>
      </c>
      <c r="W1609" s="57">
        <f>IF(OR(tblJTL[[#This Row],[success]]=FALSE,tblJTL[[#This Row],[success]]="false"),1,0)</f>
        <v>0</v>
      </c>
      <c r="X1609" s="57">
        <f>IF(AND(tblJTL[[#This Row],[経過秒]]&gt;='17_分析サンプル'!$E$11,tblJTL[[#This Row],[経過秒]]&lt;'17_分析サンプル'!$E$12),1,0)</f>
        <v>1</v>
      </c>
    </row>
    <row r="1610" spans="2:24" ht="14.4" x14ac:dyDescent="0.3">
      <c r="B1610" s="57">
        <v>1790816806596</v>
      </c>
      <c r="C1610" s="58">
        <v>110</v>
      </c>
      <c r="D1610" s="59" t="s">
        <v>1658</v>
      </c>
      <c r="E1610" s="59" t="s">
        <v>1577</v>
      </c>
      <c r="F1610" s="59" t="s">
        <v>2275</v>
      </c>
      <c r="G1610" s="59" t="s">
        <v>3588</v>
      </c>
      <c r="H1610" s="59" t="s">
        <v>2281</v>
      </c>
      <c r="I1610" s="59" t="b">
        <v>1</v>
      </c>
      <c r="J1610" s="59"/>
      <c r="K1610" s="58">
        <v>1835</v>
      </c>
      <c r="L1610" s="58">
        <v>1342</v>
      </c>
      <c r="M1610" s="59">
        <v>10</v>
      </c>
      <c r="N1610" s="59">
        <v>10</v>
      </c>
      <c r="O1610" s="59" t="s">
        <v>3578</v>
      </c>
      <c r="P1610" s="58">
        <v>105</v>
      </c>
      <c r="Q1610" s="59">
        <v>0</v>
      </c>
      <c r="R1610" s="59">
        <v>0</v>
      </c>
      <c r="S1610" s="60">
        <f>tblJTL[[#This Row],[timeStamp]]/86400000+DATE(1970,1,1)+TIME(9,0,0)</f>
        <v>46296.421372638884</v>
      </c>
      <c r="T1610" s="57">
        <f>tblJTL[[#This Row],[timeStamp]]+tblJTL[[#This Row],[elapsed]]</f>
        <v>1790816806706</v>
      </c>
      <c r="U1610" s="61">
        <f>(tblJTL[[#This Row],[timeStamp]]-'17_分析サンプル'!$E$18)/1000</f>
        <v>406.416</v>
      </c>
      <c r="V1610" s="57">
        <f>INT(tblJTL[[#This Row],[経過秒]]/60)</f>
        <v>6</v>
      </c>
      <c r="W1610" s="57">
        <f>IF(OR(tblJTL[[#This Row],[success]]=FALSE,tblJTL[[#This Row],[success]]="false"),1,0)</f>
        <v>0</v>
      </c>
      <c r="X1610" s="57">
        <f>IF(AND(tblJTL[[#This Row],[経過秒]]&gt;='17_分析サンプル'!$E$11,tblJTL[[#This Row],[経過秒]]&lt;'17_分析サンプル'!$E$12),1,0)</f>
        <v>1</v>
      </c>
    </row>
    <row r="1611" spans="2:24" ht="14.4" x14ac:dyDescent="0.3">
      <c r="B1611" s="57">
        <v>1790816806480</v>
      </c>
      <c r="C1611" s="58">
        <v>229</v>
      </c>
      <c r="D1611" s="59" t="s">
        <v>1677</v>
      </c>
      <c r="E1611" s="59" t="s">
        <v>3579</v>
      </c>
      <c r="F1611" s="59" t="s">
        <v>3580</v>
      </c>
      <c r="G1611" s="59" t="s">
        <v>3577</v>
      </c>
      <c r="H1611" s="59" t="s">
        <v>2281</v>
      </c>
      <c r="I1611" s="59" t="b">
        <v>1</v>
      </c>
      <c r="J1611" s="59"/>
      <c r="K1611" s="58">
        <v>423</v>
      </c>
      <c r="L1611" s="58">
        <v>1478</v>
      </c>
      <c r="M1611" s="59">
        <v>10</v>
      </c>
      <c r="N1611" s="59">
        <v>10</v>
      </c>
      <c r="O1611" s="59" t="s">
        <v>3581</v>
      </c>
      <c r="P1611" s="58">
        <v>227</v>
      </c>
      <c r="Q1611" s="59">
        <v>0</v>
      </c>
      <c r="R1611" s="59">
        <v>0</v>
      </c>
      <c r="S1611" s="60">
        <f>tblJTL[[#This Row],[timeStamp]]/86400000+DATE(1970,1,1)+TIME(9,0,0)</f>
        <v>46296.421371296296</v>
      </c>
      <c r="T1611" s="57">
        <f>tblJTL[[#This Row],[timeStamp]]+tblJTL[[#This Row],[elapsed]]</f>
        <v>1790816806709</v>
      </c>
      <c r="U1611" s="61">
        <f>(tblJTL[[#This Row],[timeStamp]]-'17_分析サンプル'!$E$18)/1000</f>
        <v>406.3</v>
      </c>
      <c r="V1611" s="57">
        <f>INT(tblJTL[[#This Row],[経過秒]]/60)</f>
        <v>6</v>
      </c>
      <c r="W1611" s="57">
        <f>IF(OR(tblJTL[[#This Row],[success]]=FALSE,tblJTL[[#This Row],[success]]="false"),1,0)</f>
        <v>0</v>
      </c>
      <c r="X1611" s="57">
        <f>IF(AND(tblJTL[[#This Row],[経過秒]]&gt;='17_分析サンプル'!$E$11,tblJTL[[#This Row],[経過秒]]&lt;'17_分析サンプル'!$E$12),1,0)</f>
        <v>1</v>
      </c>
    </row>
    <row r="1612" spans="2:24" ht="14.4" x14ac:dyDescent="0.3">
      <c r="B1612" s="57">
        <v>1790816806602</v>
      </c>
      <c r="C1612" s="58">
        <v>321</v>
      </c>
      <c r="D1612" s="59" t="s">
        <v>1677</v>
      </c>
      <c r="E1612" s="59" t="s">
        <v>3579</v>
      </c>
      <c r="F1612" s="59" t="s">
        <v>3580</v>
      </c>
      <c r="G1612" s="59" t="s">
        <v>3584</v>
      </c>
      <c r="H1612" s="59" t="s">
        <v>2281</v>
      </c>
      <c r="I1612" s="59" t="b">
        <v>1</v>
      </c>
      <c r="J1612" s="59"/>
      <c r="K1612" s="58">
        <v>425</v>
      </c>
      <c r="L1612" s="58">
        <v>1478</v>
      </c>
      <c r="M1612" s="59">
        <v>10</v>
      </c>
      <c r="N1612" s="59">
        <v>10</v>
      </c>
      <c r="O1612" s="59" t="s">
        <v>3581</v>
      </c>
      <c r="P1612" s="58">
        <v>318</v>
      </c>
      <c r="Q1612" s="59">
        <v>0</v>
      </c>
      <c r="R1612" s="59">
        <v>0</v>
      </c>
      <c r="S1612" s="60">
        <f>tblJTL[[#This Row],[timeStamp]]/86400000+DATE(1970,1,1)+TIME(9,0,0)</f>
        <v>46296.421372708333</v>
      </c>
      <c r="T1612" s="57">
        <f>tblJTL[[#This Row],[timeStamp]]+tblJTL[[#This Row],[elapsed]]</f>
        <v>1790816806923</v>
      </c>
      <c r="U1612" s="61">
        <f>(tblJTL[[#This Row],[timeStamp]]-'17_分析サンプル'!$E$18)/1000</f>
        <v>406.42200000000003</v>
      </c>
      <c r="V1612" s="57">
        <f>INT(tblJTL[[#This Row],[経過秒]]/60)</f>
        <v>6</v>
      </c>
      <c r="W1612" s="57">
        <f>IF(OR(tblJTL[[#This Row],[success]]=FALSE,tblJTL[[#This Row],[success]]="false"),1,0)</f>
        <v>0</v>
      </c>
      <c r="X1612" s="57">
        <f>IF(AND(tblJTL[[#This Row],[経過秒]]&gt;='17_分析サンプル'!$E$11,tblJTL[[#This Row],[経過秒]]&lt;'17_分析サンプル'!$E$12),1,0)</f>
        <v>1</v>
      </c>
    </row>
    <row r="1613" spans="2:24" ht="14.4" x14ac:dyDescent="0.3">
      <c r="B1613" s="57">
        <v>1790816807057</v>
      </c>
      <c r="C1613" s="58">
        <v>170</v>
      </c>
      <c r="D1613" s="59" t="s">
        <v>1677</v>
      </c>
      <c r="E1613" s="59" t="s">
        <v>3579</v>
      </c>
      <c r="F1613" s="59" t="s">
        <v>3580</v>
      </c>
      <c r="G1613" s="59" t="s">
        <v>2278</v>
      </c>
      <c r="H1613" s="59" t="s">
        <v>2281</v>
      </c>
      <c r="I1613" s="59" t="b">
        <v>1</v>
      </c>
      <c r="J1613" s="59"/>
      <c r="K1613" s="58">
        <v>431</v>
      </c>
      <c r="L1613" s="58">
        <v>1478</v>
      </c>
      <c r="M1613" s="59">
        <v>10</v>
      </c>
      <c r="N1613" s="59">
        <v>10</v>
      </c>
      <c r="O1613" s="59" t="s">
        <v>3581</v>
      </c>
      <c r="P1613" s="58">
        <v>168</v>
      </c>
      <c r="Q1613" s="59">
        <v>0</v>
      </c>
      <c r="R1613" s="59">
        <v>0</v>
      </c>
      <c r="S1613" s="60">
        <f>tblJTL[[#This Row],[timeStamp]]/86400000+DATE(1970,1,1)+TIME(9,0,0)</f>
        <v>46296.421377974533</v>
      </c>
      <c r="T1613" s="57">
        <f>tblJTL[[#This Row],[timeStamp]]+tblJTL[[#This Row],[elapsed]]</f>
        <v>1790816807227</v>
      </c>
      <c r="U1613" s="61">
        <f>(tblJTL[[#This Row],[timeStamp]]-'17_分析サンプル'!$E$18)/1000</f>
        <v>406.87700000000001</v>
      </c>
      <c r="V1613" s="57">
        <f>INT(tblJTL[[#This Row],[経過秒]]/60)</f>
        <v>6</v>
      </c>
      <c r="W1613" s="57">
        <f>IF(OR(tblJTL[[#This Row],[success]]=FALSE,tblJTL[[#This Row],[success]]="false"),1,0)</f>
        <v>0</v>
      </c>
      <c r="X1613" s="57">
        <f>IF(AND(tblJTL[[#This Row],[経過秒]]&gt;='17_分析サンプル'!$E$11,tblJTL[[#This Row],[経過秒]]&lt;'17_分析サンプル'!$E$12),1,0)</f>
        <v>1</v>
      </c>
    </row>
    <row r="1614" spans="2:24" ht="14.4" x14ac:dyDescent="0.3">
      <c r="B1614" s="57">
        <v>1790816807211</v>
      </c>
      <c r="C1614" s="58">
        <v>201</v>
      </c>
      <c r="D1614" s="59" t="s">
        <v>1677</v>
      </c>
      <c r="E1614" s="59" t="s">
        <v>3579</v>
      </c>
      <c r="F1614" s="59" t="s">
        <v>3580</v>
      </c>
      <c r="G1614" s="59" t="s">
        <v>3587</v>
      </c>
      <c r="H1614" s="59" t="s">
        <v>2281</v>
      </c>
      <c r="I1614" s="59" t="b">
        <v>1</v>
      </c>
      <c r="J1614" s="59"/>
      <c r="K1614" s="58">
        <v>410</v>
      </c>
      <c r="L1614" s="58">
        <v>1478</v>
      </c>
      <c r="M1614" s="59">
        <v>10</v>
      </c>
      <c r="N1614" s="59">
        <v>10</v>
      </c>
      <c r="O1614" s="59" t="s">
        <v>3581</v>
      </c>
      <c r="P1614" s="58">
        <v>196</v>
      </c>
      <c r="Q1614" s="59">
        <v>0</v>
      </c>
      <c r="R1614" s="59">
        <v>0</v>
      </c>
      <c r="S1614" s="60">
        <f>tblJTL[[#This Row],[timeStamp]]/86400000+DATE(1970,1,1)+TIME(9,0,0)</f>
        <v>46296.421379756939</v>
      </c>
      <c r="T1614" s="57">
        <f>tblJTL[[#This Row],[timeStamp]]+tblJTL[[#This Row],[elapsed]]</f>
        <v>1790816807412</v>
      </c>
      <c r="U1614" s="61">
        <f>(tblJTL[[#This Row],[timeStamp]]-'17_分析サンプル'!$E$18)/1000</f>
        <v>407.03100000000001</v>
      </c>
      <c r="V1614" s="57">
        <f>INT(tblJTL[[#This Row],[経過秒]]/60)</f>
        <v>6</v>
      </c>
      <c r="W1614" s="57">
        <f>IF(OR(tblJTL[[#This Row],[success]]=FALSE,tblJTL[[#This Row],[success]]="false"),1,0)</f>
        <v>0</v>
      </c>
      <c r="X1614" s="57">
        <f>IF(AND(tblJTL[[#This Row],[経過秒]]&gt;='17_分析サンプル'!$E$11,tblJTL[[#This Row],[経過秒]]&lt;'17_分析サンプル'!$E$12),1,0)</f>
        <v>1</v>
      </c>
    </row>
    <row r="1615" spans="2:24" ht="14.4" x14ac:dyDescent="0.3">
      <c r="B1615" s="57">
        <v>1790816807513</v>
      </c>
      <c r="C1615" s="58">
        <v>216</v>
      </c>
      <c r="D1615" s="59" t="s">
        <v>1677</v>
      </c>
      <c r="E1615" s="59" t="s">
        <v>3579</v>
      </c>
      <c r="F1615" s="59" t="s">
        <v>3580</v>
      </c>
      <c r="G1615" s="59" t="s">
        <v>3585</v>
      </c>
      <c r="H1615" s="59" t="s">
        <v>2281</v>
      </c>
      <c r="I1615" s="59" t="b">
        <v>1</v>
      </c>
      <c r="J1615" s="59"/>
      <c r="K1615" s="58">
        <v>428</v>
      </c>
      <c r="L1615" s="58">
        <v>1478</v>
      </c>
      <c r="M1615" s="59">
        <v>10</v>
      </c>
      <c r="N1615" s="59">
        <v>10</v>
      </c>
      <c r="O1615" s="59" t="s">
        <v>3581</v>
      </c>
      <c r="P1615" s="58">
        <v>212</v>
      </c>
      <c r="Q1615" s="59">
        <v>0</v>
      </c>
      <c r="R1615" s="59">
        <v>0</v>
      </c>
      <c r="S1615" s="60">
        <f>tblJTL[[#This Row],[timeStamp]]/86400000+DATE(1970,1,1)+TIME(9,0,0)</f>
        <v>46296.421383252316</v>
      </c>
      <c r="T1615" s="57">
        <f>tblJTL[[#This Row],[timeStamp]]+tblJTL[[#This Row],[elapsed]]</f>
        <v>1790816807729</v>
      </c>
      <c r="U1615" s="61">
        <f>(tblJTL[[#This Row],[timeStamp]]-'17_分析サンプル'!$E$18)/1000</f>
        <v>407.33300000000003</v>
      </c>
      <c r="V1615" s="57">
        <f>INT(tblJTL[[#This Row],[経過秒]]/60)</f>
        <v>6</v>
      </c>
      <c r="W1615" s="57">
        <f>IF(OR(tblJTL[[#This Row],[success]]=FALSE,tblJTL[[#This Row],[success]]="false"),1,0)</f>
        <v>0</v>
      </c>
      <c r="X1615" s="57">
        <f>IF(AND(tblJTL[[#This Row],[経過秒]]&gt;='17_分析サンプル'!$E$11,tblJTL[[#This Row],[経過秒]]&lt;'17_分析サンプル'!$E$12),1,0)</f>
        <v>1</v>
      </c>
    </row>
    <row r="1616" spans="2:24" ht="14.4" x14ac:dyDescent="0.3">
      <c r="B1616" s="57">
        <v>1790816808195</v>
      </c>
      <c r="C1616" s="58">
        <v>151</v>
      </c>
      <c r="D1616" s="59" t="s">
        <v>1658</v>
      </c>
      <c r="E1616" s="59" t="s">
        <v>1577</v>
      </c>
      <c r="F1616" s="59" t="s">
        <v>2275</v>
      </c>
      <c r="G1616" s="59" t="s">
        <v>3582</v>
      </c>
      <c r="H1616" s="59" t="s">
        <v>2281</v>
      </c>
      <c r="I1616" s="59" t="b">
        <v>1</v>
      </c>
      <c r="J1616" s="59"/>
      <c r="K1616" s="58">
        <v>1837</v>
      </c>
      <c r="L1616" s="58">
        <v>1342</v>
      </c>
      <c r="M1616" s="59">
        <v>10</v>
      </c>
      <c r="N1616" s="59">
        <v>10</v>
      </c>
      <c r="O1616" s="59" t="s">
        <v>3578</v>
      </c>
      <c r="P1616" s="58">
        <v>143</v>
      </c>
      <c r="Q1616" s="59">
        <v>0</v>
      </c>
      <c r="R1616" s="59">
        <v>0</v>
      </c>
      <c r="S1616" s="60">
        <f>tblJTL[[#This Row],[timeStamp]]/86400000+DATE(1970,1,1)+TIME(9,0,0)</f>
        <v>46296.421391145836</v>
      </c>
      <c r="T1616" s="57">
        <f>tblJTL[[#This Row],[timeStamp]]+tblJTL[[#This Row],[elapsed]]</f>
        <v>1790816808346</v>
      </c>
      <c r="U1616" s="61">
        <f>(tblJTL[[#This Row],[timeStamp]]-'17_分析サンプル'!$E$18)/1000</f>
        <v>408.01499999999999</v>
      </c>
      <c r="V1616" s="57">
        <f>INT(tblJTL[[#This Row],[経過秒]]/60)</f>
        <v>6</v>
      </c>
      <c r="W1616" s="57">
        <f>IF(OR(tblJTL[[#This Row],[success]]=FALSE,tblJTL[[#This Row],[success]]="false"),1,0)</f>
        <v>0</v>
      </c>
      <c r="X1616" s="57">
        <f>IF(AND(tblJTL[[#This Row],[経過秒]]&gt;='17_分析サンプル'!$E$11,tblJTL[[#This Row],[経過秒]]&lt;'17_分析サンプル'!$E$12),1,0)</f>
        <v>1</v>
      </c>
    </row>
    <row r="1617" spans="2:24" ht="14.4" x14ac:dyDescent="0.3">
      <c r="B1617" s="57">
        <v>1790816808293</v>
      </c>
      <c r="C1617" s="58">
        <v>109</v>
      </c>
      <c r="D1617" s="59" t="s">
        <v>1658</v>
      </c>
      <c r="E1617" s="59" t="s">
        <v>1577</v>
      </c>
      <c r="F1617" s="59" t="s">
        <v>2275</v>
      </c>
      <c r="G1617" s="59" t="s">
        <v>2278</v>
      </c>
      <c r="H1617" s="59" t="s">
        <v>2281</v>
      </c>
      <c r="I1617" s="59" t="b">
        <v>1</v>
      </c>
      <c r="J1617" s="59"/>
      <c r="K1617" s="58">
        <v>1846</v>
      </c>
      <c r="L1617" s="58">
        <v>1342</v>
      </c>
      <c r="M1617" s="59">
        <v>10</v>
      </c>
      <c r="N1617" s="59">
        <v>10</v>
      </c>
      <c r="O1617" s="59" t="s">
        <v>3578</v>
      </c>
      <c r="P1617" s="58">
        <v>101</v>
      </c>
      <c r="Q1617" s="59">
        <v>0</v>
      </c>
      <c r="R1617" s="59">
        <v>0</v>
      </c>
      <c r="S1617" s="60">
        <f>tblJTL[[#This Row],[timeStamp]]/86400000+DATE(1970,1,1)+TIME(9,0,0)</f>
        <v>46296.421392280092</v>
      </c>
      <c r="T1617" s="57">
        <f>tblJTL[[#This Row],[timeStamp]]+tblJTL[[#This Row],[elapsed]]</f>
        <v>1790816808402</v>
      </c>
      <c r="U1617" s="61">
        <f>(tblJTL[[#This Row],[timeStamp]]-'17_分析サンプル'!$E$18)/1000</f>
        <v>408.113</v>
      </c>
      <c r="V1617" s="57">
        <f>INT(tblJTL[[#This Row],[経過秒]]/60)</f>
        <v>6</v>
      </c>
      <c r="W1617" s="57">
        <f>IF(OR(tblJTL[[#This Row],[success]]=FALSE,tblJTL[[#This Row],[success]]="false"),1,0)</f>
        <v>0</v>
      </c>
      <c r="X1617" s="57">
        <f>IF(AND(tblJTL[[#This Row],[経過秒]]&gt;='17_分析サンプル'!$E$11,tblJTL[[#This Row],[経過秒]]&lt;'17_分析サンプル'!$E$12),1,0)</f>
        <v>1</v>
      </c>
    </row>
    <row r="1618" spans="2:24" ht="14.4" x14ac:dyDescent="0.3">
      <c r="B1618" s="57">
        <v>1790816808373</v>
      </c>
      <c r="C1618" s="58">
        <v>102</v>
      </c>
      <c r="D1618" s="59" t="s">
        <v>1658</v>
      </c>
      <c r="E1618" s="59" t="s">
        <v>1577</v>
      </c>
      <c r="F1618" s="59" t="s">
        <v>2275</v>
      </c>
      <c r="G1618" s="59" t="s">
        <v>3589</v>
      </c>
      <c r="H1618" s="59" t="s">
        <v>2281</v>
      </c>
      <c r="I1618" s="59" t="b">
        <v>1</v>
      </c>
      <c r="J1618" s="59"/>
      <c r="K1618" s="58">
        <v>1888</v>
      </c>
      <c r="L1618" s="58">
        <v>1342</v>
      </c>
      <c r="M1618" s="59">
        <v>10</v>
      </c>
      <c r="N1618" s="59">
        <v>10</v>
      </c>
      <c r="O1618" s="59" t="s">
        <v>3578</v>
      </c>
      <c r="P1618" s="58">
        <v>97</v>
      </c>
      <c r="Q1618" s="59">
        <v>0</v>
      </c>
      <c r="R1618" s="59">
        <v>0</v>
      </c>
      <c r="S1618" s="60">
        <f>tblJTL[[#This Row],[timeStamp]]/86400000+DATE(1970,1,1)+TIME(9,0,0)</f>
        <v>46296.421393206023</v>
      </c>
      <c r="T1618" s="57">
        <f>tblJTL[[#This Row],[timeStamp]]+tblJTL[[#This Row],[elapsed]]</f>
        <v>1790816808475</v>
      </c>
      <c r="U1618" s="61">
        <f>(tblJTL[[#This Row],[timeStamp]]-'17_分析サンプル'!$E$18)/1000</f>
        <v>408.19299999999998</v>
      </c>
      <c r="V1618" s="57">
        <f>INT(tblJTL[[#This Row],[経過秒]]/60)</f>
        <v>6</v>
      </c>
      <c r="W1618" s="57">
        <f>IF(OR(tblJTL[[#This Row],[success]]=FALSE,tblJTL[[#This Row],[success]]="false"),1,0)</f>
        <v>0</v>
      </c>
      <c r="X1618" s="57">
        <f>IF(AND(tblJTL[[#This Row],[経過秒]]&gt;='17_分析サンプル'!$E$11,tblJTL[[#This Row],[経過秒]]&lt;'17_分析サンプル'!$E$12),1,0)</f>
        <v>1</v>
      </c>
    </row>
    <row r="1619" spans="2:24" ht="14.4" x14ac:dyDescent="0.3">
      <c r="B1619" s="57">
        <v>1790816808574</v>
      </c>
      <c r="C1619" s="58">
        <v>137</v>
      </c>
      <c r="D1619" s="59" t="s">
        <v>1658</v>
      </c>
      <c r="E1619" s="59" t="s">
        <v>1577</v>
      </c>
      <c r="F1619" s="59" t="s">
        <v>2275</v>
      </c>
      <c r="G1619" s="59" t="s">
        <v>3586</v>
      </c>
      <c r="H1619" s="59" t="s">
        <v>2281</v>
      </c>
      <c r="I1619" s="59" t="b">
        <v>1</v>
      </c>
      <c r="J1619" s="59"/>
      <c r="K1619" s="58">
        <v>1839</v>
      </c>
      <c r="L1619" s="58">
        <v>1342</v>
      </c>
      <c r="M1619" s="59">
        <v>10</v>
      </c>
      <c r="N1619" s="59">
        <v>10</v>
      </c>
      <c r="O1619" s="59" t="s">
        <v>3578</v>
      </c>
      <c r="P1619" s="58">
        <v>133</v>
      </c>
      <c r="Q1619" s="59">
        <v>0</v>
      </c>
      <c r="R1619" s="59">
        <v>63</v>
      </c>
      <c r="S1619" s="60">
        <f>tblJTL[[#This Row],[timeStamp]]/86400000+DATE(1970,1,1)+TIME(9,0,0)</f>
        <v>46296.421395532408</v>
      </c>
      <c r="T1619" s="57">
        <f>tblJTL[[#This Row],[timeStamp]]+tblJTL[[#This Row],[elapsed]]</f>
        <v>1790816808711</v>
      </c>
      <c r="U1619" s="61">
        <f>(tblJTL[[#This Row],[timeStamp]]-'17_分析サンプル'!$E$18)/1000</f>
        <v>408.39400000000001</v>
      </c>
      <c r="V1619" s="57">
        <f>INT(tblJTL[[#This Row],[経過秒]]/60)</f>
        <v>6</v>
      </c>
      <c r="W1619" s="57">
        <f>IF(OR(tblJTL[[#This Row],[success]]=FALSE,tblJTL[[#This Row],[success]]="false"),1,0)</f>
        <v>0</v>
      </c>
      <c r="X1619" s="57">
        <f>IF(AND(tblJTL[[#This Row],[経過秒]]&gt;='17_分析サンプル'!$E$11,tblJTL[[#This Row],[経過秒]]&lt;'17_分析サンプル'!$E$12),1,0)</f>
        <v>1</v>
      </c>
    </row>
    <row r="1620" spans="2:24" ht="14.4" x14ac:dyDescent="0.3">
      <c r="B1620" s="57">
        <v>1790816808921</v>
      </c>
      <c r="C1620" s="58">
        <v>111</v>
      </c>
      <c r="D1620" s="59" t="s">
        <v>1658</v>
      </c>
      <c r="E1620" s="59" t="s">
        <v>1577</v>
      </c>
      <c r="F1620" s="59" t="s">
        <v>2275</v>
      </c>
      <c r="G1620" s="59" t="s">
        <v>3584</v>
      </c>
      <c r="H1620" s="59" t="s">
        <v>2281</v>
      </c>
      <c r="I1620" s="59" t="b">
        <v>1</v>
      </c>
      <c r="J1620" s="59"/>
      <c r="K1620" s="58">
        <v>1857</v>
      </c>
      <c r="L1620" s="58">
        <v>1342</v>
      </c>
      <c r="M1620" s="59">
        <v>10</v>
      </c>
      <c r="N1620" s="59">
        <v>10</v>
      </c>
      <c r="O1620" s="59" t="s">
        <v>3578</v>
      </c>
      <c r="P1620" s="58">
        <v>103</v>
      </c>
      <c r="Q1620" s="59">
        <v>0</v>
      </c>
      <c r="R1620" s="59">
        <v>0</v>
      </c>
      <c r="S1620" s="60">
        <f>tblJTL[[#This Row],[timeStamp]]/86400000+DATE(1970,1,1)+TIME(9,0,0)</f>
        <v>46296.421399548606</v>
      </c>
      <c r="T1620" s="57">
        <f>tblJTL[[#This Row],[timeStamp]]+tblJTL[[#This Row],[elapsed]]</f>
        <v>1790816809032</v>
      </c>
      <c r="U1620" s="61">
        <f>(tblJTL[[#This Row],[timeStamp]]-'17_分析サンプル'!$E$18)/1000</f>
        <v>408.74099999999999</v>
      </c>
      <c r="V1620" s="57">
        <f>INT(tblJTL[[#This Row],[経過秒]]/60)</f>
        <v>6</v>
      </c>
      <c r="W1620" s="57">
        <f>IF(OR(tblJTL[[#This Row],[success]]=FALSE,tblJTL[[#This Row],[success]]="false"),1,0)</f>
        <v>0</v>
      </c>
      <c r="X1620" s="57">
        <f>IF(AND(tblJTL[[#This Row],[経過秒]]&gt;='17_分析サンプル'!$E$11,tblJTL[[#This Row],[経過秒]]&lt;'17_分析サンプル'!$E$12),1,0)</f>
        <v>1</v>
      </c>
    </row>
    <row r="1621" spans="2:24" ht="14.4" x14ac:dyDescent="0.3">
      <c r="B1621" s="57">
        <v>1790816808963</v>
      </c>
      <c r="C1621" s="58">
        <v>137</v>
      </c>
      <c r="D1621" s="59" t="s">
        <v>1658</v>
      </c>
      <c r="E1621" s="59" t="s">
        <v>1577</v>
      </c>
      <c r="F1621" s="59" t="s">
        <v>2275</v>
      </c>
      <c r="G1621" s="59" t="s">
        <v>3577</v>
      </c>
      <c r="H1621" s="59" t="s">
        <v>2281</v>
      </c>
      <c r="I1621" s="59" t="b">
        <v>1</v>
      </c>
      <c r="J1621" s="59"/>
      <c r="K1621" s="58">
        <v>1854</v>
      </c>
      <c r="L1621" s="58">
        <v>1342</v>
      </c>
      <c r="M1621" s="59">
        <v>10</v>
      </c>
      <c r="N1621" s="59">
        <v>10</v>
      </c>
      <c r="O1621" s="59" t="s">
        <v>3578</v>
      </c>
      <c r="P1621" s="58">
        <v>135</v>
      </c>
      <c r="Q1621" s="59">
        <v>0</v>
      </c>
      <c r="R1621" s="59">
        <v>0</v>
      </c>
      <c r="S1621" s="60">
        <f>tblJTL[[#This Row],[timeStamp]]/86400000+DATE(1970,1,1)+TIME(9,0,0)</f>
        <v>46296.421400034727</v>
      </c>
      <c r="T1621" s="57">
        <f>tblJTL[[#This Row],[timeStamp]]+tblJTL[[#This Row],[elapsed]]</f>
        <v>1790816809100</v>
      </c>
      <c r="U1621" s="61">
        <f>(tblJTL[[#This Row],[timeStamp]]-'17_分析サンプル'!$E$18)/1000</f>
        <v>408.78300000000002</v>
      </c>
      <c r="V1621" s="57">
        <f>INT(tblJTL[[#This Row],[経過秒]]/60)</f>
        <v>6</v>
      </c>
      <c r="W1621" s="57">
        <f>IF(OR(tblJTL[[#This Row],[success]]=FALSE,tblJTL[[#This Row],[success]]="false"),1,0)</f>
        <v>0</v>
      </c>
      <c r="X1621" s="57">
        <f>IF(AND(tblJTL[[#This Row],[経過秒]]&gt;='17_分析サンプル'!$E$11,tblJTL[[#This Row],[経過秒]]&lt;'17_分析サンプル'!$E$12),1,0)</f>
        <v>1</v>
      </c>
    </row>
    <row r="1622" spans="2:24" ht="14.4" x14ac:dyDescent="0.3">
      <c r="B1622" s="57">
        <v>1790816809112</v>
      </c>
      <c r="C1622" s="58">
        <v>147</v>
      </c>
      <c r="D1622" s="59" t="s">
        <v>1658</v>
      </c>
      <c r="E1622" s="59" t="s">
        <v>1577</v>
      </c>
      <c r="F1622" s="59" t="s">
        <v>2275</v>
      </c>
      <c r="G1622" s="59" t="s">
        <v>3583</v>
      </c>
      <c r="H1622" s="59" t="s">
        <v>2281</v>
      </c>
      <c r="I1622" s="59" t="b">
        <v>1</v>
      </c>
      <c r="J1622" s="59"/>
      <c r="K1622" s="58">
        <v>1842</v>
      </c>
      <c r="L1622" s="58">
        <v>1342</v>
      </c>
      <c r="M1622" s="59">
        <v>10</v>
      </c>
      <c r="N1622" s="59">
        <v>10</v>
      </c>
      <c r="O1622" s="59" t="s">
        <v>3578</v>
      </c>
      <c r="P1622" s="58">
        <v>142</v>
      </c>
      <c r="Q1622" s="59">
        <v>0</v>
      </c>
      <c r="R1622" s="59">
        <v>0</v>
      </c>
      <c r="S1622" s="60">
        <f>tblJTL[[#This Row],[timeStamp]]/86400000+DATE(1970,1,1)+TIME(9,0,0)</f>
        <v>46296.42140175926</v>
      </c>
      <c r="T1622" s="57">
        <f>tblJTL[[#This Row],[timeStamp]]+tblJTL[[#This Row],[elapsed]]</f>
        <v>1790816809259</v>
      </c>
      <c r="U1622" s="61">
        <f>(tblJTL[[#This Row],[timeStamp]]-'17_分析サンプル'!$E$18)/1000</f>
        <v>408.93200000000002</v>
      </c>
      <c r="V1622" s="57">
        <f>INT(tblJTL[[#This Row],[経過秒]]/60)</f>
        <v>6</v>
      </c>
      <c r="W1622" s="57">
        <f>IF(OR(tblJTL[[#This Row],[success]]=FALSE,tblJTL[[#This Row],[success]]="false"),1,0)</f>
        <v>0</v>
      </c>
      <c r="X1622" s="57">
        <f>IF(AND(tblJTL[[#This Row],[経過秒]]&gt;='17_分析サンプル'!$E$11,tblJTL[[#This Row],[経過秒]]&lt;'17_分析サンプル'!$E$12),1,0)</f>
        <v>1</v>
      </c>
    </row>
    <row r="1623" spans="2:24" ht="14.4" x14ac:dyDescent="0.3">
      <c r="B1623" s="57">
        <v>1790816809559</v>
      </c>
      <c r="C1623" s="58">
        <v>113</v>
      </c>
      <c r="D1623" s="59" t="s">
        <v>1658</v>
      </c>
      <c r="E1623" s="59" t="s">
        <v>1577</v>
      </c>
      <c r="F1623" s="59" t="s">
        <v>2275</v>
      </c>
      <c r="G1623" s="59" t="s">
        <v>3587</v>
      </c>
      <c r="H1623" s="59" t="s">
        <v>2281</v>
      </c>
      <c r="I1623" s="59" t="b">
        <v>1</v>
      </c>
      <c r="J1623" s="59"/>
      <c r="K1623" s="58">
        <v>1897</v>
      </c>
      <c r="L1623" s="58">
        <v>1342</v>
      </c>
      <c r="M1623" s="59">
        <v>10</v>
      </c>
      <c r="N1623" s="59">
        <v>10</v>
      </c>
      <c r="O1623" s="59" t="s">
        <v>3578</v>
      </c>
      <c r="P1623" s="58">
        <v>109</v>
      </c>
      <c r="Q1623" s="59">
        <v>0</v>
      </c>
      <c r="R1623" s="59">
        <v>0</v>
      </c>
      <c r="S1623" s="60">
        <f>tblJTL[[#This Row],[timeStamp]]/86400000+DATE(1970,1,1)+TIME(9,0,0)</f>
        <v>46296.421406932874</v>
      </c>
      <c r="T1623" s="57">
        <f>tblJTL[[#This Row],[timeStamp]]+tblJTL[[#This Row],[elapsed]]</f>
        <v>1790816809672</v>
      </c>
      <c r="U1623" s="61">
        <f>(tblJTL[[#This Row],[timeStamp]]-'17_分析サンプル'!$E$18)/1000</f>
        <v>409.37900000000002</v>
      </c>
      <c r="V1623" s="57">
        <f>INT(tblJTL[[#This Row],[経過秒]]/60)</f>
        <v>6</v>
      </c>
      <c r="W1623" s="57">
        <f>IF(OR(tblJTL[[#This Row],[success]]=FALSE,tblJTL[[#This Row],[success]]="false"),1,0)</f>
        <v>0</v>
      </c>
      <c r="X1623" s="57">
        <f>IF(AND(tblJTL[[#This Row],[経過秒]]&gt;='17_分析サンプル'!$E$11,tblJTL[[#This Row],[経過秒]]&lt;'17_分析サンプル'!$E$12),1,0)</f>
        <v>1</v>
      </c>
    </row>
    <row r="1624" spans="2:24" ht="14.4" x14ac:dyDescent="0.3">
      <c r="B1624" s="57">
        <v>1790816809518</v>
      </c>
      <c r="C1624" s="58">
        <v>242</v>
      </c>
      <c r="D1624" s="59" t="s">
        <v>1677</v>
      </c>
      <c r="E1624" s="59" t="s">
        <v>3579</v>
      </c>
      <c r="F1624" s="59" t="s">
        <v>3580</v>
      </c>
      <c r="G1624" s="59" t="s">
        <v>3588</v>
      </c>
      <c r="H1624" s="59" t="s">
        <v>2281</v>
      </c>
      <c r="I1624" s="59" t="b">
        <v>1</v>
      </c>
      <c r="J1624" s="59"/>
      <c r="K1624" s="58">
        <v>430</v>
      </c>
      <c r="L1624" s="58">
        <v>1478</v>
      </c>
      <c r="M1624" s="59">
        <v>10</v>
      </c>
      <c r="N1624" s="59">
        <v>10</v>
      </c>
      <c r="O1624" s="59" t="s">
        <v>3581</v>
      </c>
      <c r="P1624" s="58">
        <v>237</v>
      </c>
      <c r="Q1624" s="59">
        <v>0</v>
      </c>
      <c r="R1624" s="59">
        <v>0</v>
      </c>
      <c r="S1624" s="60">
        <f>tblJTL[[#This Row],[timeStamp]]/86400000+DATE(1970,1,1)+TIME(9,0,0)</f>
        <v>46296.421406458336</v>
      </c>
      <c r="T1624" s="57">
        <f>tblJTL[[#This Row],[timeStamp]]+tblJTL[[#This Row],[elapsed]]</f>
        <v>1790816809760</v>
      </c>
      <c r="U1624" s="61">
        <f>(tblJTL[[#This Row],[timeStamp]]-'17_分析サンプル'!$E$18)/1000</f>
        <v>409.33800000000002</v>
      </c>
      <c r="V1624" s="57">
        <f>INT(tblJTL[[#This Row],[経過秒]]/60)</f>
        <v>6</v>
      </c>
      <c r="W1624" s="57">
        <f>IF(OR(tblJTL[[#This Row],[success]]=FALSE,tblJTL[[#This Row],[success]]="false"),1,0)</f>
        <v>0</v>
      </c>
      <c r="X1624" s="57">
        <f>IF(AND(tblJTL[[#This Row],[経過秒]]&gt;='17_分析サンプル'!$E$11,tblJTL[[#This Row],[経過秒]]&lt;'17_分析サンプル'!$E$12),1,0)</f>
        <v>1</v>
      </c>
    </row>
    <row r="1625" spans="2:24" ht="14.4" x14ac:dyDescent="0.3">
      <c r="B1625" s="57">
        <v>1790816810025</v>
      </c>
      <c r="C1625" s="58">
        <v>107</v>
      </c>
      <c r="D1625" s="59" t="s">
        <v>1658</v>
      </c>
      <c r="E1625" s="59" t="s">
        <v>1577</v>
      </c>
      <c r="F1625" s="59" t="s">
        <v>2275</v>
      </c>
      <c r="G1625" s="59" t="s">
        <v>3585</v>
      </c>
      <c r="H1625" s="59" t="s">
        <v>2281</v>
      </c>
      <c r="I1625" s="59" t="b">
        <v>1</v>
      </c>
      <c r="J1625" s="59"/>
      <c r="K1625" s="58">
        <v>1888</v>
      </c>
      <c r="L1625" s="58">
        <v>1342</v>
      </c>
      <c r="M1625" s="59">
        <v>10</v>
      </c>
      <c r="N1625" s="59">
        <v>10</v>
      </c>
      <c r="O1625" s="59" t="s">
        <v>3578</v>
      </c>
      <c r="P1625" s="58">
        <v>99</v>
      </c>
      <c r="Q1625" s="59">
        <v>0</v>
      </c>
      <c r="R1625" s="59">
        <v>0</v>
      </c>
      <c r="S1625" s="60">
        <f>tblJTL[[#This Row],[timeStamp]]/86400000+DATE(1970,1,1)+TIME(9,0,0)</f>
        <v>46296.421412326388</v>
      </c>
      <c r="T1625" s="57">
        <f>tblJTL[[#This Row],[timeStamp]]+tblJTL[[#This Row],[elapsed]]</f>
        <v>1790816810132</v>
      </c>
      <c r="U1625" s="61">
        <f>(tblJTL[[#This Row],[timeStamp]]-'17_分析サンプル'!$E$18)/1000</f>
        <v>409.84500000000003</v>
      </c>
      <c r="V1625" s="57">
        <f>INT(tblJTL[[#This Row],[経過秒]]/60)</f>
        <v>6</v>
      </c>
      <c r="W1625" s="57">
        <f>IF(OR(tblJTL[[#This Row],[success]]=FALSE,tblJTL[[#This Row],[success]]="false"),1,0)</f>
        <v>0</v>
      </c>
      <c r="X1625" s="57">
        <f>IF(AND(tblJTL[[#This Row],[経過秒]]&gt;='17_分析サンプル'!$E$11,tblJTL[[#This Row],[経過秒]]&lt;'17_分析サンプル'!$E$12),1,0)</f>
        <v>1</v>
      </c>
    </row>
    <row r="1626" spans="2:24" ht="14.4" x14ac:dyDescent="0.3">
      <c r="B1626" s="57">
        <v>1790816810214</v>
      </c>
      <c r="C1626" s="58">
        <v>305</v>
      </c>
      <c r="D1626" s="59" t="s">
        <v>1677</v>
      </c>
      <c r="E1626" s="59" t="s">
        <v>3579</v>
      </c>
      <c r="F1626" s="59" t="s">
        <v>3580</v>
      </c>
      <c r="G1626" s="59" t="s">
        <v>2278</v>
      </c>
      <c r="H1626" s="59" t="s">
        <v>2281</v>
      </c>
      <c r="I1626" s="59" t="b">
        <v>1</v>
      </c>
      <c r="J1626" s="59"/>
      <c r="K1626" s="58">
        <v>434</v>
      </c>
      <c r="L1626" s="58">
        <v>1478</v>
      </c>
      <c r="M1626" s="59">
        <v>10</v>
      </c>
      <c r="N1626" s="59">
        <v>10</v>
      </c>
      <c r="O1626" s="59" t="s">
        <v>3581</v>
      </c>
      <c r="P1626" s="58">
        <v>300</v>
      </c>
      <c r="Q1626" s="59">
        <v>0</v>
      </c>
      <c r="R1626" s="59">
        <v>0</v>
      </c>
      <c r="S1626" s="60">
        <f>tblJTL[[#This Row],[timeStamp]]/86400000+DATE(1970,1,1)+TIME(9,0,0)</f>
        <v>46296.42141451389</v>
      </c>
      <c r="T1626" s="57">
        <f>tblJTL[[#This Row],[timeStamp]]+tblJTL[[#This Row],[elapsed]]</f>
        <v>1790816810519</v>
      </c>
      <c r="U1626" s="61">
        <f>(tblJTL[[#This Row],[timeStamp]]-'17_分析サンプル'!$E$18)/1000</f>
        <v>410.03399999999999</v>
      </c>
      <c r="V1626" s="57">
        <f>INT(tblJTL[[#This Row],[経過秒]]/60)</f>
        <v>6</v>
      </c>
      <c r="W1626" s="57">
        <f>IF(OR(tblJTL[[#This Row],[success]]=FALSE,tblJTL[[#This Row],[success]]="false"),1,0)</f>
        <v>0</v>
      </c>
      <c r="X1626" s="57">
        <f>IF(AND(tblJTL[[#This Row],[経過秒]]&gt;='17_分析サンプル'!$E$11,tblJTL[[#This Row],[経過秒]]&lt;'17_分析サンプル'!$E$12),1,0)</f>
        <v>1</v>
      </c>
    </row>
    <row r="1627" spans="2:24" ht="14.4" x14ac:dyDescent="0.3">
      <c r="B1627" s="57">
        <v>1790816810373</v>
      </c>
      <c r="C1627" s="58">
        <v>243</v>
      </c>
      <c r="D1627" s="59" t="s">
        <v>1677</v>
      </c>
      <c r="E1627" s="59" t="s">
        <v>3579</v>
      </c>
      <c r="F1627" s="59" t="s">
        <v>3580</v>
      </c>
      <c r="G1627" s="59" t="s">
        <v>3584</v>
      </c>
      <c r="H1627" s="59" t="s">
        <v>2281</v>
      </c>
      <c r="I1627" s="59" t="b">
        <v>1</v>
      </c>
      <c r="J1627" s="59"/>
      <c r="K1627" s="58">
        <v>425</v>
      </c>
      <c r="L1627" s="58">
        <v>1478</v>
      </c>
      <c r="M1627" s="59">
        <v>10</v>
      </c>
      <c r="N1627" s="59">
        <v>10</v>
      </c>
      <c r="O1627" s="59" t="s">
        <v>3581</v>
      </c>
      <c r="P1627" s="58">
        <v>239</v>
      </c>
      <c r="Q1627" s="59">
        <v>0</v>
      </c>
      <c r="R1627" s="59">
        <v>0</v>
      </c>
      <c r="S1627" s="60">
        <f>tblJTL[[#This Row],[timeStamp]]/86400000+DATE(1970,1,1)+TIME(9,0,0)</f>
        <v>46296.421416354162</v>
      </c>
      <c r="T1627" s="57">
        <f>tblJTL[[#This Row],[timeStamp]]+tblJTL[[#This Row],[elapsed]]</f>
        <v>1790816810616</v>
      </c>
      <c r="U1627" s="61">
        <f>(tblJTL[[#This Row],[timeStamp]]-'17_分析サンプル'!$E$18)/1000</f>
        <v>410.19299999999998</v>
      </c>
      <c r="V1627" s="57">
        <f>INT(tblJTL[[#This Row],[経過秒]]/60)</f>
        <v>6</v>
      </c>
      <c r="W1627" s="57">
        <f>IF(OR(tblJTL[[#This Row],[success]]=FALSE,tblJTL[[#This Row],[success]]="false"),1,0)</f>
        <v>0</v>
      </c>
      <c r="X1627" s="57">
        <f>IF(AND(tblJTL[[#This Row],[経過秒]]&gt;='17_分析サンプル'!$E$11,tblJTL[[#This Row],[経過秒]]&lt;'17_分析サンプル'!$E$12),1,0)</f>
        <v>1</v>
      </c>
    </row>
    <row r="1628" spans="2:24" ht="14.4" x14ac:dyDescent="0.3">
      <c r="B1628" s="57">
        <v>1790816810706</v>
      </c>
      <c r="C1628" s="58">
        <v>152</v>
      </c>
      <c r="D1628" s="59" t="s">
        <v>1677</v>
      </c>
      <c r="E1628" s="59" t="s">
        <v>3579</v>
      </c>
      <c r="F1628" s="59" t="s">
        <v>3580</v>
      </c>
      <c r="G1628" s="59" t="s">
        <v>3582</v>
      </c>
      <c r="H1628" s="59" t="s">
        <v>2281</v>
      </c>
      <c r="I1628" s="59" t="b">
        <v>1</v>
      </c>
      <c r="J1628" s="59"/>
      <c r="K1628" s="58">
        <v>424</v>
      </c>
      <c r="L1628" s="58">
        <v>1478</v>
      </c>
      <c r="M1628" s="59">
        <v>10</v>
      </c>
      <c r="N1628" s="59">
        <v>10</v>
      </c>
      <c r="O1628" s="59" t="s">
        <v>3581</v>
      </c>
      <c r="P1628" s="58">
        <v>147</v>
      </c>
      <c r="Q1628" s="59">
        <v>0</v>
      </c>
      <c r="R1628" s="59">
        <v>0</v>
      </c>
      <c r="S1628" s="60">
        <f>tblJTL[[#This Row],[timeStamp]]/86400000+DATE(1970,1,1)+TIME(9,0,0)</f>
        <v>46296.421420208339</v>
      </c>
      <c r="T1628" s="57">
        <f>tblJTL[[#This Row],[timeStamp]]+tblJTL[[#This Row],[elapsed]]</f>
        <v>1790816810858</v>
      </c>
      <c r="U1628" s="61">
        <f>(tblJTL[[#This Row],[timeStamp]]-'17_分析サンプル'!$E$18)/1000</f>
        <v>410.52600000000001</v>
      </c>
      <c r="V1628" s="57">
        <f>INT(tblJTL[[#This Row],[経過秒]]/60)</f>
        <v>6</v>
      </c>
      <c r="W1628" s="57">
        <f>IF(OR(tblJTL[[#This Row],[success]]=FALSE,tblJTL[[#This Row],[success]]="false"),1,0)</f>
        <v>0</v>
      </c>
      <c r="X1628" s="57">
        <f>IF(AND(tblJTL[[#This Row],[経過秒]]&gt;='17_分析サンプル'!$E$11,tblJTL[[#This Row],[経過秒]]&lt;'17_分析サンプル'!$E$12),1,0)</f>
        <v>1</v>
      </c>
    </row>
    <row r="1629" spans="2:24" ht="14.4" x14ac:dyDescent="0.3">
      <c r="B1629" s="57">
        <v>1790816810685</v>
      </c>
      <c r="C1629" s="58">
        <v>326</v>
      </c>
      <c r="D1629" s="59" t="s">
        <v>1677</v>
      </c>
      <c r="E1629" s="59" t="s">
        <v>3579</v>
      </c>
      <c r="F1629" s="59" t="s">
        <v>3580</v>
      </c>
      <c r="G1629" s="59" t="s">
        <v>3586</v>
      </c>
      <c r="H1629" s="59" t="s">
        <v>2281</v>
      </c>
      <c r="I1629" s="59" t="b">
        <v>1</v>
      </c>
      <c r="J1629" s="59"/>
      <c r="K1629" s="58">
        <v>428</v>
      </c>
      <c r="L1629" s="58">
        <v>1478</v>
      </c>
      <c r="M1629" s="59">
        <v>10</v>
      </c>
      <c r="N1629" s="59">
        <v>10</v>
      </c>
      <c r="O1629" s="59" t="s">
        <v>3581</v>
      </c>
      <c r="P1629" s="58">
        <v>319</v>
      </c>
      <c r="Q1629" s="59">
        <v>0</v>
      </c>
      <c r="R1629" s="59">
        <v>0</v>
      </c>
      <c r="S1629" s="60">
        <f>tblJTL[[#This Row],[timeStamp]]/86400000+DATE(1970,1,1)+TIME(9,0,0)</f>
        <v>46296.421419965278</v>
      </c>
      <c r="T1629" s="57">
        <f>tblJTL[[#This Row],[timeStamp]]+tblJTL[[#This Row],[elapsed]]</f>
        <v>1790816811011</v>
      </c>
      <c r="U1629" s="61">
        <f>(tblJTL[[#This Row],[timeStamp]]-'17_分析サンプル'!$E$18)/1000</f>
        <v>410.505</v>
      </c>
      <c r="V1629" s="57">
        <f>INT(tblJTL[[#This Row],[経過秒]]/60)</f>
        <v>6</v>
      </c>
      <c r="W1629" s="57">
        <f>IF(OR(tblJTL[[#This Row],[success]]=FALSE,tblJTL[[#This Row],[success]]="false"),1,0)</f>
        <v>0</v>
      </c>
      <c r="X1629" s="57">
        <f>IF(AND(tblJTL[[#This Row],[経過秒]]&gt;='17_分析サンプル'!$E$11,tblJTL[[#This Row],[経過秒]]&lt;'17_分析サンプル'!$E$12),1,0)</f>
        <v>1</v>
      </c>
    </row>
    <row r="1630" spans="2:24" ht="14.4" x14ac:dyDescent="0.3">
      <c r="B1630" s="57">
        <v>1790816811266</v>
      </c>
      <c r="C1630" s="58">
        <v>237</v>
      </c>
      <c r="D1630" s="59" t="s">
        <v>1677</v>
      </c>
      <c r="E1630" s="59" t="s">
        <v>3579</v>
      </c>
      <c r="F1630" s="59" t="s">
        <v>3580</v>
      </c>
      <c r="G1630" s="59" t="s">
        <v>3589</v>
      </c>
      <c r="H1630" s="59" t="s">
        <v>2281</v>
      </c>
      <c r="I1630" s="59" t="b">
        <v>1</v>
      </c>
      <c r="J1630" s="59"/>
      <c r="K1630" s="58">
        <v>430</v>
      </c>
      <c r="L1630" s="58">
        <v>1478</v>
      </c>
      <c r="M1630" s="59">
        <v>10</v>
      </c>
      <c r="N1630" s="59">
        <v>10</v>
      </c>
      <c r="O1630" s="59" t="s">
        <v>3581</v>
      </c>
      <c r="P1630" s="58">
        <v>231</v>
      </c>
      <c r="Q1630" s="59">
        <v>0</v>
      </c>
      <c r="R1630" s="59">
        <v>0</v>
      </c>
      <c r="S1630" s="60">
        <f>tblJTL[[#This Row],[timeStamp]]/86400000+DATE(1970,1,1)+TIME(9,0,0)</f>
        <v>46296.42142668982</v>
      </c>
      <c r="T1630" s="57">
        <f>tblJTL[[#This Row],[timeStamp]]+tblJTL[[#This Row],[elapsed]]</f>
        <v>1790816811503</v>
      </c>
      <c r="U1630" s="61">
        <f>(tblJTL[[#This Row],[timeStamp]]-'17_分析サンプル'!$E$18)/1000</f>
        <v>411.08600000000001</v>
      </c>
      <c r="V1630" s="57">
        <f>INT(tblJTL[[#This Row],[経過秒]]/60)</f>
        <v>6</v>
      </c>
      <c r="W1630" s="57">
        <f>IF(OR(tblJTL[[#This Row],[success]]=FALSE,tblJTL[[#This Row],[success]]="false"),1,0)</f>
        <v>0</v>
      </c>
      <c r="X1630" s="57">
        <f>IF(AND(tblJTL[[#This Row],[経過秒]]&gt;='17_分析サンプル'!$E$11,tblJTL[[#This Row],[経過秒]]&lt;'17_分析サンプル'!$E$12),1,0)</f>
        <v>1</v>
      </c>
    </row>
    <row r="1631" spans="2:24" ht="14.4" x14ac:dyDescent="0.3">
      <c r="B1631" s="57">
        <v>1790816811316</v>
      </c>
      <c r="C1631" s="58">
        <v>196</v>
      </c>
      <c r="D1631" s="59" t="s">
        <v>1677</v>
      </c>
      <c r="E1631" s="59" t="s">
        <v>3579</v>
      </c>
      <c r="F1631" s="59" t="s">
        <v>3580</v>
      </c>
      <c r="G1631" s="59" t="s">
        <v>3583</v>
      </c>
      <c r="H1631" s="59" t="s">
        <v>2281</v>
      </c>
      <c r="I1631" s="59" t="b">
        <v>1</v>
      </c>
      <c r="J1631" s="59"/>
      <c r="K1631" s="58">
        <v>439</v>
      </c>
      <c r="L1631" s="58">
        <v>1478</v>
      </c>
      <c r="M1631" s="59">
        <v>10</v>
      </c>
      <c r="N1631" s="59">
        <v>10</v>
      </c>
      <c r="O1631" s="59" t="s">
        <v>3581</v>
      </c>
      <c r="P1631" s="58">
        <v>192</v>
      </c>
      <c r="Q1631" s="59">
        <v>0</v>
      </c>
      <c r="R1631" s="59">
        <v>0</v>
      </c>
      <c r="S1631" s="60">
        <f>tblJTL[[#This Row],[timeStamp]]/86400000+DATE(1970,1,1)+TIME(9,0,0)</f>
        <v>46296.42142726852</v>
      </c>
      <c r="T1631" s="57">
        <f>tblJTL[[#This Row],[timeStamp]]+tblJTL[[#This Row],[elapsed]]</f>
        <v>1790816811512</v>
      </c>
      <c r="U1631" s="61">
        <f>(tblJTL[[#This Row],[timeStamp]]-'17_分析サンプル'!$E$18)/1000</f>
        <v>411.13600000000002</v>
      </c>
      <c r="V1631" s="57">
        <f>INT(tblJTL[[#This Row],[経過秒]]/60)</f>
        <v>6</v>
      </c>
      <c r="W1631" s="57">
        <f>IF(OR(tblJTL[[#This Row],[success]]=FALSE,tblJTL[[#This Row],[success]]="false"),1,0)</f>
        <v>0</v>
      </c>
      <c r="X1631" s="57">
        <f>IF(AND(tblJTL[[#This Row],[経過秒]]&gt;='17_分析サンプル'!$E$11,tblJTL[[#This Row],[経過秒]]&lt;'17_分析サンプル'!$E$12),1,0)</f>
        <v>1</v>
      </c>
    </row>
    <row r="1632" spans="2:24" ht="14.4" x14ac:dyDescent="0.3">
      <c r="B1632" s="57">
        <v>1790816811763</v>
      </c>
      <c r="C1632" s="58">
        <v>125</v>
      </c>
      <c r="D1632" s="59" t="s">
        <v>1658</v>
      </c>
      <c r="E1632" s="59" t="s">
        <v>1577</v>
      </c>
      <c r="F1632" s="59" t="s">
        <v>2275</v>
      </c>
      <c r="G1632" s="59" t="s">
        <v>3584</v>
      </c>
      <c r="H1632" s="59" t="s">
        <v>2281</v>
      </c>
      <c r="I1632" s="59" t="b">
        <v>1</v>
      </c>
      <c r="J1632" s="59"/>
      <c r="K1632" s="58">
        <v>1864</v>
      </c>
      <c r="L1632" s="58">
        <v>1342</v>
      </c>
      <c r="M1632" s="59">
        <v>10</v>
      </c>
      <c r="N1632" s="59">
        <v>10</v>
      </c>
      <c r="O1632" s="59" t="s">
        <v>3578</v>
      </c>
      <c r="P1632" s="58">
        <v>120</v>
      </c>
      <c r="Q1632" s="59">
        <v>0</v>
      </c>
      <c r="R1632" s="59">
        <v>0</v>
      </c>
      <c r="S1632" s="60">
        <f>tblJTL[[#This Row],[timeStamp]]/86400000+DATE(1970,1,1)+TIME(9,0,0)</f>
        <v>46296.421432442134</v>
      </c>
      <c r="T1632" s="57">
        <f>tblJTL[[#This Row],[timeStamp]]+tblJTL[[#This Row],[elapsed]]</f>
        <v>1790816811888</v>
      </c>
      <c r="U1632" s="61">
        <f>(tblJTL[[#This Row],[timeStamp]]-'17_分析サンプル'!$E$18)/1000</f>
        <v>411.58300000000003</v>
      </c>
      <c r="V1632" s="57">
        <f>INT(tblJTL[[#This Row],[経過秒]]/60)</f>
        <v>6</v>
      </c>
      <c r="W1632" s="57">
        <f>IF(OR(tblJTL[[#This Row],[success]]=FALSE,tblJTL[[#This Row],[success]]="false"),1,0)</f>
        <v>0</v>
      </c>
      <c r="X1632" s="57">
        <f>IF(AND(tblJTL[[#This Row],[経過秒]]&gt;='17_分析サンプル'!$E$11,tblJTL[[#This Row],[経過秒]]&lt;'17_分析サンプル'!$E$12),1,0)</f>
        <v>1</v>
      </c>
    </row>
    <row r="1633" spans="2:24" ht="14.4" x14ac:dyDescent="0.3">
      <c r="B1633" s="57">
        <v>1790816811571</v>
      </c>
      <c r="C1633" s="58">
        <v>368</v>
      </c>
      <c r="D1633" s="59" t="s">
        <v>1677</v>
      </c>
      <c r="E1633" s="59" t="s">
        <v>3579</v>
      </c>
      <c r="F1633" s="59" t="s">
        <v>3580</v>
      </c>
      <c r="G1633" s="59" t="s">
        <v>3587</v>
      </c>
      <c r="H1633" s="59" t="s">
        <v>2281</v>
      </c>
      <c r="I1633" s="59" t="b">
        <v>1</v>
      </c>
      <c r="J1633" s="59"/>
      <c r="K1633" s="58">
        <v>435</v>
      </c>
      <c r="L1633" s="58">
        <v>1478</v>
      </c>
      <c r="M1633" s="59">
        <v>10</v>
      </c>
      <c r="N1633" s="59">
        <v>10</v>
      </c>
      <c r="O1633" s="59" t="s">
        <v>3581</v>
      </c>
      <c r="P1633" s="58">
        <v>363</v>
      </c>
      <c r="Q1633" s="59">
        <v>0</v>
      </c>
      <c r="R1633" s="59">
        <v>0</v>
      </c>
      <c r="S1633" s="60">
        <f>tblJTL[[#This Row],[timeStamp]]/86400000+DATE(1970,1,1)+TIME(9,0,0)</f>
        <v>46296.421430219911</v>
      </c>
      <c r="T1633" s="57">
        <f>tblJTL[[#This Row],[timeStamp]]+tblJTL[[#This Row],[elapsed]]</f>
        <v>1790816811939</v>
      </c>
      <c r="U1633" s="61">
        <f>(tblJTL[[#This Row],[timeStamp]]-'17_分析サンプル'!$E$18)/1000</f>
        <v>411.39100000000002</v>
      </c>
      <c r="V1633" s="57">
        <f>INT(tblJTL[[#This Row],[経過秒]]/60)</f>
        <v>6</v>
      </c>
      <c r="W1633" s="57">
        <f>IF(OR(tblJTL[[#This Row],[success]]=FALSE,tblJTL[[#This Row],[success]]="false"),1,0)</f>
        <v>0</v>
      </c>
      <c r="X1633" s="57">
        <f>IF(AND(tblJTL[[#This Row],[経過秒]]&gt;='17_分析サンプル'!$E$11,tblJTL[[#This Row],[経過秒]]&lt;'17_分析サンプル'!$E$12),1,0)</f>
        <v>1</v>
      </c>
    </row>
    <row r="1634" spans="2:24" ht="14.4" x14ac:dyDescent="0.3">
      <c r="B1634" s="57">
        <v>1790816811931</v>
      </c>
      <c r="C1634" s="58">
        <v>209</v>
      </c>
      <c r="D1634" s="59" t="s">
        <v>1677</v>
      </c>
      <c r="E1634" s="59" t="s">
        <v>3579</v>
      </c>
      <c r="F1634" s="59" t="s">
        <v>3580</v>
      </c>
      <c r="G1634" s="59" t="s">
        <v>3577</v>
      </c>
      <c r="H1634" s="59" t="s">
        <v>2281</v>
      </c>
      <c r="I1634" s="59" t="b">
        <v>1</v>
      </c>
      <c r="J1634" s="59"/>
      <c r="K1634" s="58">
        <v>424</v>
      </c>
      <c r="L1634" s="58">
        <v>1478</v>
      </c>
      <c r="M1634" s="59">
        <v>10</v>
      </c>
      <c r="N1634" s="59">
        <v>10</v>
      </c>
      <c r="O1634" s="59" t="s">
        <v>3581</v>
      </c>
      <c r="P1634" s="58">
        <v>202</v>
      </c>
      <c r="Q1634" s="59">
        <v>0</v>
      </c>
      <c r="R1634" s="59">
        <v>0</v>
      </c>
      <c r="S1634" s="60">
        <f>tblJTL[[#This Row],[timeStamp]]/86400000+DATE(1970,1,1)+TIME(9,0,0)</f>
        <v>46296.421434386575</v>
      </c>
      <c r="T1634" s="57">
        <f>tblJTL[[#This Row],[timeStamp]]+tblJTL[[#This Row],[elapsed]]</f>
        <v>1790816812140</v>
      </c>
      <c r="U1634" s="61">
        <f>(tblJTL[[#This Row],[timeStamp]]-'17_分析サンプル'!$E$18)/1000</f>
        <v>411.75099999999998</v>
      </c>
      <c r="V1634" s="57">
        <f>INT(tblJTL[[#This Row],[経過秒]]/60)</f>
        <v>6</v>
      </c>
      <c r="W1634" s="57">
        <f>IF(OR(tblJTL[[#This Row],[success]]=FALSE,tblJTL[[#This Row],[success]]="false"),1,0)</f>
        <v>0</v>
      </c>
      <c r="X1634" s="57">
        <f>IF(AND(tblJTL[[#This Row],[経過秒]]&gt;='17_分析サンプル'!$E$11,tblJTL[[#This Row],[経過秒]]&lt;'17_分析サンプル'!$E$12),1,0)</f>
        <v>1</v>
      </c>
    </row>
    <row r="1635" spans="2:24" ht="14.4" x14ac:dyDescent="0.3">
      <c r="B1635" s="57">
        <v>1790816812674</v>
      </c>
      <c r="C1635" s="58">
        <v>100</v>
      </c>
      <c r="D1635" s="59" t="s">
        <v>1658</v>
      </c>
      <c r="E1635" s="59" t="s">
        <v>1577</v>
      </c>
      <c r="F1635" s="59" t="s">
        <v>2275</v>
      </c>
      <c r="G1635" s="59" t="s">
        <v>3582</v>
      </c>
      <c r="H1635" s="59" t="s">
        <v>2281</v>
      </c>
      <c r="I1635" s="59" t="b">
        <v>1</v>
      </c>
      <c r="J1635" s="59"/>
      <c r="K1635" s="58">
        <v>1894</v>
      </c>
      <c r="L1635" s="58">
        <v>1342</v>
      </c>
      <c r="M1635" s="59">
        <v>10</v>
      </c>
      <c r="N1635" s="59">
        <v>10</v>
      </c>
      <c r="O1635" s="59" t="s">
        <v>3578</v>
      </c>
      <c r="P1635" s="58">
        <v>97</v>
      </c>
      <c r="Q1635" s="59">
        <v>0</v>
      </c>
      <c r="R1635" s="59">
        <v>0</v>
      </c>
      <c r="S1635" s="60">
        <f>tblJTL[[#This Row],[timeStamp]]/86400000+DATE(1970,1,1)+TIME(9,0,0)</f>
        <v>46296.421442986109</v>
      </c>
      <c r="T1635" s="57">
        <f>tblJTL[[#This Row],[timeStamp]]+tblJTL[[#This Row],[elapsed]]</f>
        <v>1790816812774</v>
      </c>
      <c r="U1635" s="61">
        <f>(tblJTL[[#This Row],[timeStamp]]-'17_分析サンプル'!$E$18)/1000</f>
        <v>412.49400000000003</v>
      </c>
      <c r="V1635" s="57">
        <f>INT(tblJTL[[#This Row],[経過秒]]/60)</f>
        <v>6</v>
      </c>
      <c r="W1635" s="57">
        <f>IF(OR(tblJTL[[#This Row],[success]]=FALSE,tblJTL[[#This Row],[success]]="false"),1,0)</f>
        <v>0</v>
      </c>
      <c r="X1635" s="57">
        <f>IF(AND(tblJTL[[#This Row],[経過秒]]&gt;='17_分析サンプル'!$E$11,tblJTL[[#This Row],[経過秒]]&lt;'17_分析サンプル'!$E$12),1,0)</f>
        <v>1</v>
      </c>
    </row>
    <row r="1636" spans="2:24" ht="14.4" x14ac:dyDescent="0.3">
      <c r="B1636" s="57">
        <v>1790816812651</v>
      </c>
      <c r="C1636" s="58">
        <v>131</v>
      </c>
      <c r="D1636" s="59" t="s">
        <v>1658</v>
      </c>
      <c r="E1636" s="59" t="s">
        <v>1577</v>
      </c>
      <c r="F1636" s="59" t="s">
        <v>2275</v>
      </c>
      <c r="G1636" s="59" t="s">
        <v>3588</v>
      </c>
      <c r="H1636" s="59" t="s">
        <v>2281</v>
      </c>
      <c r="I1636" s="59" t="b">
        <v>1</v>
      </c>
      <c r="J1636" s="59"/>
      <c r="K1636" s="58">
        <v>1820</v>
      </c>
      <c r="L1636" s="58">
        <v>1342</v>
      </c>
      <c r="M1636" s="59">
        <v>10</v>
      </c>
      <c r="N1636" s="59">
        <v>10</v>
      </c>
      <c r="O1636" s="59" t="s">
        <v>3578</v>
      </c>
      <c r="P1636" s="58">
        <v>124</v>
      </c>
      <c r="Q1636" s="59">
        <v>0</v>
      </c>
      <c r="R1636" s="59">
        <v>0</v>
      </c>
      <c r="S1636" s="60">
        <f>tblJTL[[#This Row],[timeStamp]]/86400000+DATE(1970,1,1)+TIME(9,0,0)</f>
        <v>46296.421442719904</v>
      </c>
      <c r="T1636" s="57">
        <f>tblJTL[[#This Row],[timeStamp]]+tblJTL[[#This Row],[elapsed]]</f>
        <v>1790816812782</v>
      </c>
      <c r="U1636" s="61">
        <f>(tblJTL[[#This Row],[timeStamp]]-'17_分析サンプル'!$E$18)/1000</f>
        <v>412.471</v>
      </c>
      <c r="V1636" s="57">
        <f>INT(tblJTL[[#This Row],[経過秒]]/60)</f>
        <v>6</v>
      </c>
      <c r="W1636" s="57">
        <f>IF(OR(tblJTL[[#This Row],[success]]=FALSE,tblJTL[[#This Row],[success]]="false"),1,0)</f>
        <v>0</v>
      </c>
      <c r="X1636" s="57">
        <f>IF(AND(tblJTL[[#This Row],[経過秒]]&gt;='17_分析サンプル'!$E$11,tblJTL[[#This Row],[経過秒]]&lt;'17_分析サンプル'!$E$12),1,0)</f>
        <v>1</v>
      </c>
    </row>
    <row r="1637" spans="2:24" ht="14.4" x14ac:dyDescent="0.3">
      <c r="B1637" s="57">
        <v>1790816812762</v>
      </c>
      <c r="C1637" s="58">
        <v>117</v>
      </c>
      <c r="D1637" s="59" t="s">
        <v>1658</v>
      </c>
      <c r="E1637" s="59" t="s">
        <v>1577</v>
      </c>
      <c r="F1637" s="59" t="s">
        <v>2275</v>
      </c>
      <c r="G1637" s="59" t="s">
        <v>3589</v>
      </c>
      <c r="H1637" s="59" t="s">
        <v>2281</v>
      </c>
      <c r="I1637" s="59" t="b">
        <v>1</v>
      </c>
      <c r="J1637" s="59"/>
      <c r="K1637" s="58">
        <v>1849</v>
      </c>
      <c r="L1637" s="58">
        <v>1342</v>
      </c>
      <c r="M1637" s="59">
        <v>10</v>
      </c>
      <c r="N1637" s="59">
        <v>10</v>
      </c>
      <c r="O1637" s="59" t="s">
        <v>3578</v>
      </c>
      <c r="P1637" s="58">
        <v>114</v>
      </c>
      <c r="Q1637" s="59">
        <v>0</v>
      </c>
      <c r="R1637" s="59">
        <v>0</v>
      </c>
      <c r="S1637" s="60">
        <f>tblJTL[[#This Row],[timeStamp]]/86400000+DATE(1970,1,1)+TIME(9,0,0)</f>
        <v>46296.421444004634</v>
      </c>
      <c r="T1637" s="57">
        <f>tblJTL[[#This Row],[timeStamp]]+tblJTL[[#This Row],[elapsed]]</f>
        <v>1790816812879</v>
      </c>
      <c r="U1637" s="61">
        <f>(tblJTL[[#This Row],[timeStamp]]-'17_分析サンプル'!$E$18)/1000</f>
        <v>412.58199999999999</v>
      </c>
      <c r="V1637" s="57">
        <f>INT(tblJTL[[#This Row],[経過秒]]/60)</f>
        <v>6</v>
      </c>
      <c r="W1637" s="57">
        <f>IF(OR(tblJTL[[#This Row],[success]]=FALSE,tblJTL[[#This Row],[success]]="false"),1,0)</f>
        <v>0</v>
      </c>
      <c r="X1637" s="57">
        <f>IF(AND(tblJTL[[#This Row],[経過秒]]&gt;='17_分析サンプル'!$E$11,tblJTL[[#This Row],[経過秒]]&lt;'17_分析サンプル'!$E$12),1,0)</f>
        <v>1</v>
      </c>
    </row>
    <row r="1638" spans="2:24" ht="14.4" x14ac:dyDescent="0.3">
      <c r="B1638" s="57">
        <v>1790816812936</v>
      </c>
      <c r="C1638" s="58">
        <v>210</v>
      </c>
      <c r="D1638" s="59" t="s">
        <v>1677</v>
      </c>
      <c r="E1638" s="59" t="s">
        <v>3579</v>
      </c>
      <c r="F1638" s="59" t="s">
        <v>3580</v>
      </c>
      <c r="G1638" s="59" t="s">
        <v>3585</v>
      </c>
      <c r="H1638" s="59" t="s">
        <v>2281</v>
      </c>
      <c r="I1638" s="59" t="b">
        <v>1</v>
      </c>
      <c r="J1638" s="59"/>
      <c r="K1638" s="58">
        <v>416</v>
      </c>
      <c r="L1638" s="58">
        <v>1478</v>
      </c>
      <c r="M1638" s="59">
        <v>10</v>
      </c>
      <c r="N1638" s="59">
        <v>10</v>
      </c>
      <c r="O1638" s="59" t="s">
        <v>3581</v>
      </c>
      <c r="P1638" s="58">
        <v>203</v>
      </c>
      <c r="Q1638" s="59">
        <v>0</v>
      </c>
      <c r="R1638" s="59">
        <v>0</v>
      </c>
      <c r="S1638" s="60">
        <f>tblJTL[[#This Row],[timeStamp]]/86400000+DATE(1970,1,1)+TIME(9,0,0)</f>
        <v>46296.421446018518</v>
      </c>
      <c r="T1638" s="57">
        <f>tblJTL[[#This Row],[timeStamp]]+tblJTL[[#This Row],[elapsed]]</f>
        <v>1790816813146</v>
      </c>
      <c r="U1638" s="61">
        <f>(tblJTL[[#This Row],[timeStamp]]-'17_分析サンプル'!$E$18)/1000</f>
        <v>412.75599999999997</v>
      </c>
      <c r="V1638" s="57">
        <f>INT(tblJTL[[#This Row],[経過秒]]/60)</f>
        <v>6</v>
      </c>
      <c r="W1638" s="57">
        <f>IF(OR(tblJTL[[#This Row],[success]]=FALSE,tblJTL[[#This Row],[success]]="false"),1,0)</f>
        <v>0</v>
      </c>
      <c r="X1638" s="57">
        <f>IF(AND(tblJTL[[#This Row],[経過秒]]&gt;='17_分析サンプル'!$E$11,tblJTL[[#This Row],[経過秒]]&lt;'17_分析サンプル'!$E$12),1,0)</f>
        <v>1</v>
      </c>
    </row>
    <row r="1639" spans="2:24" ht="14.4" x14ac:dyDescent="0.3">
      <c r="B1639" s="57">
        <v>1790816813190</v>
      </c>
      <c r="C1639" s="58">
        <v>65</v>
      </c>
      <c r="D1639" s="59" t="s">
        <v>1658</v>
      </c>
      <c r="E1639" s="59" t="s">
        <v>1577</v>
      </c>
      <c r="F1639" s="59" t="s">
        <v>2275</v>
      </c>
      <c r="G1639" s="59" t="s">
        <v>2278</v>
      </c>
      <c r="H1639" s="59" t="s">
        <v>2281</v>
      </c>
      <c r="I1639" s="59" t="b">
        <v>1</v>
      </c>
      <c r="J1639" s="59"/>
      <c r="K1639" s="58">
        <v>1886</v>
      </c>
      <c r="L1639" s="58">
        <v>1342</v>
      </c>
      <c r="M1639" s="59">
        <v>10</v>
      </c>
      <c r="N1639" s="59">
        <v>10</v>
      </c>
      <c r="O1639" s="59" t="s">
        <v>3578</v>
      </c>
      <c r="P1639" s="58">
        <v>62</v>
      </c>
      <c r="Q1639" s="59">
        <v>0</v>
      </c>
      <c r="R1639" s="59">
        <v>0</v>
      </c>
      <c r="S1639" s="60">
        <f>tblJTL[[#This Row],[timeStamp]]/86400000+DATE(1970,1,1)+TIME(9,0,0)</f>
        <v>46296.421448958332</v>
      </c>
      <c r="T1639" s="57">
        <f>tblJTL[[#This Row],[timeStamp]]+tblJTL[[#This Row],[elapsed]]</f>
        <v>1790816813255</v>
      </c>
      <c r="U1639" s="61">
        <f>(tblJTL[[#This Row],[timeStamp]]-'17_分析サンプル'!$E$18)/1000</f>
        <v>413.01</v>
      </c>
      <c r="V1639" s="57">
        <f>INT(tblJTL[[#This Row],[経過秒]]/60)</f>
        <v>6</v>
      </c>
      <c r="W1639" s="57">
        <f>IF(OR(tblJTL[[#This Row],[success]]=FALSE,tblJTL[[#This Row],[success]]="false"),1,0)</f>
        <v>0</v>
      </c>
      <c r="X1639" s="57">
        <f>IF(AND(tblJTL[[#This Row],[経過秒]]&gt;='17_分析サンプル'!$E$11,tblJTL[[#This Row],[経過秒]]&lt;'17_分析サンプル'!$E$12),1,0)</f>
        <v>1</v>
      </c>
    </row>
    <row r="1640" spans="2:24" ht="14.4" x14ac:dyDescent="0.3">
      <c r="B1640" s="57">
        <v>1790816813176</v>
      </c>
      <c r="C1640" s="58">
        <v>373</v>
      </c>
      <c r="D1640" s="59" t="s">
        <v>1677</v>
      </c>
      <c r="E1640" s="59" t="s">
        <v>3579</v>
      </c>
      <c r="F1640" s="59" t="s">
        <v>3580</v>
      </c>
      <c r="G1640" s="59" t="s">
        <v>3584</v>
      </c>
      <c r="H1640" s="59" t="s">
        <v>2281</v>
      </c>
      <c r="I1640" s="59" t="b">
        <v>1</v>
      </c>
      <c r="J1640" s="59"/>
      <c r="K1640" s="58">
        <v>427</v>
      </c>
      <c r="L1640" s="58">
        <v>1478</v>
      </c>
      <c r="M1640" s="59">
        <v>10</v>
      </c>
      <c r="N1640" s="59">
        <v>10</v>
      </c>
      <c r="O1640" s="59" t="s">
        <v>3581</v>
      </c>
      <c r="P1640" s="58">
        <v>371</v>
      </c>
      <c r="Q1640" s="59">
        <v>0</v>
      </c>
      <c r="R1640" s="59">
        <v>0</v>
      </c>
      <c r="S1640" s="60">
        <f>tblJTL[[#This Row],[timeStamp]]/86400000+DATE(1970,1,1)+TIME(9,0,0)</f>
        <v>46296.421448796296</v>
      </c>
      <c r="T1640" s="57">
        <f>tblJTL[[#This Row],[timeStamp]]+tblJTL[[#This Row],[elapsed]]</f>
        <v>1790816813549</v>
      </c>
      <c r="U1640" s="61">
        <f>(tblJTL[[#This Row],[timeStamp]]-'17_分析サンプル'!$E$18)/1000</f>
        <v>412.99599999999998</v>
      </c>
      <c r="V1640" s="57">
        <f>INT(tblJTL[[#This Row],[経過秒]]/60)</f>
        <v>6</v>
      </c>
      <c r="W1640" s="57">
        <f>IF(OR(tblJTL[[#This Row],[success]]=FALSE,tblJTL[[#This Row],[success]]="false"),1,0)</f>
        <v>0</v>
      </c>
      <c r="X1640" s="57">
        <f>IF(AND(tblJTL[[#This Row],[経過秒]]&gt;='17_分析サンプル'!$E$11,tblJTL[[#This Row],[経過秒]]&lt;'17_分析サンプル'!$E$12),1,0)</f>
        <v>1</v>
      </c>
    </row>
    <row r="1641" spans="2:24" ht="14.4" x14ac:dyDescent="0.3">
      <c r="B1641" s="57">
        <v>1790816813463</v>
      </c>
      <c r="C1641" s="58">
        <v>111</v>
      </c>
      <c r="D1641" s="59" t="s">
        <v>1658</v>
      </c>
      <c r="E1641" s="59" t="s">
        <v>1577</v>
      </c>
      <c r="F1641" s="59" t="s">
        <v>2275</v>
      </c>
      <c r="G1641" s="59" t="s">
        <v>3586</v>
      </c>
      <c r="H1641" s="59" t="s">
        <v>2281</v>
      </c>
      <c r="I1641" s="59" t="b">
        <v>1</v>
      </c>
      <c r="J1641" s="59"/>
      <c r="K1641" s="58">
        <v>1838</v>
      </c>
      <c r="L1641" s="58">
        <v>1342</v>
      </c>
      <c r="M1641" s="59">
        <v>10</v>
      </c>
      <c r="N1641" s="59">
        <v>10</v>
      </c>
      <c r="O1641" s="59" t="s">
        <v>3578</v>
      </c>
      <c r="P1641" s="58">
        <v>109</v>
      </c>
      <c r="Q1641" s="59">
        <v>0</v>
      </c>
      <c r="R1641" s="59">
        <v>0</v>
      </c>
      <c r="S1641" s="60">
        <f>tblJTL[[#This Row],[timeStamp]]/86400000+DATE(1970,1,1)+TIME(9,0,0)</f>
        <v>46296.421452118055</v>
      </c>
      <c r="T1641" s="57">
        <f>tblJTL[[#This Row],[timeStamp]]+tblJTL[[#This Row],[elapsed]]</f>
        <v>1790816813574</v>
      </c>
      <c r="U1641" s="61">
        <f>(tblJTL[[#This Row],[timeStamp]]-'17_分析サンプル'!$E$18)/1000</f>
        <v>413.28300000000002</v>
      </c>
      <c r="V1641" s="57">
        <f>INT(tblJTL[[#This Row],[経過秒]]/60)</f>
        <v>6</v>
      </c>
      <c r="W1641" s="57">
        <f>IF(OR(tblJTL[[#This Row],[success]]=FALSE,tblJTL[[#This Row],[success]]="false"),1,0)</f>
        <v>0</v>
      </c>
      <c r="X1641" s="57">
        <f>IF(AND(tblJTL[[#This Row],[経過秒]]&gt;='17_分析サンプル'!$E$11,tblJTL[[#This Row],[経過秒]]&lt;'17_分析サンプル'!$E$12),1,0)</f>
        <v>1</v>
      </c>
    </row>
    <row r="1642" spans="2:24" ht="14.4" x14ac:dyDescent="0.3">
      <c r="B1642" s="57">
        <v>1790816813562</v>
      </c>
      <c r="C1642" s="58">
        <v>139</v>
      </c>
      <c r="D1642" s="59" t="s">
        <v>1658</v>
      </c>
      <c r="E1642" s="59" t="s">
        <v>1577</v>
      </c>
      <c r="F1642" s="59" t="s">
        <v>2275</v>
      </c>
      <c r="G1642" s="59" t="s">
        <v>3583</v>
      </c>
      <c r="H1642" s="59" t="s">
        <v>2281</v>
      </c>
      <c r="I1642" s="59" t="b">
        <v>1</v>
      </c>
      <c r="J1642" s="59"/>
      <c r="K1642" s="58">
        <v>1852</v>
      </c>
      <c r="L1642" s="58">
        <v>1342</v>
      </c>
      <c r="M1642" s="59">
        <v>10</v>
      </c>
      <c r="N1642" s="59">
        <v>10</v>
      </c>
      <c r="O1642" s="59" t="s">
        <v>3578</v>
      </c>
      <c r="P1642" s="58">
        <v>132</v>
      </c>
      <c r="Q1642" s="59">
        <v>0</v>
      </c>
      <c r="R1642" s="59">
        <v>0</v>
      </c>
      <c r="S1642" s="60">
        <f>tblJTL[[#This Row],[timeStamp]]/86400000+DATE(1970,1,1)+TIME(9,0,0)</f>
        <v>46296.421453263887</v>
      </c>
      <c r="T1642" s="57">
        <f>tblJTL[[#This Row],[timeStamp]]+tblJTL[[#This Row],[elapsed]]</f>
        <v>1790816813701</v>
      </c>
      <c r="U1642" s="61">
        <f>(tblJTL[[#This Row],[timeStamp]]-'17_分析サンプル'!$E$18)/1000</f>
        <v>413.38200000000001</v>
      </c>
      <c r="V1642" s="57">
        <f>INT(tblJTL[[#This Row],[経過秒]]/60)</f>
        <v>6</v>
      </c>
      <c r="W1642" s="57">
        <f>IF(OR(tblJTL[[#This Row],[success]]=FALSE,tblJTL[[#This Row],[success]]="false"),1,0)</f>
        <v>0</v>
      </c>
      <c r="X1642" s="57">
        <f>IF(AND(tblJTL[[#This Row],[経過秒]]&gt;='17_分析サンプル'!$E$11,tblJTL[[#This Row],[経過秒]]&lt;'17_分析サンプル'!$E$12),1,0)</f>
        <v>1</v>
      </c>
    </row>
    <row r="1643" spans="2:24" ht="14.4" x14ac:dyDescent="0.3">
      <c r="B1643" s="57">
        <v>1790816813796</v>
      </c>
      <c r="C1643" s="58">
        <v>238</v>
      </c>
      <c r="D1643" s="59" t="s">
        <v>1658</v>
      </c>
      <c r="E1643" s="59" t="s">
        <v>1577</v>
      </c>
      <c r="F1643" s="59" t="s">
        <v>2275</v>
      </c>
      <c r="G1643" s="59" t="s">
        <v>3587</v>
      </c>
      <c r="H1643" s="59" t="s">
        <v>2281</v>
      </c>
      <c r="I1643" s="59" t="b">
        <v>1</v>
      </c>
      <c r="J1643" s="59"/>
      <c r="K1643" s="58">
        <v>1864</v>
      </c>
      <c r="L1643" s="58">
        <v>1342</v>
      </c>
      <c r="M1643" s="59">
        <v>10</v>
      </c>
      <c r="N1643" s="59">
        <v>10</v>
      </c>
      <c r="O1643" s="59" t="s">
        <v>3578</v>
      </c>
      <c r="P1643" s="58">
        <v>230</v>
      </c>
      <c r="Q1643" s="59">
        <v>0</v>
      </c>
      <c r="R1643" s="59">
        <v>68</v>
      </c>
      <c r="S1643" s="60">
        <f>tblJTL[[#This Row],[timeStamp]]/86400000+DATE(1970,1,1)+TIME(9,0,0)</f>
        <v>46296.421455972217</v>
      </c>
      <c r="T1643" s="57">
        <f>tblJTL[[#This Row],[timeStamp]]+tblJTL[[#This Row],[elapsed]]</f>
        <v>1790816814034</v>
      </c>
      <c r="U1643" s="61">
        <f>(tblJTL[[#This Row],[timeStamp]]-'17_分析サンプル'!$E$18)/1000</f>
        <v>413.61599999999999</v>
      </c>
      <c r="V1643" s="57">
        <f>INT(tblJTL[[#This Row],[経過秒]]/60)</f>
        <v>6</v>
      </c>
      <c r="W1643" s="57">
        <f>IF(OR(tblJTL[[#This Row],[success]]=FALSE,tblJTL[[#This Row],[success]]="false"),1,0)</f>
        <v>0</v>
      </c>
      <c r="X1643" s="57">
        <f>IF(AND(tblJTL[[#This Row],[経過秒]]&gt;='17_分析サンプル'!$E$11,tblJTL[[#This Row],[経過秒]]&lt;'17_分析サンプル'!$E$12),1,0)</f>
        <v>1</v>
      </c>
    </row>
    <row r="1644" spans="2:24" ht="14.4" x14ac:dyDescent="0.3">
      <c r="B1644" s="57">
        <v>1790816813988</v>
      </c>
      <c r="C1644" s="58">
        <v>270</v>
      </c>
      <c r="D1644" s="59" t="s">
        <v>1677</v>
      </c>
      <c r="E1644" s="59" t="s">
        <v>3579</v>
      </c>
      <c r="F1644" s="59" t="s">
        <v>3580</v>
      </c>
      <c r="G1644" s="59" t="s">
        <v>3588</v>
      </c>
      <c r="H1644" s="59" t="s">
        <v>2281</v>
      </c>
      <c r="I1644" s="59" t="b">
        <v>1</v>
      </c>
      <c r="J1644" s="59"/>
      <c r="K1644" s="58">
        <v>430</v>
      </c>
      <c r="L1644" s="58">
        <v>1478</v>
      </c>
      <c r="M1644" s="59">
        <v>10</v>
      </c>
      <c r="N1644" s="59">
        <v>10</v>
      </c>
      <c r="O1644" s="59" t="s">
        <v>3581</v>
      </c>
      <c r="P1644" s="58">
        <v>262</v>
      </c>
      <c r="Q1644" s="59">
        <v>0</v>
      </c>
      <c r="R1644" s="59">
        <v>0</v>
      </c>
      <c r="S1644" s="60">
        <f>tblJTL[[#This Row],[timeStamp]]/86400000+DATE(1970,1,1)+TIME(9,0,0)</f>
        <v>46296.42145819444</v>
      </c>
      <c r="T1644" s="57">
        <f>tblJTL[[#This Row],[timeStamp]]+tblJTL[[#This Row],[elapsed]]</f>
        <v>1790816814258</v>
      </c>
      <c r="U1644" s="61">
        <f>(tblJTL[[#This Row],[timeStamp]]-'17_分析サンプル'!$E$18)/1000</f>
        <v>413.80799999999999</v>
      </c>
      <c r="V1644" s="57">
        <f>INT(tblJTL[[#This Row],[経過秒]]/60)</f>
        <v>6</v>
      </c>
      <c r="W1644" s="57">
        <f>IF(OR(tblJTL[[#This Row],[success]]=FALSE,tblJTL[[#This Row],[success]]="false"),1,0)</f>
        <v>0</v>
      </c>
      <c r="X1644" s="57">
        <f>IF(AND(tblJTL[[#This Row],[経過秒]]&gt;='17_分析サンプル'!$E$11,tblJTL[[#This Row],[経過秒]]&lt;'17_分析サンプル'!$E$12),1,0)</f>
        <v>1</v>
      </c>
    </row>
    <row r="1645" spans="2:24" ht="14.4" x14ac:dyDescent="0.3">
      <c r="B1645" s="57">
        <v>1790816814805</v>
      </c>
      <c r="C1645" s="58">
        <v>205</v>
      </c>
      <c r="D1645" s="59" t="s">
        <v>1677</v>
      </c>
      <c r="E1645" s="59" t="s">
        <v>3579</v>
      </c>
      <c r="F1645" s="59" t="s">
        <v>3580</v>
      </c>
      <c r="G1645" s="59" t="s">
        <v>3582</v>
      </c>
      <c r="H1645" s="59" t="s">
        <v>2281</v>
      </c>
      <c r="I1645" s="59" t="b">
        <v>1</v>
      </c>
      <c r="J1645" s="59"/>
      <c r="K1645" s="58">
        <v>412</v>
      </c>
      <c r="L1645" s="58">
        <v>1478</v>
      </c>
      <c r="M1645" s="59">
        <v>10</v>
      </c>
      <c r="N1645" s="59">
        <v>10</v>
      </c>
      <c r="O1645" s="59" t="s">
        <v>3581</v>
      </c>
      <c r="P1645" s="58">
        <v>198</v>
      </c>
      <c r="Q1645" s="59">
        <v>0</v>
      </c>
      <c r="R1645" s="59">
        <v>0</v>
      </c>
      <c r="S1645" s="60">
        <f>tblJTL[[#This Row],[timeStamp]]/86400000+DATE(1970,1,1)+TIME(9,0,0)</f>
        <v>46296.421467650463</v>
      </c>
      <c r="T1645" s="57">
        <f>tblJTL[[#This Row],[timeStamp]]+tblJTL[[#This Row],[elapsed]]</f>
        <v>1790816815010</v>
      </c>
      <c r="U1645" s="61">
        <f>(tblJTL[[#This Row],[timeStamp]]-'17_分析サンプル'!$E$18)/1000</f>
        <v>414.625</v>
      </c>
      <c r="V1645" s="57">
        <f>INT(tblJTL[[#This Row],[経過秒]]/60)</f>
        <v>6</v>
      </c>
      <c r="W1645" s="57">
        <f>IF(OR(tblJTL[[#This Row],[success]]=FALSE,tblJTL[[#This Row],[success]]="false"),1,0)</f>
        <v>0</v>
      </c>
      <c r="X1645" s="57">
        <f>IF(AND(tblJTL[[#This Row],[経過秒]]&gt;='17_分析サンプル'!$E$11,tblJTL[[#This Row],[経過秒]]&lt;'17_分析サンプル'!$E$12),1,0)</f>
        <v>1</v>
      </c>
    </row>
    <row r="1646" spans="2:24" ht="14.4" x14ac:dyDescent="0.3">
      <c r="B1646" s="57">
        <v>1790816814616</v>
      </c>
      <c r="C1646" s="58">
        <v>429</v>
      </c>
      <c r="D1646" s="59" t="s">
        <v>1677</v>
      </c>
      <c r="E1646" s="59" t="s">
        <v>3579</v>
      </c>
      <c r="F1646" s="59" t="s">
        <v>3580</v>
      </c>
      <c r="G1646" s="59" t="s">
        <v>2278</v>
      </c>
      <c r="H1646" s="59" t="s">
        <v>2281</v>
      </c>
      <c r="I1646" s="59" t="b">
        <v>1</v>
      </c>
      <c r="J1646" s="59"/>
      <c r="K1646" s="58">
        <v>428</v>
      </c>
      <c r="L1646" s="58">
        <v>1478</v>
      </c>
      <c r="M1646" s="59">
        <v>10</v>
      </c>
      <c r="N1646" s="59">
        <v>10</v>
      </c>
      <c r="O1646" s="59" t="s">
        <v>3581</v>
      </c>
      <c r="P1646" s="58">
        <v>424</v>
      </c>
      <c r="Q1646" s="59">
        <v>0</v>
      </c>
      <c r="R1646" s="59">
        <v>0</v>
      </c>
      <c r="S1646" s="60">
        <f>tblJTL[[#This Row],[timeStamp]]/86400000+DATE(1970,1,1)+TIME(9,0,0)</f>
        <v>46296.421465462961</v>
      </c>
      <c r="T1646" s="57">
        <f>tblJTL[[#This Row],[timeStamp]]+tblJTL[[#This Row],[elapsed]]</f>
        <v>1790816815045</v>
      </c>
      <c r="U1646" s="61">
        <f>(tblJTL[[#This Row],[timeStamp]]-'17_分析サンプル'!$E$18)/1000</f>
        <v>414.43599999999998</v>
      </c>
      <c r="V1646" s="57">
        <f>INT(tblJTL[[#This Row],[経過秒]]/60)</f>
        <v>6</v>
      </c>
      <c r="W1646" s="57">
        <f>IF(OR(tblJTL[[#This Row],[success]]=FALSE,tblJTL[[#This Row],[success]]="false"),1,0)</f>
        <v>0</v>
      </c>
      <c r="X1646" s="57">
        <f>IF(AND(tblJTL[[#This Row],[経過秒]]&gt;='17_分析サンプル'!$E$11,tblJTL[[#This Row],[経過秒]]&lt;'17_分析サンプル'!$E$12),1,0)</f>
        <v>1</v>
      </c>
    </row>
    <row r="1647" spans="2:24" ht="14.4" x14ac:dyDescent="0.3">
      <c r="B1647" s="57">
        <v>1790816815014</v>
      </c>
      <c r="C1647" s="58">
        <v>121</v>
      </c>
      <c r="D1647" s="59" t="s">
        <v>1658</v>
      </c>
      <c r="E1647" s="59" t="s">
        <v>1577</v>
      </c>
      <c r="F1647" s="59" t="s">
        <v>2275</v>
      </c>
      <c r="G1647" s="59" t="s">
        <v>3577</v>
      </c>
      <c r="H1647" s="59" t="s">
        <v>2281</v>
      </c>
      <c r="I1647" s="59" t="b">
        <v>1</v>
      </c>
      <c r="J1647" s="59"/>
      <c r="K1647" s="58">
        <v>1896</v>
      </c>
      <c r="L1647" s="58">
        <v>1342</v>
      </c>
      <c r="M1647" s="59">
        <v>10</v>
      </c>
      <c r="N1647" s="59">
        <v>10</v>
      </c>
      <c r="O1647" s="59" t="s">
        <v>3578</v>
      </c>
      <c r="P1647" s="58">
        <v>117</v>
      </c>
      <c r="Q1647" s="59">
        <v>0</v>
      </c>
      <c r="R1647" s="59">
        <v>0</v>
      </c>
      <c r="S1647" s="60">
        <f>tblJTL[[#This Row],[timeStamp]]/86400000+DATE(1970,1,1)+TIME(9,0,0)</f>
        <v>46296.421470069443</v>
      </c>
      <c r="T1647" s="57">
        <f>tblJTL[[#This Row],[timeStamp]]+tblJTL[[#This Row],[elapsed]]</f>
        <v>1790816815135</v>
      </c>
      <c r="U1647" s="61">
        <f>(tblJTL[[#This Row],[timeStamp]]-'17_分析サンプル'!$E$18)/1000</f>
        <v>414.834</v>
      </c>
      <c r="V1647" s="57">
        <f>INT(tblJTL[[#This Row],[経過秒]]/60)</f>
        <v>6</v>
      </c>
      <c r="W1647" s="57">
        <f>IF(OR(tblJTL[[#This Row],[success]]=FALSE,tblJTL[[#This Row],[success]]="false"),1,0)</f>
        <v>0</v>
      </c>
      <c r="X1647" s="57">
        <f>IF(AND(tblJTL[[#This Row],[経過秒]]&gt;='17_分析サンプル'!$E$11,tblJTL[[#This Row],[経過秒]]&lt;'17_分析サンプル'!$E$12),1,0)</f>
        <v>1</v>
      </c>
    </row>
    <row r="1648" spans="2:24" ht="14.4" x14ac:dyDescent="0.3">
      <c r="B1648" s="57">
        <v>1790816815226</v>
      </c>
      <c r="C1648" s="58">
        <v>86</v>
      </c>
      <c r="D1648" s="59" t="s">
        <v>1658</v>
      </c>
      <c r="E1648" s="59" t="s">
        <v>1577</v>
      </c>
      <c r="F1648" s="59" t="s">
        <v>2275</v>
      </c>
      <c r="G1648" s="59" t="s">
        <v>3584</v>
      </c>
      <c r="H1648" s="59" t="s">
        <v>2281</v>
      </c>
      <c r="I1648" s="59" t="b">
        <v>1</v>
      </c>
      <c r="J1648" s="59"/>
      <c r="K1648" s="58">
        <v>1823</v>
      </c>
      <c r="L1648" s="58">
        <v>1342</v>
      </c>
      <c r="M1648" s="59">
        <v>10</v>
      </c>
      <c r="N1648" s="59">
        <v>10</v>
      </c>
      <c r="O1648" s="59" t="s">
        <v>3578</v>
      </c>
      <c r="P1648" s="58">
        <v>78</v>
      </c>
      <c r="Q1648" s="59">
        <v>0</v>
      </c>
      <c r="R1648" s="59">
        <v>0</v>
      </c>
      <c r="S1648" s="60">
        <f>tblJTL[[#This Row],[timeStamp]]/86400000+DATE(1970,1,1)+TIME(9,0,0)</f>
        <v>46296.421472523143</v>
      </c>
      <c r="T1648" s="57">
        <f>tblJTL[[#This Row],[timeStamp]]+tblJTL[[#This Row],[elapsed]]</f>
        <v>1790816815312</v>
      </c>
      <c r="U1648" s="61">
        <f>(tblJTL[[#This Row],[timeStamp]]-'17_分析サンプル'!$E$18)/1000</f>
        <v>415.04599999999999</v>
      </c>
      <c r="V1648" s="57">
        <f>INT(tblJTL[[#This Row],[経過秒]]/60)</f>
        <v>6</v>
      </c>
      <c r="W1648" s="57">
        <f>IF(OR(tblJTL[[#This Row],[success]]=FALSE,tblJTL[[#This Row],[success]]="false"),1,0)</f>
        <v>0</v>
      </c>
      <c r="X1648" s="57">
        <f>IF(AND(tblJTL[[#This Row],[経過秒]]&gt;='17_分析サンプル'!$E$11,tblJTL[[#This Row],[経過秒]]&lt;'17_分析サンプル'!$E$12),1,0)</f>
        <v>1</v>
      </c>
    </row>
    <row r="1649" spans="2:24" ht="14.4" x14ac:dyDescent="0.3">
      <c r="B1649" s="57">
        <v>1790816815194</v>
      </c>
      <c r="C1649" s="58">
        <v>219</v>
      </c>
      <c r="D1649" s="59" t="s">
        <v>1677</v>
      </c>
      <c r="E1649" s="59" t="s">
        <v>3579</v>
      </c>
      <c r="F1649" s="59" t="s">
        <v>3580</v>
      </c>
      <c r="G1649" s="59" t="s">
        <v>3586</v>
      </c>
      <c r="H1649" s="59" t="s">
        <v>2281</v>
      </c>
      <c r="I1649" s="59" t="b">
        <v>1</v>
      </c>
      <c r="J1649" s="59"/>
      <c r="K1649" s="58">
        <v>417</v>
      </c>
      <c r="L1649" s="58">
        <v>1478</v>
      </c>
      <c r="M1649" s="59">
        <v>10</v>
      </c>
      <c r="N1649" s="59">
        <v>10</v>
      </c>
      <c r="O1649" s="59" t="s">
        <v>3581</v>
      </c>
      <c r="P1649" s="58">
        <v>214</v>
      </c>
      <c r="Q1649" s="59">
        <v>0</v>
      </c>
      <c r="R1649" s="59">
        <v>0</v>
      </c>
      <c r="S1649" s="60">
        <f>tblJTL[[#This Row],[timeStamp]]/86400000+DATE(1970,1,1)+TIME(9,0,0)</f>
        <v>46296.421472152782</v>
      </c>
      <c r="T1649" s="57">
        <f>tblJTL[[#This Row],[timeStamp]]+tblJTL[[#This Row],[elapsed]]</f>
        <v>1790816815413</v>
      </c>
      <c r="U1649" s="61">
        <f>(tblJTL[[#This Row],[timeStamp]]-'17_分析サンプル'!$E$18)/1000</f>
        <v>415.01400000000001</v>
      </c>
      <c r="V1649" s="57">
        <f>INT(tblJTL[[#This Row],[経過秒]]/60)</f>
        <v>6</v>
      </c>
      <c r="W1649" s="57">
        <f>IF(OR(tblJTL[[#This Row],[success]]=FALSE,tblJTL[[#This Row],[success]]="false"),1,0)</f>
        <v>0</v>
      </c>
      <c r="X1649" s="57">
        <f>IF(AND(tblJTL[[#This Row],[経過秒]]&gt;='17_分析サンプル'!$E$11,tblJTL[[#This Row],[経過秒]]&lt;'17_分析サンプル'!$E$12),1,0)</f>
        <v>1</v>
      </c>
    </row>
    <row r="1650" spans="2:24" ht="14.4" x14ac:dyDescent="0.3">
      <c r="B1650" s="57">
        <v>1790816815678</v>
      </c>
      <c r="C1650" s="58">
        <v>72</v>
      </c>
      <c r="D1650" s="59" t="s">
        <v>1658</v>
      </c>
      <c r="E1650" s="59" t="s">
        <v>1577</v>
      </c>
      <c r="F1650" s="59" t="s">
        <v>2275</v>
      </c>
      <c r="G1650" s="59" t="s">
        <v>3588</v>
      </c>
      <c r="H1650" s="59" t="s">
        <v>2281</v>
      </c>
      <c r="I1650" s="59" t="b">
        <v>1</v>
      </c>
      <c r="J1650" s="59"/>
      <c r="K1650" s="58">
        <v>1869</v>
      </c>
      <c r="L1650" s="58">
        <v>1342</v>
      </c>
      <c r="M1650" s="59">
        <v>10</v>
      </c>
      <c r="N1650" s="59">
        <v>10</v>
      </c>
      <c r="O1650" s="59" t="s">
        <v>3578</v>
      </c>
      <c r="P1650" s="58">
        <v>70</v>
      </c>
      <c r="Q1650" s="59">
        <v>0</v>
      </c>
      <c r="R1650" s="59">
        <v>0</v>
      </c>
      <c r="S1650" s="60">
        <f>tblJTL[[#This Row],[timeStamp]]/86400000+DATE(1970,1,1)+TIME(9,0,0)</f>
        <v>46296.421477754629</v>
      </c>
      <c r="T1650" s="57">
        <f>tblJTL[[#This Row],[timeStamp]]+tblJTL[[#This Row],[elapsed]]</f>
        <v>1790816815750</v>
      </c>
      <c r="U1650" s="61">
        <f>(tblJTL[[#This Row],[timeStamp]]-'17_分析サンプル'!$E$18)/1000</f>
        <v>415.49799999999999</v>
      </c>
      <c r="V1650" s="57">
        <f>INT(tblJTL[[#This Row],[経過秒]]/60)</f>
        <v>6</v>
      </c>
      <c r="W1650" s="57">
        <f>IF(OR(tblJTL[[#This Row],[success]]=FALSE,tblJTL[[#This Row],[success]]="false"),1,0)</f>
        <v>0</v>
      </c>
      <c r="X1650" s="57">
        <f>IF(AND(tblJTL[[#This Row],[経過秒]]&gt;='17_分析サンプル'!$E$11,tblJTL[[#This Row],[経過秒]]&lt;'17_分析サンプル'!$E$12),1,0)</f>
        <v>1</v>
      </c>
    </row>
    <row r="1651" spans="2:24" ht="14.4" x14ac:dyDescent="0.3">
      <c r="B1651" s="57">
        <v>1790816815475</v>
      </c>
      <c r="C1651" s="58">
        <v>339</v>
      </c>
      <c r="D1651" s="59" t="s">
        <v>1677</v>
      </c>
      <c r="E1651" s="59" t="s">
        <v>3579</v>
      </c>
      <c r="F1651" s="59" t="s">
        <v>3580</v>
      </c>
      <c r="G1651" s="59" t="s">
        <v>3587</v>
      </c>
      <c r="H1651" s="59" t="s">
        <v>2281</v>
      </c>
      <c r="I1651" s="59" t="b">
        <v>1</v>
      </c>
      <c r="J1651" s="59"/>
      <c r="K1651" s="58">
        <v>422</v>
      </c>
      <c r="L1651" s="58">
        <v>1478</v>
      </c>
      <c r="M1651" s="59">
        <v>10</v>
      </c>
      <c r="N1651" s="59">
        <v>10</v>
      </c>
      <c r="O1651" s="59" t="s">
        <v>3581</v>
      </c>
      <c r="P1651" s="58">
        <v>335</v>
      </c>
      <c r="Q1651" s="59">
        <v>0</v>
      </c>
      <c r="R1651" s="59">
        <v>0</v>
      </c>
      <c r="S1651" s="60">
        <f>tblJTL[[#This Row],[timeStamp]]/86400000+DATE(1970,1,1)+TIME(9,0,0)</f>
        <v>46296.421475405092</v>
      </c>
      <c r="T1651" s="57">
        <f>tblJTL[[#This Row],[timeStamp]]+tblJTL[[#This Row],[elapsed]]</f>
        <v>1790816815814</v>
      </c>
      <c r="U1651" s="61">
        <f>(tblJTL[[#This Row],[timeStamp]]-'17_分析サンプル'!$E$18)/1000</f>
        <v>415.29500000000002</v>
      </c>
      <c r="V1651" s="57">
        <f>INT(tblJTL[[#This Row],[経過秒]]/60)</f>
        <v>6</v>
      </c>
      <c r="W1651" s="57">
        <f>IF(OR(tblJTL[[#This Row],[success]]=FALSE,tblJTL[[#This Row],[success]]="false"),1,0)</f>
        <v>0</v>
      </c>
      <c r="X1651" s="57">
        <f>IF(AND(tblJTL[[#This Row],[経過秒]]&gt;='17_分析サンプル'!$E$11,tblJTL[[#This Row],[経過秒]]&lt;'17_分析サンプル'!$E$12),1,0)</f>
        <v>1</v>
      </c>
    </row>
    <row r="1652" spans="2:24" ht="14.4" x14ac:dyDescent="0.3">
      <c r="B1652" s="57">
        <v>1790816815864</v>
      </c>
      <c r="C1652" s="58">
        <v>123</v>
      </c>
      <c r="D1652" s="59" t="s">
        <v>1677</v>
      </c>
      <c r="E1652" s="59" t="s">
        <v>3579</v>
      </c>
      <c r="F1652" s="59" t="s">
        <v>3580</v>
      </c>
      <c r="G1652" s="59" t="s">
        <v>3583</v>
      </c>
      <c r="H1652" s="59" t="s">
        <v>2281</v>
      </c>
      <c r="I1652" s="59" t="b">
        <v>1</v>
      </c>
      <c r="J1652" s="59"/>
      <c r="K1652" s="58">
        <v>440</v>
      </c>
      <c r="L1652" s="58">
        <v>1478</v>
      </c>
      <c r="M1652" s="59">
        <v>10</v>
      </c>
      <c r="N1652" s="59">
        <v>10</v>
      </c>
      <c r="O1652" s="59" t="s">
        <v>3581</v>
      </c>
      <c r="P1652" s="58">
        <v>119</v>
      </c>
      <c r="Q1652" s="59">
        <v>0</v>
      </c>
      <c r="R1652" s="59">
        <v>0</v>
      </c>
      <c r="S1652" s="60">
        <f>tblJTL[[#This Row],[timeStamp]]/86400000+DATE(1970,1,1)+TIME(9,0,0)</f>
        <v>46296.421479907411</v>
      </c>
      <c r="T1652" s="57">
        <f>tblJTL[[#This Row],[timeStamp]]+tblJTL[[#This Row],[elapsed]]</f>
        <v>1790816815987</v>
      </c>
      <c r="U1652" s="61">
        <f>(tblJTL[[#This Row],[timeStamp]]-'17_分析サンプル'!$E$18)/1000</f>
        <v>415.68400000000003</v>
      </c>
      <c r="V1652" s="57">
        <f>INT(tblJTL[[#This Row],[経過秒]]/60)</f>
        <v>6</v>
      </c>
      <c r="W1652" s="57">
        <f>IF(OR(tblJTL[[#This Row],[success]]=FALSE,tblJTL[[#This Row],[success]]="false"),1,0)</f>
        <v>0</v>
      </c>
      <c r="X1652" s="57">
        <f>IF(AND(tblJTL[[#This Row],[経過秒]]&gt;='17_分析サンプル'!$E$11,tblJTL[[#This Row],[経過秒]]&lt;'17_分析サンプル'!$E$12),1,0)</f>
        <v>1</v>
      </c>
    </row>
    <row r="1653" spans="2:24" ht="14.4" x14ac:dyDescent="0.3">
      <c r="B1653" s="57">
        <v>1790816815790</v>
      </c>
      <c r="C1653" s="58">
        <v>236</v>
      </c>
      <c r="D1653" s="59" t="s">
        <v>1677</v>
      </c>
      <c r="E1653" s="59" t="s">
        <v>3579</v>
      </c>
      <c r="F1653" s="59" t="s">
        <v>3580</v>
      </c>
      <c r="G1653" s="59" t="s">
        <v>3589</v>
      </c>
      <c r="H1653" s="59" t="s">
        <v>2281</v>
      </c>
      <c r="I1653" s="59" t="b">
        <v>1</v>
      </c>
      <c r="J1653" s="59"/>
      <c r="K1653" s="58">
        <v>422</v>
      </c>
      <c r="L1653" s="58">
        <v>1478</v>
      </c>
      <c r="M1653" s="59">
        <v>10</v>
      </c>
      <c r="N1653" s="59">
        <v>10</v>
      </c>
      <c r="O1653" s="59" t="s">
        <v>3581</v>
      </c>
      <c r="P1653" s="58">
        <v>233</v>
      </c>
      <c r="Q1653" s="59">
        <v>0</v>
      </c>
      <c r="R1653" s="59">
        <v>0</v>
      </c>
      <c r="S1653" s="60">
        <f>tblJTL[[#This Row],[timeStamp]]/86400000+DATE(1970,1,1)+TIME(9,0,0)</f>
        <v>46296.421479050929</v>
      </c>
      <c r="T1653" s="57">
        <f>tblJTL[[#This Row],[timeStamp]]+tblJTL[[#This Row],[elapsed]]</f>
        <v>1790816816026</v>
      </c>
      <c r="U1653" s="61">
        <f>(tblJTL[[#This Row],[timeStamp]]-'17_分析サンプル'!$E$18)/1000</f>
        <v>415.61</v>
      </c>
      <c r="V1653" s="57">
        <f>INT(tblJTL[[#This Row],[経過秒]]/60)</f>
        <v>6</v>
      </c>
      <c r="W1653" s="57">
        <f>IF(OR(tblJTL[[#This Row],[success]]=FALSE,tblJTL[[#This Row],[success]]="false"),1,0)</f>
        <v>0</v>
      </c>
      <c r="X1653" s="57">
        <f>IF(AND(tblJTL[[#This Row],[経過秒]]&gt;='17_分析サンプル'!$E$11,tblJTL[[#This Row],[経過秒]]&lt;'17_分析サンプル'!$E$12),1,0)</f>
        <v>1</v>
      </c>
    </row>
    <row r="1654" spans="2:24" ht="14.4" x14ac:dyDescent="0.3">
      <c r="B1654" s="57">
        <v>1790816816008</v>
      </c>
      <c r="C1654" s="58">
        <v>97</v>
      </c>
      <c r="D1654" s="59" t="s">
        <v>1658</v>
      </c>
      <c r="E1654" s="59" t="s">
        <v>1577</v>
      </c>
      <c r="F1654" s="59" t="s">
        <v>2275</v>
      </c>
      <c r="G1654" s="59" t="s">
        <v>3585</v>
      </c>
      <c r="H1654" s="59" t="s">
        <v>2281</v>
      </c>
      <c r="I1654" s="59" t="b">
        <v>1</v>
      </c>
      <c r="J1654" s="59"/>
      <c r="K1654" s="58">
        <v>1859</v>
      </c>
      <c r="L1654" s="58">
        <v>1342</v>
      </c>
      <c r="M1654" s="59">
        <v>10</v>
      </c>
      <c r="N1654" s="59">
        <v>10</v>
      </c>
      <c r="O1654" s="59" t="s">
        <v>3578</v>
      </c>
      <c r="P1654" s="58">
        <v>90</v>
      </c>
      <c r="Q1654" s="59">
        <v>0</v>
      </c>
      <c r="R1654" s="59">
        <v>0</v>
      </c>
      <c r="S1654" s="60">
        <f>tblJTL[[#This Row],[timeStamp]]/86400000+DATE(1970,1,1)+TIME(9,0,0)</f>
        <v>46296.421481574071</v>
      </c>
      <c r="T1654" s="57">
        <f>tblJTL[[#This Row],[timeStamp]]+tblJTL[[#This Row],[elapsed]]</f>
        <v>1790816816105</v>
      </c>
      <c r="U1654" s="61">
        <f>(tblJTL[[#This Row],[timeStamp]]-'17_分析サンプル'!$E$18)/1000</f>
        <v>415.82799999999997</v>
      </c>
      <c r="V1654" s="57">
        <f>INT(tblJTL[[#This Row],[経過秒]]/60)</f>
        <v>6</v>
      </c>
      <c r="W1654" s="57">
        <f>IF(OR(tblJTL[[#This Row],[success]]=FALSE,tblJTL[[#This Row],[success]]="false"),1,0)</f>
        <v>0</v>
      </c>
      <c r="X1654" s="57">
        <f>IF(AND(tblJTL[[#This Row],[経過秒]]&gt;='17_分析サンプル'!$E$11,tblJTL[[#This Row],[経過秒]]&lt;'17_分析サンプル'!$E$12),1,0)</f>
        <v>1</v>
      </c>
    </row>
    <row r="1655" spans="2:24" ht="14.4" x14ac:dyDescent="0.3">
      <c r="B1655" s="57">
        <v>1790816816765</v>
      </c>
      <c r="C1655" s="58">
        <v>111</v>
      </c>
      <c r="D1655" s="59" t="s">
        <v>1658</v>
      </c>
      <c r="E1655" s="59" t="s">
        <v>1577</v>
      </c>
      <c r="F1655" s="59" t="s">
        <v>2275</v>
      </c>
      <c r="G1655" s="59" t="s">
        <v>2278</v>
      </c>
      <c r="H1655" s="59" t="s">
        <v>2281</v>
      </c>
      <c r="I1655" s="59" t="b">
        <v>1</v>
      </c>
      <c r="J1655" s="59"/>
      <c r="K1655" s="58">
        <v>1857</v>
      </c>
      <c r="L1655" s="58">
        <v>1342</v>
      </c>
      <c r="M1655" s="59">
        <v>10</v>
      </c>
      <c r="N1655" s="59">
        <v>10</v>
      </c>
      <c r="O1655" s="59" t="s">
        <v>3578</v>
      </c>
      <c r="P1655" s="58">
        <v>104</v>
      </c>
      <c r="Q1655" s="59">
        <v>0</v>
      </c>
      <c r="R1655" s="59">
        <v>0</v>
      </c>
      <c r="S1655" s="60">
        <f>tblJTL[[#This Row],[timeStamp]]/86400000+DATE(1970,1,1)+TIME(9,0,0)</f>
        <v>46296.421490335648</v>
      </c>
      <c r="T1655" s="57">
        <f>tblJTL[[#This Row],[timeStamp]]+tblJTL[[#This Row],[elapsed]]</f>
        <v>1790816816876</v>
      </c>
      <c r="U1655" s="61">
        <f>(tblJTL[[#This Row],[timeStamp]]-'17_分析サンプル'!$E$18)/1000</f>
        <v>416.58499999999998</v>
      </c>
      <c r="V1655" s="57">
        <f>INT(tblJTL[[#This Row],[経過秒]]/60)</f>
        <v>6</v>
      </c>
      <c r="W1655" s="57">
        <f>IF(OR(tblJTL[[#This Row],[success]]=FALSE,tblJTL[[#This Row],[success]]="false"),1,0)</f>
        <v>0</v>
      </c>
      <c r="X1655" s="57">
        <f>IF(AND(tblJTL[[#This Row],[経過秒]]&gt;='17_分析サンプル'!$E$11,tblJTL[[#This Row],[経過秒]]&lt;'17_分析サンプル'!$E$12),1,0)</f>
        <v>1</v>
      </c>
    </row>
    <row r="1656" spans="2:24" ht="14.4" x14ac:dyDescent="0.3">
      <c r="B1656" s="57">
        <v>1790816817021</v>
      </c>
      <c r="C1656" s="58">
        <v>396</v>
      </c>
      <c r="D1656" s="59" t="s">
        <v>1677</v>
      </c>
      <c r="E1656" s="59" t="s">
        <v>3579</v>
      </c>
      <c r="F1656" s="59" t="s">
        <v>3580</v>
      </c>
      <c r="G1656" s="59" t="s">
        <v>3577</v>
      </c>
      <c r="H1656" s="59" t="s">
        <v>2281</v>
      </c>
      <c r="I1656" s="59" t="b">
        <v>1</v>
      </c>
      <c r="J1656" s="59"/>
      <c r="K1656" s="58">
        <v>428</v>
      </c>
      <c r="L1656" s="58">
        <v>1478</v>
      </c>
      <c r="M1656" s="59">
        <v>10</v>
      </c>
      <c r="N1656" s="59">
        <v>10</v>
      </c>
      <c r="O1656" s="59" t="s">
        <v>3581</v>
      </c>
      <c r="P1656" s="58">
        <v>391</v>
      </c>
      <c r="Q1656" s="59">
        <v>0</v>
      </c>
      <c r="R1656" s="59">
        <v>0</v>
      </c>
      <c r="S1656" s="60">
        <f>tblJTL[[#This Row],[timeStamp]]/86400000+DATE(1970,1,1)+TIME(9,0,0)</f>
        <v>46296.421493298607</v>
      </c>
      <c r="T1656" s="57">
        <f>tblJTL[[#This Row],[timeStamp]]+tblJTL[[#This Row],[elapsed]]</f>
        <v>1790816817417</v>
      </c>
      <c r="U1656" s="61">
        <f>(tblJTL[[#This Row],[timeStamp]]-'17_分析サンプル'!$E$18)/1000</f>
        <v>416.84100000000001</v>
      </c>
      <c r="V1656" s="57">
        <f>INT(tblJTL[[#This Row],[経過秒]]/60)</f>
        <v>6</v>
      </c>
      <c r="W1656" s="57">
        <f>IF(OR(tblJTL[[#This Row],[success]]=FALSE,tblJTL[[#This Row],[success]]="false"),1,0)</f>
        <v>0</v>
      </c>
      <c r="X1656" s="57">
        <f>IF(AND(tblJTL[[#This Row],[経過秒]]&gt;='17_分析サンプル'!$E$11,tblJTL[[#This Row],[経過秒]]&lt;'17_分析サンプル'!$E$12),1,0)</f>
        <v>1</v>
      </c>
    </row>
    <row r="1657" spans="2:24" ht="14.4" x14ac:dyDescent="0.3">
      <c r="B1657" s="57">
        <v>1790816817386</v>
      </c>
      <c r="C1657" s="58">
        <v>367</v>
      </c>
      <c r="D1657" s="59" t="s">
        <v>1677</v>
      </c>
      <c r="E1657" s="59" t="s">
        <v>3579</v>
      </c>
      <c r="F1657" s="59" t="s">
        <v>3580</v>
      </c>
      <c r="G1657" s="59" t="s">
        <v>3585</v>
      </c>
      <c r="H1657" s="59" t="s">
        <v>2281</v>
      </c>
      <c r="I1657" s="59" t="b">
        <v>1</v>
      </c>
      <c r="J1657" s="59"/>
      <c r="K1657" s="58">
        <v>413</v>
      </c>
      <c r="L1657" s="58">
        <v>1478</v>
      </c>
      <c r="M1657" s="59">
        <v>10</v>
      </c>
      <c r="N1657" s="59">
        <v>10</v>
      </c>
      <c r="O1657" s="59" t="s">
        <v>3581</v>
      </c>
      <c r="P1657" s="58">
        <v>362</v>
      </c>
      <c r="Q1657" s="59">
        <v>0</v>
      </c>
      <c r="R1657" s="59">
        <v>0</v>
      </c>
      <c r="S1657" s="60">
        <f>tblJTL[[#This Row],[timeStamp]]/86400000+DATE(1970,1,1)+TIME(9,0,0)</f>
        <v>46296.421497523144</v>
      </c>
      <c r="T1657" s="57">
        <f>tblJTL[[#This Row],[timeStamp]]+tblJTL[[#This Row],[elapsed]]</f>
        <v>1790816817753</v>
      </c>
      <c r="U1657" s="61">
        <f>(tblJTL[[#This Row],[timeStamp]]-'17_分析サンプル'!$E$18)/1000</f>
        <v>417.20600000000002</v>
      </c>
      <c r="V1657" s="57">
        <f>INT(tblJTL[[#This Row],[経過秒]]/60)</f>
        <v>6</v>
      </c>
      <c r="W1657" s="57">
        <f>IF(OR(tblJTL[[#This Row],[success]]=FALSE,tblJTL[[#This Row],[success]]="false"),1,0)</f>
        <v>0</v>
      </c>
      <c r="X1657" s="57">
        <f>IF(AND(tblJTL[[#This Row],[経過秒]]&gt;='17_分析サンプル'!$E$11,tblJTL[[#This Row],[経過秒]]&lt;'17_分析サンプル'!$E$12),1,0)</f>
        <v>1</v>
      </c>
    </row>
    <row r="1658" spans="2:24" ht="14.4" x14ac:dyDescent="0.3">
      <c r="B1658" s="57">
        <v>1790816817675</v>
      </c>
      <c r="C1658" s="58">
        <v>192</v>
      </c>
      <c r="D1658" s="59" t="s">
        <v>1677</v>
      </c>
      <c r="E1658" s="59" t="s">
        <v>3579</v>
      </c>
      <c r="F1658" s="59" t="s">
        <v>3580</v>
      </c>
      <c r="G1658" s="59" t="s">
        <v>3588</v>
      </c>
      <c r="H1658" s="59" t="s">
        <v>2281</v>
      </c>
      <c r="I1658" s="59" t="b">
        <v>1</v>
      </c>
      <c r="J1658" s="59"/>
      <c r="K1658" s="58">
        <v>419</v>
      </c>
      <c r="L1658" s="58">
        <v>1478</v>
      </c>
      <c r="M1658" s="59">
        <v>10</v>
      </c>
      <c r="N1658" s="59">
        <v>10</v>
      </c>
      <c r="O1658" s="59" t="s">
        <v>3581</v>
      </c>
      <c r="P1658" s="58">
        <v>189</v>
      </c>
      <c r="Q1658" s="59">
        <v>0</v>
      </c>
      <c r="R1658" s="59">
        <v>0</v>
      </c>
      <c r="S1658" s="60">
        <f>tblJTL[[#This Row],[timeStamp]]/86400000+DATE(1970,1,1)+TIME(9,0,0)</f>
        <v>46296.421500868055</v>
      </c>
      <c r="T1658" s="57">
        <f>tblJTL[[#This Row],[timeStamp]]+tblJTL[[#This Row],[elapsed]]</f>
        <v>1790816817867</v>
      </c>
      <c r="U1658" s="61">
        <f>(tblJTL[[#This Row],[timeStamp]]-'17_分析サンプル'!$E$18)/1000</f>
        <v>417.495</v>
      </c>
      <c r="V1658" s="57">
        <f>INT(tblJTL[[#This Row],[経過秒]]/60)</f>
        <v>6</v>
      </c>
      <c r="W1658" s="57">
        <f>IF(OR(tblJTL[[#This Row],[success]]=FALSE,tblJTL[[#This Row],[success]]="false"),1,0)</f>
        <v>0</v>
      </c>
      <c r="X1658" s="57">
        <f>IF(AND(tblJTL[[#This Row],[経過秒]]&gt;='17_分析サンプル'!$E$11,tblJTL[[#This Row],[経過秒]]&lt;'17_分析サンプル'!$E$12),1,0)</f>
        <v>1</v>
      </c>
    </row>
    <row r="1659" spans="2:24" ht="14.4" x14ac:dyDescent="0.3">
      <c r="B1659" s="57">
        <v>1790816817897</v>
      </c>
      <c r="C1659" s="58">
        <v>82</v>
      </c>
      <c r="D1659" s="59" t="s">
        <v>1658</v>
      </c>
      <c r="E1659" s="59" t="s">
        <v>1577</v>
      </c>
      <c r="F1659" s="59" t="s">
        <v>2275</v>
      </c>
      <c r="G1659" s="59" t="s">
        <v>3582</v>
      </c>
      <c r="H1659" s="59" t="s">
        <v>2281</v>
      </c>
      <c r="I1659" s="59" t="b">
        <v>1</v>
      </c>
      <c r="J1659" s="59"/>
      <c r="K1659" s="58">
        <v>1865</v>
      </c>
      <c r="L1659" s="58">
        <v>1342</v>
      </c>
      <c r="M1659" s="59">
        <v>10</v>
      </c>
      <c r="N1659" s="59">
        <v>10</v>
      </c>
      <c r="O1659" s="59" t="s">
        <v>3578</v>
      </c>
      <c r="P1659" s="58">
        <v>76</v>
      </c>
      <c r="Q1659" s="59">
        <v>0</v>
      </c>
      <c r="R1659" s="59">
        <v>0</v>
      </c>
      <c r="S1659" s="60">
        <f>tblJTL[[#This Row],[timeStamp]]/86400000+DATE(1970,1,1)+TIME(9,0,0)</f>
        <v>46296.421503437501</v>
      </c>
      <c r="T1659" s="57">
        <f>tblJTL[[#This Row],[timeStamp]]+tblJTL[[#This Row],[elapsed]]</f>
        <v>1790816817979</v>
      </c>
      <c r="U1659" s="61">
        <f>(tblJTL[[#This Row],[timeStamp]]-'17_分析サンプル'!$E$18)/1000</f>
        <v>417.71699999999998</v>
      </c>
      <c r="V1659" s="57">
        <f>INT(tblJTL[[#This Row],[経過秒]]/60)</f>
        <v>6</v>
      </c>
      <c r="W1659" s="57">
        <f>IF(OR(tblJTL[[#This Row],[success]]=FALSE,tblJTL[[#This Row],[success]]="false"),1,0)</f>
        <v>0</v>
      </c>
      <c r="X1659" s="57">
        <f>IF(AND(tblJTL[[#This Row],[経過秒]]&gt;='17_分析サンプル'!$E$11,tblJTL[[#This Row],[経過秒]]&lt;'17_分析サンプル'!$E$12),1,0)</f>
        <v>1</v>
      </c>
    </row>
    <row r="1660" spans="2:24" ht="14.4" x14ac:dyDescent="0.3">
      <c r="B1660" s="57">
        <v>1790816818011</v>
      </c>
      <c r="C1660" s="58">
        <v>88</v>
      </c>
      <c r="D1660" s="59" t="s">
        <v>1658</v>
      </c>
      <c r="E1660" s="59" t="s">
        <v>1577</v>
      </c>
      <c r="F1660" s="59" t="s">
        <v>2275</v>
      </c>
      <c r="G1660" s="59" t="s">
        <v>3586</v>
      </c>
      <c r="H1660" s="59" t="s">
        <v>2281</v>
      </c>
      <c r="I1660" s="59" t="b">
        <v>1</v>
      </c>
      <c r="J1660" s="59"/>
      <c r="K1660" s="58">
        <v>1887</v>
      </c>
      <c r="L1660" s="58">
        <v>1342</v>
      </c>
      <c r="M1660" s="59">
        <v>10</v>
      </c>
      <c r="N1660" s="59">
        <v>10</v>
      </c>
      <c r="O1660" s="59" t="s">
        <v>3578</v>
      </c>
      <c r="P1660" s="58">
        <v>86</v>
      </c>
      <c r="Q1660" s="59">
        <v>0</v>
      </c>
      <c r="R1660" s="59">
        <v>0</v>
      </c>
      <c r="S1660" s="60">
        <f>tblJTL[[#This Row],[timeStamp]]/86400000+DATE(1970,1,1)+TIME(9,0,0)</f>
        <v>46296.421504756945</v>
      </c>
      <c r="T1660" s="57">
        <f>tblJTL[[#This Row],[timeStamp]]+tblJTL[[#This Row],[elapsed]]</f>
        <v>1790816818099</v>
      </c>
      <c r="U1660" s="61">
        <f>(tblJTL[[#This Row],[timeStamp]]-'17_分析サンプル'!$E$18)/1000</f>
        <v>417.83100000000002</v>
      </c>
      <c r="V1660" s="57">
        <f>INT(tblJTL[[#This Row],[経過秒]]/60)</f>
        <v>6</v>
      </c>
      <c r="W1660" s="57">
        <f>IF(OR(tblJTL[[#This Row],[success]]=FALSE,tblJTL[[#This Row],[success]]="false"),1,0)</f>
        <v>0</v>
      </c>
      <c r="X1660" s="57">
        <f>IF(AND(tblJTL[[#This Row],[経過秒]]&gt;='17_分析サンプル'!$E$11,tblJTL[[#This Row],[経過秒]]&lt;'17_分析サンプル'!$E$12),1,0)</f>
        <v>1</v>
      </c>
    </row>
    <row r="1661" spans="2:24" ht="14.4" x14ac:dyDescent="0.3">
      <c r="B1661" s="57">
        <v>1790816817905</v>
      </c>
      <c r="C1661" s="58">
        <v>295</v>
      </c>
      <c r="D1661" s="59" t="s">
        <v>1677</v>
      </c>
      <c r="E1661" s="59" t="s">
        <v>3579</v>
      </c>
      <c r="F1661" s="59" t="s">
        <v>3580</v>
      </c>
      <c r="G1661" s="59" t="s">
        <v>3584</v>
      </c>
      <c r="H1661" s="59" t="s">
        <v>2281</v>
      </c>
      <c r="I1661" s="59" t="b">
        <v>1</v>
      </c>
      <c r="J1661" s="59"/>
      <c r="K1661" s="58">
        <v>426</v>
      </c>
      <c r="L1661" s="58">
        <v>1478</v>
      </c>
      <c r="M1661" s="59">
        <v>10</v>
      </c>
      <c r="N1661" s="59">
        <v>10</v>
      </c>
      <c r="O1661" s="59" t="s">
        <v>3581</v>
      </c>
      <c r="P1661" s="58">
        <v>290</v>
      </c>
      <c r="Q1661" s="59">
        <v>0</v>
      </c>
      <c r="R1661" s="59">
        <v>0</v>
      </c>
      <c r="S1661" s="60">
        <f>tblJTL[[#This Row],[timeStamp]]/86400000+DATE(1970,1,1)+TIME(9,0,0)</f>
        <v>46296.421503530088</v>
      </c>
      <c r="T1661" s="57">
        <f>tblJTL[[#This Row],[timeStamp]]+tblJTL[[#This Row],[elapsed]]</f>
        <v>1790816818200</v>
      </c>
      <c r="U1661" s="61">
        <f>(tblJTL[[#This Row],[timeStamp]]-'17_分析サンプル'!$E$18)/1000</f>
        <v>417.72500000000002</v>
      </c>
      <c r="V1661" s="57">
        <f>INT(tblJTL[[#This Row],[経過秒]]/60)</f>
        <v>6</v>
      </c>
      <c r="W1661" s="57">
        <f>IF(OR(tblJTL[[#This Row],[success]]=FALSE,tblJTL[[#This Row],[success]]="false"),1,0)</f>
        <v>0</v>
      </c>
      <c r="X1661" s="57">
        <f>IF(AND(tblJTL[[#This Row],[経過秒]]&gt;='17_分析サンプル'!$E$11,tblJTL[[#This Row],[経過秒]]&lt;'17_分析サンプル'!$E$12),1,0)</f>
        <v>1</v>
      </c>
    </row>
    <row r="1662" spans="2:24" ht="14.4" x14ac:dyDescent="0.3">
      <c r="B1662" s="57">
        <v>1790816818070</v>
      </c>
      <c r="C1662" s="58">
        <v>134</v>
      </c>
      <c r="D1662" s="59" t="s">
        <v>1658</v>
      </c>
      <c r="E1662" s="59" t="s">
        <v>1577</v>
      </c>
      <c r="F1662" s="59" t="s">
        <v>2275</v>
      </c>
      <c r="G1662" s="59" t="s">
        <v>3589</v>
      </c>
      <c r="H1662" s="59" t="s">
        <v>2281</v>
      </c>
      <c r="I1662" s="59" t="b">
        <v>1</v>
      </c>
      <c r="J1662" s="59"/>
      <c r="K1662" s="58">
        <v>1886</v>
      </c>
      <c r="L1662" s="58">
        <v>1342</v>
      </c>
      <c r="M1662" s="59">
        <v>10</v>
      </c>
      <c r="N1662" s="59">
        <v>10</v>
      </c>
      <c r="O1662" s="59" t="s">
        <v>3578</v>
      </c>
      <c r="P1662" s="58">
        <v>127</v>
      </c>
      <c r="Q1662" s="59">
        <v>0</v>
      </c>
      <c r="R1662" s="59">
        <v>0</v>
      </c>
      <c r="S1662" s="60">
        <f>tblJTL[[#This Row],[timeStamp]]/86400000+DATE(1970,1,1)+TIME(9,0,0)</f>
        <v>46296.421505439816</v>
      </c>
      <c r="T1662" s="57">
        <f>tblJTL[[#This Row],[timeStamp]]+tblJTL[[#This Row],[elapsed]]</f>
        <v>1790816818204</v>
      </c>
      <c r="U1662" s="61">
        <f>(tblJTL[[#This Row],[timeStamp]]-'17_分析サンプル'!$E$18)/1000</f>
        <v>417.89</v>
      </c>
      <c r="V1662" s="57">
        <f>INT(tblJTL[[#This Row],[経過秒]]/60)</f>
        <v>6</v>
      </c>
      <c r="W1662" s="57">
        <f>IF(OR(tblJTL[[#This Row],[success]]=FALSE,tblJTL[[#This Row],[success]]="false"),1,0)</f>
        <v>0</v>
      </c>
      <c r="X1662" s="57">
        <f>IF(AND(tblJTL[[#This Row],[経過秒]]&gt;='17_分析サンプル'!$E$11,tblJTL[[#This Row],[経過秒]]&lt;'17_分析サンプル'!$E$12),1,0)</f>
        <v>1</v>
      </c>
    </row>
    <row r="1663" spans="2:24" ht="14.4" x14ac:dyDescent="0.3">
      <c r="B1663" s="57">
        <v>1790816818103</v>
      </c>
      <c r="C1663" s="58">
        <v>276</v>
      </c>
      <c r="D1663" s="59" t="s">
        <v>1677</v>
      </c>
      <c r="E1663" s="59" t="s">
        <v>3579</v>
      </c>
      <c r="F1663" s="59" t="s">
        <v>3580</v>
      </c>
      <c r="G1663" s="59" t="s">
        <v>2278</v>
      </c>
      <c r="H1663" s="59" t="s">
        <v>2281</v>
      </c>
      <c r="I1663" s="59" t="b">
        <v>1</v>
      </c>
      <c r="J1663" s="59"/>
      <c r="K1663" s="58">
        <v>418</v>
      </c>
      <c r="L1663" s="58">
        <v>1478</v>
      </c>
      <c r="M1663" s="59">
        <v>10</v>
      </c>
      <c r="N1663" s="59">
        <v>10</v>
      </c>
      <c r="O1663" s="59" t="s">
        <v>3581</v>
      </c>
      <c r="P1663" s="58">
        <v>269</v>
      </c>
      <c r="Q1663" s="59">
        <v>0</v>
      </c>
      <c r="R1663" s="59">
        <v>0</v>
      </c>
      <c r="S1663" s="60">
        <f>tblJTL[[#This Row],[timeStamp]]/86400000+DATE(1970,1,1)+TIME(9,0,0)</f>
        <v>46296.42150582176</v>
      </c>
      <c r="T1663" s="57">
        <f>tblJTL[[#This Row],[timeStamp]]+tblJTL[[#This Row],[elapsed]]</f>
        <v>1790816818379</v>
      </c>
      <c r="U1663" s="61">
        <f>(tblJTL[[#This Row],[timeStamp]]-'17_分析サンプル'!$E$18)/1000</f>
        <v>417.923</v>
      </c>
      <c r="V1663" s="57">
        <f>INT(tblJTL[[#This Row],[経過秒]]/60)</f>
        <v>6</v>
      </c>
      <c r="W1663" s="57">
        <f>IF(OR(tblJTL[[#This Row],[success]]=FALSE,tblJTL[[#This Row],[success]]="false"),1,0)</f>
        <v>0</v>
      </c>
      <c r="X1663" s="57">
        <f>IF(AND(tblJTL[[#This Row],[経過秒]]&gt;='17_分析サンプル'!$E$11,tblJTL[[#This Row],[経過秒]]&lt;'17_分析サンプル'!$E$12),1,0)</f>
        <v>1</v>
      </c>
    </row>
    <row r="1664" spans="2:24" ht="14.4" x14ac:dyDescent="0.3">
      <c r="B1664" s="57">
        <v>1790816818573</v>
      </c>
      <c r="C1664" s="58">
        <v>92</v>
      </c>
      <c r="D1664" s="59" t="s">
        <v>1658</v>
      </c>
      <c r="E1664" s="59" t="s">
        <v>1577</v>
      </c>
      <c r="F1664" s="59" t="s">
        <v>2275</v>
      </c>
      <c r="G1664" s="59" t="s">
        <v>3577</v>
      </c>
      <c r="H1664" s="59" t="s">
        <v>2281</v>
      </c>
      <c r="I1664" s="59" t="b">
        <v>1</v>
      </c>
      <c r="J1664" s="59"/>
      <c r="K1664" s="58">
        <v>1886</v>
      </c>
      <c r="L1664" s="58">
        <v>1342</v>
      </c>
      <c r="M1664" s="59">
        <v>10</v>
      </c>
      <c r="N1664" s="59">
        <v>10</v>
      </c>
      <c r="O1664" s="59" t="s">
        <v>3578</v>
      </c>
      <c r="P1664" s="58">
        <v>87</v>
      </c>
      <c r="Q1664" s="59">
        <v>0</v>
      </c>
      <c r="R1664" s="59">
        <v>0</v>
      </c>
      <c r="S1664" s="60">
        <f>tblJTL[[#This Row],[timeStamp]]/86400000+DATE(1970,1,1)+TIME(9,0,0)</f>
        <v>46296.421511261578</v>
      </c>
      <c r="T1664" s="57">
        <f>tblJTL[[#This Row],[timeStamp]]+tblJTL[[#This Row],[elapsed]]</f>
        <v>1790816818665</v>
      </c>
      <c r="U1664" s="61">
        <f>(tblJTL[[#This Row],[timeStamp]]-'17_分析サンプル'!$E$18)/1000</f>
        <v>418.39299999999997</v>
      </c>
      <c r="V1664" s="57">
        <f>INT(tblJTL[[#This Row],[経過秒]]/60)</f>
        <v>6</v>
      </c>
      <c r="W1664" s="57">
        <f>IF(OR(tblJTL[[#This Row],[success]]=FALSE,tblJTL[[#This Row],[success]]="false"),1,0)</f>
        <v>0</v>
      </c>
      <c r="X1664" s="57">
        <f>IF(AND(tblJTL[[#This Row],[経過秒]]&gt;='17_分析サンプル'!$E$11,tblJTL[[#This Row],[経過秒]]&lt;'17_分析サンプル'!$E$12),1,0)</f>
        <v>1</v>
      </c>
    </row>
    <row r="1665" spans="2:24" ht="14.4" x14ac:dyDescent="0.3">
      <c r="B1665" s="57">
        <v>1790816818708</v>
      </c>
      <c r="C1665" s="58">
        <v>101</v>
      </c>
      <c r="D1665" s="59" t="s">
        <v>1658</v>
      </c>
      <c r="E1665" s="59" t="s">
        <v>1577</v>
      </c>
      <c r="F1665" s="59" t="s">
        <v>2275</v>
      </c>
      <c r="G1665" s="59" t="s">
        <v>3583</v>
      </c>
      <c r="H1665" s="59" t="s">
        <v>2281</v>
      </c>
      <c r="I1665" s="59" t="b">
        <v>1</v>
      </c>
      <c r="J1665" s="59"/>
      <c r="K1665" s="58">
        <v>1883</v>
      </c>
      <c r="L1665" s="58">
        <v>1342</v>
      </c>
      <c r="M1665" s="59">
        <v>10</v>
      </c>
      <c r="N1665" s="59">
        <v>10</v>
      </c>
      <c r="O1665" s="59" t="s">
        <v>3578</v>
      </c>
      <c r="P1665" s="58">
        <v>98</v>
      </c>
      <c r="Q1665" s="59">
        <v>0</v>
      </c>
      <c r="R1665" s="59">
        <v>0</v>
      </c>
      <c r="S1665" s="60">
        <f>tblJTL[[#This Row],[timeStamp]]/86400000+DATE(1970,1,1)+TIME(9,0,0)</f>
        <v>46296.421512824076</v>
      </c>
      <c r="T1665" s="57">
        <f>tblJTL[[#This Row],[timeStamp]]+tblJTL[[#This Row],[elapsed]]</f>
        <v>1790816818809</v>
      </c>
      <c r="U1665" s="61">
        <f>(tblJTL[[#This Row],[timeStamp]]-'17_分析サンプル'!$E$18)/1000</f>
        <v>418.52800000000002</v>
      </c>
      <c r="V1665" s="57">
        <f>INT(tblJTL[[#This Row],[経過秒]]/60)</f>
        <v>6</v>
      </c>
      <c r="W1665" s="57">
        <f>IF(OR(tblJTL[[#This Row],[success]]=FALSE,tblJTL[[#This Row],[success]]="false"),1,0)</f>
        <v>0</v>
      </c>
      <c r="X1665" s="57">
        <f>IF(AND(tblJTL[[#This Row],[経過秒]]&gt;='17_分析サンプル'!$E$11,tblJTL[[#This Row],[経過秒]]&lt;'17_分析サンプル'!$E$12),1,0)</f>
        <v>1</v>
      </c>
    </row>
    <row r="1666" spans="2:24" ht="14.4" x14ac:dyDescent="0.3">
      <c r="B1666" s="57">
        <v>1790816818797</v>
      </c>
      <c r="C1666" s="58">
        <v>131</v>
      </c>
      <c r="D1666" s="59" t="s">
        <v>1658</v>
      </c>
      <c r="E1666" s="59" t="s">
        <v>1577</v>
      </c>
      <c r="F1666" s="59" t="s">
        <v>2275</v>
      </c>
      <c r="G1666" s="59" t="s">
        <v>3587</v>
      </c>
      <c r="H1666" s="59" t="s">
        <v>2281</v>
      </c>
      <c r="I1666" s="59" t="b">
        <v>1</v>
      </c>
      <c r="J1666" s="59"/>
      <c r="K1666" s="58">
        <v>1860</v>
      </c>
      <c r="L1666" s="58">
        <v>1342</v>
      </c>
      <c r="M1666" s="59">
        <v>10</v>
      </c>
      <c r="N1666" s="59">
        <v>10</v>
      </c>
      <c r="O1666" s="59" t="s">
        <v>3578</v>
      </c>
      <c r="P1666" s="58">
        <v>124</v>
      </c>
      <c r="Q1666" s="59">
        <v>0</v>
      </c>
      <c r="R1666" s="59">
        <v>0</v>
      </c>
      <c r="S1666" s="60">
        <f>tblJTL[[#This Row],[timeStamp]]/86400000+DATE(1970,1,1)+TIME(9,0,0)</f>
        <v>46296.421513854162</v>
      </c>
      <c r="T1666" s="57">
        <f>tblJTL[[#This Row],[timeStamp]]+tblJTL[[#This Row],[elapsed]]</f>
        <v>1790816818928</v>
      </c>
      <c r="U1666" s="61">
        <f>(tblJTL[[#This Row],[timeStamp]]-'17_分析サンプル'!$E$18)/1000</f>
        <v>418.61700000000002</v>
      </c>
      <c r="V1666" s="57">
        <f>INT(tblJTL[[#This Row],[経過秒]]/60)</f>
        <v>6</v>
      </c>
      <c r="W1666" s="57">
        <f>IF(OR(tblJTL[[#This Row],[success]]=FALSE,tblJTL[[#This Row],[success]]="false"),1,0)</f>
        <v>0</v>
      </c>
      <c r="X1666" s="57">
        <f>IF(AND(tblJTL[[#This Row],[経過秒]]&gt;='17_分析サンプル'!$E$11,tblJTL[[#This Row],[経過秒]]&lt;'17_分析サンプル'!$E$12),1,0)</f>
        <v>1</v>
      </c>
    </row>
    <row r="1667" spans="2:24" ht="14.4" x14ac:dyDescent="0.3">
      <c r="B1667" s="57">
        <v>1790816819028</v>
      </c>
      <c r="C1667" s="58">
        <v>174</v>
      </c>
      <c r="D1667" s="59" t="s">
        <v>1677</v>
      </c>
      <c r="E1667" s="59" t="s">
        <v>3579</v>
      </c>
      <c r="F1667" s="59" t="s">
        <v>3580</v>
      </c>
      <c r="G1667" s="59" t="s">
        <v>3582</v>
      </c>
      <c r="H1667" s="59" t="s">
        <v>2281</v>
      </c>
      <c r="I1667" s="59" t="b">
        <v>1</v>
      </c>
      <c r="J1667" s="59"/>
      <c r="K1667" s="58">
        <v>413</v>
      </c>
      <c r="L1667" s="58">
        <v>1478</v>
      </c>
      <c r="M1667" s="59">
        <v>10</v>
      </c>
      <c r="N1667" s="59">
        <v>10</v>
      </c>
      <c r="O1667" s="59" t="s">
        <v>3581</v>
      </c>
      <c r="P1667" s="58">
        <v>167</v>
      </c>
      <c r="Q1667" s="59">
        <v>0</v>
      </c>
      <c r="R1667" s="59">
        <v>0</v>
      </c>
      <c r="S1667" s="60">
        <f>tblJTL[[#This Row],[timeStamp]]/86400000+DATE(1970,1,1)+TIME(9,0,0)</f>
        <v>46296.421516527778</v>
      </c>
      <c r="T1667" s="57">
        <f>tblJTL[[#This Row],[timeStamp]]+tblJTL[[#This Row],[elapsed]]</f>
        <v>1790816819202</v>
      </c>
      <c r="U1667" s="61">
        <f>(tblJTL[[#This Row],[timeStamp]]-'17_分析サンプル'!$E$18)/1000</f>
        <v>418.84800000000001</v>
      </c>
      <c r="V1667" s="57">
        <f>INT(tblJTL[[#This Row],[経過秒]]/60)</f>
        <v>6</v>
      </c>
      <c r="W1667" s="57">
        <f>IF(OR(tblJTL[[#This Row],[success]]=FALSE,tblJTL[[#This Row],[success]]="false"),1,0)</f>
        <v>0</v>
      </c>
      <c r="X1667" s="57">
        <f>IF(AND(tblJTL[[#This Row],[経過秒]]&gt;='17_分析サンプル'!$E$11,tblJTL[[#This Row],[経過秒]]&lt;'17_分析サンプル'!$E$12),1,0)</f>
        <v>1</v>
      </c>
    </row>
    <row r="1668" spans="2:24" ht="14.4" x14ac:dyDescent="0.3">
      <c r="B1668" s="57">
        <v>1790816819185</v>
      </c>
      <c r="C1668" s="58">
        <v>223</v>
      </c>
      <c r="D1668" s="59" t="s">
        <v>1677</v>
      </c>
      <c r="E1668" s="59" t="s">
        <v>3579</v>
      </c>
      <c r="F1668" s="59" t="s">
        <v>3580</v>
      </c>
      <c r="G1668" s="59" t="s">
        <v>3586</v>
      </c>
      <c r="H1668" s="59" t="s">
        <v>2281</v>
      </c>
      <c r="I1668" s="59" t="b">
        <v>1</v>
      </c>
      <c r="J1668" s="59"/>
      <c r="K1668" s="58">
        <v>434</v>
      </c>
      <c r="L1668" s="58">
        <v>1478</v>
      </c>
      <c r="M1668" s="59">
        <v>10</v>
      </c>
      <c r="N1668" s="59">
        <v>10</v>
      </c>
      <c r="O1668" s="59" t="s">
        <v>3581</v>
      </c>
      <c r="P1668" s="58">
        <v>217</v>
      </c>
      <c r="Q1668" s="59">
        <v>0</v>
      </c>
      <c r="R1668" s="59">
        <v>0</v>
      </c>
      <c r="S1668" s="60">
        <f>tblJTL[[#This Row],[timeStamp]]/86400000+DATE(1970,1,1)+TIME(9,0,0)</f>
        <v>46296.421518344912</v>
      </c>
      <c r="T1668" s="57">
        <f>tblJTL[[#This Row],[timeStamp]]+tblJTL[[#This Row],[elapsed]]</f>
        <v>1790816819408</v>
      </c>
      <c r="U1668" s="61">
        <f>(tblJTL[[#This Row],[timeStamp]]-'17_分析サンプル'!$E$18)/1000</f>
        <v>419.005</v>
      </c>
      <c r="V1668" s="57">
        <f>INT(tblJTL[[#This Row],[経過秒]]/60)</f>
        <v>6</v>
      </c>
      <c r="W1668" s="57">
        <f>IF(OR(tblJTL[[#This Row],[success]]=FALSE,tblJTL[[#This Row],[success]]="false"),1,0)</f>
        <v>0</v>
      </c>
      <c r="X1668" s="57">
        <f>IF(AND(tblJTL[[#This Row],[経過秒]]&gt;='17_分析サンプル'!$E$11,tblJTL[[#This Row],[経過秒]]&lt;'17_分析サンプル'!$E$12),1,0)</f>
        <v>1</v>
      </c>
    </row>
    <row r="1669" spans="2:24" ht="14.4" x14ac:dyDescent="0.3">
      <c r="B1669" s="57">
        <v>1790816819288</v>
      </c>
      <c r="C1669" s="58">
        <v>129</v>
      </c>
      <c r="D1669" s="59" t="s">
        <v>1658</v>
      </c>
      <c r="E1669" s="59" t="s">
        <v>1577</v>
      </c>
      <c r="F1669" s="59" t="s">
        <v>2275</v>
      </c>
      <c r="G1669" s="59" t="s">
        <v>3585</v>
      </c>
      <c r="H1669" s="59" t="s">
        <v>2281</v>
      </c>
      <c r="I1669" s="59" t="b">
        <v>1</v>
      </c>
      <c r="J1669" s="59"/>
      <c r="K1669" s="58">
        <v>1881</v>
      </c>
      <c r="L1669" s="58">
        <v>1342</v>
      </c>
      <c r="M1669" s="59">
        <v>10</v>
      </c>
      <c r="N1669" s="59">
        <v>10</v>
      </c>
      <c r="O1669" s="59" t="s">
        <v>3578</v>
      </c>
      <c r="P1669" s="58">
        <v>121</v>
      </c>
      <c r="Q1669" s="59">
        <v>0</v>
      </c>
      <c r="R1669" s="59">
        <v>0</v>
      </c>
      <c r="S1669" s="60">
        <f>tblJTL[[#This Row],[timeStamp]]/86400000+DATE(1970,1,1)+TIME(9,0,0)</f>
        <v>46296.421519537034</v>
      </c>
      <c r="T1669" s="57">
        <f>tblJTL[[#This Row],[timeStamp]]+tblJTL[[#This Row],[elapsed]]</f>
        <v>1790816819417</v>
      </c>
      <c r="U1669" s="61">
        <f>(tblJTL[[#This Row],[timeStamp]]-'17_分析サンプル'!$E$18)/1000</f>
        <v>419.108</v>
      </c>
      <c r="V1669" s="57">
        <f>INT(tblJTL[[#This Row],[経過秒]]/60)</f>
        <v>6</v>
      </c>
      <c r="W1669" s="57">
        <f>IF(OR(tblJTL[[#This Row],[success]]=FALSE,tblJTL[[#This Row],[success]]="false"),1,0)</f>
        <v>0</v>
      </c>
      <c r="X1669" s="57">
        <f>IF(AND(tblJTL[[#This Row],[経過秒]]&gt;='17_分析サンプル'!$E$11,tblJTL[[#This Row],[経過秒]]&lt;'17_分析サンプル'!$E$12),1,0)</f>
        <v>1</v>
      </c>
    </row>
    <row r="1670" spans="2:24" ht="14.4" x14ac:dyDescent="0.3">
      <c r="B1670" s="57">
        <v>1790816819451</v>
      </c>
      <c r="C1670" s="58">
        <v>152</v>
      </c>
      <c r="D1670" s="59" t="s">
        <v>1658</v>
      </c>
      <c r="E1670" s="59" t="s">
        <v>1577</v>
      </c>
      <c r="F1670" s="59" t="s">
        <v>2275</v>
      </c>
      <c r="G1670" s="59" t="s">
        <v>2278</v>
      </c>
      <c r="H1670" s="59" t="s">
        <v>2281</v>
      </c>
      <c r="I1670" s="59" t="b">
        <v>1</v>
      </c>
      <c r="J1670" s="59"/>
      <c r="K1670" s="58">
        <v>1823</v>
      </c>
      <c r="L1670" s="58">
        <v>1342</v>
      </c>
      <c r="M1670" s="59">
        <v>10</v>
      </c>
      <c r="N1670" s="59">
        <v>10</v>
      </c>
      <c r="O1670" s="59" t="s">
        <v>3578</v>
      </c>
      <c r="P1670" s="58">
        <v>145</v>
      </c>
      <c r="Q1670" s="59">
        <v>0</v>
      </c>
      <c r="R1670" s="59">
        <v>0</v>
      </c>
      <c r="S1670" s="60">
        <f>tblJTL[[#This Row],[timeStamp]]/86400000+DATE(1970,1,1)+TIME(9,0,0)</f>
        <v>46296.42152142361</v>
      </c>
      <c r="T1670" s="57">
        <f>tblJTL[[#This Row],[timeStamp]]+tblJTL[[#This Row],[elapsed]]</f>
        <v>1790816819603</v>
      </c>
      <c r="U1670" s="61">
        <f>(tblJTL[[#This Row],[timeStamp]]-'17_分析サンプル'!$E$18)/1000</f>
        <v>419.27100000000002</v>
      </c>
      <c r="V1670" s="57">
        <f>INT(tblJTL[[#This Row],[経過秒]]/60)</f>
        <v>6</v>
      </c>
      <c r="W1670" s="57">
        <f>IF(OR(tblJTL[[#This Row],[success]]=FALSE,tblJTL[[#This Row],[success]]="false"),1,0)</f>
        <v>0</v>
      </c>
      <c r="X1670" s="57">
        <f>IF(AND(tblJTL[[#This Row],[経過秒]]&gt;='17_分析サンプル'!$E$11,tblJTL[[#This Row],[経過秒]]&lt;'17_分析サンプル'!$E$12),1,0)</f>
        <v>1</v>
      </c>
    </row>
    <row r="1671" spans="2:24" ht="14.4" x14ac:dyDescent="0.3">
      <c r="B1671" s="57">
        <v>1790816819689</v>
      </c>
      <c r="C1671" s="58">
        <v>301</v>
      </c>
      <c r="D1671" s="59" t="s">
        <v>1677</v>
      </c>
      <c r="E1671" s="59" t="s">
        <v>3579</v>
      </c>
      <c r="F1671" s="59" t="s">
        <v>3580</v>
      </c>
      <c r="G1671" s="59" t="s">
        <v>3589</v>
      </c>
      <c r="H1671" s="59" t="s">
        <v>2281</v>
      </c>
      <c r="I1671" s="59" t="b">
        <v>1</v>
      </c>
      <c r="J1671" s="59"/>
      <c r="K1671" s="58">
        <v>423</v>
      </c>
      <c r="L1671" s="58">
        <v>1478</v>
      </c>
      <c r="M1671" s="59">
        <v>10</v>
      </c>
      <c r="N1671" s="59">
        <v>10</v>
      </c>
      <c r="O1671" s="59" t="s">
        <v>3581</v>
      </c>
      <c r="P1671" s="58">
        <v>296</v>
      </c>
      <c r="Q1671" s="59">
        <v>0</v>
      </c>
      <c r="R1671" s="59">
        <v>0</v>
      </c>
      <c r="S1671" s="60">
        <f>tblJTL[[#This Row],[timeStamp]]/86400000+DATE(1970,1,1)+TIME(9,0,0)</f>
        <v>46296.421524178237</v>
      </c>
      <c r="T1671" s="57">
        <f>tblJTL[[#This Row],[timeStamp]]+tblJTL[[#This Row],[elapsed]]</f>
        <v>1790816819990</v>
      </c>
      <c r="U1671" s="61">
        <f>(tblJTL[[#This Row],[timeStamp]]-'17_分析サンプル'!$E$18)/1000</f>
        <v>419.50900000000001</v>
      </c>
      <c r="V1671" s="57">
        <f>INT(tblJTL[[#This Row],[経過秒]]/60)</f>
        <v>6</v>
      </c>
      <c r="W1671" s="57">
        <f>IF(OR(tblJTL[[#This Row],[success]]=FALSE,tblJTL[[#This Row],[success]]="false"),1,0)</f>
        <v>0</v>
      </c>
      <c r="X1671" s="57">
        <f>IF(AND(tblJTL[[#This Row],[経過秒]]&gt;='17_分析サンプル'!$E$11,tblJTL[[#This Row],[経過秒]]&lt;'17_分析サンプル'!$E$12),1,0)</f>
        <v>1</v>
      </c>
    </row>
    <row r="1672" spans="2:24" ht="14.4" x14ac:dyDescent="0.3">
      <c r="B1672" s="57">
        <v>1790816820033</v>
      </c>
      <c r="C1672" s="58">
        <v>193</v>
      </c>
      <c r="D1672" s="59" t="s">
        <v>1658</v>
      </c>
      <c r="E1672" s="59" t="s">
        <v>1577</v>
      </c>
      <c r="F1672" s="59" t="s">
        <v>2275</v>
      </c>
      <c r="G1672" s="59" t="s">
        <v>3588</v>
      </c>
      <c r="H1672" s="59" t="s">
        <v>2281</v>
      </c>
      <c r="I1672" s="59" t="b">
        <v>1</v>
      </c>
      <c r="J1672" s="59"/>
      <c r="K1672" s="58">
        <v>1833</v>
      </c>
      <c r="L1672" s="58">
        <v>1342</v>
      </c>
      <c r="M1672" s="59">
        <v>10</v>
      </c>
      <c r="N1672" s="59">
        <v>10</v>
      </c>
      <c r="O1672" s="59" t="s">
        <v>3578</v>
      </c>
      <c r="P1672" s="58">
        <v>189</v>
      </c>
      <c r="Q1672" s="59">
        <v>0</v>
      </c>
      <c r="R1672" s="59">
        <v>55</v>
      </c>
      <c r="S1672" s="60">
        <f>tblJTL[[#This Row],[timeStamp]]/86400000+DATE(1970,1,1)+TIME(9,0,0)</f>
        <v>46296.421528159721</v>
      </c>
      <c r="T1672" s="57">
        <f>tblJTL[[#This Row],[timeStamp]]+tblJTL[[#This Row],[elapsed]]</f>
        <v>1790816820226</v>
      </c>
      <c r="U1672" s="61">
        <f>(tblJTL[[#This Row],[timeStamp]]-'17_分析サンプル'!$E$18)/1000</f>
        <v>419.85300000000001</v>
      </c>
      <c r="V1672" s="57">
        <f>INT(tblJTL[[#This Row],[経過秒]]/60)</f>
        <v>6</v>
      </c>
      <c r="W1672" s="57">
        <f>IF(OR(tblJTL[[#This Row],[success]]=FALSE,tblJTL[[#This Row],[success]]="false"),1,0)</f>
        <v>0</v>
      </c>
      <c r="X1672" s="57">
        <f>IF(AND(tblJTL[[#This Row],[経過秒]]&gt;='17_分析サンプル'!$E$11,tblJTL[[#This Row],[経過秒]]&lt;'17_分析サンプル'!$E$12),1,0)</f>
        <v>1</v>
      </c>
    </row>
    <row r="1673" spans="2:24" ht="14.4" x14ac:dyDescent="0.3">
      <c r="B1673" s="57">
        <v>1790816819981</v>
      </c>
      <c r="C1673" s="58">
        <v>277</v>
      </c>
      <c r="D1673" s="59" t="s">
        <v>1677</v>
      </c>
      <c r="E1673" s="59" t="s">
        <v>3579</v>
      </c>
      <c r="F1673" s="59" t="s">
        <v>3580</v>
      </c>
      <c r="G1673" s="59" t="s">
        <v>3583</v>
      </c>
      <c r="H1673" s="59" t="s">
        <v>2281</v>
      </c>
      <c r="I1673" s="59" t="b">
        <v>1</v>
      </c>
      <c r="J1673" s="59"/>
      <c r="K1673" s="58">
        <v>436</v>
      </c>
      <c r="L1673" s="58">
        <v>1478</v>
      </c>
      <c r="M1673" s="59">
        <v>10</v>
      </c>
      <c r="N1673" s="59">
        <v>10</v>
      </c>
      <c r="O1673" s="59" t="s">
        <v>3581</v>
      </c>
      <c r="P1673" s="58">
        <v>269</v>
      </c>
      <c r="Q1673" s="59">
        <v>0</v>
      </c>
      <c r="R1673" s="59">
        <v>0</v>
      </c>
      <c r="S1673" s="60">
        <f>tblJTL[[#This Row],[timeStamp]]/86400000+DATE(1970,1,1)+TIME(9,0,0)</f>
        <v>46296.421527557875</v>
      </c>
      <c r="T1673" s="57">
        <f>tblJTL[[#This Row],[timeStamp]]+tblJTL[[#This Row],[elapsed]]</f>
        <v>1790816820258</v>
      </c>
      <c r="U1673" s="61">
        <f>(tblJTL[[#This Row],[timeStamp]]-'17_分析サンプル'!$E$18)/1000</f>
        <v>419.80099999999999</v>
      </c>
      <c r="V1673" s="57">
        <f>INT(tblJTL[[#This Row],[経過秒]]/60)</f>
        <v>6</v>
      </c>
      <c r="W1673" s="57">
        <f>IF(OR(tblJTL[[#This Row],[success]]=FALSE,tblJTL[[#This Row],[success]]="false"),1,0)</f>
        <v>0</v>
      </c>
      <c r="X1673" s="57">
        <f>IF(AND(tblJTL[[#This Row],[経過秒]]&gt;='17_分析サンプル'!$E$11,tblJTL[[#This Row],[経過秒]]&lt;'17_分析サンプル'!$E$12),1,0)</f>
        <v>1</v>
      </c>
    </row>
    <row r="1674" spans="2:24" ht="14.4" x14ac:dyDescent="0.3">
      <c r="B1674" s="57">
        <v>1790816820405</v>
      </c>
      <c r="C1674" s="58">
        <v>106</v>
      </c>
      <c r="D1674" s="59" t="s">
        <v>1658</v>
      </c>
      <c r="E1674" s="59" t="s">
        <v>1577</v>
      </c>
      <c r="F1674" s="59" t="s">
        <v>2275</v>
      </c>
      <c r="G1674" s="59" t="s">
        <v>3582</v>
      </c>
      <c r="H1674" s="59" t="s">
        <v>2281</v>
      </c>
      <c r="I1674" s="59" t="b">
        <v>1</v>
      </c>
      <c r="J1674" s="59"/>
      <c r="K1674" s="58">
        <v>1885</v>
      </c>
      <c r="L1674" s="58">
        <v>1342</v>
      </c>
      <c r="M1674" s="59">
        <v>10</v>
      </c>
      <c r="N1674" s="59">
        <v>10</v>
      </c>
      <c r="O1674" s="59" t="s">
        <v>3578</v>
      </c>
      <c r="P1674" s="58">
        <v>104</v>
      </c>
      <c r="Q1674" s="59">
        <v>0</v>
      </c>
      <c r="R1674" s="59">
        <v>0</v>
      </c>
      <c r="S1674" s="60">
        <f>tblJTL[[#This Row],[timeStamp]]/86400000+DATE(1970,1,1)+TIME(9,0,0)</f>
        <v>46296.421532465276</v>
      </c>
      <c r="T1674" s="57">
        <f>tblJTL[[#This Row],[timeStamp]]+tblJTL[[#This Row],[elapsed]]</f>
        <v>1790816820511</v>
      </c>
      <c r="U1674" s="61">
        <f>(tblJTL[[#This Row],[timeStamp]]-'17_分析サンプル'!$E$18)/1000</f>
        <v>420.22500000000002</v>
      </c>
      <c r="V1674" s="57">
        <f>INT(tblJTL[[#This Row],[経過秒]]/60)</f>
        <v>7</v>
      </c>
      <c r="W1674" s="57">
        <f>IF(OR(tblJTL[[#This Row],[success]]=FALSE,tblJTL[[#This Row],[success]]="false"),1,0)</f>
        <v>0</v>
      </c>
      <c r="X1674" s="57">
        <f>IF(AND(tblJTL[[#This Row],[経過秒]]&gt;='17_分析サンプル'!$E$11,tblJTL[[#This Row],[経過秒]]&lt;'17_分析サンプル'!$E$12),1,0)</f>
        <v>1</v>
      </c>
    </row>
    <row r="1675" spans="2:24" ht="14.4" x14ac:dyDescent="0.3">
      <c r="B1675" s="57">
        <v>1790816820701</v>
      </c>
      <c r="C1675" s="58">
        <v>146</v>
      </c>
      <c r="D1675" s="59" t="s">
        <v>1658</v>
      </c>
      <c r="E1675" s="59" t="s">
        <v>1577</v>
      </c>
      <c r="F1675" s="59" t="s">
        <v>2275</v>
      </c>
      <c r="G1675" s="59" t="s">
        <v>3584</v>
      </c>
      <c r="H1675" s="59" t="s">
        <v>2281</v>
      </c>
      <c r="I1675" s="59" t="b">
        <v>1</v>
      </c>
      <c r="J1675" s="59"/>
      <c r="K1675" s="58">
        <v>1828</v>
      </c>
      <c r="L1675" s="58">
        <v>1342</v>
      </c>
      <c r="M1675" s="59">
        <v>10</v>
      </c>
      <c r="N1675" s="59">
        <v>10</v>
      </c>
      <c r="O1675" s="59" t="s">
        <v>3578</v>
      </c>
      <c r="P1675" s="58">
        <v>138</v>
      </c>
      <c r="Q1675" s="59">
        <v>0</v>
      </c>
      <c r="R1675" s="59">
        <v>0</v>
      </c>
      <c r="S1675" s="60">
        <f>tblJTL[[#This Row],[timeStamp]]/86400000+DATE(1970,1,1)+TIME(9,0,0)</f>
        <v>46296.421535891204</v>
      </c>
      <c r="T1675" s="57">
        <f>tblJTL[[#This Row],[timeStamp]]+tblJTL[[#This Row],[elapsed]]</f>
        <v>1790816820847</v>
      </c>
      <c r="U1675" s="61">
        <f>(tblJTL[[#This Row],[timeStamp]]-'17_分析サンプル'!$E$18)/1000</f>
        <v>420.52100000000002</v>
      </c>
      <c r="V1675" s="57">
        <f>INT(tblJTL[[#This Row],[経過秒]]/60)</f>
        <v>7</v>
      </c>
      <c r="W1675" s="57">
        <f>IF(OR(tblJTL[[#This Row],[success]]=FALSE,tblJTL[[#This Row],[success]]="false"),1,0)</f>
        <v>0</v>
      </c>
      <c r="X1675" s="57">
        <f>IF(AND(tblJTL[[#This Row],[経過秒]]&gt;='17_分析サンプル'!$E$11,tblJTL[[#This Row],[経過秒]]&lt;'17_分析サンプル'!$E$12),1,0)</f>
        <v>1</v>
      </c>
    </row>
    <row r="1676" spans="2:24" ht="14.4" x14ac:dyDescent="0.3">
      <c r="B1676" s="57">
        <v>1790816820673</v>
      </c>
      <c r="C1676" s="58">
        <v>221</v>
      </c>
      <c r="D1676" s="59" t="s">
        <v>1677</v>
      </c>
      <c r="E1676" s="59" t="s">
        <v>3579</v>
      </c>
      <c r="F1676" s="59" t="s">
        <v>3580</v>
      </c>
      <c r="G1676" s="59" t="s">
        <v>2278</v>
      </c>
      <c r="H1676" s="59" t="s">
        <v>2281</v>
      </c>
      <c r="I1676" s="59" t="b">
        <v>1</v>
      </c>
      <c r="J1676" s="59"/>
      <c r="K1676" s="58">
        <v>435</v>
      </c>
      <c r="L1676" s="58">
        <v>1478</v>
      </c>
      <c r="M1676" s="59">
        <v>10</v>
      </c>
      <c r="N1676" s="59">
        <v>10</v>
      </c>
      <c r="O1676" s="59" t="s">
        <v>3581</v>
      </c>
      <c r="P1676" s="58">
        <v>217</v>
      </c>
      <c r="Q1676" s="59">
        <v>0</v>
      </c>
      <c r="R1676" s="59">
        <v>0</v>
      </c>
      <c r="S1676" s="60">
        <f>tblJTL[[#This Row],[timeStamp]]/86400000+DATE(1970,1,1)+TIME(9,0,0)</f>
        <v>46296.421535567133</v>
      </c>
      <c r="T1676" s="57">
        <f>tblJTL[[#This Row],[timeStamp]]+tblJTL[[#This Row],[elapsed]]</f>
        <v>1790816820894</v>
      </c>
      <c r="U1676" s="61">
        <f>(tblJTL[[#This Row],[timeStamp]]-'17_分析サンプル'!$E$18)/1000</f>
        <v>420.49299999999999</v>
      </c>
      <c r="V1676" s="57">
        <f>INT(tblJTL[[#This Row],[経過秒]]/60)</f>
        <v>7</v>
      </c>
      <c r="W1676" s="57">
        <f>IF(OR(tblJTL[[#This Row],[success]]=FALSE,tblJTL[[#This Row],[success]]="false"),1,0)</f>
        <v>0</v>
      </c>
      <c r="X1676" s="57">
        <f>IF(AND(tblJTL[[#This Row],[経過秒]]&gt;='17_分析サンプル'!$E$11,tblJTL[[#This Row],[経過秒]]&lt;'17_分析サンプル'!$E$12),1,0)</f>
        <v>1</v>
      </c>
    </row>
    <row r="1677" spans="2:24" ht="14.4" x14ac:dyDescent="0.3">
      <c r="B1677" s="57">
        <v>1790816821303</v>
      </c>
      <c r="C1677" s="58">
        <v>121</v>
      </c>
      <c r="D1677" s="59" t="s">
        <v>1658</v>
      </c>
      <c r="E1677" s="59" t="s">
        <v>1577</v>
      </c>
      <c r="F1677" s="59" t="s">
        <v>2275</v>
      </c>
      <c r="G1677" s="59" t="s">
        <v>3586</v>
      </c>
      <c r="H1677" s="59" t="s">
        <v>2281</v>
      </c>
      <c r="I1677" s="59" t="b">
        <v>1</v>
      </c>
      <c r="J1677" s="59"/>
      <c r="K1677" s="58">
        <v>1836</v>
      </c>
      <c r="L1677" s="58">
        <v>1342</v>
      </c>
      <c r="M1677" s="59">
        <v>10</v>
      </c>
      <c r="N1677" s="59">
        <v>10</v>
      </c>
      <c r="O1677" s="59" t="s">
        <v>3578</v>
      </c>
      <c r="P1677" s="58">
        <v>114</v>
      </c>
      <c r="Q1677" s="59">
        <v>0</v>
      </c>
      <c r="R1677" s="59">
        <v>0</v>
      </c>
      <c r="S1677" s="60">
        <f>tblJTL[[#This Row],[timeStamp]]/86400000+DATE(1970,1,1)+TIME(9,0,0)</f>
        <v>46296.421542858792</v>
      </c>
      <c r="T1677" s="57">
        <f>tblJTL[[#This Row],[timeStamp]]+tblJTL[[#This Row],[elapsed]]</f>
        <v>1790816821424</v>
      </c>
      <c r="U1677" s="61">
        <f>(tblJTL[[#This Row],[timeStamp]]-'17_分析サンプル'!$E$18)/1000</f>
        <v>421.12299999999999</v>
      </c>
      <c r="V1677" s="57">
        <f>INT(tblJTL[[#This Row],[経過秒]]/60)</f>
        <v>7</v>
      </c>
      <c r="W1677" s="57">
        <f>IF(OR(tblJTL[[#This Row],[success]]=FALSE,tblJTL[[#This Row],[success]]="false"),1,0)</f>
        <v>0</v>
      </c>
      <c r="X1677" s="57">
        <f>IF(AND(tblJTL[[#This Row],[経過秒]]&gt;='17_分析サンプル'!$E$11,tblJTL[[#This Row],[経過秒]]&lt;'17_分析サンプル'!$E$12),1,0)</f>
        <v>1</v>
      </c>
    </row>
    <row r="1678" spans="2:24" ht="14.4" x14ac:dyDescent="0.3">
      <c r="B1678" s="57">
        <v>1790816821272</v>
      </c>
      <c r="C1678" s="58">
        <v>223</v>
      </c>
      <c r="D1678" s="59" t="s">
        <v>1658</v>
      </c>
      <c r="E1678" s="59" t="s">
        <v>1577</v>
      </c>
      <c r="F1678" s="59" t="s">
        <v>2275</v>
      </c>
      <c r="G1678" s="59" t="s">
        <v>3583</v>
      </c>
      <c r="H1678" s="59" t="s">
        <v>2281</v>
      </c>
      <c r="I1678" s="59" t="b">
        <v>1</v>
      </c>
      <c r="J1678" s="59"/>
      <c r="K1678" s="58">
        <v>1888</v>
      </c>
      <c r="L1678" s="58">
        <v>1342</v>
      </c>
      <c r="M1678" s="59">
        <v>10</v>
      </c>
      <c r="N1678" s="59">
        <v>10</v>
      </c>
      <c r="O1678" s="59" t="s">
        <v>3578</v>
      </c>
      <c r="P1678" s="58">
        <v>219</v>
      </c>
      <c r="Q1678" s="59">
        <v>0</v>
      </c>
      <c r="R1678" s="59">
        <v>0</v>
      </c>
      <c r="S1678" s="60">
        <f>tblJTL[[#This Row],[timeStamp]]/86400000+DATE(1970,1,1)+TIME(9,0,0)</f>
        <v>46296.4215425</v>
      </c>
      <c r="T1678" s="57">
        <f>tblJTL[[#This Row],[timeStamp]]+tblJTL[[#This Row],[elapsed]]</f>
        <v>1790816821495</v>
      </c>
      <c r="U1678" s="61">
        <f>(tblJTL[[#This Row],[timeStamp]]-'17_分析サンプル'!$E$18)/1000</f>
        <v>421.09199999999998</v>
      </c>
      <c r="V1678" s="57">
        <f>INT(tblJTL[[#This Row],[経過秒]]/60)</f>
        <v>7</v>
      </c>
      <c r="W1678" s="57">
        <f>IF(OR(tblJTL[[#This Row],[success]]=FALSE,tblJTL[[#This Row],[success]]="false"),1,0)</f>
        <v>0</v>
      </c>
      <c r="X1678" s="57">
        <f>IF(AND(tblJTL[[#This Row],[経過秒]]&gt;='17_分析サンプル'!$E$11,tblJTL[[#This Row],[経過秒]]&lt;'17_分析サンプル'!$E$12),1,0)</f>
        <v>1</v>
      </c>
    </row>
    <row r="1679" spans="2:24" ht="14.4" x14ac:dyDescent="0.3">
      <c r="B1679" s="57">
        <v>1790816821359</v>
      </c>
      <c r="C1679" s="58">
        <v>387</v>
      </c>
      <c r="D1679" s="59" t="s">
        <v>1677</v>
      </c>
      <c r="E1679" s="59" t="s">
        <v>3579</v>
      </c>
      <c r="F1679" s="59" t="s">
        <v>3580</v>
      </c>
      <c r="G1679" s="59" t="s">
        <v>3587</v>
      </c>
      <c r="H1679" s="59" t="s">
        <v>2281</v>
      </c>
      <c r="I1679" s="59" t="b">
        <v>1</v>
      </c>
      <c r="J1679" s="59"/>
      <c r="K1679" s="58">
        <v>433</v>
      </c>
      <c r="L1679" s="58">
        <v>1478</v>
      </c>
      <c r="M1679" s="59">
        <v>10</v>
      </c>
      <c r="N1679" s="59">
        <v>10</v>
      </c>
      <c r="O1679" s="59" t="s">
        <v>3581</v>
      </c>
      <c r="P1679" s="58">
        <v>381</v>
      </c>
      <c r="Q1679" s="59">
        <v>0</v>
      </c>
      <c r="R1679" s="59">
        <v>0</v>
      </c>
      <c r="S1679" s="60">
        <f>tblJTL[[#This Row],[timeStamp]]/86400000+DATE(1970,1,1)+TIME(9,0,0)</f>
        <v>46296.421543506949</v>
      </c>
      <c r="T1679" s="57">
        <f>tblJTL[[#This Row],[timeStamp]]+tblJTL[[#This Row],[elapsed]]</f>
        <v>1790816821746</v>
      </c>
      <c r="U1679" s="61">
        <f>(tblJTL[[#This Row],[timeStamp]]-'17_分析サンプル'!$E$18)/1000</f>
        <v>421.17899999999997</v>
      </c>
      <c r="V1679" s="57">
        <f>INT(tblJTL[[#This Row],[経過秒]]/60)</f>
        <v>7</v>
      </c>
      <c r="W1679" s="57">
        <f>IF(OR(tblJTL[[#This Row],[success]]=FALSE,tblJTL[[#This Row],[success]]="false"),1,0)</f>
        <v>0</v>
      </c>
      <c r="X1679" s="57">
        <f>IF(AND(tblJTL[[#This Row],[経過秒]]&gt;='17_分析サンプル'!$E$11,tblJTL[[#This Row],[経過秒]]&lt;'17_分析サンプル'!$E$12),1,0)</f>
        <v>1</v>
      </c>
    </row>
    <row r="1680" spans="2:24" ht="14.4" x14ac:dyDescent="0.3">
      <c r="B1680" s="57">
        <v>1790816821668</v>
      </c>
      <c r="C1680" s="58">
        <v>185</v>
      </c>
      <c r="D1680" s="59" t="s">
        <v>1677</v>
      </c>
      <c r="E1680" s="59" t="s">
        <v>3579</v>
      </c>
      <c r="F1680" s="59" t="s">
        <v>3580</v>
      </c>
      <c r="G1680" s="59" t="s">
        <v>3588</v>
      </c>
      <c r="H1680" s="59" t="s">
        <v>2281</v>
      </c>
      <c r="I1680" s="59" t="b">
        <v>1</v>
      </c>
      <c r="J1680" s="59"/>
      <c r="K1680" s="58">
        <v>431</v>
      </c>
      <c r="L1680" s="58">
        <v>1478</v>
      </c>
      <c r="M1680" s="59">
        <v>10</v>
      </c>
      <c r="N1680" s="59">
        <v>10</v>
      </c>
      <c r="O1680" s="59" t="s">
        <v>3581</v>
      </c>
      <c r="P1680" s="58">
        <v>177</v>
      </c>
      <c r="Q1680" s="59">
        <v>0</v>
      </c>
      <c r="R1680" s="59">
        <v>0</v>
      </c>
      <c r="S1680" s="60">
        <f>tblJTL[[#This Row],[timeStamp]]/86400000+DATE(1970,1,1)+TIME(9,0,0)</f>
        <v>46296.42154708333</v>
      </c>
      <c r="T1680" s="57">
        <f>tblJTL[[#This Row],[timeStamp]]+tblJTL[[#This Row],[elapsed]]</f>
        <v>1790816821853</v>
      </c>
      <c r="U1680" s="61">
        <f>(tblJTL[[#This Row],[timeStamp]]-'17_分析サンプル'!$E$18)/1000</f>
        <v>421.488</v>
      </c>
      <c r="V1680" s="57">
        <f>INT(tblJTL[[#This Row],[経過秒]]/60)</f>
        <v>7</v>
      </c>
      <c r="W1680" s="57">
        <f>IF(OR(tblJTL[[#This Row],[success]]=FALSE,tblJTL[[#This Row],[success]]="false"),1,0)</f>
        <v>0</v>
      </c>
      <c r="X1680" s="57">
        <f>IF(AND(tblJTL[[#This Row],[経過秒]]&gt;='17_分析サンプル'!$E$11,tblJTL[[#This Row],[経過秒]]&lt;'17_分析サンプル'!$E$12),1,0)</f>
        <v>1</v>
      </c>
    </row>
    <row r="1681" spans="2:24" ht="14.4" x14ac:dyDescent="0.3">
      <c r="B1681" s="57">
        <v>1790816821587</v>
      </c>
      <c r="C1681" s="58">
        <v>315</v>
      </c>
      <c r="D1681" s="59" t="s">
        <v>1677</v>
      </c>
      <c r="E1681" s="59" t="s">
        <v>3579</v>
      </c>
      <c r="F1681" s="59" t="s">
        <v>3580</v>
      </c>
      <c r="G1681" s="59" t="s">
        <v>3577</v>
      </c>
      <c r="H1681" s="59" t="s">
        <v>2281</v>
      </c>
      <c r="I1681" s="59" t="b">
        <v>1</v>
      </c>
      <c r="J1681" s="59"/>
      <c r="K1681" s="58">
        <v>429</v>
      </c>
      <c r="L1681" s="58">
        <v>1478</v>
      </c>
      <c r="M1681" s="59">
        <v>10</v>
      </c>
      <c r="N1681" s="59">
        <v>10</v>
      </c>
      <c r="O1681" s="59" t="s">
        <v>3581</v>
      </c>
      <c r="P1681" s="58">
        <v>309</v>
      </c>
      <c r="Q1681" s="59">
        <v>0</v>
      </c>
      <c r="R1681" s="59">
        <v>0</v>
      </c>
      <c r="S1681" s="60">
        <f>tblJTL[[#This Row],[timeStamp]]/86400000+DATE(1970,1,1)+TIME(9,0,0)</f>
        <v>46296.421546145837</v>
      </c>
      <c r="T1681" s="57">
        <f>tblJTL[[#This Row],[timeStamp]]+tblJTL[[#This Row],[elapsed]]</f>
        <v>1790816821902</v>
      </c>
      <c r="U1681" s="61">
        <f>(tblJTL[[#This Row],[timeStamp]]-'17_分析サンプル'!$E$18)/1000</f>
        <v>421.40699999999998</v>
      </c>
      <c r="V1681" s="57">
        <f>INT(tblJTL[[#This Row],[経過秒]]/60)</f>
        <v>7</v>
      </c>
      <c r="W1681" s="57">
        <f>IF(OR(tblJTL[[#This Row],[success]]=FALSE,tblJTL[[#This Row],[success]]="false"),1,0)</f>
        <v>0</v>
      </c>
      <c r="X1681" s="57">
        <f>IF(AND(tblJTL[[#This Row],[経過秒]]&gt;='17_分析サンプル'!$E$11,tblJTL[[#This Row],[経過秒]]&lt;'17_分析サンプル'!$E$12),1,0)</f>
        <v>1</v>
      </c>
    </row>
    <row r="1682" spans="2:24" ht="14.4" x14ac:dyDescent="0.3">
      <c r="B1682" s="57">
        <v>1790816821826</v>
      </c>
      <c r="C1682" s="58">
        <v>200</v>
      </c>
      <c r="D1682" s="59" t="s">
        <v>1677</v>
      </c>
      <c r="E1682" s="59" t="s">
        <v>3579</v>
      </c>
      <c r="F1682" s="59" t="s">
        <v>3580</v>
      </c>
      <c r="G1682" s="59" t="s">
        <v>3582</v>
      </c>
      <c r="H1682" s="59" t="s">
        <v>2281</v>
      </c>
      <c r="I1682" s="59" t="b">
        <v>1</v>
      </c>
      <c r="J1682" s="59"/>
      <c r="K1682" s="58">
        <v>422</v>
      </c>
      <c r="L1682" s="58">
        <v>1478</v>
      </c>
      <c r="M1682" s="59">
        <v>10</v>
      </c>
      <c r="N1682" s="59">
        <v>10</v>
      </c>
      <c r="O1682" s="59" t="s">
        <v>3581</v>
      </c>
      <c r="P1682" s="58">
        <v>194</v>
      </c>
      <c r="Q1682" s="59">
        <v>0</v>
      </c>
      <c r="R1682" s="59">
        <v>0</v>
      </c>
      <c r="S1682" s="60">
        <f>tblJTL[[#This Row],[timeStamp]]/86400000+DATE(1970,1,1)+TIME(9,0,0)</f>
        <v>46296.42154891204</v>
      </c>
      <c r="T1682" s="57">
        <f>tblJTL[[#This Row],[timeStamp]]+tblJTL[[#This Row],[elapsed]]</f>
        <v>1790816822026</v>
      </c>
      <c r="U1682" s="61">
        <f>(tblJTL[[#This Row],[timeStamp]]-'17_分析サンプル'!$E$18)/1000</f>
        <v>421.64600000000002</v>
      </c>
      <c r="V1682" s="57">
        <f>INT(tblJTL[[#This Row],[経過秒]]/60)</f>
        <v>7</v>
      </c>
      <c r="W1682" s="57">
        <f>IF(OR(tblJTL[[#This Row],[success]]=FALSE,tblJTL[[#This Row],[success]]="false"),1,0)</f>
        <v>0</v>
      </c>
      <c r="X1682" s="57">
        <f>IF(AND(tblJTL[[#This Row],[経過秒]]&gt;='17_分析サンプル'!$E$11,tblJTL[[#This Row],[経過秒]]&lt;'17_分析サンプル'!$E$12),1,0)</f>
        <v>1</v>
      </c>
    </row>
    <row r="1683" spans="2:24" ht="14.4" x14ac:dyDescent="0.3">
      <c r="B1683" s="57">
        <v>1790816821973</v>
      </c>
      <c r="C1683" s="58">
        <v>192</v>
      </c>
      <c r="D1683" s="59" t="s">
        <v>1658</v>
      </c>
      <c r="E1683" s="59" t="s">
        <v>1577</v>
      </c>
      <c r="F1683" s="59" t="s">
        <v>2275</v>
      </c>
      <c r="G1683" s="59" t="s">
        <v>3589</v>
      </c>
      <c r="H1683" s="59" t="s">
        <v>2281</v>
      </c>
      <c r="I1683" s="59" t="b">
        <v>1</v>
      </c>
      <c r="J1683" s="59"/>
      <c r="K1683" s="58">
        <v>1871</v>
      </c>
      <c r="L1683" s="58">
        <v>1342</v>
      </c>
      <c r="M1683" s="59">
        <v>10</v>
      </c>
      <c r="N1683" s="59">
        <v>10</v>
      </c>
      <c r="O1683" s="59" t="s">
        <v>3578</v>
      </c>
      <c r="P1683" s="58">
        <v>186</v>
      </c>
      <c r="Q1683" s="59">
        <v>0</v>
      </c>
      <c r="R1683" s="59">
        <v>0</v>
      </c>
      <c r="S1683" s="60">
        <f>tblJTL[[#This Row],[timeStamp]]/86400000+DATE(1970,1,1)+TIME(9,0,0)</f>
        <v>46296.421550613421</v>
      </c>
      <c r="T1683" s="57">
        <f>tblJTL[[#This Row],[timeStamp]]+tblJTL[[#This Row],[elapsed]]</f>
        <v>1790816822165</v>
      </c>
      <c r="U1683" s="61">
        <f>(tblJTL[[#This Row],[timeStamp]]-'17_分析サンプル'!$E$18)/1000</f>
        <v>421.79300000000001</v>
      </c>
      <c r="V1683" s="57">
        <f>INT(tblJTL[[#This Row],[経過秒]]/60)</f>
        <v>7</v>
      </c>
      <c r="W1683" s="57">
        <f>IF(OR(tblJTL[[#This Row],[success]]=FALSE,tblJTL[[#This Row],[success]]="false"),1,0)</f>
        <v>0</v>
      </c>
      <c r="X1683" s="57">
        <f>IF(AND(tblJTL[[#This Row],[経過秒]]&gt;='17_分析サンプル'!$E$11,tblJTL[[#This Row],[経過秒]]&lt;'17_分析サンプル'!$E$12),1,0)</f>
        <v>1</v>
      </c>
    </row>
    <row r="1684" spans="2:24" ht="14.4" x14ac:dyDescent="0.3">
      <c r="B1684" s="57">
        <v>1790816822069</v>
      </c>
      <c r="C1684" s="58">
        <v>264</v>
      </c>
      <c r="D1684" s="59" t="s">
        <v>1677</v>
      </c>
      <c r="E1684" s="59" t="s">
        <v>3579</v>
      </c>
      <c r="F1684" s="59" t="s">
        <v>3580</v>
      </c>
      <c r="G1684" s="59" t="s">
        <v>3585</v>
      </c>
      <c r="H1684" s="59" t="s">
        <v>2281</v>
      </c>
      <c r="I1684" s="59" t="b">
        <v>1</v>
      </c>
      <c r="J1684" s="59"/>
      <c r="K1684" s="58">
        <v>413</v>
      </c>
      <c r="L1684" s="58">
        <v>1478</v>
      </c>
      <c r="M1684" s="59">
        <v>10</v>
      </c>
      <c r="N1684" s="59">
        <v>10</v>
      </c>
      <c r="O1684" s="59" t="s">
        <v>3581</v>
      </c>
      <c r="P1684" s="58">
        <v>256</v>
      </c>
      <c r="Q1684" s="59">
        <v>0</v>
      </c>
      <c r="R1684" s="59">
        <v>0</v>
      </c>
      <c r="S1684" s="60">
        <f>tblJTL[[#This Row],[timeStamp]]/86400000+DATE(1970,1,1)+TIME(9,0,0)</f>
        <v>46296.421551724532</v>
      </c>
      <c r="T1684" s="57">
        <f>tblJTL[[#This Row],[timeStamp]]+tblJTL[[#This Row],[elapsed]]</f>
        <v>1790816822333</v>
      </c>
      <c r="U1684" s="61">
        <f>(tblJTL[[#This Row],[timeStamp]]-'17_分析サンプル'!$E$18)/1000</f>
        <v>421.88900000000001</v>
      </c>
      <c r="V1684" s="57">
        <f>INT(tblJTL[[#This Row],[経過秒]]/60)</f>
        <v>7</v>
      </c>
      <c r="W1684" s="57">
        <f>IF(OR(tblJTL[[#This Row],[success]]=FALSE,tblJTL[[#This Row],[success]]="false"),1,0)</f>
        <v>0</v>
      </c>
      <c r="X1684" s="57">
        <f>IF(AND(tblJTL[[#This Row],[経過秒]]&gt;='17_分析サンプル'!$E$11,tblJTL[[#This Row],[経過秒]]&lt;'17_分析サンプル'!$E$12),1,0)</f>
        <v>1</v>
      </c>
    </row>
    <row r="1685" spans="2:24" ht="14.4" x14ac:dyDescent="0.3">
      <c r="B1685" s="57">
        <v>1790816821914</v>
      </c>
      <c r="C1685" s="58">
        <v>435</v>
      </c>
      <c r="D1685" s="59" t="s">
        <v>1677</v>
      </c>
      <c r="E1685" s="59" t="s">
        <v>3579</v>
      </c>
      <c r="F1685" s="59" t="s">
        <v>3580</v>
      </c>
      <c r="G1685" s="59" t="s">
        <v>3584</v>
      </c>
      <c r="H1685" s="59" t="s">
        <v>2281</v>
      </c>
      <c r="I1685" s="59" t="b">
        <v>1</v>
      </c>
      <c r="J1685" s="59"/>
      <c r="K1685" s="58">
        <v>412</v>
      </c>
      <c r="L1685" s="58">
        <v>1478</v>
      </c>
      <c r="M1685" s="59">
        <v>10</v>
      </c>
      <c r="N1685" s="59">
        <v>10</v>
      </c>
      <c r="O1685" s="59" t="s">
        <v>3581</v>
      </c>
      <c r="P1685" s="58">
        <v>431</v>
      </c>
      <c r="Q1685" s="59">
        <v>0</v>
      </c>
      <c r="R1685" s="59">
        <v>0</v>
      </c>
      <c r="S1685" s="60">
        <f>tblJTL[[#This Row],[timeStamp]]/86400000+DATE(1970,1,1)+TIME(9,0,0)</f>
        <v>46296.421549930557</v>
      </c>
      <c r="T1685" s="57">
        <f>tblJTL[[#This Row],[timeStamp]]+tblJTL[[#This Row],[elapsed]]</f>
        <v>1790816822349</v>
      </c>
      <c r="U1685" s="61">
        <f>(tblJTL[[#This Row],[timeStamp]]-'17_分析サンプル'!$E$18)/1000</f>
        <v>421.73399999999998</v>
      </c>
      <c r="V1685" s="57">
        <f>INT(tblJTL[[#This Row],[経過秒]]/60)</f>
        <v>7</v>
      </c>
      <c r="W1685" s="57">
        <f>IF(OR(tblJTL[[#This Row],[success]]=FALSE,tblJTL[[#This Row],[success]]="false"),1,0)</f>
        <v>0</v>
      </c>
      <c r="X1685" s="57">
        <f>IF(AND(tblJTL[[#This Row],[経過秒]]&gt;='17_分析サンプル'!$E$11,tblJTL[[#This Row],[経過秒]]&lt;'17_分析サンプル'!$E$12),1,0)</f>
        <v>1</v>
      </c>
    </row>
    <row r="1686" spans="2:24" ht="14.4" x14ac:dyDescent="0.3">
      <c r="B1686" s="57">
        <v>1790816822977</v>
      </c>
      <c r="C1686" s="58">
        <v>100</v>
      </c>
      <c r="D1686" s="59" t="s">
        <v>1658</v>
      </c>
      <c r="E1686" s="59" t="s">
        <v>1577</v>
      </c>
      <c r="F1686" s="59" t="s">
        <v>2275</v>
      </c>
      <c r="G1686" s="59" t="s">
        <v>3587</v>
      </c>
      <c r="H1686" s="59" t="s">
        <v>2281</v>
      </c>
      <c r="I1686" s="59" t="b">
        <v>1</v>
      </c>
      <c r="J1686" s="59"/>
      <c r="K1686" s="58">
        <v>1830</v>
      </c>
      <c r="L1686" s="58">
        <v>1342</v>
      </c>
      <c r="M1686" s="59">
        <v>10</v>
      </c>
      <c r="N1686" s="59">
        <v>10</v>
      </c>
      <c r="O1686" s="59" t="s">
        <v>3578</v>
      </c>
      <c r="P1686" s="58">
        <v>92</v>
      </c>
      <c r="Q1686" s="59">
        <v>0</v>
      </c>
      <c r="R1686" s="59">
        <v>0</v>
      </c>
      <c r="S1686" s="60">
        <f>tblJTL[[#This Row],[timeStamp]]/86400000+DATE(1970,1,1)+TIME(9,0,0)</f>
        <v>46296.421562233794</v>
      </c>
      <c r="T1686" s="57">
        <f>tblJTL[[#This Row],[timeStamp]]+tblJTL[[#This Row],[elapsed]]</f>
        <v>1790816823077</v>
      </c>
      <c r="U1686" s="61">
        <f>(tblJTL[[#This Row],[timeStamp]]-'17_分析サンプル'!$E$18)/1000</f>
        <v>422.79700000000003</v>
      </c>
      <c r="V1686" s="57">
        <f>INT(tblJTL[[#This Row],[経過秒]]/60)</f>
        <v>7</v>
      </c>
      <c r="W1686" s="57">
        <f>IF(OR(tblJTL[[#This Row],[success]]=FALSE,tblJTL[[#This Row],[success]]="false"),1,0)</f>
        <v>0</v>
      </c>
      <c r="X1686" s="57">
        <f>IF(AND(tblJTL[[#This Row],[経過秒]]&gt;='17_分析サンプル'!$E$11,tblJTL[[#This Row],[経過秒]]&lt;'17_分析サンプル'!$E$12),1,0)</f>
        <v>1</v>
      </c>
    </row>
    <row r="1687" spans="2:24" ht="14.4" x14ac:dyDescent="0.3">
      <c r="B1687" s="57">
        <v>1790816822981</v>
      </c>
      <c r="C1687" s="58">
        <v>130</v>
      </c>
      <c r="D1687" s="59" t="s">
        <v>1658</v>
      </c>
      <c r="E1687" s="59" t="s">
        <v>1577</v>
      </c>
      <c r="F1687" s="59" t="s">
        <v>2275</v>
      </c>
      <c r="G1687" s="59" t="s">
        <v>3577</v>
      </c>
      <c r="H1687" s="59" t="s">
        <v>2281</v>
      </c>
      <c r="I1687" s="59" t="b">
        <v>1</v>
      </c>
      <c r="J1687" s="59"/>
      <c r="K1687" s="58">
        <v>1848</v>
      </c>
      <c r="L1687" s="58">
        <v>1342</v>
      </c>
      <c r="M1687" s="59">
        <v>10</v>
      </c>
      <c r="N1687" s="59">
        <v>10</v>
      </c>
      <c r="O1687" s="59" t="s">
        <v>3578</v>
      </c>
      <c r="P1687" s="58">
        <v>127</v>
      </c>
      <c r="Q1687" s="59">
        <v>0</v>
      </c>
      <c r="R1687" s="59">
        <v>0</v>
      </c>
      <c r="S1687" s="60">
        <f>tblJTL[[#This Row],[timeStamp]]/86400000+DATE(1970,1,1)+TIME(9,0,0)</f>
        <v>46296.421562280091</v>
      </c>
      <c r="T1687" s="57">
        <f>tblJTL[[#This Row],[timeStamp]]+tblJTL[[#This Row],[elapsed]]</f>
        <v>1790816823111</v>
      </c>
      <c r="U1687" s="61">
        <f>(tblJTL[[#This Row],[timeStamp]]-'17_分析サンプル'!$E$18)/1000</f>
        <v>422.80099999999999</v>
      </c>
      <c r="V1687" s="57">
        <f>INT(tblJTL[[#This Row],[経過秒]]/60)</f>
        <v>7</v>
      </c>
      <c r="W1687" s="57">
        <f>IF(OR(tblJTL[[#This Row],[success]]=FALSE,tblJTL[[#This Row],[success]]="false"),1,0)</f>
        <v>0</v>
      </c>
      <c r="X1687" s="57">
        <f>IF(AND(tblJTL[[#This Row],[経過秒]]&gt;='17_分析サンプル'!$E$11,tblJTL[[#This Row],[経過秒]]&lt;'17_分析サンプル'!$E$12),1,0)</f>
        <v>1</v>
      </c>
    </row>
    <row r="1688" spans="2:24" ht="14.4" x14ac:dyDescent="0.3">
      <c r="B1688" s="57">
        <v>1790816822974</v>
      </c>
      <c r="C1688" s="58">
        <v>202</v>
      </c>
      <c r="D1688" s="59" t="s">
        <v>1677</v>
      </c>
      <c r="E1688" s="59" t="s">
        <v>3579</v>
      </c>
      <c r="F1688" s="59" t="s">
        <v>3580</v>
      </c>
      <c r="G1688" s="59" t="s">
        <v>3586</v>
      </c>
      <c r="H1688" s="59" t="s">
        <v>2281</v>
      </c>
      <c r="I1688" s="59" t="b">
        <v>1</v>
      </c>
      <c r="J1688" s="59"/>
      <c r="K1688" s="58">
        <v>423</v>
      </c>
      <c r="L1688" s="58">
        <v>1478</v>
      </c>
      <c r="M1688" s="59">
        <v>10</v>
      </c>
      <c r="N1688" s="59">
        <v>10</v>
      </c>
      <c r="O1688" s="59" t="s">
        <v>3581</v>
      </c>
      <c r="P1688" s="58">
        <v>200</v>
      </c>
      <c r="Q1688" s="59">
        <v>0</v>
      </c>
      <c r="R1688" s="59">
        <v>0</v>
      </c>
      <c r="S1688" s="60">
        <f>tblJTL[[#This Row],[timeStamp]]/86400000+DATE(1970,1,1)+TIME(9,0,0)</f>
        <v>46296.421562199073</v>
      </c>
      <c r="T1688" s="57">
        <f>tblJTL[[#This Row],[timeStamp]]+tblJTL[[#This Row],[elapsed]]</f>
        <v>1790816823176</v>
      </c>
      <c r="U1688" s="61">
        <f>(tblJTL[[#This Row],[timeStamp]]-'17_分析サンプル'!$E$18)/1000</f>
        <v>422.79399999999998</v>
      </c>
      <c r="V1688" s="57">
        <f>INT(tblJTL[[#This Row],[経過秒]]/60)</f>
        <v>7</v>
      </c>
      <c r="W1688" s="57">
        <f>IF(OR(tblJTL[[#This Row],[success]]=FALSE,tblJTL[[#This Row],[success]]="false"),1,0)</f>
        <v>0</v>
      </c>
      <c r="X1688" s="57">
        <f>IF(AND(tblJTL[[#This Row],[経過秒]]&gt;='17_分析サンプル'!$E$11,tblJTL[[#This Row],[経過秒]]&lt;'17_分析サンプル'!$E$12),1,0)</f>
        <v>1</v>
      </c>
    </row>
    <row r="1689" spans="2:24" ht="14.4" x14ac:dyDescent="0.3">
      <c r="B1689" s="57">
        <v>1790816823029</v>
      </c>
      <c r="C1689" s="58">
        <v>297</v>
      </c>
      <c r="D1689" s="59" t="s">
        <v>1677</v>
      </c>
      <c r="E1689" s="59" t="s">
        <v>3579</v>
      </c>
      <c r="F1689" s="59" t="s">
        <v>3580</v>
      </c>
      <c r="G1689" s="59" t="s">
        <v>3583</v>
      </c>
      <c r="H1689" s="59" t="s">
        <v>2281</v>
      </c>
      <c r="I1689" s="59" t="b">
        <v>1</v>
      </c>
      <c r="J1689" s="59"/>
      <c r="K1689" s="58">
        <v>417</v>
      </c>
      <c r="L1689" s="58">
        <v>1478</v>
      </c>
      <c r="M1689" s="59">
        <v>10</v>
      </c>
      <c r="N1689" s="59">
        <v>10</v>
      </c>
      <c r="O1689" s="59" t="s">
        <v>3581</v>
      </c>
      <c r="P1689" s="58">
        <v>293</v>
      </c>
      <c r="Q1689" s="59">
        <v>0</v>
      </c>
      <c r="R1689" s="59">
        <v>0</v>
      </c>
      <c r="S1689" s="60">
        <f>tblJTL[[#This Row],[timeStamp]]/86400000+DATE(1970,1,1)+TIME(9,0,0)</f>
        <v>46296.421562835647</v>
      </c>
      <c r="T1689" s="57">
        <f>tblJTL[[#This Row],[timeStamp]]+tblJTL[[#This Row],[elapsed]]</f>
        <v>1790816823326</v>
      </c>
      <c r="U1689" s="61">
        <f>(tblJTL[[#This Row],[timeStamp]]-'17_分析サンプル'!$E$18)/1000</f>
        <v>422.84899999999999</v>
      </c>
      <c r="V1689" s="57">
        <f>INT(tblJTL[[#This Row],[経過秒]]/60)</f>
        <v>7</v>
      </c>
      <c r="W1689" s="57">
        <f>IF(OR(tblJTL[[#This Row],[success]]=FALSE,tblJTL[[#This Row],[success]]="false"),1,0)</f>
        <v>0</v>
      </c>
      <c r="X1689" s="57">
        <f>IF(AND(tblJTL[[#This Row],[経過秒]]&gt;='17_分析サンプル'!$E$11,tblJTL[[#This Row],[経過秒]]&lt;'17_分析サンプル'!$E$12),1,0)</f>
        <v>1</v>
      </c>
    </row>
    <row r="1690" spans="2:24" ht="14.4" x14ac:dyDescent="0.3">
      <c r="B1690" s="57">
        <v>1790816823246</v>
      </c>
      <c r="C1690" s="58">
        <v>148</v>
      </c>
      <c r="D1690" s="59" t="s">
        <v>1658</v>
      </c>
      <c r="E1690" s="59" t="s">
        <v>1577</v>
      </c>
      <c r="F1690" s="59" t="s">
        <v>2275</v>
      </c>
      <c r="G1690" s="59" t="s">
        <v>2278</v>
      </c>
      <c r="H1690" s="59" t="s">
        <v>2281</v>
      </c>
      <c r="I1690" s="59" t="b">
        <v>1</v>
      </c>
      <c r="J1690" s="59"/>
      <c r="K1690" s="58">
        <v>1835</v>
      </c>
      <c r="L1690" s="58">
        <v>1342</v>
      </c>
      <c r="M1690" s="59">
        <v>10</v>
      </c>
      <c r="N1690" s="59">
        <v>10</v>
      </c>
      <c r="O1690" s="59" t="s">
        <v>3578</v>
      </c>
      <c r="P1690" s="58">
        <v>143</v>
      </c>
      <c r="Q1690" s="59">
        <v>0</v>
      </c>
      <c r="R1690" s="59">
        <v>0</v>
      </c>
      <c r="S1690" s="60">
        <f>tblJTL[[#This Row],[timeStamp]]/86400000+DATE(1970,1,1)+TIME(9,0,0)</f>
        <v>46296.42156534722</v>
      </c>
      <c r="T1690" s="57">
        <f>tblJTL[[#This Row],[timeStamp]]+tblJTL[[#This Row],[elapsed]]</f>
        <v>1790816823394</v>
      </c>
      <c r="U1690" s="61">
        <f>(tblJTL[[#This Row],[timeStamp]]-'17_分析サンプル'!$E$18)/1000</f>
        <v>423.06599999999997</v>
      </c>
      <c r="V1690" s="57">
        <f>INT(tblJTL[[#This Row],[経過秒]]/60)</f>
        <v>7</v>
      </c>
      <c r="W1690" s="57">
        <f>IF(OR(tblJTL[[#This Row],[success]]=FALSE,tblJTL[[#This Row],[success]]="false"),1,0)</f>
        <v>0</v>
      </c>
      <c r="X1690" s="57">
        <f>IF(AND(tblJTL[[#This Row],[経過秒]]&gt;='17_分析サンプル'!$E$11,tblJTL[[#This Row],[経過秒]]&lt;'17_分析サンプル'!$E$12),1,0)</f>
        <v>1</v>
      </c>
    </row>
    <row r="1691" spans="2:24" ht="14.4" x14ac:dyDescent="0.3">
      <c r="B1691" s="57">
        <v>1790816824259</v>
      </c>
      <c r="C1691" s="58">
        <v>116</v>
      </c>
      <c r="D1691" s="59" t="s">
        <v>1658</v>
      </c>
      <c r="E1691" s="59" t="s">
        <v>1577</v>
      </c>
      <c r="F1691" s="59" t="s">
        <v>2275</v>
      </c>
      <c r="G1691" s="59" t="s">
        <v>3582</v>
      </c>
      <c r="H1691" s="59" t="s">
        <v>2281</v>
      </c>
      <c r="I1691" s="59" t="b">
        <v>1</v>
      </c>
      <c r="J1691" s="59"/>
      <c r="K1691" s="58">
        <v>1826</v>
      </c>
      <c r="L1691" s="58">
        <v>1342</v>
      </c>
      <c r="M1691" s="59">
        <v>10</v>
      </c>
      <c r="N1691" s="59">
        <v>10</v>
      </c>
      <c r="O1691" s="59" t="s">
        <v>3578</v>
      </c>
      <c r="P1691" s="58">
        <v>110</v>
      </c>
      <c r="Q1691" s="59">
        <v>0</v>
      </c>
      <c r="R1691" s="59">
        <v>0</v>
      </c>
      <c r="S1691" s="60">
        <f>tblJTL[[#This Row],[timeStamp]]/86400000+DATE(1970,1,1)+TIME(9,0,0)</f>
        <v>46296.421577071756</v>
      </c>
      <c r="T1691" s="57">
        <f>tblJTL[[#This Row],[timeStamp]]+tblJTL[[#This Row],[elapsed]]</f>
        <v>1790816824375</v>
      </c>
      <c r="U1691" s="61">
        <f>(tblJTL[[#This Row],[timeStamp]]-'17_分析サンプル'!$E$18)/1000</f>
        <v>424.07900000000001</v>
      </c>
      <c r="V1691" s="57">
        <f>INT(tblJTL[[#This Row],[経過秒]]/60)</f>
        <v>7</v>
      </c>
      <c r="W1691" s="57">
        <f>IF(OR(tblJTL[[#This Row],[success]]=FALSE,tblJTL[[#This Row],[success]]="false"),1,0)</f>
        <v>0</v>
      </c>
      <c r="X1691" s="57">
        <f>IF(AND(tblJTL[[#This Row],[経過秒]]&gt;='17_分析サンプル'!$E$11,tblJTL[[#This Row],[経過秒]]&lt;'17_分析サンプル'!$E$12),1,0)</f>
        <v>1</v>
      </c>
    </row>
    <row r="1692" spans="2:24" ht="14.4" x14ac:dyDescent="0.3">
      <c r="B1692" s="57">
        <v>1790816824287</v>
      </c>
      <c r="C1692" s="58">
        <v>95</v>
      </c>
      <c r="D1692" s="59" t="s">
        <v>1658</v>
      </c>
      <c r="E1692" s="59" t="s">
        <v>1577</v>
      </c>
      <c r="F1692" s="59" t="s">
        <v>2275</v>
      </c>
      <c r="G1692" s="59" t="s">
        <v>3584</v>
      </c>
      <c r="H1692" s="59" t="s">
        <v>2281</v>
      </c>
      <c r="I1692" s="59" t="b">
        <v>1</v>
      </c>
      <c r="J1692" s="59"/>
      <c r="K1692" s="58">
        <v>1877</v>
      </c>
      <c r="L1692" s="58">
        <v>1342</v>
      </c>
      <c r="M1692" s="59">
        <v>10</v>
      </c>
      <c r="N1692" s="59">
        <v>10</v>
      </c>
      <c r="O1692" s="59" t="s">
        <v>3578</v>
      </c>
      <c r="P1692" s="58">
        <v>91</v>
      </c>
      <c r="Q1692" s="59">
        <v>0</v>
      </c>
      <c r="R1692" s="59">
        <v>0</v>
      </c>
      <c r="S1692" s="60">
        <f>tblJTL[[#This Row],[timeStamp]]/86400000+DATE(1970,1,1)+TIME(9,0,0)</f>
        <v>46296.421577395835</v>
      </c>
      <c r="T1692" s="57">
        <f>tblJTL[[#This Row],[timeStamp]]+tblJTL[[#This Row],[elapsed]]</f>
        <v>1790816824382</v>
      </c>
      <c r="U1692" s="61">
        <f>(tblJTL[[#This Row],[timeStamp]]-'17_分析サンプル'!$E$18)/1000</f>
        <v>424.10700000000003</v>
      </c>
      <c r="V1692" s="57">
        <f>INT(tblJTL[[#This Row],[経過秒]]/60)</f>
        <v>7</v>
      </c>
      <c r="W1692" s="57">
        <f>IF(OR(tblJTL[[#This Row],[success]]=FALSE,tblJTL[[#This Row],[success]]="false"),1,0)</f>
        <v>0</v>
      </c>
      <c r="X1692" s="57">
        <f>IF(AND(tblJTL[[#This Row],[経過秒]]&gt;='17_分析サンプル'!$E$11,tblJTL[[#This Row],[経過秒]]&lt;'17_分析サンプル'!$E$12),1,0)</f>
        <v>1</v>
      </c>
    </row>
    <row r="1693" spans="2:24" ht="14.4" x14ac:dyDescent="0.3">
      <c r="B1693" s="57">
        <v>1790816824261</v>
      </c>
      <c r="C1693" s="58">
        <v>282</v>
      </c>
      <c r="D1693" s="59" t="s">
        <v>1677</v>
      </c>
      <c r="E1693" s="59" t="s">
        <v>3579</v>
      </c>
      <c r="F1693" s="59" t="s">
        <v>3580</v>
      </c>
      <c r="G1693" s="59" t="s">
        <v>3589</v>
      </c>
      <c r="H1693" s="59" t="s">
        <v>2281</v>
      </c>
      <c r="I1693" s="59" t="b">
        <v>1</v>
      </c>
      <c r="J1693" s="59"/>
      <c r="K1693" s="58">
        <v>428</v>
      </c>
      <c r="L1693" s="58">
        <v>1478</v>
      </c>
      <c r="M1693" s="59">
        <v>10</v>
      </c>
      <c r="N1693" s="59">
        <v>10</v>
      </c>
      <c r="O1693" s="59" t="s">
        <v>3581</v>
      </c>
      <c r="P1693" s="58">
        <v>277</v>
      </c>
      <c r="Q1693" s="59">
        <v>0</v>
      </c>
      <c r="R1693" s="59">
        <v>51</v>
      </c>
      <c r="S1693" s="60">
        <f>tblJTL[[#This Row],[timeStamp]]/86400000+DATE(1970,1,1)+TIME(9,0,0)</f>
        <v>46296.421577094909</v>
      </c>
      <c r="T1693" s="57">
        <f>tblJTL[[#This Row],[timeStamp]]+tblJTL[[#This Row],[elapsed]]</f>
        <v>1790816824543</v>
      </c>
      <c r="U1693" s="61">
        <f>(tblJTL[[#This Row],[timeStamp]]-'17_分析サンプル'!$E$18)/1000</f>
        <v>424.08100000000002</v>
      </c>
      <c r="V1693" s="57">
        <f>INT(tblJTL[[#This Row],[経過秒]]/60)</f>
        <v>7</v>
      </c>
      <c r="W1693" s="57">
        <f>IF(OR(tblJTL[[#This Row],[success]]=FALSE,tblJTL[[#This Row],[success]]="false"),1,0)</f>
        <v>0</v>
      </c>
      <c r="X1693" s="57">
        <f>IF(AND(tblJTL[[#This Row],[経過秒]]&gt;='17_分析サンプル'!$E$11,tblJTL[[#This Row],[経過秒]]&lt;'17_分析サンプル'!$E$12),1,0)</f>
        <v>1</v>
      </c>
    </row>
    <row r="1694" spans="2:24" ht="14.4" x14ac:dyDescent="0.3">
      <c r="B1694" s="57">
        <v>1790816824722</v>
      </c>
      <c r="C1694" s="58">
        <v>92</v>
      </c>
      <c r="D1694" s="59" t="s">
        <v>1658</v>
      </c>
      <c r="E1694" s="59" t="s">
        <v>1577</v>
      </c>
      <c r="F1694" s="59" t="s">
        <v>2275</v>
      </c>
      <c r="G1694" s="59" t="s">
        <v>3588</v>
      </c>
      <c r="H1694" s="59" t="s">
        <v>2281</v>
      </c>
      <c r="I1694" s="59" t="b">
        <v>1</v>
      </c>
      <c r="J1694" s="59"/>
      <c r="K1694" s="58">
        <v>1826</v>
      </c>
      <c r="L1694" s="58">
        <v>1342</v>
      </c>
      <c r="M1694" s="59">
        <v>10</v>
      </c>
      <c r="N1694" s="59">
        <v>10</v>
      </c>
      <c r="O1694" s="59" t="s">
        <v>3578</v>
      </c>
      <c r="P1694" s="58">
        <v>87</v>
      </c>
      <c r="Q1694" s="59">
        <v>0</v>
      </c>
      <c r="R1694" s="59">
        <v>0</v>
      </c>
      <c r="S1694" s="60">
        <f>tblJTL[[#This Row],[timeStamp]]/86400000+DATE(1970,1,1)+TIME(9,0,0)</f>
        <v>46296.421582430557</v>
      </c>
      <c r="T1694" s="57">
        <f>tblJTL[[#This Row],[timeStamp]]+tblJTL[[#This Row],[elapsed]]</f>
        <v>1790816824814</v>
      </c>
      <c r="U1694" s="61">
        <f>(tblJTL[[#This Row],[timeStamp]]-'17_分析サンプル'!$E$18)/1000</f>
        <v>424.54199999999997</v>
      </c>
      <c r="V1694" s="57">
        <f>INT(tblJTL[[#This Row],[経過秒]]/60)</f>
        <v>7</v>
      </c>
      <c r="W1694" s="57">
        <f>IF(OR(tblJTL[[#This Row],[success]]=FALSE,tblJTL[[#This Row],[success]]="false"),1,0)</f>
        <v>0</v>
      </c>
      <c r="X1694" s="57">
        <f>IF(AND(tblJTL[[#This Row],[経過秒]]&gt;='17_分析サンプル'!$E$11,tblJTL[[#This Row],[経過秒]]&lt;'17_分析サンプル'!$E$12),1,0)</f>
        <v>1</v>
      </c>
    </row>
    <row r="1695" spans="2:24" ht="14.4" x14ac:dyDescent="0.3">
      <c r="B1695" s="57">
        <v>1790816824765</v>
      </c>
      <c r="C1695" s="58">
        <v>312</v>
      </c>
      <c r="D1695" s="59" t="s">
        <v>1677</v>
      </c>
      <c r="E1695" s="59" t="s">
        <v>3579</v>
      </c>
      <c r="F1695" s="59" t="s">
        <v>3580</v>
      </c>
      <c r="G1695" s="59" t="s">
        <v>3577</v>
      </c>
      <c r="H1695" s="59" t="s">
        <v>2281</v>
      </c>
      <c r="I1695" s="59" t="b">
        <v>1</v>
      </c>
      <c r="J1695" s="59"/>
      <c r="K1695" s="58">
        <v>417</v>
      </c>
      <c r="L1695" s="58">
        <v>1478</v>
      </c>
      <c r="M1695" s="59">
        <v>10</v>
      </c>
      <c r="N1695" s="59">
        <v>10</v>
      </c>
      <c r="O1695" s="59" t="s">
        <v>3581</v>
      </c>
      <c r="P1695" s="58">
        <v>306</v>
      </c>
      <c r="Q1695" s="59">
        <v>0</v>
      </c>
      <c r="R1695" s="59">
        <v>0</v>
      </c>
      <c r="S1695" s="60">
        <f>tblJTL[[#This Row],[timeStamp]]/86400000+DATE(1970,1,1)+TIME(9,0,0)</f>
        <v>46296.42158292824</v>
      </c>
      <c r="T1695" s="57">
        <f>tblJTL[[#This Row],[timeStamp]]+tblJTL[[#This Row],[elapsed]]</f>
        <v>1790816825077</v>
      </c>
      <c r="U1695" s="61">
        <f>(tblJTL[[#This Row],[timeStamp]]-'17_分析サンプル'!$E$18)/1000</f>
        <v>424.58499999999998</v>
      </c>
      <c r="V1695" s="57">
        <f>INT(tblJTL[[#This Row],[経過秒]]/60)</f>
        <v>7</v>
      </c>
      <c r="W1695" s="57">
        <f>IF(OR(tblJTL[[#This Row],[success]]=FALSE,tblJTL[[#This Row],[success]]="false"),1,0)</f>
        <v>0</v>
      </c>
      <c r="X1695" s="57">
        <f>IF(AND(tblJTL[[#This Row],[経過秒]]&gt;='17_分析サンプル'!$E$11,tblJTL[[#This Row],[経過秒]]&lt;'17_分析サンプル'!$E$12),1,0)</f>
        <v>1</v>
      </c>
    </row>
    <row r="1696" spans="2:24" ht="14.4" x14ac:dyDescent="0.3">
      <c r="B1696" s="57">
        <v>1790816825151</v>
      </c>
      <c r="C1696" s="58">
        <v>209</v>
      </c>
      <c r="D1696" s="59" t="s">
        <v>1677</v>
      </c>
      <c r="E1696" s="59" t="s">
        <v>3579</v>
      </c>
      <c r="F1696" s="59" t="s">
        <v>3580</v>
      </c>
      <c r="G1696" s="59" t="s">
        <v>3587</v>
      </c>
      <c r="H1696" s="59" t="s">
        <v>2281</v>
      </c>
      <c r="I1696" s="59" t="b">
        <v>1</v>
      </c>
      <c r="J1696" s="59"/>
      <c r="K1696" s="58">
        <v>425</v>
      </c>
      <c r="L1696" s="58">
        <v>1478</v>
      </c>
      <c r="M1696" s="59">
        <v>10</v>
      </c>
      <c r="N1696" s="59">
        <v>10</v>
      </c>
      <c r="O1696" s="59" t="s">
        <v>3581</v>
      </c>
      <c r="P1696" s="58">
        <v>205</v>
      </c>
      <c r="Q1696" s="59">
        <v>0</v>
      </c>
      <c r="R1696" s="59">
        <v>0</v>
      </c>
      <c r="S1696" s="60">
        <f>tblJTL[[#This Row],[timeStamp]]/86400000+DATE(1970,1,1)+TIME(9,0,0)</f>
        <v>46296.421587395831</v>
      </c>
      <c r="T1696" s="57">
        <f>tblJTL[[#This Row],[timeStamp]]+tblJTL[[#This Row],[elapsed]]</f>
        <v>1790816825360</v>
      </c>
      <c r="U1696" s="61">
        <f>(tblJTL[[#This Row],[timeStamp]]-'17_分析サンプル'!$E$18)/1000</f>
        <v>424.971</v>
      </c>
      <c r="V1696" s="57">
        <f>INT(tblJTL[[#This Row],[経過秒]]/60)</f>
        <v>7</v>
      </c>
      <c r="W1696" s="57">
        <f>IF(OR(tblJTL[[#This Row],[success]]=FALSE,tblJTL[[#This Row],[success]]="false"),1,0)</f>
        <v>0</v>
      </c>
      <c r="X1696" s="57">
        <f>IF(AND(tblJTL[[#This Row],[経過秒]]&gt;='17_分析サンプル'!$E$11,tblJTL[[#This Row],[経過秒]]&lt;'17_分析サンプル'!$E$12),1,0)</f>
        <v>1</v>
      </c>
    </row>
    <row r="1697" spans="2:24" ht="14.4" x14ac:dyDescent="0.3">
      <c r="B1697" s="57">
        <v>1790816825295</v>
      </c>
      <c r="C1697" s="58">
        <v>124</v>
      </c>
      <c r="D1697" s="59" t="s">
        <v>1658</v>
      </c>
      <c r="E1697" s="59" t="s">
        <v>1577</v>
      </c>
      <c r="F1697" s="59" t="s">
        <v>2275</v>
      </c>
      <c r="G1697" s="59" t="s">
        <v>3585</v>
      </c>
      <c r="H1697" s="59" t="s">
        <v>2281</v>
      </c>
      <c r="I1697" s="59" t="b">
        <v>1</v>
      </c>
      <c r="J1697" s="59"/>
      <c r="K1697" s="58">
        <v>1824</v>
      </c>
      <c r="L1697" s="58">
        <v>1342</v>
      </c>
      <c r="M1697" s="59">
        <v>10</v>
      </c>
      <c r="N1697" s="59">
        <v>10</v>
      </c>
      <c r="O1697" s="59" t="s">
        <v>3578</v>
      </c>
      <c r="P1697" s="58">
        <v>116</v>
      </c>
      <c r="Q1697" s="59">
        <v>0</v>
      </c>
      <c r="R1697" s="59">
        <v>0</v>
      </c>
      <c r="S1697" s="60">
        <f>tblJTL[[#This Row],[timeStamp]]/86400000+DATE(1970,1,1)+TIME(9,0,0)</f>
        <v>46296.421589062498</v>
      </c>
      <c r="T1697" s="57">
        <f>tblJTL[[#This Row],[timeStamp]]+tblJTL[[#This Row],[elapsed]]</f>
        <v>1790816825419</v>
      </c>
      <c r="U1697" s="61">
        <f>(tblJTL[[#This Row],[timeStamp]]-'17_分析サンプル'!$E$18)/1000</f>
        <v>425.11500000000001</v>
      </c>
      <c r="V1697" s="57">
        <f>INT(tblJTL[[#This Row],[経過秒]]/60)</f>
        <v>7</v>
      </c>
      <c r="W1697" s="57">
        <f>IF(OR(tblJTL[[#This Row],[success]]=FALSE,tblJTL[[#This Row],[success]]="false"),1,0)</f>
        <v>0</v>
      </c>
      <c r="X1697" s="57">
        <f>IF(AND(tblJTL[[#This Row],[経過秒]]&gt;='17_分析サンプル'!$E$11,tblJTL[[#This Row],[経過秒]]&lt;'17_分析サンプル'!$E$12),1,0)</f>
        <v>1</v>
      </c>
    </row>
    <row r="1698" spans="2:24" ht="14.4" x14ac:dyDescent="0.3">
      <c r="B1698" s="57">
        <v>1790816825620</v>
      </c>
      <c r="C1698" s="58">
        <v>121</v>
      </c>
      <c r="D1698" s="59" t="s">
        <v>1658</v>
      </c>
      <c r="E1698" s="59" t="s">
        <v>1577</v>
      </c>
      <c r="F1698" s="59" t="s">
        <v>2275</v>
      </c>
      <c r="G1698" s="59" t="s">
        <v>3583</v>
      </c>
      <c r="H1698" s="59" t="s">
        <v>2281</v>
      </c>
      <c r="I1698" s="59" t="b">
        <v>1</v>
      </c>
      <c r="J1698" s="59"/>
      <c r="K1698" s="58">
        <v>1869</v>
      </c>
      <c r="L1698" s="58">
        <v>1342</v>
      </c>
      <c r="M1698" s="59">
        <v>10</v>
      </c>
      <c r="N1698" s="59">
        <v>10</v>
      </c>
      <c r="O1698" s="59" t="s">
        <v>3578</v>
      </c>
      <c r="P1698" s="58">
        <v>119</v>
      </c>
      <c r="Q1698" s="59">
        <v>0</v>
      </c>
      <c r="R1698" s="59">
        <v>0</v>
      </c>
      <c r="S1698" s="60">
        <f>tblJTL[[#This Row],[timeStamp]]/86400000+DATE(1970,1,1)+TIME(9,0,0)</f>
        <v>46296.421592824074</v>
      </c>
      <c r="T1698" s="57">
        <f>tblJTL[[#This Row],[timeStamp]]+tblJTL[[#This Row],[elapsed]]</f>
        <v>1790816825741</v>
      </c>
      <c r="U1698" s="61">
        <f>(tblJTL[[#This Row],[timeStamp]]-'17_分析サンプル'!$E$18)/1000</f>
        <v>425.44</v>
      </c>
      <c r="V1698" s="57">
        <f>INT(tblJTL[[#This Row],[経過秒]]/60)</f>
        <v>7</v>
      </c>
      <c r="W1698" s="57">
        <f>IF(OR(tblJTL[[#This Row],[success]]=FALSE,tblJTL[[#This Row],[success]]="false"),1,0)</f>
        <v>0</v>
      </c>
      <c r="X1698" s="57">
        <f>IF(AND(tblJTL[[#This Row],[経過秒]]&gt;='17_分析サンプル'!$E$11,tblJTL[[#This Row],[経過秒]]&lt;'17_分析サンプル'!$E$12),1,0)</f>
        <v>1</v>
      </c>
    </row>
    <row r="1699" spans="2:24" ht="14.4" x14ac:dyDescent="0.3">
      <c r="B1699" s="57">
        <v>1790816825787</v>
      </c>
      <c r="C1699" s="58">
        <v>136</v>
      </c>
      <c r="D1699" s="59" t="s">
        <v>1658</v>
      </c>
      <c r="E1699" s="59" t="s">
        <v>1577</v>
      </c>
      <c r="F1699" s="59" t="s">
        <v>2275</v>
      </c>
      <c r="G1699" s="59" t="s">
        <v>3589</v>
      </c>
      <c r="H1699" s="59" t="s">
        <v>2281</v>
      </c>
      <c r="I1699" s="59" t="b">
        <v>1</v>
      </c>
      <c r="J1699" s="59"/>
      <c r="K1699" s="58">
        <v>1860</v>
      </c>
      <c r="L1699" s="58">
        <v>1342</v>
      </c>
      <c r="M1699" s="59">
        <v>10</v>
      </c>
      <c r="N1699" s="59">
        <v>10</v>
      </c>
      <c r="O1699" s="59" t="s">
        <v>3578</v>
      </c>
      <c r="P1699" s="58">
        <v>128</v>
      </c>
      <c r="Q1699" s="59">
        <v>0</v>
      </c>
      <c r="R1699" s="59">
        <v>0</v>
      </c>
      <c r="S1699" s="60">
        <f>tblJTL[[#This Row],[timeStamp]]/86400000+DATE(1970,1,1)+TIME(9,0,0)</f>
        <v>46296.421594756946</v>
      </c>
      <c r="T1699" s="57">
        <f>tblJTL[[#This Row],[timeStamp]]+tblJTL[[#This Row],[elapsed]]</f>
        <v>1790816825923</v>
      </c>
      <c r="U1699" s="61">
        <f>(tblJTL[[#This Row],[timeStamp]]-'17_分析サンプル'!$E$18)/1000</f>
        <v>425.60700000000003</v>
      </c>
      <c r="V1699" s="57">
        <f>INT(tblJTL[[#This Row],[経過秒]]/60)</f>
        <v>7</v>
      </c>
      <c r="W1699" s="57">
        <f>IF(OR(tblJTL[[#This Row],[success]]=FALSE,tblJTL[[#This Row],[success]]="false"),1,0)</f>
        <v>0</v>
      </c>
      <c r="X1699" s="57">
        <f>IF(AND(tblJTL[[#This Row],[経過秒]]&gt;='17_分析サンプル'!$E$11,tblJTL[[#This Row],[経過秒]]&lt;'17_分析サンプル'!$E$12),1,0)</f>
        <v>1</v>
      </c>
    </row>
    <row r="1700" spans="2:24" ht="14.4" x14ac:dyDescent="0.3">
      <c r="B1700" s="57">
        <v>1790816826114</v>
      </c>
      <c r="C1700" s="58">
        <v>170</v>
      </c>
      <c r="D1700" s="59" t="s">
        <v>1658</v>
      </c>
      <c r="E1700" s="59" t="s">
        <v>1577</v>
      </c>
      <c r="F1700" s="59" t="s">
        <v>2275</v>
      </c>
      <c r="G1700" s="59" t="s">
        <v>3586</v>
      </c>
      <c r="H1700" s="59" t="s">
        <v>2281</v>
      </c>
      <c r="I1700" s="59" t="b">
        <v>1</v>
      </c>
      <c r="J1700" s="59"/>
      <c r="K1700" s="58">
        <v>1845</v>
      </c>
      <c r="L1700" s="58">
        <v>1342</v>
      </c>
      <c r="M1700" s="59">
        <v>10</v>
      </c>
      <c r="N1700" s="59">
        <v>10</v>
      </c>
      <c r="O1700" s="59" t="s">
        <v>3578</v>
      </c>
      <c r="P1700" s="58">
        <v>167</v>
      </c>
      <c r="Q1700" s="59">
        <v>0</v>
      </c>
      <c r="R1700" s="59">
        <v>0</v>
      </c>
      <c r="S1700" s="60">
        <f>tblJTL[[#This Row],[timeStamp]]/86400000+DATE(1970,1,1)+TIME(9,0,0)</f>
        <v>46296.421598541667</v>
      </c>
      <c r="T1700" s="57">
        <f>tblJTL[[#This Row],[timeStamp]]+tblJTL[[#This Row],[elapsed]]</f>
        <v>1790816826284</v>
      </c>
      <c r="U1700" s="61">
        <f>(tblJTL[[#This Row],[timeStamp]]-'17_分析サンプル'!$E$18)/1000</f>
        <v>425.93400000000003</v>
      </c>
      <c r="V1700" s="57">
        <f>INT(tblJTL[[#This Row],[経過秒]]/60)</f>
        <v>7</v>
      </c>
      <c r="W1700" s="57">
        <f>IF(OR(tblJTL[[#This Row],[success]]=FALSE,tblJTL[[#This Row],[success]]="false"),1,0)</f>
        <v>0</v>
      </c>
      <c r="X1700" s="57">
        <f>IF(AND(tblJTL[[#This Row],[経過秒]]&gt;='17_分析サンプル'!$E$11,tblJTL[[#This Row],[経過秒]]&lt;'17_分析サンプル'!$E$12),1,0)</f>
        <v>1</v>
      </c>
    </row>
    <row r="1701" spans="2:24" ht="14.4" x14ac:dyDescent="0.3">
      <c r="B1701" s="57">
        <v>1790816826232</v>
      </c>
      <c r="C1701" s="58">
        <v>225</v>
      </c>
      <c r="D1701" s="59" t="s">
        <v>1677</v>
      </c>
      <c r="E1701" s="59" t="s">
        <v>3579</v>
      </c>
      <c r="F1701" s="59" t="s">
        <v>3580</v>
      </c>
      <c r="G1701" s="59" t="s">
        <v>2278</v>
      </c>
      <c r="H1701" s="59" t="s">
        <v>2281</v>
      </c>
      <c r="I1701" s="59" t="b">
        <v>1</v>
      </c>
      <c r="J1701" s="59"/>
      <c r="K1701" s="58">
        <v>432</v>
      </c>
      <c r="L1701" s="58">
        <v>1478</v>
      </c>
      <c r="M1701" s="59">
        <v>10</v>
      </c>
      <c r="N1701" s="59">
        <v>10</v>
      </c>
      <c r="O1701" s="59" t="s">
        <v>3581</v>
      </c>
      <c r="P1701" s="58">
        <v>222</v>
      </c>
      <c r="Q1701" s="59">
        <v>0</v>
      </c>
      <c r="R1701" s="59">
        <v>0</v>
      </c>
      <c r="S1701" s="60">
        <f>tblJTL[[#This Row],[timeStamp]]/86400000+DATE(1970,1,1)+TIME(9,0,0)</f>
        <v>46296.421599907408</v>
      </c>
      <c r="T1701" s="57">
        <f>tblJTL[[#This Row],[timeStamp]]+tblJTL[[#This Row],[elapsed]]</f>
        <v>1790816826457</v>
      </c>
      <c r="U1701" s="61">
        <f>(tblJTL[[#This Row],[timeStamp]]-'17_分析サンプル'!$E$18)/1000</f>
        <v>426.05200000000002</v>
      </c>
      <c r="V1701" s="57">
        <f>INT(tblJTL[[#This Row],[経過秒]]/60)</f>
        <v>7</v>
      </c>
      <c r="W1701" s="57">
        <f>IF(OR(tblJTL[[#This Row],[success]]=FALSE,tblJTL[[#This Row],[success]]="false"),1,0)</f>
        <v>0</v>
      </c>
      <c r="X1701" s="57">
        <f>IF(AND(tblJTL[[#This Row],[経過秒]]&gt;='17_分析サンプル'!$E$11,tblJTL[[#This Row],[経過秒]]&lt;'17_分析サンプル'!$E$12),1,0)</f>
        <v>1</v>
      </c>
    </row>
    <row r="1702" spans="2:24" ht="14.4" x14ac:dyDescent="0.3">
      <c r="B1702" s="57">
        <v>1790816826832</v>
      </c>
      <c r="C1702" s="58">
        <v>79</v>
      </c>
      <c r="D1702" s="59" t="s">
        <v>1658</v>
      </c>
      <c r="E1702" s="59" t="s">
        <v>1577</v>
      </c>
      <c r="F1702" s="59" t="s">
        <v>2275</v>
      </c>
      <c r="G1702" s="59" t="s">
        <v>3587</v>
      </c>
      <c r="H1702" s="59" t="s">
        <v>2281</v>
      </c>
      <c r="I1702" s="59" t="b">
        <v>1</v>
      </c>
      <c r="J1702" s="59"/>
      <c r="K1702" s="58">
        <v>1864</v>
      </c>
      <c r="L1702" s="58">
        <v>1342</v>
      </c>
      <c r="M1702" s="59">
        <v>10</v>
      </c>
      <c r="N1702" s="59">
        <v>10</v>
      </c>
      <c r="O1702" s="59" t="s">
        <v>3578</v>
      </c>
      <c r="P1702" s="58">
        <v>72</v>
      </c>
      <c r="Q1702" s="59">
        <v>0</v>
      </c>
      <c r="R1702" s="59">
        <v>0</v>
      </c>
      <c r="S1702" s="60">
        <f>tblJTL[[#This Row],[timeStamp]]/86400000+DATE(1970,1,1)+TIME(9,0,0)</f>
        <v>46296.421606851851</v>
      </c>
      <c r="T1702" s="57">
        <f>tblJTL[[#This Row],[timeStamp]]+tblJTL[[#This Row],[elapsed]]</f>
        <v>1790816826911</v>
      </c>
      <c r="U1702" s="61">
        <f>(tblJTL[[#This Row],[timeStamp]]-'17_分析サンプル'!$E$18)/1000</f>
        <v>426.65199999999999</v>
      </c>
      <c r="V1702" s="57">
        <f>INT(tblJTL[[#This Row],[経過秒]]/60)</f>
        <v>7</v>
      </c>
      <c r="W1702" s="57">
        <f>IF(OR(tblJTL[[#This Row],[success]]=FALSE,tblJTL[[#This Row],[success]]="false"),1,0)</f>
        <v>0</v>
      </c>
      <c r="X1702" s="57">
        <f>IF(AND(tblJTL[[#This Row],[経過秒]]&gt;='17_分析サンプル'!$E$11,tblJTL[[#This Row],[経過秒]]&lt;'17_分析サンプル'!$E$12),1,0)</f>
        <v>1</v>
      </c>
    </row>
    <row r="1703" spans="2:24" ht="14.4" x14ac:dyDescent="0.3">
      <c r="B1703" s="57">
        <v>1790816826840</v>
      </c>
      <c r="C1703" s="58">
        <v>199</v>
      </c>
      <c r="D1703" s="59" t="s">
        <v>1677</v>
      </c>
      <c r="E1703" s="59" t="s">
        <v>3579</v>
      </c>
      <c r="F1703" s="59" t="s">
        <v>3580</v>
      </c>
      <c r="G1703" s="59" t="s">
        <v>3588</v>
      </c>
      <c r="H1703" s="59" t="s">
        <v>2281</v>
      </c>
      <c r="I1703" s="59" t="b">
        <v>1</v>
      </c>
      <c r="J1703" s="59"/>
      <c r="K1703" s="58">
        <v>430</v>
      </c>
      <c r="L1703" s="58">
        <v>1478</v>
      </c>
      <c r="M1703" s="59">
        <v>10</v>
      </c>
      <c r="N1703" s="59">
        <v>10</v>
      </c>
      <c r="O1703" s="59" t="s">
        <v>3581</v>
      </c>
      <c r="P1703" s="58">
        <v>194</v>
      </c>
      <c r="Q1703" s="59">
        <v>0</v>
      </c>
      <c r="R1703" s="59">
        <v>0</v>
      </c>
      <c r="S1703" s="60">
        <f>tblJTL[[#This Row],[timeStamp]]/86400000+DATE(1970,1,1)+TIME(9,0,0)</f>
        <v>46296.421606944445</v>
      </c>
      <c r="T1703" s="57">
        <f>tblJTL[[#This Row],[timeStamp]]+tblJTL[[#This Row],[elapsed]]</f>
        <v>1790816827039</v>
      </c>
      <c r="U1703" s="61">
        <f>(tblJTL[[#This Row],[timeStamp]]-'17_分析サンプル'!$E$18)/1000</f>
        <v>426.66</v>
      </c>
      <c r="V1703" s="57">
        <f>INT(tblJTL[[#This Row],[経過秒]]/60)</f>
        <v>7</v>
      </c>
      <c r="W1703" s="57">
        <f>IF(OR(tblJTL[[#This Row],[success]]=FALSE,tblJTL[[#This Row],[success]]="false"),1,0)</f>
        <v>0</v>
      </c>
      <c r="X1703" s="57">
        <f>IF(AND(tblJTL[[#This Row],[経過秒]]&gt;='17_分析サンプル'!$E$11,tblJTL[[#This Row],[経過秒]]&lt;'17_分析サンプル'!$E$12),1,0)</f>
        <v>1</v>
      </c>
    </row>
    <row r="1704" spans="2:24" ht="14.4" x14ac:dyDescent="0.3">
      <c r="B1704" s="57">
        <v>1790816826936</v>
      </c>
      <c r="C1704" s="58">
        <v>161</v>
      </c>
      <c r="D1704" s="59" t="s">
        <v>1677</v>
      </c>
      <c r="E1704" s="59" t="s">
        <v>3579</v>
      </c>
      <c r="F1704" s="59" t="s">
        <v>3580</v>
      </c>
      <c r="G1704" s="59" t="s">
        <v>3582</v>
      </c>
      <c r="H1704" s="59" t="s">
        <v>2281</v>
      </c>
      <c r="I1704" s="59" t="b">
        <v>1</v>
      </c>
      <c r="J1704" s="59"/>
      <c r="K1704" s="58">
        <v>424</v>
      </c>
      <c r="L1704" s="58">
        <v>1478</v>
      </c>
      <c r="M1704" s="59">
        <v>10</v>
      </c>
      <c r="N1704" s="59">
        <v>10</v>
      </c>
      <c r="O1704" s="59" t="s">
        <v>3581</v>
      </c>
      <c r="P1704" s="58">
        <v>158</v>
      </c>
      <c r="Q1704" s="59">
        <v>0</v>
      </c>
      <c r="R1704" s="59">
        <v>0</v>
      </c>
      <c r="S1704" s="60">
        <f>tblJTL[[#This Row],[timeStamp]]/86400000+DATE(1970,1,1)+TIME(9,0,0)</f>
        <v>46296.421608055556</v>
      </c>
      <c r="T1704" s="57">
        <f>tblJTL[[#This Row],[timeStamp]]+tblJTL[[#This Row],[elapsed]]</f>
        <v>1790816827097</v>
      </c>
      <c r="U1704" s="61">
        <f>(tblJTL[[#This Row],[timeStamp]]-'17_分析サンプル'!$E$18)/1000</f>
        <v>426.75599999999997</v>
      </c>
      <c r="V1704" s="57">
        <f>INT(tblJTL[[#This Row],[経過秒]]/60)</f>
        <v>7</v>
      </c>
      <c r="W1704" s="57">
        <f>IF(OR(tblJTL[[#This Row],[success]]=FALSE,tblJTL[[#This Row],[success]]="false"),1,0)</f>
        <v>0</v>
      </c>
      <c r="X1704" s="57">
        <f>IF(AND(tblJTL[[#This Row],[経過秒]]&gt;='17_分析サンプル'!$E$11,tblJTL[[#This Row],[経過秒]]&lt;'17_分析サンプル'!$E$12),1,0)</f>
        <v>1</v>
      </c>
    </row>
    <row r="1705" spans="2:24" ht="14.4" x14ac:dyDescent="0.3">
      <c r="B1705" s="57">
        <v>1790816826940</v>
      </c>
      <c r="C1705" s="58">
        <v>302</v>
      </c>
      <c r="D1705" s="59" t="s">
        <v>1677</v>
      </c>
      <c r="E1705" s="59" t="s">
        <v>3579</v>
      </c>
      <c r="F1705" s="59" t="s">
        <v>3580</v>
      </c>
      <c r="G1705" s="59" t="s">
        <v>3583</v>
      </c>
      <c r="H1705" s="59" t="s">
        <v>2281</v>
      </c>
      <c r="I1705" s="59" t="b">
        <v>1</v>
      </c>
      <c r="J1705" s="59"/>
      <c r="K1705" s="58">
        <v>435</v>
      </c>
      <c r="L1705" s="58">
        <v>1478</v>
      </c>
      <c r="M1705" s="59">
        <v>10</v>
      </c>
      <c r="N1705" s="59">
        <v>10</v>
      </c>
      <c r="O1705" s="59" t="s">
        <v>3581</v>
      </c>
      <c r="P1705" s="58">
        <v>295</v>
      </c>
      <c r="Q1705" s="59">
        <v>0</v>
      </c>
      <c r="R1705" s="59">
        <v>0</v>
      </c>
      <c r="S1705" s="60">
        <f>tblJTL[[#This Row],[timeStamp]]/86400000+DATE(1970,1,1)+TIME(9,0,0)</f>
        <v>46296.421608101853</v>
      </c>
      <c r="T1705" s="57">
        <f>tblJTL[[#This Row],[timeStamp]]+tblJTL[[#This Row],[elapsed]]</f>
        <v>1790816827242</v>
      </c>
      <c r="U1705" s="61">
        <f>(tblJTL[[#This Row],[timeStamp]]-'17_分析サンプル'!$E$18)/1000</f>
        <v>426.76</v>
      </c>
      <c r="V1705" s="57">
        <f>INT(tblJTL[[#This Row],[経過秒]]/60)</f>
        <v>7</v>
      </c>
      <c r="W1705" s="57">
        <f>IF(OR(tblJTL[[#This Row],[success]]=FALSE,tblJTL[[#This Row],[success]]="false"),1,0)</f>
        <v>0</v>
      </c>
      <c r="X1705" s="57">
        <f>IF(AND(tblJTL[[#This Row],[経過秒]]&gt;='17_分析サンプル'!$E$11,tblJTL[[#This Row],[経過秒]]&lt;'17_分析サンプル'!$E$12),1,0)</f>
        <v>1</v>
      </c>
    </row>
    <row r="1706" spans="2:24" ht="14.4" x14ac:dyDescent="0.3">
      <c r="B1706" s="57">
        <v>1790816827036</v>
      </c>
      <c r="C1706" s="58">
        <v>249</v>
      </c>
      <c r="D1706" s="59" t="s">
        <v>1677</v>
      </c>
      <c r="E1706" s="59" t="s">
        <v>3579</v>
      </c>
      <c r="F1706" s="59" t="s">
        <v>3580</v>
      </c>
      <c r="G1706" s="59" t="s">
        <v>3584</v>
      </c>
      <c r="H1706" s="59" t="s">
        <v>2281</v>
      </c>
      <c r="I1706" s="59" t="b">
        <v>1</v>
      </c>
      <c r="J1706" s="59"/>
      <c r="K1706" s="58">
        <v>436</v>
      </c>
      <c r="L1706" s="58">
        <v>1478</v>
      </c>
      <c r="M1706" s="59">
        <v>10</v>
      </c>
      <c r="N1706" s="59">
        <v>10</v>
      </c>
      <c r="O1706" s="59" t="s">
        <v>3581</v>
      </c>
      <c r="P1706" s="58">
        <v>244</v>
      </c>
      <c r="Q1706" s="59">
        <v>0</v>
      </c>
      <c r="R1706" s="59">
        <v>0</v>
      </c>
      <c r="S1706" s="60">
        <f>tblJTL[[#This Row],[timeStamp]]/86400000+DATE(1970,1,1)+TIME(9,0,0)</f>
        <v>46296.421609212965</v>
      </c>
      <c r="T1706" s="57">
        <f>tblJTL[[#This Row],[timeStamp]]+tblJTL[[#This Row],[elapsed]]</f>
        <v>1790816827285</v>
      </c>
      <c r="U1706" s="61">
        <f>(tblJTL[[#This Row],[timeStamp]]-'17_分析サンプル'!$E$18)/1000</f>
        <v>426.85599999999999</v>
      </c>
      <c r="V1706" s="57">
        <f>INT(tblJTL[[#This Row],[経過秒]]/60)</f>
        <v>7</v>
      </c>
      <c r="W1706" s="57">
        <f>IF(OR(tblJTL[[#This Row],[success]]=FALSE,tblJTL[[#This Row],[success]]="false"),1,0)</f>
        <v>0</v>
      </c>
      <c r="X1706" s="57">
        <f>IF(AND(tblJTL[[#This Row],[経過秒]]&gt;='17_分析サンプル'!$E$11,tblJTL[[#This Row],[経過秒]]&lt;'17_分析サンプル'!$E$12),1,0)</f>
        <v>1</v>
      </c>
    </row>
    <row r="1707" spans="2:24" ht="14.4" x14ac:dyDescent="0.3">
      <c r="B1707" s="57">
        <v>1790816827540</v>
      </c>
      <c r="C1707" s="58">
        <v>257</v>
      </c>
      <c r="D1707" s="59" t="s">
        <v>1677</v>
      </c>
      <c r="E1707" s="59" t="s">
        <v>3579</v>
      </c>
      <c r="F1707" s="59" t="s">
        <v>3580</v>
      </c>
      <c r="G1707" s="59" t="s">
        <v>3585</v>
      </c>
      <c r="H1707" s="59" t="s">
        <v>2281</v>
      </c>
      <c r="I1707" s="59" t="b">
        <v>1</v>
      </c>
      <c r="J1707" s="59"/>
      <c r="K1707" s="58">
        <v>439</v>
      </c>
      <c r="L1707" s="58">
        <v>1478</v>
      </c>
      <c r="M1707" s="59">
        <v>10</v>
      </c>
      <c r="N1707" s="59">
        <v>10</v>
      </c>
      <c r="O1707" s="59" t="s">
        <v>3581</v>
      </c>
      <c r="P1707" s="58">
        <v>253</v>
      </c>
      <c r="Q1707" s="59">
        <v>0</v>
      </c>
      <c r="R1707" s="59">
        <v>0</v>
      </c>
      <c r="S1707" s="60">
        <f>tblJTL[[#This Row],[timeStamp]]/86400000+DATE(1970,1,1)+TIME(9,0,0)</f>
        <v>46296.421615046296</v>
      </c>
      <c r="T1707" s="57">
        <f>tblJTL[[#This Row],[timeStamp]]+tblJTL[[#This Row],[elapsed]]</f>
        <v>1790816827797</v>
      </c>
      <c r="U1707" s="61">
        <f>(tblJTL[[#This Row],[timeStamp]]-'17_分析サンプル'!$E$18)/1000</f>
        <v>427.36</v>
      </c>
      <c r="V1707" s="57">
        <f>INT(tblJTL[[#This Row],[経過秒]]/60)</f>
        <v>7</v>
      </c>
      <c r="W1707" s="57">
        <f>IF(OR(tblJTL[[#This Row],[success]]=FALSE,tblJTL[[#This Row],[success]]="false"),1,0)</f>
        <v>0</v>
      </c>
      <c r="X1707" s="57">
        <f>IF(AND(tblJTL[[#This Row],[経過秒]]&gt;='17_分析サンプル'!$E$11,tblJTL[[#This Row],[経過秒]]&lt;'17_分析サンプル'!$E$12),1,0)</f>
        <v>1</v>
      </c>
    </row>
    <row r="1708" spans="2:24" ht="14.4" x14ac:dyDescent="0.3">
      <c r="B1708" s="57">
        <v>1790816828014</v>
      </c>
      <c r="C1708" s="58">
        <v>165</v>
      </c>
      <c r="D1708" s="59" t="s">
        <v>1658</v>
      </c>
      <c r="E1708" s="59" t="s">
        <v>1577</v>
      </c>
      <c r="F1708" s="59" t="s">
        <v>2275</v>
      </c>
      <c r="G1708" s="59" t="s">
        <v>3577</v>
      </c>
      <c r="H1708" s="59" t="s">
        <v>2281</v>
      </c>
      <c r="I1708" s="59" t="b">
        <v>1</v>
      </c>
      <c r="J1708" s="59"/>
      <c r="K1708" s="58">
        <v>1880</v>
      </c>
      <c r="L1708" s="58">
        <v>1342</v>
      </c>
      <c r="M1708" s="59">
        <v>10</v>
      </c>
      <c r="N1708" s="59">
        <v>10</v>
      </c>
      <c r="O1708" s="59" t="s">
        <v>3578</v>
      </c>
      <c r="P1708" s="58">
        <v>159</v>
      </c>
      <c r="Q1708" s="59">
        <v>0</v>
      </c>
      <c r="R1708" s="59">
        <v>55</v>
      </c>
      <c r="S1708" s="60">
        <f>tblJTL[[#This Row],[timeStamp]]/86400000+DATE(1970,1,1)+TIME(9,0,0)</f>
        <v>46296.421620532405</v>
      </c>
      <c r="T1708" s="57">
        <f>tblJTL[[#This Row],[timeStamp]]+tblJTL[[#This Row],[elapsed]]</f>
        <v>1790816828179</v>
      </c>
      <c r="U1708" s="61">
        <f>(tblJTL[[#This Row],[timeStamp]]-'17_分析サンプル'!$E$18)/1000</f>
        <v>427.834</v>
      </c>
      <c r="V1708" s="57">
        <f>INT(tblJTL[[#This Row],[経過秒]]/60)</f>
        <v>7</v>
      </c>
      <c r="W1708" s="57">
        <f>IF(OR(tblJTL[[#This Row],[success]]=FALSE,tblJTL[[#This Row],[success]]="false"),1,0)</f>
        <v>0</v>
      </c>
      <c r="X1708" s="57">
        <f>IF(AND(tblJTL[[#This Row],[経過秒]]&gt;='17_分析サンプル'!$E$11,tblJTL[[#This Row],[経過秒]]&lt;'17_分析サンプル'!$E$12),1,0)</f>
        <v>1</v>
      </c>
    </row>
    <row r="1709" spans="2:24" ht="14.4" x14ac:dyDescent="0.3">
      <c r="B1709" s="57">
        <v>1790816828240</v>
      </c>
      <c r="C1709" s="58">
        <v>96</v>
      </c>
      <c r="D1709" s="59" t="s">
        <v>1658</v>
      </c>
      <c r="E1709" s="59" t="s">
        <v>1577</v>
      </c>
      <c r="F1709" s="59" t="s">
        <v>2275</v>
      </c>
      <c r="G1709" s="59" t="s">
        <v>3582</v>
      </c>
      <c r="H1709" s="59" t="s">
        <v>2281</v>
      </c>
      <c r="I1709" s="59" t="b">
        <v>1</v>
      </c>
      <c r="J1709" s="59"/>
      <c r="K1709" s="58">
        <v>1832</v>
      </c>
      <c r="L1709" s="58">
        <v>1342</v>
      </c>
      <c r="M1709" s="59">
        <v>10</v>
      </c>
      <c r="N1709" s="59">
        <v>10</v>
      </c>
      <c r="O1709" s="59" t="s">
        <v>3578</v>
      </c>
      <c r="P1709" s="58">
        <v>90</v>
      </c>
      <c r="Q1709" s="59">
        <v>0</v>
      </c>
      <c r="R1709" s="59">
        <v>0</v>
      </c>
      <c r="S1709" s="60">
        <f>tblJTL[[#This Row],[timeStamp]]/86400000+DATE(1970,1,1)+TIME(9,0,0)</f>
        <v>46296.421623148148</v>
      </c>
      <c r="T1709" s="57">
        <f>tblJTL[[#This Row],[timeStamp]]+tblJTL[[#This Row],[elapsed]]</f>
        <v>1790816828336</v>
      </c>
      <c r="U1709" s="61">
        <f>(tblJTL[[#This Row],[timeStamp]]-'17_分析サンプル'!$E$18)/1000</f>
        <v>428.06</v>
      </c>
      <c r="V1709" s="57">
        <f>INT(tblJTL[[#This Row],[経過秒]]/60)</f>
        <v>7</v>
      </c>
      <c r="W1709" s="57">
        <f>IF(OR(tblJTL[[#This Row],[success]]=FALSE,tblJTL[[#This Row],[success]]="false"),1,0)</f>
        <v>0</v>
      </c>
      <c r="X1709" s="57">
        <f>IF(AND(tblJTL[[#This Row],[経過秒]]&gt;='17_分析サンプル'!$E$11,tblJTL[[#This Row],[経過秒]]&lt;'17_分析サンプル'!$E$12),1,0)</f>
        <v>1</v>
      </c>
    </row>
    <row r="1710" spans="2:24" ht="14.4" x14ac:dyDescent="0.3">
      <c r="B1710" s="57">
        <v>1790816828234</v>
      </c>
      <c r="C1710" s="58">
        <v>177</v>
      </c>
      <c r="D1710" s="59" t="s">
        <v>1677</v>
      </c>
      <c r="E1710" s="59" t="s">
        <v>3579</v>
      </c>
      <c r="F1710" s="59" t="s">
        <v>3580</v>
      </c>
      <c r="G1710" s="59" t="s">
        <v>3589</v>
      </c>
      <c r="H1710" s="59" t="s">
        <v>2281</v>
      </c>
      <c r="I1710" s="59" t="b">
        <v>1</v>
      </c>
      <c r="J1710" s="59"/>
      <c r="K1710" s="58">
        <v>434</v>
      </c>
      <c r="L1710" s="58">
        <v>1478</v>
      </c>
      <c r="M1710" s="59">
        <v>10</v>
      </c>
      <c r="N1710" s="59">
        <v>10</v>
      </c>
      <c r="O1710" s="59" t="s">
        <v>3581</v>
      </c>
      <c r="P1710" s="58">
        <v>175</v>
      </c>
      <c r="Q1710" s="59">
        <v>0</v>
      </c>
      <c r="R1710" s="59">
        <v>0</v>
      </c>
      <c r="S1710" s="60">
        <f>tblJTL[[#This Row],[timeStamp]]/86400000+DATE(1970,1,1)+TIME(9,0,0)</f>
        <v>46296.421623078699</v>
      </c>
      <c r="T1710" s="57">
        <f>tblJTL[[#This Row],[timeStamp]]+tblJTL[[#This Row],[elapsed]]</f>
        <v>1790816828411</v>
      </c>
      <c r="U1710" s="61">
        <f>(tblJTL[[#This Row],[timeStamp]]-'17_分析サンプル'!$E$18)/1000</f>
        <v>428.05399999999997</v>
      </c>
      <c r="V1710" s="57">
        <f>INT(tblJTL[[#This Row],[経過秒]]/60)</f>
        <v>7</v>
      </c>
      <c r="W1710" s="57">
        <f>IF(OR(tblJTL[[#This Row],[success]]=FALSE,tblJTL[[#This Row],[success]]="false"),1,0)</f>
        <v>0</v>
      </c>
      <c r="X1710" s="57">
        <f>IF(AND(tblJTL[[#This Row],[経過秒]]&gt;='17_分析サンプル'!$E$11,tblJTL[[#This Row],[経過秒]]&lt;'17_分析サンプル'!$E$12),1,0)</f>
        <v>1</v>
      </c>
    </row>
    <row r="1711" spans="2:24" ht="14.4" x14ac:dyDescent="0.3">
      <c r="B1711" s="57">
        <v>1790816828337</v>
      </c>
      <c r="C1711" s="58">
        <v>171</v>
      </c>
      <c r="D1711" s="59" t="s">
        <v>1658</v>
      </c>
      <c r="E1711" s="59" t="s">
        <v>1577</v>
      </c>
      <c r="F1711" s="59" t="s">
        <v>2275</v>
      </c>
      <c r="G1711" s="59" t="s">
        <v>2278</v>
      </c>
      <c r="H1711" s="59" t="s">
        <v>2281</v>
      </c>
      <c r="I1711" s="59" t="b">
        <v>1</v>
      </c>
      <c r="J1711" s="59"/>
      <c r="K1711" s="58">
        <v>1835</v>
      </c>
      <c r="L1711" s="58">
        <v>1342</v>
      </c>
      <c r="M1711" s="59">
        <v>10</v>
      </c>
      <c r="N1711" s="59">
        <v>10</v>
      </c>
      <c r="O1711" s="59" t="s">
        <v>3578</v>
      </c>
      <c r="P1711" s="58">
        <v>167</v>
      </c>
      <c r="Q1711" s="59">
        <v>0</v>
      </c>
      <c r="R1711" s="59">
        <v>0</v>
      </c>
      <c r="S1711" s="60">
        <f>tblJTL[[#This Row],[timeStamp]]/86400000+DATE(1970,1,1)+TIME(9,0,0)</f>
        <v>46296.421624270835</v>
      </c>
      <c r="T1711" s="57">
        <f>tblJTL[[#This Row],[timeStamp]]+tblJTL[[#This Row],[elapsed]]</f>
        <v>1790816828508</v>
      </c>
      <c r="U1711" s="61">
        <f>(tblJTL[[#This Row],[timeStamp]]-'17_分析サンプル'!$E$18)/1000</f>
        <v>428.15699999999998</v>
      </c>
      <c r="V1711" s="57">
        <f>INT(tblJTL[[#This Row],[経過秒]]/60)</f>
        <v>7</v>
      </c>
      <c r="W1711" s="57">
        <f>IF(OR(tblJTL[[#This Row],[success]]=FALSE,tblJTL[[#This Row],[success]]="false"),1,0)</f>
        <v>0</v>
      </c>
      <c r="X1711" s="57">
        <f>IF(AND(tblJTL[[#This Row],[経過秒]]&gt;='17_分析サンプル'!$E$11,tblJTL[[#This Row],[経過秒]]&lt;'17_分析サンプル'!$E$12),1,0)</f>
        <v>1</v>
      </c>
    </row>
    <row r="1712" spans="2:24" ht="14.4" x14ac:dyDescent="0.3">
      <c r="B1712" s="57">
        <v>1790816828460</v>
      </c>
      <c r="C1712" s="58">
        <v>243</v>
      </c>
      <c r="D1712" s="59" t="s">
        <v>1677</v>
      </c>
      <c r="E1712" s="59" t="s">
        <v>3579</v>
      </c>
      <c r="F1712" s="59" t="s">
        <v>3580</v>
      </c>
      <c r="G1712" s="59" t="s">
        <v>3586</v>
      </c>
      <c r="H1712" s="59" t="s">
        <v>2281</v>
      </c>
      <c r="I1712" s="59" t="b">
        <v>1</v>
      </c>
      <c r="J1712" s="59"/>
      <c r="K1712" s="58">
        <v>427</v>
      </c>
      <c r="L1712" s="58">
        <v>1478</v>
      </c>
      <c r="M1712" s="59">
        <v>10</v>
      </c>
      <c r="N1712" s="59">
        <v>10</v>
      </c>
      <c r="O1712" s="59" t="s">
        <v>3581</v>
      </c>
      <c r="P1712" s="58">
        <v>238</v>
      </c>
      <c r="Q1712" s="59">
        <v>0</v>
      </c>
      <c r="R1712" s="59">
        <v>0</v>
      </c>
      <c r="S1712" s="60">
        <f>tblJTL[[#This Row],[timeStamp]]/86400000+DATE(1970,1,1)+TIME(9,0,0)</f>
        <v>46296.421625694449</v>
      </c>
      <c r="T1712" s="57">
        <f>tblJTL[[#This Row],[timeStamp]]+tblJTL[[#This Row],[elapsed]]</f>
        <v>1790816828703</v>
      </c>
      <c r="U1712" s="61">
        <f>(tblJTL[[#This Row],[timeStamp]]-'17_分析サンプル'!$E$18)/1000</f>
        <v>428.28</v>
      </c>
      <c r="V1712" s="57">
        <f>INT(tblJTL[[#This Row],[経過秒]]/60)</f>
        <v>7</v>
      </c>
      <c r="W1712" s="57">
        <f>IF(OR(tblJTL[[#This Row],[success]]=FALSE,tblJTL[[#This Row],[success]]="false"),1,0)</f>
        <v>0</v>
      </c>
      <c r="X1712" s="57">
        <f>IF(AND(tblJTL[[#This Row],[経過秒]]&gt;='17_分析サンプル'!$E$11,tblJTL[[#This Row],[経過秒]]&lt;'17_分析サンプル'!$E$12),1,0)</f>
        <v>1</v>
      </c>
    </row>
    <row r="1713" spans="2:24" ht="14.4" x14ac:dyDescent="0.3">
      <c r="B1713" s="57">
        <v>1790816829429</v>
      </c>
      <c r="C1713" s="58">
        <v>99</v>
      </c>
      <c r="D1713" s="59" t="s">
        <v>1658</v>
      </c>
      <c r="E1713" s="59" t="s">
        <v>1577</v>
      </c>
      <c r="F1713" s="59" t="s">
        <v>2275</v>
      </c>
      <c r="G1713" s="59" t="s">
        <v>3584</v>
      </c>
      <c r="H1713" s="59" t="s">
        <v>2281</v>
      </c>
      <c r="I1713" s="59" t="b">
        <v>1</v>
      </c>
      <c r="J1713" s="59"/>
      <c r="K1713" s="58">
        <v>1846</v>
      </c>
      <c r="L1713" s="58">
        <v>1342</v>
      </c>
      <c r="M1713" s="59">
        <v>10</v>
      </c>
      <c r="N1713" s="59">
        <v>10</v>
      </c>
      <c r="O1713" s="59" t="s">
        <v>3578</v>
      </c>
      <c r="P1713" s="58">
        <v>97</v>
      </c>
      <c r="Q1713" s="59">
        <v>0</v>
      </c>
      <c r="R1713" s="59">
        <v>0</v>
      </c>
      <c r="S1713" s="60">
        <f>tblJTL[[#This Row],[timeStamp]]/86400000+DATE(1970,1,1)+TIME(9,0,0)</f>
        <v>46296.421636909727</v>
      </c>
      <c r="T1713" s="57">
        <f>tblJTL[[#This Row],[timeStamp]]+tblJTL[[#This Row],[elapsed]]</f>
        <v>1790816829528</v>
      </c>
      <c r="U1713" s="61">
        <f>(tblJTL[[#This Row],[timeStamp]]-'17_分析サンプル'!$E$18)/1000</f>
        <v>429.24900000000002</v>
      </c>
      <c r="V1713" s="57">
        <f>INT(tblJTL[[#This Row],[経過秒]]/60)</f>
        <v>7</v>
      </c>
      <c r="W1713" s="57">
        <f>IF(OR(tblJTL[[#This Row],[success]]=FALSE,tblJTL[[#This Row],[success]]="false"),1,0)</f>
        <v>0</v>
      </c>
      <c r="X1713" s="57">
        <f>IF(AND(tblJTL[[#This Row],[経過秒]]&gt;='17_分析サンプル'!$E$11,tblJTL[[#This Row],[経過秒]]&lt;'17_分析サンプル'!$E$12),1,0)</f>
        <v>1</v>
      </c>
    </row>
    <row r="1714" spans="2:24" ht="14.4" x14ac:dyDescent="0.3">
      <c r="B1714" s="57">
        <v>1790816829472</v>
      </c>
      <c r="C1714" s="58">
        <v>125</v>
      </c>
      <c r="D1714" s="59" t="s">
        <v>1658</v>
      </c>
      <c r="E1714" s="59" t="s">
        <v>1577</v>
      </c>
      <c r="F1714" s="59" t="s">
        <v>2275</v>
      </c>
      <c r="G1714" s="59" t="s">
        <v>3588</v>
      </c>
      <c r="H1714" s="59" t="s">
        <v>2281</v>
      </c>
      <c r="I1714" s="59" t="b">
        <v>1</v>
      </c>
      <c r="J1714" s="59"/>
      <c r="K1714" s="58">
        <v>1870</v>
      </c>
      <c r="L1714" s="58">
        <v>1342</v>
      </c>
      <c r="M1714" s="59">
        <v>10</v>
      </c>
      <c r="N1714" s="59">
        <v>10</v>
      </c>
      <c r="O1714" s="59" t="s">
        <v>3578</v>
      </c>
      <c r="P1714" s="58">
        <v>118</v>
      </c>
      <c r="Q1714" s="59">
        <v>0</v>
      </c>
      <c r="R1714" s="59">
        <v>0</v>
      </c>
      <c r="S1714" s="60">
        <f>tblJTL[[#This Row],[timeStamp]]/86400000+DATE(1970,1,1)+TIME(9,0,0)</f>
        <v>46296.421637407402</v>
      </c>
      <c r="T1714" s="57">
        <f>tblJTL[[#This Row],[timeStamp]]+tblJTL[[#This Row],[elapsed]]</f>
        <v>1790816829597</v>
      </c>
      <c r="U1714" s="61">
        <f>(tblJTL[[#This Row],[timeStamp]]-'17_分析サンプル'!$E$18)/1000</f>
        <v>429.29199999999997</v>
      </c>
      <c r="V1714" s="57">
        <f>INT(tblJTL[[#This Row],[経過秒]]/60)</f>
        <v>7</v>
      </c>
      <c r="W1714" s="57">
        <f>IF(OR(tblJTL[[#This Row],[success]]=FALSE,tblJTL[[#This Row],[success]]="false"),1,0)</f>
        <v>0</v>
      </c>
      <c r="X1714" s="57">
        <f>IF(AND(tblJTL[[#This Row],[経過秒]]&gt;='17_分析サンプル'!$E$11,tblJTL[[#This Row],[経過秒]]&lt;'17_分析サンプル'!$E$12),1,0)</f>
        <v>1</v>
      </c>
    </row>
    <row r="1715" spans="2:24" ht="14.4" x14ac:dyDescent="0.3">
      <c r="B1715" s="57">
        <v>1790816829693</v>
      </c>
      <c r="C1715" s="58">
        <v>80</v>
      </c>
      <c r="D1715" s="59" t="s">
        <v>1658</v>
      </c>
      <c r="E1715" s="59" t="s">
        <v>1577</v>
      </c>
      <c r="F1715" s="59" t="s">
        <v>2275</v>
      </c>
      <c r="G1715" s="59" t="s">
        <v>3583</v>
      </c>
      <c r="H1715" s="59" t="s">
        <v>2281</v>
      </c>
      <c r="I1715" s="59" t="b">
        <v>1</v>
      </c>
      <c r="J1715" s="59"/>
      <c r="K1715" s="58">
        <v>1832</v>
      </c>
      <c r="L1715" s="58">
        <v>1342</v>
      </c>
      <c r="M1715" s="59">
        <v>10</v>
      </c>
      <c r="N1715" s="59">
        <v>10</v>
      </c>
      <c r="O1715" s="59" t="s">
        <v>3578</v>
      </c>
      <c r="P1715" s="58">
        <v>72</v>
      </c>
      <c r="Q1715" s="59">
        <v>0</v>
      </c>
      <c r="R1715" s="59">
        <v>0</v>
      </c>
      <c r="S1715" s="60">
        <f>tblJTL[[#This Row],[timeStamp]]/86400000+DATE(1970,1,1)+TIME(9,0,0)</f>
        <v>46296.42163996528</v>
      </c>
      <c r="T1715" s="57">
        <f>tblJTL[[#This Row],[timeStamp]]+tblJTL[[#This Row],[elapsed]]</f>
        <v>1790816829773</v>
      </c>
      <c r="U1715" s="61">
        <f>(tblJTL[[#This Row],[timeStamp]]-'17_分析サンプル'!$E$18)/1000</f>
        <v>429.51299999999998</v>
      </c>
      <c r="V1715" s="57">
        <f>INT(tblJTL[[#This Row],[経過秒]]/60)</f>
        <v>7</v>
      </c>
      <c r="W1715" s="57">
        <f>IF(OR(tblJTL[[#This Row],[success]]=FALSE,tblJTL[[#This Row],[success]]="false"),1,0)</f>
        <v>0</v>
      </c>
      <c r="X1715" s="57">
        <f>IF(AND(tblJTL[[#This Row],[経過秒]]&gt;='17_分析サンプル'!$E$11,tblJTL[[#This Row],[経過秒]]&lt;'17_分析サンプル'!$E$12),1,0)</f>
        <v>1</v>
      </c>
    </row>
    <row r="1716" spans="2:24" ht="14.4" x14ac:dyDescent="0.3">
      <c r="B1716" s="57">
        <v>1790816829720</v>
      </c>
      <c r="C1716" s="58">
        <v>68</v>
      </c>
      <c r="D1716" s="59" t="s">
        <v>1658</v>
      </c>
      <c r="E1716" s="59" t="s">
        <v>1577</v>
      </c>
      <c r="F1716" s="59" t="s">
        <v>2275</v>
      </c>
      <c r="G1716" s="59" t="s">
        <v>3589</v>
      </c>
      <c r="H1716" s="59" t="s">
        <v>2281</v>
      </c>
      <c r="I1716" s="59" t="b">
        <v>1</v>
      </c>
      <c r="J1716" s="59"/>
      <c r="K1716" s="58">
        <v>1884</v>
      </c>
      <c r="L1716" s="58">
        <v>1342</v>
      </c>
      <c r="M1716" s="59">
        <v>10</v>
      </c>
      <c r="N1716" s="59">
        <v>10</v>
      </c>
      <c r="O1716" s="59" t="s">
        <v>3578</v>
      </c>
      <c r="P1716" s="58">
        <v>65</v>
      </c>
      <c r="Q1716" s="59">
        <v>0</v>
      </c>
      <c r="R1716" s="59">
        <v>0</v>
      </c>
      <c r="S1716" s="60">
        <f>tblJTL[[#This Row],[timeStamp]]/86400000+DATE(1970,1,1)+TIME(9,0,0)</f>
        <v>46296.421640277782</v>
      </c>
      <c r="T1716" s="57">
        <f>tblJTL[[#This Row],[timeStamp]]+tblJTL[[#This Row],[elapsed]]</f>
        <v>1790816829788</v>
      </c>
      <c r="U1716" s="61">
        <f>(tblJTL[[#This Row],[timeStamp]]-'17_分析サンプル'!$E$18)/1000</f>
        <v>429.54</v>
      </c>
      <c r="V1716" s="57">
        <f>INT(tblJTL[[#This Row],[経過秒]]/60)</f>
        <v>7</v>
      </c>
      <c r="W1716" s="57">
        <f>IF(OR(tblJTL[[#This Row],[success]]=FALSE,tblJTL[[#This Row],[success]]="false"),1,0)</f>
        <v>0</v>
      </c>
      <c r="X1716" s="57">
        <f>IF(AND(tblJTL[[#This Row],[経過秒]]&gt;='17_分析サンプル'!$E$11,tblJTL[[#This Row],[経過秒]]&lt;'17_分析サンプル'!$E$12),1,0)</f>
        <v>1</v>
      </c>
    </row>
    <row r="1717" spans="2:24" ht="14.4" x14ac:dyDescent="0.3">
      <c r="B1717" s="57">
        <v>1790816829598</v>
      </c>
      <c r="C1717" s="58">
        <v>248</v>
      </c>
      <c r="D1717" s="59" t="s">
        <v>1677</v>
      </c>
      <c r="E1717" s="59" t="s">
        <v>3579</v>
      </c>
      <c r="F1717" s="59" t="s">
        <v>3580</v>
      </c>
      <c r="G1717" s="59" t="s">
        <v>3582</v>
      </c>
      <c r="H1717" s="59" t="s">
        <v>2281</v>
      </c>
      <c r="I1717" s="59" t="b">
        <v>1</v>
      </c>
      <c r="J1717" s="59"/>
      <c r="K1717" s="58">
        <v>431</v>
      </c>
      <c r="L1717" s="58">
        <v>1478</v>
      </c>
      <c r="M1717" s="59">
        <v>10</v>
      </c>
      <c r="N1717" s="59">
        <v>10</v>
      </c>
      <c r="O1717" s="59" t="s">
        <v>3581</v>
      </c>
      <c r="P1717" s="58">
        <v>241</v>
      </c>
      <c r="Q1717" s="59">
        <v>0</v>
      </c>
      <c r="R1717" s="59">
        <v>0</v>
      </c>
      <c r="S1717" s="60">
        <f>tblJTL[[#This Row],[timeStamp]]/86400000+DATE(1970,1,1)+TIME(9,0,0)</f>
        <v>46296.421638865737</v>
      </c>
      <c r="T1717" s="57">
        <f>tblJTL[[#This Row],[timeStamp]]+tblJTL[[#This Row],[elapsed]]</f>
        <v>1790816829846</v>
      </c>
      <c r="U1717" s="61">
        <f>(tblJTL[[#This Row],[timeStamp]]-'17_分析サンプル'!$E$18)/1000</f>
        <v>429.41800000000001</v>
      </c>
      <c r="V1717" s="57">
        <f>INT(tblJTL[[#This Row],[経過秒]]/60)</f>
        <v>7</v>
      </c>
      <c r="W1717" s="57">
        <f>IF(OR(tblJTL[[#This Row],[success]]=FALSE,tblJTL[[#This Row],[success]]="false"),1,0)</f>
        <v>0</v>
      </c>
      <c r="X1717" s="57">
        <f>IF(AND(tblJTL[[#This Row],[経過秒]]&gt;='17_分析サンプル'!$E$11,tblJTL[[#This Row],[経過秒]]&lt;'17_分析サンプル'!$E$12),1,0)</f>
        <v>1</v>
      </c>
    </row>
    <row r="1718" spans="2:24" ht="14.4" x14ac:dyDescent="0.3">
      <c r="B1718" s="57">
        <v>1790816829888</v>
      </c>
      <c r="C1718" s="58">
        <v>188</v>
      </c>
      <c r="D1718" s="59" t="s">
        <v>1677</v>
      </c>
      <c r="E1718" s="59" t="s">
        <v>3579</v>
      </c>
      <c r="F1718" s="59" t="s">
        <v>3580</v>
      </c>
      <c r="G1718" s="59" t="s">
        <v>3587</v>
      </c>
      <c r="H1718" s="59" t="s">
        <v>2281</v>
      </c>
      <c r="I1718" s="59" t="b">
        <v>1</v>
      </c>
      <c r="J1718" s="59"/>
      <c r="K1718" s="58">
        <v>416</v>
      </c>
      <c r="L1718" s="58">
        <v>1478</v>
      </c>
      <c r="M1718" s="59">
        <v>10</v>
      </c>
      <c r="N1718" s="59">
        <v>10</v>
      </c>
      <c r="O1718" s="59" t="s">
        <v>3581</v>
      </c>
      <c r="P1718" s="58">
        <v>180</v>
      </c>
      <c r="Q1718" s="59">
        <v>0</v>
      </c>
      <c r="R1718" s="59">
        <v>0</v>
      </c>
      <c r="S1718" s="60">
        <f>tblJTL[[#This Row],[timeStamp]]/86400000+DATE(1970,1,1)+TIME(9,0,0)</f>
        <v>46296.421642222223</v>
      </c>
      <c r="T1718" s="57">
        <f>tblJTL[[#This Row],[timeStamp]]+tblJTL[[#This Row],[elapsed]]</f>
        <v>1790816830076</v>
      </c>
      <c r="U1718" s="61">
        <f>(tblJTL[[#This Row],[timeStamp]]-'17_分析サンプル'!$E$18)/1000</f>
        <v>429.70800000000003</v>
      </c>
      <c r="V1718" s="57">
        <f>INT(tblJTL[[#This Row],[経過秒]]/60)</f>
        <v>7</v>
      </c>
      <c r="W1718" s="57">
        <f>IF(OR(tblJTL[[#This Row],[success]]=FALSE,tblJTL[[#This Row],[success]]="false"),1,0)</f>
        <v>0</v>
      </c>
      <c r="X1718" s="57">
        <f>IF(AND(tblJTL[[#This Row],[経過秒]]&gt;='17_分析サンプル'!$E$11,tblJTL[[#This Row],[経過秒]]&lt;'17_分析サンプル'!$E$12),1,0)</f>
        <v>1</v>
      </c>
    </row>
    <row r="1719" spans="2:24" ht="14.4" x14ac:dyDescent="0.3">
      <c r="B1719" s="57">
        <v>1790816830188</v>
      </c>
      <c r="C1719" s="58">
        <v>220</v>
      </c>
      <c r="D1719" s="59" t="s">
        <v>1677</v>
      </c>
      <c r="E1719" s="59" t="s">
        <v>3579</v>
      </c>
      <c r="F1719" s="59" t="s">
        <v>3580</v>
      </c>
      <c r="G1719" s="59" t="s">
        <v>2278</v>
      </c>
      <c r="H1719" s="59" t="s">
        <v>2281</v>
      </c>
      <c r="I1719" s="59" t="b">
        <v>1</v>
      </c>
      <c r="J1719" s="59"/>
      <c r="K1719" s="58">
        <v>412</v>
      </c>
      <c r="L1719" s="58">
        <v>1478</v>
      </c>
      <c r="M1719" s="59">
        <v>10</v>
      </c>
      <c r="N1719" s="59">
        <v>10</v>
      </c>
      <c r="O1719" s="59" t="s">
        <v>3581</v>
      </c>
      <c r="P1719" s="58">
        <v>212</v>
      </c>
      <c r="Q1719" s="59">
        <v>0</v>
      </c>
      <c r="R1719" s="59">
        <v>0</v>
      </c>
      <c r="S1719" s="60">
        <f>tblJTL[[#This Row],[timeStamp]]/86400000+DATE(1970,1,1)+TIME(9,0,0)</f>
        <v>46296.421645694441</v>
      </c>
      <c r="T1719" s="57">
        <f>tblJTL[[#This Row],[timeStamp]]+tblJTL[[#This Row],[elapsed]]</f>
        <v>1790816830408</v>
      </c>
      <c r="U1719" s="61">
        <f>(tblJTL[[#This Row],[timeStamp]]-'17_分析サンプル'!$E$18)/1000</f>
        <v>430.00799999999998</v>
      </c>
      <c r="V1719" s="57">
        <f>INT(tblJTL[[#This Row],[経過秒]]/60)</f>
        <v>7</v>
      </c>
      <c r="W1719" s="57">
        <f>IF(OR(tblJTL[[#This Row],[success]]=FALSE,tblJTL[[#This Row],[success]]="false"),1,0)</f>
        <v>0</v>
      </c>
      <c r="X1719" s="57">
        <f>IF(AND(tblJTL[[#This Row],[経過秒]]&gt;='17_分析サンプル'!$E$11,tblJTL[[#This Row],[経過秒]]&lt;'17_分析サンプル'!$E$12),1,0)</f>
        <v>1</v>
      </c>
    </row>
    <row r="1720" spans="2:24" ht="14.4" x14ac:dyDescent="0.3">
      <c r="B1720" s="57">
        <v>1790816830428</v>
      </c>
      <c r="C1720" s="58">
        <v>134</v>
      </c>
      <c r="D1720" s="59" t="s">
        <v>1658</v>
      </c>
      <c r="E1720" s="59" t="s">
        <v>1577</v>
      </c>
      <c r="F1720" s="59" t="s">
        <v>2275</v>
      </c>
      <c r="G1720" s="59" t="s">
        <v>3585</v>
      </c>
      <c r="H1720" s="59" t="s">
        <v>2281</v>
      </c>
      <c r="I1720" s="59" t="b">
        <v>1</v>
      </c>
      <c r="J1720" s="59"/>
      <c r="K1720" s="58">
        <v>1867</v>
      </c>
      <c r="L1720" s="58">
        <v>1342</v>
      </c>
      <c r="M1720" s="59">
        <v>10</v>
      </c>
      <c r="N1720" s="59">
        <v>10</v>
      </c>
      <c r="O1720" s="59" t="s">
        <v>3578</v>
      </c>
      <c r="P1720" s="58">
        <v>129</v>
      </c>
      <c r="Q1720" s="59">
        <v>0</v>
      </c>
      <c r="R1720" s="59">
        <v>0</v>
      </c>
      <c r="S1720" s="60">
        <f>tblJTL[[#This Row],[timeStamp]]/86400000+DATE(1970,1,1)+TIME(9,0,0)</f>
        <v>46296.421648472227</v>
      </c>
      <c r="T1720" s="57">
        <f>tblJTL[[#This Row],[timeStamp]]+tblJTL[[#This Row],[elapsed]]</f>
        <v>1790816830562</v>
      </c>
      <c r="U1720" s="61">
        <f>(tblJTL[[#This Row],[timeStamp]]-'17_分析サンプル'!$E$18)/1000</f>
        <v>430.24799999999999</v>
      </c>
      <c r="V1720" s="57">
        <f>INT(tblJTL[[#This Row],[経過秒]]/60)</f>
        <v>7</v>
      </c>
      <c r="W1720" s="57">
        <f>IF(OR(tblJTL[[#This Row],[success]]=FALSE,tblJTL[[#This Row],[success]]="false"),1,0)</f>
        <v>0</v>
      </c>
      <c r="X1720" s="57">
        <f>IF(AND(tblJTL[[#This Row],[経過秒]]&gt;='17_分析サンプル'!$E$11,tblJTL[[#This Row],[経過秒]]&lt;'17_分析サンプル'!$E$12),1,0)</f>
        <v>1</v>
      </c>
    </row>
    <row r="1721" spans="2:24" ht="14.4" x14ac:dyDescent="0.3">
      <c r="B1721" s="57">
        <v>1790816830731</v>
      </c>
      <c r="C1721" s="58">
        <v>161</v>
      </c>
      <c r="D1721" s="59" t="s">
        <v>1658</v>
      </c>
      <c r="E1721" s="59" t="s">
        <v>1577</v>
      </c>
      <c r="F1721" s="59" t="s">
        <v>2275</v>
      </c>
      <c r="G1721" s="59" t="s">
        <v>3586</v>
      </c>
      <c r="H1721" s="59" t="s">
        <v>2281</v>
      </c>
      <c r="I1721" s="59" t="b">
        <v>1</v>
      </c>
      <c r="J1721" s="59"/>
      <c r="K1721" s="58">
        <v>1867</v>
      </c>
      <c r="L1721" s="58">
        <v>1342</v>
      </c>
      <c r="M1721" s="59">
        <v>10</v>
      </c>
      <c r="N1721" s="59">
        <v>10</v>
      </c>
      <c r="O1721" s="59" t="s">
        <v>3578</v>
      </c>
      <c r="P1721" s="58">
        <v>156</v>
      </c>
      <c r="Q1721" s="59">
        <v>0</v>
      </c>
      <c r="R1721" s="59">
        <v>0</v>
      </c>
      <c r="S1721" s="60">
        <f>tblJTL[[#This Row],[timeStamp]]/86400000+DATE(1970,1,1)+TIME(9,0,0)</f>
        <v>46296.421651979166</v>
      </c>
      <c r="T1721" s="57">
        <f>tblJTL[[#This Row],[timeStamp]]+tblJTL[[#This Row],[elapsed]]</f>
        <v>1790816830892</v>
      </c>
      <c r="U1721" s="61">
        <f>(tblJTL[[#This Row],[timeStamp]]-'17_分析サンプル'!$E$18)/1000</f>
        <v>430.55099999999999</v>
      </c>
      <c r="V1721" s="57">
        <f>INT(tblJTL[[#This Row],[経過秒]]/60)</f>
        <v>7</v>
      </c>
      <c r="W1721" s="57">
        <f>IF(OR(tblJTL[[#This Row],[success]]=FALSE,tblJTL[[#This Row],[success]]="false"),1,0)</f>
        <v>0</v>
      </c>
      <c r="X1721" s="57">
        <f>IF(AND(tblJTL[[#This Row],[経過秒]]&gt;='17_分析サンプル'!$E$11,tblJTL[[#This Row],[経過秒]]&lt;'17_分析サンプル'!$E$12),1,0)</f>
        <v>1</v>
      </c>
    </row>
    <row r="1722" spans="2:24" ht="14.4" x14ac:dyDescent="0.3">
      <c r="B1722" s="57">
        <v>1790816830942</v>
      </c>
      <c r="C1722" s="58">
        <v>147</v>
      </c>
      <c r="D1722" s="59" t="s">
        <v>1658</v>
      </c>
      <c r="E1722" s="59" t="s">
        <v>1577</v>
      </c>
      <c r="F1722" s="59" t="s">
        <v>2275</v>
      </c>
      <c r="G1722" s="59" t="s">
        <v>3582</v>
      </c>
      <c r="H1722" s="59" t="s">
        <v>2281</v>
      </c>
      <c r="I1722" s="59" t="b">
        <v>1</v>
      </c>
      <c r="J1722" s="59"/>
      <c r="K1722" s="58">
        <v>1883</v>
      </c>
      <c r="L1722" s="58">
        <v>1342</v>
      </c>
      <c r="M1722" s="59">
        <v>10</v>
      </c>
      <c r="N1722" s="59">
        <v>10</v>
      </c>
      <c r="O1722" s="59" t="s">
        <v>3578</v>
      </c>
      <c r="P1722" s="58">
        <v>143</v>
      </c>
      <c r="Q1722" s="59">
        <v>0</v>
      </c>
      <c r="R1722" s="59">
        <v>0</v>
      </c>
      <c r="S1722" s="60">
        <f>tblJTL[[#This Row],[timeStamp]]/86400000+DATE(1970,1,1)+TIME(9,0,0)</f>
        <v>46296.421654421298</v>
      </c>
      <c r="T1722" s="57">
        <f>tblJTL[[#This Row],[timeStamp]]+tblJTL[[#This Row],[elapsed]]</f>
        <v>1790816831089</v>
      </c>
      <c r="U1722" s="61">
        <f>(tblJTL[[#This Row],[timeStamp]]-'17_分析サンプル'!$E$18)/1000</f>
        <v>430.762</v>
      </c>
      <c r="V1722" s="57">
        <f>INT(tblJTL[[#This Row],[経過秒]]/60)</f>
        <v>7</v>
      </c>
      <c r="W1722" s="57">
        <f>IF(OR(tblJTL[[#This Row],[success]]=FALSE,tblJTL[[#This Row],[success]]="false"),1,0)</f>
        <v>0</v>
      </c>
      <c r="X1722" s="57">
        <f>IF(AND(tblJTL[[#This Row],[経過秒]]&gt;='17_分析サンプル'!$E$11,tblJTL[[#This Row],[経過秒]]&lt;'17_分析サンプル'!$E$12),1,0)</f>
        <v>1</v>
      </c>
    </row>
    <row r="1723" spans="2:24" ht="14.4" x14ac:dyDescent="0.3">
      <c r="B1723" s="57">
        <v>1790816830783</v>
      </c>
      <c r="C1723" s="58">
        <v>374</v>
      </c>
      <c r="D1723" s="59" t="s">
        <v>1677</v>
      </c>
      <c r="E1723" s="59" t="s">
        <v>3579</v>
      </c>
      <c r="F1723" s="59" t="s">
        <v>3580</v>
      </c>
      <c r="G1723" s="59" t="s">
        <v>3577</v>
      </c>
      <c r="H1723" s="59" t="s">
        <v>2281</v>
      </c>
      <c r="I1723" s="59" t="b">
        <v>1</v>
      </c>
      <c r="J1723" s="59"/>
      <c r="K1723" s="58">
        <v>412</v>
      </c>
      <c r="L1723" s="58">
        <v>1478</v>
      </c>
      <c r="M1723" s="59">
        <v>10</v>
      </c>
      <c r="N1723" s="59">
        <v>10</v>
      </c>
      <c r="O1723" s="59" t="s">
        <v>3581</v>
      </c>
      <c r="P1723" s="58">
        <v>368</v>
      </c>
      <c r="Q1723" s="59">
        <v>0</v>
      </c>
      <c r="R1723" s="59">
        <v>0</v>
      </c>
      <c r="S1723" s="60">
        <f>tblJTL[[#This Row],[timeStamp]]/86400000+DATE(1970,1,1)+TIME(9,0,0)</f>
        <v>46296.421652581019</v>
      </c>
      <c r="T1723" s="57">
        <f>tblJTL[[#This Row],[timeStamp]]+tblJTL[[#This Row],[elapsed]]</f>
        <v>1790816831157</v>
      </c>
      <c r="U1723" s="61">
        <f>(tblJTL[[#This Row],[timeStamp]]-'17_分析サンプル'!$E$18)/1000</f>
        <v>430.60300000000001</v>
      </c>
      <c r="V1723" s="57">
        <f>INT(tblJTL[[#This Row],[経過秒]]/60)</f>
        <v>7</v>
      </c>
      <c r="W1723" s="57">
        <f>IF(OR(tblJTL[[#This Row],[success]]=FALSE,tblJTL[[#This Row],[success]]="false"),1,0)</f>
        <v>0</v>
      </c>
      <c r="X1723" s="57">
        <f>IF(AND(tblJTL[[#This Row],[経過秒]]&gt;='17_分析サンプル'!$E$11,tblJTL[[#This Row],[経過秒]]&lt;'17_分析サンプル'!$E$12),1,0)</f>
        <v>1</v>
      </c>
    </row>
    <row r="1724" spans="2:24" ht="14.4" x14ac:dyDescent="0.3">
      <c r="B1724" s="57">
        <v>1790816831387</v>
      </c>
      <c r="C1724" s="58">
        <v>154</v>
      </c>
      <c r="D1724" s="59" t="s">
        <v>1677</v>
      </c>
      <c r="E1724" s="59" t="s">
        <v>3579</v>
      </c>
      <c r="F1724" s="59" t="s">
        <v>3580</v>
      </c>
      <c r="G1724" s="59" t="s">
        <v>3583</v>
      </c>
      <c r="H1724" s="59" t="s">
        <v>2281</v>
      </c>
      <c r="I1724" s="59" t="b">
        <v>1</v>
      </c>
      <c r="J1724" s="59"/>
      <c r="K1724" s="58">
        <v>440</v>
      </c>
      <c r="L1724" s="58">
        <v>1478</v>
      </c>
      <c r="M1724" s="59">
        <v>10</v>
      </c>
      <c r="N1724" s="59">
        <v>10</v>
      </c>
      <c r="O1724" s="59" t="s">
        <v>3581</v>
      </c>
      <c r="P1724" s="58">
        <v>152</v>
      </c>
      <c r="Q1724" s="59">
        <v>0</v>
      </c>
      <c r="R1724" s="59">
        <v>0</v>
      </c>
      <c r="S1724" s="60">
        <f>tblJTL[[#This Row],[timeStamp]]/86400000+DATE(1970,1,1)+TIME(9,0,0)</f>
        <v>46296.421659571759</v>
      </c>
      <c r="T1724" s="57">
        <f>tblJTL[[#This Row],[timeStamp]]+tblJTL[[#This Row],[elapsed]]</f>
        <v>1790816831541</v>
      </c>
      <c r="U1724" s="61">
        <f>(tblJTL[[#This Row],[timeStamp]]-'17_分析サンプル'!$E$18)/1000</f>
        <v>431.20699999999999</v>
      </c>
      <c r="V1724" s="57">
        <f>INT(tblJTL[[#This Row],[経過秒]]/60)</f>
        <v>7</v>
      </c>
      <c r="W1724" s="57">
        <f>IF(OR(tblJTL[[#This Row],[success]]=FALSE,tblJTL[[#This Row],[success]]="false"),1,0)</f>
        <v>0</v>
      </c>
      <c r="X1724" s="57">
        <f>IF(AND(tblJTL[[#This Row],[経過秒]]&gt;='17_分析サンプル'!$E$11,tblJTL[[#This Row],[経過秒]]&lt;'17_分析サンプル'!$E$12),1,0)</f>
        <v>1</v>
      </c>
    </row>
    <row r="1725" spans="2:24" ht="14.4" x14ac:dyDescent="0.3">
      <c r="B1725" s="57">
        <v>1790816831702</v>
      </c>
      <c r="C1725" s="58">
        <v>148</v>
      </c>
      <c r="D1725" s="59" t="s">
        <v>1677</v>
      </c>
      <c r="E1725" s="59" t="s">
        <v>3579</v>
      </c>
      <c r="F1725" s="59" t="s">
        <v>3580</v>
      </c>
      <c r="G1725" s="59" t="s">
        <v>3585</v>
      </c>
      <c r="H1725" s="59" t="s">
        <v>2281</v>
      </c>
      <c r="I1725" s="59" t="b">
        <v>1</v>
      </c>
      <c r="J1725" s="59"/>
      <c r="K1725" s="58">
        <v>440</v>
      </c>
      <c r="L1725" s="58">
        <v>1478</v>
      </c>
      <c r="M1725" s="59">
        <v>10</v>
      </c>
      <c r="N1725" s="59">
        <v>10</v>
      </c>
      <c r="O1725" s="59" t="s">
        <v>3581</v>
      </c>
      <c r="P1725" s="58">
        <v>140</v>
      </c>
      <c r="Q1725" s="59">
        <v>0</v>
      </c>
      <c r="R1725" s="59">
        <v>0</v>
      </c>
      <c r="S1725" s="60">
        <f>tblJTL[[#This Row],[timeStamp]]/86400000+DATE(1970,1,1)+TIME(9,0,0)</f>
        <v>46296.421663217596</v>
      </c>
      <c r="T1725" s="57">
        <f>tblJTL[[#This Row],[timeStamp]]+tblJTL[[#This Row],[elapsed]]</f>
        <v>1790816831850</v>
      </c>
      <c r="U1725" s="61">
        <f>(tblJTL[[#This Row],[timeStamp]]-'17_分析サンプル'!$E$18)/1000</f>
        <v>431.52199999999999</v>
      </c>
      <c r="V1725" s="57">
        <f>INT(tblJTL[[#This Row],[経過秒]]/60)</f>
        <v>7</v>
      </c>
      <c r="W1725" s="57">
        <f>IF(OR(tblJTL[[#This Row],[success]]=FALSE,tblJTL[[#This Row],[success]]="false"),1,0)</f>
        <v>0</v>
      </c>
      <c r="X1725" s="57">
        <f>IF(AND(tblJTL[[#This Row],[経過秒]]&gt;='17_分析サンプル'!$E$11,tblJTL[[#This Row],[経過秒]]&lt;'17_分析サンプル'!$E$12),1,0)</f>
        <v>1</v>
      </c>
    </row>
    <row r="1726" spans="2:24" ht="14.4" x14ac:dyDescent="0.3">
      <c r="B1726" s="57">
        <v>1790816832350</v>
      </c>
      <c r="C1726" s="58">
        <v>207</v>
      </c>
      <c r="D1726" s="59" t="s">
        <v>1677</v>
      </c>
      <c r="E1726" s="59" t="s">
        <v>3579</v>
      </c>
      <c r="F1726" s="59" t="s">
        <v>3580</v>
      </c>
      <c r="G1726" s="59" t="s">
        <v>3588</v>
      </c>
      <c r="H1726" s="59" t="s">
        <v>2281</v>
      </c>
      <c r="I1726" s="59" t="b">
        <v>1</v>
      </c>
      <c r="J1726" s="59"/>
      <c r="K1726" s="58">
        <v>429</v>
      </c>
      <c r="L1726" s="58">
        <v>1478</v>
      </c>
      <c r="M1726" s="59">
        <v>10</v>
      </c>
      <c r="N1726" s="59">
        <v>10</v>
      </c>
      <c r="O1726" s="59" t="s">
        <v>3581</v>
      </c>
      <c r="P1726" s="58">
        <v>203</v>
      </c>
      <c r="Q1726" s="59">
        <v>0</v>
      </c>
      <c r="R1726" s="59">
        <v>0</v>
      </c>
      <c r="S1726" s="60">
        <f>tblJTL[[#This Row],[timeStamp]]/86400000+DATE(1970,1,1)+TIME(9,0,0)</f>
        <v>46296.421670717595</v>
      </c>
      <c r="T1726" s="57">
        <f>tblJTL[[#This Row],[timeStamp]]+tblJTL[[#This Row],[elapsed]]</f>
        <v>1790816832557</v>
      </c>
      <c r="U1726" s="61">
        <f>(tblJTL[[#This Row],[timeStamp]]-'17_分析サンプル'!$E$18)/1000</f>
        <v>432.17</v>
      </c>
      <c r="V1726" s="57">
        <f>INT(tblJTL[[#This Row],[経過秒]]/60)</f>
        <v>7</v>
      </c>
      <c r="W1726" s="57">
        <f>IF(OR(tblJTL[[#This Row],[success]]=FALSE,tblJTL[[#This Row],[success]]="false"),1,0)</f>
        <v>0</v>
      </c>
      <c r="X1726" s="57">
        <f>IF(AND(tblJTL[[#This Row],[経過秒]]&gt;='17_分析サンプル'!$E$11,tblJTL[[#This Row],[経過秒]]&lt;'17_分析サンプル'!$E$12),1,0)</f>
        <v>1</v>
      </c>
    </row>
    <row r="1727" spans="2:24" ht="14.4" x14ac:dyDescent="0.3">
      <c r="B1727" s="57">
        <v>1790816832484</v>
      </c>
      <c r="C1727" s="58">
        <v>136</v>
      </c>
      <c r="D1727" s="59" t="s">
        <v>1658</v>
      </c>
      <c r="E1727" s="59" t="s">
        <v>1577</v>
      </c>
      <c r="F1727" s="59" t="s">
        <v>2275</v>
      </c>
      <c r="G1727" s="59" t="s">
        <v>3587</v>
      </c>
      <c r="H1727" s="59" t="s">
        <v>2281</v>
      </c>
      <c r="I1727" s="59" t="b">
        <v>1</v>
      </c>
      <c r="J1727" s="59"/>
      <c r="K1727" s="58">
        <v>1884</v>
      </c>
      <c r="L1727" s="58">
        <v>1342</v>
      </c>
      <c r="M1727" s="59">
        <v>10</v>
      </c>
      <c r="N1727" s="59">
        <v>10</v>
      </c>
      <c r="O1727" s="59" t="s">
        <v>3578</v>
      </c>
      <c r="P1727" s="58">
        <v>130</v>
      </c>
      <c r="Q1727" s="59">
        <v>0</v>
      </c>
      <c r="R1727" s="59">
        <v>0</v>
      </c>
      <c r="S1727" s="60">
        <f>tblJTL[[#This Row],[timeStamp]]/86400000+DATE(1970,1,1)+TIME(9,0,0)</f>
        <v>46296.421672268523</v>
      </c>
      <c r="T1727" s="57">
        <f>tblJTL[[#This Row],[timeStamp]]+tblJTL[[#This Row],[elapsed]]</f>
        <v>1790816832620</v>
      </c>
      <c r="U1727" s="61">
        <f>(tblJTL[[#This Row],[timeStamp]]-'17_分析サンプル'!$E$18)/1000</f>
        <v>432.30399999999997</v>
      </c>
      <c r="V1727" s="57">
        <f>INT(tblJTL[[#This Row],[経過秒]]/60)</f>
        <v>7</v>
      </c>
      <c r="W1727" s="57">
        <f>IF(OR(tblJTL[[#This Row],[success]]=FALSE,tblJTL[[#This Row],[success]]="false"),1,0)</f>
        <v>0</v>
      </c>
      <c r="X1727" s="57">
        <f>IF(AND(tblJTL[[#This Row],[経過秒]]&gt;='17_分析サンプル'!$E$11,tblJTL[[#This Row],[経過秒]]&lt;'17_分析サンプル'!$E$12),1,0)</f>
        <v>1</v>
      </c>
    </row>
    <row r="1728" spans="2:24" ht="14.4" x14ac:dyDescent="0.3">
      <c r="B1728" s="57">
        <v>1790816832319</v>
      </c>
      <c r="C1728" s="58">
        <v>343</v>
      </c>
      <c r="D1728" s="59" t="s">
        <v>1677</v>
      </c>
      <c r="E1728" s="59" t="s">
        <v>3579</v>
      </c>
      <c r="F1728" s="59" t="s">
        <v>3580</v>
      </c>
      <c r="G1728" s="59" t="s">
        <v>3584</v>
      </c>
      <c r="H1728" s="59" t="s">
        <v>2281</v>
      </c>
      <c r="I1728" s="59" t="b">
        <v>1</v>
      </c>
      <c r="J1728" s="59"/>
      <c r="K1728" s="58">
        <v>419</v>
      </c>
      <c r="L1728" s="58">
        <v>1478</v>
      </c>
      <c r="M1728" s="59">
        <v>10</v>
      </c>
      <c r="N1728" s="59">
        <v>10</v>
      </c>
      <c r="O1728" s="59" t="s">
        <v>3581</v>
      </c>
      <c r="P1728" s="58">
        <v>341</v>
      </c>
      <c r="Q1728" s="59">
        <v>0</v>
      </c>
      <c r="R1728" s="59">
        <v>0</v>
      </c>
      <c r="S1728" s="60">
        <f>tblJTL[[#This Row],[timeStamp]]/86400000+DATE(1970,1,1)+TIME(9,0,0)</f>
        <v>46296.421670358795</v>
      </c>
      <c r="T1728" s="57">
        <f>tblJTL[[#This Row],[timeStamp]]+tblJTL[[#This Row],[elapsed]]</f>
        <v>1790816832662</v>
      </c>
      <c r="U1728" s="61">
        <f>(tblJTL[[#This Row],[timeStamp]]-'17_分析サンプル'!$E$18)/1000</f>
        <v>432.13900000000001</v>
      </c>
      <c r="V1728" s="57">
        <f>INT(tblJTL[[#This Row],[経過秒]]/60)</f>
        <v>7</v>
      </c>
      <c r="W1728" s="57">
        <f>IF(OR(tblJTL[[#This Row],[success]]=FALSE,tblJTL[[#This Row],[success]]="false"),1,0)</f>
        <v>0</v>
      </c>
      <c r="X1728" s="57">
        <f>IF(AND(tblJTL[[#This Row],[経過秒]]&gt;='17_分析サンプル'!$E$11,tblJTL[[#This Row],[経過秒]]&lt;'17_分析サンプル'!$E$12),1,0)</f>
        <v>1</v>
      </c>
    </row>
    <row r="1729" spans="2:24" ht="14.4" x14ac:dyDescent="0.3">
      <c r="B1729" s="57">
        <v>1790816832501</v>
      </c>
      <c r="C1729" s="58">
        <v>259</v>
      </c>
      <c r="D1729" s="59" t="s">
        <v>1677</v>
      </c>
      <c r="E1729" s="59" t="s">
        <v>3579</v>
      </c>
      <c r="F1729" s="59" t="s">
        <v>3580</v>
      </c>
      <c r="G1729" s="59" t="s">
        <v>3589</v>
      </c>
      <c r="H1729" s="59" t="s">
        <v>2281</v>
      </c>
      <c r="I1729" s="59" t="b">
        <v>1</v>
      </c>
      <c r="J1729" s="59"/>
      <c r="K1729" s="58">
        <v>439</v>
      </c>
      <c r="L1729" s="58">
        <v>1478</v>
      </c>
      <c r="M1729" s="59">
        <v>10</v>
      </c>
      <c r="N1729" s="59">
        <v>10</v>
      </c>
      <c r="O1729" s="59" t="s">
        <v>3581</v>
      </c>
      <c r="P1729" s="58">
        <v>257</v>
      </c>
      <c r="Q1729" s="59">
        <v>0</v>
      </c>
      <c r="R1729" s="59">
        <v>0</v>
      </c>
      <c r="S1729" s="60">
        <f>tblJTL[[#This Row],[timeStamp]]/86400000+DATE(1970,1,1)+TIME(9,0,0)</f>
        <v>46296.42167246528</v>
      </c>
      <c r="T1729" s="57">
        <f>tblJTL[[#This Row],[timeStamp]]+tblJTL[[#This Row],[elapsed]]</f>
        <v>1790816832760</v>
      </c>
      <c r="U1729" s="61">
        <f>(tblJTL[[#This Row],[timeStamp]]-'17_分析サンプル'!$E$18)/1000</f>
        <v>432.32100000000003</v>
      </c>
      <c r="V1729" s="57">
        <f>INT(tblJTL[[#This Row],[経過秒]]/60)</f>
        <v>7</v>
      </c>
      <c r="W1729" s="57">
        <f>IF(OR(tblJTL[[#This Row],[success]]=FALSE,tblJTL[[#This Row],[success]]="false"),1,0)</f>
        <v>0</v>
      </c>
      <c r="X1729" s="57">
        <f>IF(AND(tblJTL[[#This Row],[経過秒]]&gt;='17_分析サンプル'!$E$11,tblJTL[[#This Row],[経過秒]]&lt;'17_分析サンプル'!$E$12),1,0)</f>
        <v>1</v>
      </c>
    </row>
    <row r="1730" spans="2:24" ht="14.4" x14ac:dyDescent="0.3">
      <c r="B1730" s="57">
        <v>1790816832635</v>
      </c>
      <c r="C1730" s="58">
        <v>149</v>
      </c>
      <c r="D1730" s="59" t="s">
        <v>1658</v>
      </c>
      <c r="E1730" s="59" t="s">
        <v>1577</v>
      </c>
      <c r="F1730" s="59" t="s">
        <v>2275</v>
      </c>
      <c r="G1730" s="59" t="s">
        <v>3577</v>
      </c>
      <c r="H1730" s="59" t="s">
        <v>2281</v>
      </c>
      <c r="I1730" s="59" t="b">
        <v>1</v>
      </c>
      <c r="J1730" s="59"/>
      <c r="K1730" s="58">
        <v>1887</v>
      </c>
      <c r="L1730" s="58">
        <v>1342</v>
      </c>
      <c r="M1730" s="59">
        <v>10</v>
      </c>
      <c r="N1730" s="59">
        <v>10</v>
      </c>
      <c r="O1730" s="59" t="s">
        <v>3578</v>
      </c>
      <c r="P1730" s="58">
        <v>143</v>
      </c>
      <c r="Q1730" s="59">
        <v>0</v>
      </c>
      <c r="R1730" s="59">
        <v>0</v>
      </c>
      <c r="S1730" s="60">
        <f>tblJTL[[#This Row],[timeStamp]]/86400000+DATE(1970,1,1)+TIME(9,0,0)</f>
        <v>46296.421674016208</v>
      </c>
      <c r="T1730" s="57">
        <f>tblJTL[[#This Row],[timeStamp]]+tblJTL[[#This Row],[elapsed]]</f>
        <v>1790816832784</v>
      </c>
      <c r="U1730" s="61">
        <f>(tblJTL[[#This Row],[timeStamp]]-'17_分析サンプル'!$E$18)/1000</f>
        <v>432.45499999999998</v>
      </c>
      <c r="V1730" s="57">
        <f>INT(tblJTL[[#This Row],[経過秒]]/60)</f>
        <v>7</v>
      </c>
      <c r="W1730" s="57">
        <f>IF(OR(tblJTL[[#This Row],[success]]=FALSE,tblJTL[[#This Row],[success]]="false"),1,0)</f>
        <v>0</v>
      </c>
      <c r="X1730" s="57">
        <f>IF(AND(tblJTL[[#This Row],[経過秒]]&gt;='17_分析サンプル'!$E$11,tblJTL[[#This Row],[経過秒]]&lt;'17_分析サンプル'!$E$12),1,0)</f>
        <v>1</v>
      </c>
    </row>
    <row r="1731" spans="2:24" ht="14.4" x14ac:dyDescent="0.3">
      <c r="B1731" s="57">
        <v>1790816833228</v>
      </c>
      <c r="C1731" s="58">
        <v>147</v>
      </c>
      <c r="D1731" s="59" t="s">
        <v>1658</v>
      </c>
      <c r="E1731" s="59" t="s">
        <v>1577</v>
      </c>
      <c r="F1731" s="59" t="s">
        <v>2275</v>
      </c>
      <c r="G1731" s="59" t="s">
        <v>2278</v>
      </c>
      <c r="H1731" s="59" t="s">
        <v>2281</v>
      </c>
      <c r="I1731" s="59" t="b">
        <v>1</v>
      </c>
      <c r="J1731" s="59"/>
      <c r="K1731" s="58">
        <v>1875</v>
      </c>
      <c r="L1731" s="58">
        <v>1342</v>
      </c>
      <c r="M1731" s="59">
        <v>10</v>
      </c>
      <c r="N1731" s="59">
        <v>10</v>
      </c>
      <c r="O1731" s="59" t="s">
        <v>3578</v>
      </c>
      <c r="P1731" s="58">
        <v>140</v>
      </c>
      <c r="Q1731" s="59">
        <v>0</v>
      </c>
      <c r="R1731" s="59">
        <v>0</v>
      </c>
      <c r="S1731" s="60">
        <f>tblJTL[[#This Row],[timeStamp]]/86400000+DATE(1970,1,1)+TIME(9,0,0)</f>
        <v>46296.421680879634</v>
      </c>
      <c r="T1731" s="57">
        <f>tblJTL[[#This Row],[timeStamp]]+tblJTL[[#This Row],[elapsed]]</f>
        <v>1790816833375</v>
      </c>
      <c r="U1731" s="61">
        <f>(tblJTL[[#This Row],[timeStamp]]-'17_分析サンプル'!$E$18)/1000</f>
        <v>433.048</v>
      </c>
      <c r="V1731" s="57">
        <f>INT(tblJTL[[#This Row],[経過秒]]/60)</f>
        <v>7</v>
      </c>
      <c r="W1731" s="57">
        <f>IF(OR(tblJTL[[#This Row],[success]]=FALSE,tblJTL[[#This Row],[success]]="false"),1,0)</f>
        <v>0</v>
      </c>
      <c r="X1731" s="57">
        <f>IF(AND(tblJTL[[#This Row],[経過秒]]&gt;='17_分析サンプル'!$E$11,tblJTL[[#This Row],[経過秒]]&lt;'17_分析サンプル'!$E$12),1,0)</f>
        <v>1</v>
      </c>
    </row>
    <row r="1732" spans="2:24" ht="14.4" x14ac:dyDescent="0.3">
      <c r="B1732" s="57">
        <v>1790816833480</v>
      </c>
      <c r="C1732" s="58">
        <v>133</v>
      </c>
      <c r="D1732" s="59" t="s">
        <v>1677</v>
      </c>
      <c r="E1732" s="59" t="s">
        <v>3579</v>
      </c>
      <c r="F1732" s="59" t="s">
        <v>3580</v>
      </c>
      <c r="G1732" s="59" t="s">
        <v>3582</v>
      </c>
      <c r="H1732" s="59" t="s">
        <v>2281</v>
      </c>
      <c r="I1732" s="59" t="b">
        <v>1</v>
      </c>
      <c r="J1732" s="59"/>
      <c r="K1732" s="58">
        <v>437</v>
      </c>
      <c r="L1732" s="58">
        <v>1478</v>
      </c>
      <c r="M1732" s="59">
        <v>10</v>
      </c>
      <c r="N1732" s="59">
        <v>10</v>
      </c>
      <c r="O1732" s="59" t="s">
        <v>3581</v>
      </c>
      <c r="P1732" s="58">
        <v>128</v>
      </c>
      <c r="Q1732" s="59">
        <v>0</v>
      </c>
      <c r="R1732" s="59">
        <v>0</v>
      </c>
      <c r="S1732" s="60">
        <f>tblJTL[[#This Row],[timeStamp]]/86400000+DATE(1970,1,1)+TIME(9,0,0)</f>
        <v>46296.421683796296</v>
      </c>
      <c r="T1732" s="57">
        <f>tblJTL[[#This Row],[timeStamp]]+tblJTL[[#This Row],[elapsed]]</f>
        <v>1790816833613</v>
      </c>
      <c r="U1732" s="61">
        <f>(tblJTL[[#This Row],[timeStamp]]-'17_分析サンプル'!$E$18)/1000</f>
        <v>433.3</v>
      </c>
      <c r="V1732" s="57">
        <f>INT(tblJTL[[#This Row],[経過秒]]/60)</f>
        <v>7</v>
      </c>
      <c r="W1732" s="57">
        <f>IF(OR(tblJTL[[#This Row],[success]]=FALSE,tblJTL[[#This Row],[success]]="false"),1,0)</f>
        <v>0</v>
      </c>
      <c r="X1732" s="57">
        <f>IF(AND(tblJTL[[#This Row],[経過秒]]&gt;='17_分析サンプル'!$E$11,tblJTL[[#This Row],[経過秒]]&lt;'17_分析サンプル'!$E$12),1,0)</f>
        <v>1</v>
      </c>
    </row>
    <row r="1733" spans="2:24" ht="14.4" x14ac:dyDescent="0.3">
      <c r="B1733" s="57">
        <v>1790816833516</v>
      </c>
      <c r="C1733" s="58">
        <v>224</v>
      </c>
      <c r="D1733" s="59" t="s">
        <v>1677</v>
      </c>
      <c r="E1733" s="59" t="s">
        <v>3579</v>
      </c>
      <c r="F1733" s="59" t="s">
        <v>3580</v>
      </c>
      <c r="G1733" s="59" t="s">
        <v>3586</v>
      </c>
      <c r="H1733" s="59" t="s">
        <v>2281</v>
      </c>
      <c r="I1733" s="59" t="b">
        <v>1</v>
      </c>
      <c r="J1733" s="59"/>
      <c r="K1733" s="58">
        <v>417</v>
      </c>
      <c r="L1733" s="58">
        <v>1478</v>
      </c>
      <c r="M1733" s="59">
        <v>10</v>
      </c>
      <c r="N1733" s="59">
        <v>10</v>
      </c>
      <c r="O1733" s="59" t="s">
        <v>3581</v>
      </c>
      <c r="P1733" s="58">
        <v>221</v>
      </c>
      <c r="Q1733" s="59">
        <v>0</v>
      </c>
      <c r="R1733" s="59">
        <v>0</v>
      </c>
      <c r="S1733" s="60">
        <f>tblJTL[[#This Row],[timeStamp]]/86400000+DATE(1970,1,1)+TIME(9,0,0)</f>
        <v>46296.421684212968</v>
      </c>
      <c r="T1733" s="57">
        <f>tblJTL[[#This Row],[timeStamp]]+tblJTL[[#This Row],[elapsed]]</f>
        <v>1790816833740</v>
      </c>
      <c r="U1733" s="61">
        <f>(tblJTL[[#This Row],[timeStamp]]-'17_分析サンプル'!$E$18)/1000</f>
        <v>433.33600000000001</v>
      </c>
      <c r="V1733" s="57">
        <f>INT(tblJTL[[#This Row],[経過秒]]/60)</f>
        <v>7</v>
      </c>
      <c r="W1733" s="57">
        <f>IF(OR(tblJTL[[#This Row],[success]]=FALSE,tblJTL[[#This Row],[success]]="false"),1,0)</f>
        <v>0</v>
      </c>
      <c r="X1733" s="57">
        <f>IF(AND(tblJTL[[#This Row],[経過秒]]&gt;='17_分析サンプル'!$E$11,tblJTL[[#This Row],[経過秒]]&lt;'17_分析サンプル'!$E$12),1,0)</f>
        <v>1</v>
      </c>
    </row>
    <row r="1734" spans="2:24" ht="14.4" x14ac:dyDescent="0.3">
      <c r="B1734" s="57">
        <v>1790816834332</v>
      </c>
      <c r="C1734" s="58">
        <v>106</v>
      </c>
      <c r="D1734" s="59" t="s">
        <v>1658</v>
      </c>
      <c r="E1734" s="59" t="s">
        <v>1577</v>
      </c>
      <c r="F1734" s="59" t="s">
        <v>2275</v>
      </c>
      <c r="G1734" s="59" t="s">
        <v>3583</v>
      </c>
      <c r="H1734" s="59" t="s">
        <v>2281</v>
      </c>
      <c r="I1734" s="59" t="b">
        <v>1</v>
      </c>
      <c r="J1734" s="59"/>
      <c r="K1734" s="58">
        <v>1858</v>
      </c>
      <c r="L1734" s="58">
        <v>1342</v>
      </c>
      <c r="M1734" s="59">
        <v>10</v>
      </c>
      <c r="N1734" s="59">
        <v>10</v>
      </c>
      <c r="O1734" s="59" t="s">
        <v>3578</v>
      </c>
      <c r="P1734" s="58">
        <v>100</v>
      </c>
      <c r="Q1734" s="59">
        <v>0</v>
      </c>
      <c r="R1734" s="59">
        <v>0</v>
      </c>
      <c r="S1734" s="60">
        <f>tblJTL[[#This Row],[timeStamp]]/86400000+DATE(1970,1,1)+TIME(9,0,0)</f>
        <v>46296.421693657408</v>
      </c>
      <c r="T1734" s="57">
        <f>tblJTL[[#This Row],[timeStamp]]+tblJTL[[#This Row],[elapsed]]</f>
        <v>1790816834438</v>
      </c>
      <c r="U1734" s="61">
        <f>(tblJTL[[#This Row],[timeStamp]]-'17_分析サンプル'!$E$18)/1000</f>
        <v>434.15199999999999</v>
      </c>
      <c r="V1734" s="57">
        <f>INT(tblJTL[[#This Row],[経過秒]]/60)</f>
        <v>7</v>
      </c>
      <c r="W1734" s="57">
        <f>IF(OR(tblJTL[[#This Row],[success]]=FALSE,tblJTL[[#This Row],[success]]="false"),1,0)</f>
        <v>0</v>
      </c>
      <c r="X1734" s="57">
        <f>IF(AND(tblJTL[[#This Row],[経過秒]]&gt;='17_分析サンプル'!$E$11,tblJTL[[#This Row],[経過秒]]&lt;'17_分析サンプル'!$E$12),1,0)</f>
        <v>1</v>
      </c>
    </row>
    <row r="1735" spans="2:24" ht="14.4" x14ac:dyDescent="0.3">
      <c r="B1735" s="57">
        <v>1790816834240</v>
      </c>
      <c r="C1735" s="58">
        <v>253</v>
      </c>
      <c r="D1735" s="59" t="s">
        <v>1677</v>
      </c>
      <c r="E1735" s="59" t="s">
        <v>3579</v>
      </c>
      <c r="F1735" s="59" t="s">
        <v>3580</v>
      </c>
      <c r="G1735" s="59" t="s">
        <v>3587</v>
      </c>
      <c r="H1735" s="59" t="s">
        <v>2281</v>
      </c>
      <c r="I1735" s="59" t="b">
        <v>1</v>
      </c>
      <c r="J1735" s="59"/>
      <c r="K1735" s="58">
        <v>416</v>
      </c>
      <c r="L1735" s="58">
        <v>1478</v>
      </c>
      <c r="M1735" s="59">
        <v>10</v>
      </c>
      <c r="N1735" s="59">
        <v>10</v>
      </c>
      <c r="O1735" s="59" t="s">
        <v>3581</v>
      </c>
      <c r="P1735" s="58">
        <v>251</v>
      </c>
      <c r="Q1735" s="59">
        <v>0</v>
      </c>
      <c r="R1735" s="59">
        <v>0</v>
      </c>
      <c r="S1735" s="60">
        <f>tblJTL[[#This Row],[timeStamp]]/86400000+DATE(1970,1,1)+TIME(9,0,0)</f>
        <v>46296.421692592594</v>
      </c>
      <c r="T1735" s="57">
        <f>tblJTL[[#This Row],[timeStamp]]+tblJTL[[#This Row],[elapsed]]</f>
        <v>1790816834493</v>
      </c>
      <c r="U1735" s="61">
        <f>(tblJTL[[#This Row],[timeStamp]]-'17_分析サンプル'!$E$18)/1000</f>
        <v>434.06</v>
      </c>
      <c r="V1735" s="57">
        <f>INT(tblJTL[[#This Row],[経過秒]]/60)</f>
        <v>7</v>
      </c>
      <c r="W1735" s="57">
        <f>IF(OR(tblJTL[[#This Row],[success]]=FALSE,tblJTL[[#This Row],[success]]="false"),1,0)</f>
        <v>0</v>
      </c>
      <c r="X1735" s="57">
        <f>IF(AND(tblJTL[[#This Row],[経過秒]]&gt;='17_分析サンプル'!$E$11,tblJTL[[#This Row],[経過秒]]&lt;'17_分析サンプル'!$E$12),1,0)</f>
        <v>1</v>
      </c>
    </row>
    <row r="1736" spans="2:24" ht="14.4" x14ac:dyDescent="0.3">
      <c r="B1736" s="57">
        <v>1790816834537</v>
      </c>
      <c r="C1736" s="58">
        <v>124</v>
      </c>
      <c r="D1736" s="59" t="s">
        <v>1658</v>
      </c>
      <c r="E1736" s="59" t="s">
        <v>1577</v>
      </c>
      <c r="F1736" s="59" t="s">
        <v>2275</v>
      </c>
      <c r="G1736" s="59" t="s">
        <v>3589</v>
      </c>
      <c r="H1736" s="59" t="s">
        <v>2281</v>
      </c>
      <c r="I1736" s="59" t="b">
        <v>1</v>
      </c>
      <c r="J1736" s="59"/>
      <c r="K1736" s="58">
        <v>1824</v>
      </c>
      <c r="L1736" s="58">
        <v>1342</v>
      </c>
      <c r="M1736" s="59">
        <v>10</v>
      </c>
      <c r="N1736" s="59">
        <v>10</v>
      </c>
      <c r="O1736" s="59" t="s">
        <v>3578</v>
      </c>
      <c r="P1736" s="58">
        <v>121</v>
      </c>
      <c r="Q1736" s="59">
        <v>0</v>
      </c>
      <c r="R1736" s="59">
        <v>0</v>
      </c>
      <c r="S1736" s="60">
        <f>tblJTL[[#This Row],[timeStamp]]/86400000+DATE(1970,1,1)+TIME(9,0,0)</f>
        <v>46296.421696030091</v>
      </c>
      <c r="T1736" s="57">
        <f>tblJTL[[#This Row],[timeStamp]]+tblJTL[[#This Row],[elapsed]]</f>
        <v>1790816834661</v>
      </c>
      <c r="U1736" s="61">
        <f>(tblJTL[[#This Row],[timeStamp]]-'17_分析サンプル'!$E$18)/1000</f>
        <v>434.35700000000003</v>
      </c>
      <c r="V1736" s="57">
        <f>INT(tblJTL[[#This Row],[経過秒]]/60)</f>
        <v>7</v>
      </c>
      <c r="W1736" s="57">
        <f>IF(OR(tblJTL[[#This Row],[success]]=FALSE,tblJTL[[#This Row],[success]]="false"),1,0)</f>
        <v>0</v>
      </c>
      <c r="X1736" s="57">
        <f>IF(AND(tblJTL[[#This Row],[経過秒]]&gt;='17_分析サンプル'!$E$11,tblJTL[[#This Row],[経過秒]]&lt;'17_分析サンプル'!$E$12),1,0)</f>
        <v>1</v>
      </c>
    </row>
    <row r="1737" spans="2:24" ht="14.4" x14ac:dyDescent="0.3">
      <c r="B1737" s="57">
        <v>1790816834723</v>
      </c>
      <c r="C1737" s="58">
        <v>139</v>
      </c>
      <c r="D1737" s="59" t="s">
        <v>1658</v>
      </c>
      <c r="E1737" s="59" t="s">
        <v>1577</v>
      </c>
      <c r="F1737" s="59" t="s">
        <v>2275</v>
      </c>
      <c r="G1737" s="59" t="s">
        <v>3585</v>
      </c>
      <c r="H1737" s="59" t="s">
        <v>2281</v>
      </c>
      <c r="I1737" s="59" t="b">
        <v>1</v>
      </c>
      <c r="J1737" s="59"/>
      <c r="K1737" s="58">
        <v>1853</v>
      </c>
      <c r="L1737" s="58">
        <v>1342</v>
      </c>
      <c r="M1737" s="59">
        <v>10</v>
      </c>
      <c r="N1737" s="59">
        <v>10</v>
      </c>
      <c r="O1737" s="59" t="s">
        <v>3578</v>
      </c>
      <c r="P1737" s="58">
        <v>135</v>
      </c>
      <c r="Q1737" s="59">
        <v>0</v>
      </c>
      <c r="R1737" s="59">
        <v>0</v>
      </c>
      <c r="S1737" s="60">
        <f>tblJTL[[#This Row],[timeStamp]]/86400000+DATE(1970,1,1)+TIME(9,0,0)</f>
        <v>46296.421698182865</v>
      </c>
      <c r="T1737" s="57">
        <f>tblJTL[[#This Row],[timeStamp]]+tblJTL[[#This Row],[elapsed]]</f>
        <v>1790816834862</v>
      </c>
      <c r="U1737" s="61">
        <f>(tblJTL[[#This Row],[timeStamp]]-'17_分析サンプル'!$E$18)/1000</f>
        <v>434.54300000000001</v>
      </c>
      <c r="V1737" s="57">
        <f>INT(tblJTL[[#This Row],[経過秒]]/60)</f>
        <v>7</v>
      </c>
      <c r="W1737" s="57">
        <f>IF(OR(tblJTL[[#This Row],[success]]=FALSE,tblJTL[[#This Row],[success]]="false"),1,0)</f>
        <v>0</v>
      </c>
      <c r="X1737" s="57">
        <f>IF(AND(tblJTL[[#This Row],[経過秒]]&gt;='17_分析サンプル'!$E$11,tblJTL[[#This Row],[経過秒]]&lt;'17_分析サンプル'!$E$12),1,0)</f>
        <v>1</v>
      </c>
    </row>
    <row r="1738" spans="2:24" ht="14.4" x14ac:dyDescent="0.3">
      <c r="B1738" s="57">
        <v>1790816835008</v>
      </c>
      <c r="C1738" s="58">
        <v>101</v>
      </c>
      <c r="D1738" s="59" t="s">
        <v>1658</v>
      </c>
      <c r="E1738" s="59" t="s">
        <v>1577</v>
      </c>
      <c r="F1738" s="59" t="s">
        <v>2275</v>
      </c>
      <c r="G1738" s="59" t="s">
        <v>3588</v>
      </c>
      <c r="H1738" s="59" t="s">
        <v>2281</v>
      </c>
      <c r="I1738" s="59" t="b">
        <v>1</v>
      </c>
      <c r="J1738" s="59"/>
      <c r="K1738" s="58">
        <v>1834</v>
      </c>
      <c r="L1738" s="58">
        <v>1342</v>
      </c>
      <c r="M1738" s="59">
        <v>10</v>
      </c>
      <c r="N1738" s="59">
        <v>10</v>
      </c>
      <c r="O1738" s="59" t="s">
        <v>3578</v>
      </c>
      <c r="P1738" s="58">
        <v>93</v>
      </c>
      <c r="Q1738" s="59">
        <v>0</v>
      </c>
      <c r="R1738" s="59">
        <v>0</v>
      </c>
      <c r="S1738" s="60">
        <f>tblJTL[[#This Row],[timeStamp]]/86400000+DATE(1970,1,1)+TIME(9,0,0)</f>
        <v>46296.421701481479</v>
      </c>
      <c r="T1738" s="57">
        <f>tblJTL[[#This Row],[timeStamp]]+tblJTL[[#This Row],[elapsed]]</f>
        <v>1790816835109</v>
      </c>
      <c r="U1738" s="61">
        <f>(tblJTL[[#This Row],[timeStamp]]-'17_分析サンプル'!$E$18)/1000</f>
        <v>434.82799999999997</v>
      </c>
      <c r="V1738" s="57">
        <f>INT(tblJTL[[#This Row],[経過秒]]/60)</f>
        <v>7</v>
      </c>
      <c r="W1738" s="57">
        <f>IF(OR(tblJTL[[#This Row],[success]]=FALSE,tblJTL[[#This Row],[success]]="false"),1,0)</f>
        <v>0</v>
      </c>
      <c r="X1738" s="57">
        <f>IF(AND(tblJTL[[#This Row],[経過秒]]&gt;='17_分析サンプル'!$E$11,tblJTL[[#This Row],[経過秒]]&lt;'17_分析サンプル'!$E$12),1,0)</f>
        <v>1</v>
      </c>
    </row>
    <row r="1739" spans="2:24" ht="14.4" x14ac:dyDescent="0.3">
      <c r="B1739" s="57">
        <v>1790816835592</v>
      </c>
      <c r="C1739" s="58">
        <v>168</v>
      </c>
      <c r="D1739" s="59" t="s">
        <v>1677</v>
      </c>
      <c r="E1739" s="59" t="s">
        <v>3579</v>
      </c>
      <c r="F1739" s="59" t="s">
        <v>3580</v>
      </c>
      <c r="G1739" s="59" t="s">
        <v>3577</v>
      </c>
      <c r="H1739" s="59" t="s">
        <v>2281</v>
      </c>
      <c r="I1739" s="59" t="b">
        <v>1</v>
      </c>
      <c r="J1739" s="59"/>
      <c r="K1739" s="58">
        <v>424</v>
      </c>
      <c r="L1739" s="58">
        <v>1478</v>
      </c>
      <c r="M1739" s="59">
        <v>10</v>
      </c>
      <c r="N1739" s="59">
        <v>10</v>
      </c>
      <c r="O1739" s="59" t="s">
        <v>3581</v>
      </c>
      <c r="P1739" s="58">
        <v>160</v>
      </c>
      <c r="Q1739" s="59">
        <v>0</v>
      </c>
      <c r="R1739" s="59">
        <v>0</v>
      </c>
      <c r="S1739" s="60">
        <f>tblJTL[[#This Row],[timeStamp]]/86400000+DATE(1970,1,1)+TIME(9,0,0)</f>
        <v>46296.421708240741</v>
      </c>
      <c r="T1739" s="57">
        <f>tblJTL[[#This Row],[timeStamp]]+tblJTL[[#This Row],[elapsed]]</f>
        <v>1790816835760</v>
      </c>
      <c r="U1739" s="61">
        <f>(tblJTL[[#This Row],[timeStamp]]-'17_分析サンプル'!$E$18)/1000</f>
        <v>435.41199999999998</v>
      </c>
      <c r="V1739" s="57">
        <f>INT(tblJTL[[#This Row],[経過秒]]/60)</f>
        <v>7</v>
      </c>
      <c r="W1739" s="57">
        <f>IF(OR(tblJTL[[#This Row],[success]]=FALSE,tblJTL[[#This Row],[success]]="false"),1,0)</f>
        <v>0</v>
      </c>
      <c r="X1739" s="57">
        <f>IF(AND(tblJTL[[#This Row],[経過秒]]&gt;='17_分析サンプル'!$E$11,tblJTL[[#This Row],[経過秒]]&lt;'17_分析サンプル'!$E$12),1,0)</f>
        <v>1</v>
      </c>
    </row>
    <row r="1740" spans="2:24" ht="14.4" x14ac:dyDescent="0.3">
      <c r="B1740" s="57">
        <v>1790816835641</v>
      </c>
      <c r="C1740" s="58">
        <v>187</v>
      </c>
      <c r="D1740" s="59" t="s">
        <v>1658</v>
      </c>
      <c r="E1740" s="59" t="s">
        <v>1577</v>
      </c>
      <c r="F1740" s="59" t="s">
        <v>2275</v>
      </c>
      <c r="G1740" s="59" t="s">
        <v>3584</v>
      </c>
      <c r="H1740" s="59" t="s">
        <v>2281</v>
      </c>
      <c r="I1740" s="59" t="b">
        <v>1</v>
      </c>
      <c r="J1740" s="59"/>
      <c r="K1740" s="58">
        <v>1899</v>
      </c>
      <c r="L1740" s="58">
        <v>1342</v>
      </c>
      <c r="M1740" s="59">
        <v>10</v>
      </c>
      <c r="N1740" s="59">
        <v>10</v>
      </c>
      <c r="O1740" s="59" t="s">
        <v>3578</v>
      </c>
      <c r="P1740" s="58">
        <v>180</v>
      </c>
      <c r="Q1740" s="59">
        <v>0</v>
      </c>
      <c r="R1740" s="59">
        <v>0</v>
      </c>
      <c r="S1740" s="60">
        <f>tblJTL[[#This Row],[timeStamp]]/86400000+DATE(1970,1,1)+TIME(9,0,0)</f>
        <v>46296.421708807873</v>
      </c>
      <c r="T1740" s="57">
        <f>tblJTL[[#This Row],[timeStamp]]+tblJTL[[#This Row],[elapsed]]</f>
        <v>1790816835828</v>
      </c>
      <c r="U1740" s="61">
        <f>(tblJTL[[#This Row],[timeStamp]]-'17_分析サンプル'!$E$18)/1000</f>
        <v>435.46100000000001</v>
      </c>
      <c r="V1740" s="57">
        <f>INT(tblJTL[[#This Row],[経過秒]]/60)</f>
        <v>7</v>
      </c>
      <c r="W1740" s="57">
        <f>IF(OR(tblJTL[[#This Row],[success]]=FALSE,tblJTL[[#This Row],[success]]="false"),1,0)</f>
        <v>0</v>
      </c>
      <c r="X1740" s="57">
        <f>IF(AND(tblJTL[[#This Row],[経過秒]]&gt;='17_分析サンプル'!$E$11,tblJTL[[#This Row],[経過秒]]&lt;'17_分析サンプル'!$E$12),1,0)</f>
        <v>1</v>
      </c>
    </row>
    <row r="1741" spans="2:24" ht="14.4" x14ac:dyDescent="0.3">
      <c r="B1741" s="57">
        <v>1790816835634</v>
      </c>
      <c r="C1741" s="58">
        <v>205</v>
      </c>
      <c r="D1741" s="59" t="s">
        <v>1677</v>
      </c>
      <c r="E1741" s="59" t="s">
        <v>3579</v>
      </c>
      <c r="F1741" s="59" t="s">
        <v>3580</v>
      </c>
      <c r="G1741" s="59" t="s">
        <v>2278</v>
      </c>
      <c r="H1741" s="59" t="s">
        <v>2281</v>
      </c>
      <c r="I1741" s="59" t="b">
        <v>1</v>
      </c>
      <c r="J1741" s="59"/>
      <c r="K1741" s="58">
        <v>427</v>
      </c>
      <c r="L1741" s="58">
        <v>1478</v>
      </c>
      <c r="M1741" s="59">
        <v>10</v>
      </c>
      <c r="N1741" s="59">
        <v>10</v>
      </c>
      <c r="O1741" s="59" t="s">
        <v>3581</v>
      </c>
      <c r="P1741" s="58">
        <v>198</v>
      </c>
      <c r="Q1741" s="59">
        <v>0</v>
      </c>
      <c r="R1741" s="59">
        <v>0</v>
      </c>
      <c r="S1741" s="60">
        <f>tblJTL[[#This Row],[timeStamp]]/86400000+DATE(1970,1,1)+TIME(9,0,0)</f>
        <v>46296.421708726848</v>
      </c>
      <c r="T1741" s="57">
        <f>tblJTL[[#This Row],[timeStamp]]+tblJTL[[#This Row],[elapsed]]</f>
        <v>1790816835839</v>
      </c>
      <c r="U1741" s="61">
        <f>(tblJTL[[#This Row],[timeStamp]]-'17_分析サンプル'!$E$18)/1000</f>
        <v>435.45400000000001</v>
      </c>
      <c r="V1741" s="57">
        <f>INT(tblJTL[[#This Row],[経過秒]]/60)</f>
        <v>7</v>
      </c>
      <c r="W1741" s="57">
        <f>IF(OR(tblJTL[[#This Row],[success]]=FALSE,tblJTL[[#This Row],[success]]="false"),1,0)</f>
        <v>0</v>
      </c>
      <c r="X1741" s="57">
        <f>IF(AND(tblJTL[[#This Row],[経過秒]]&gt;='17_分析サンプル'!$E$11,tblJTL[[#This Row],[経過秒]]&lt;'17_分析サンプル'!$E$12),1,0)</f>
        <v>1</v>
      </c>
    </row>
    <row r="1742" spans="2:24" ht="14.4" x14ac:dyDescent="0.3">
      <c r="B1742" s="57">
        <v>1790816835997</v>
      </c>
      <c r="C1742" s="58">
        <v>100</v>
      </c>
      <c r="D1742" s="59" t="s">
        <v>1658</v>
      </c>
      <c r="E1742" s="59" t="s">
        <v>1577</v>
      </c>
      <c r="F1742" s="59" t="s">
        <v>2275</v>
      </c>
      <c r="G1742" s="59" t="s">
        <v>3586</v>
      </c>
      <c r="H1742" s="59" t="s">
        <v>2281</v>
      </c>
      <c r="I1742" s="59" t="b">
        <v>1</v>
      </c>
      <c r="J1742" s="59"/>
      <c r="K1742" s="58">
        <v>1869</v>
      </c>
      <c r="L1742" s="58">
        <v>1342</v>
      </c>
      <c r="M1742" s="59">
        <v>10</v>
      </c>
      <c r="N1742" s="59">
        <v>10</v>
      </c>
      <c r="O1742" s="59" t="s">
        <v>3578</v>
      </c>
      <c r="P1742" s="58">
        <v>96</v>
      </c>
      <c r="Q1742" s="59">
        <v>0</v>
      </c>
      <c r="R1742" s="59">
        <v>0</v>
      </c>
      <c r="S1742" s="60">
        <f>tblJTL[[#This Row],[timeStamp]]/86400000+DATE(1970,1,1)+TIME(9,0,0)</f>
        <v>46296.421712928241</v>
      </c>
      <c r="T1742" s="57">
        <f>tblJTL[[#This Row],[timeStamp]]+tblJTL[[#This Row],[elapsed]]</f>
        <v>1790816836097</v>
      </c>
      <c r="U1742" s="61">
        <f>(tblJTL[[#This Row],[timeStamp]]-'17_分析サンプル'!$E$18)/1000</f>
        <v>435.81700000000001</v>
      </c>
      <c r="V1742" s="57">
        <f>INT(tblJTL[[#This Row],[経過秒]]/60)</f>
        <v>7</v>
      </c>
      <c r="W1742" s="57">
        <f>IF(OR(tblJTL[[#This Row],[success]]=FALSE,tblJTL[[#This Row],[success]]="false"),1,0)</f>
        <v>0</v>
      </c>
      <c r="X1742" s="57">
        <f>IF(AND(tblJTL[[#This Row],[経過秒]]&gt;='17_分析サンプル'!$E$11,tblJTL[[#This Row],[経過秒]]&lt;'17_分析サンプル'!$E$12),1,0)</f>
        <v>1</v>
      </c>
    </row>
    <row r="1743" spans="2:24" ht="14.4" x14ac:dyDescent="0.3">
      <c r="B1743" s="57">
        <v>1790816836004</v>
      </c>
      <c r="C1743" s="58">
        <v>228</v>
      </c>
      <c r="D1743" s="59" t="s">
        <v>1677</v>
      </c>
      <c r="E1743" s="59" t="s">
        <v>3579</v>
      </c>
      <c r="F1743" s="59" t="s">
        <v>3580</v>
      </c>
      <c r="G1743" s="59" t="s">
        <v>3589</v>
      </c>
      <c r="H1743" s="59" t="s">
        <v>2281</v>
      </c>
      <c r="I1743" s="59" t="b">
        <v>1</v>
      </c>
      <c r="J1743" s="59"/>
      <c r="K1743" s="58">
        <v>415</v>
      </c>
      <c r="L1743" s="58">
        <v>1478</v>
      </c>
      <c r="M1743" s="59">
        <v>10</v>
      </c>
      <c r="N1743" s="59">
        <v>10</v>
      </c>
      <c r="O1743" s="59" t="s">
        <v>3581</v>
      </c>
      <c r="P1743" s="58">
        <v>224</v>
      </c>
      <c r="Q1743" s="59">
        <v>0</v>
      </c>
      <c r="R1743" s="59">
        <v>0</v>
      </c>
      <c r="S1743" s="60">
        <f>tblJTL[[#This Row],[timeStamp]]/86400000+DATE(1970,1,1)+TIME(9,0,0)</f>
        <v>46296.421713009258</v>
      </c>
      <c r="T1743" s="57">
        <f>tblJTL[[#This Row],[timeStamp]]+tblJTL[[#This Row],[elapsed]]</f>
        <v>1790816836232</v>
      </c>
      <c r="U1743" s="61">
        <f>(tblJTL[[#This Row],[timeStamp]]-'17_分析サンプル'!$E$18)/1000</f>
        <v>435.82400000000001</v>
      </c>
      <c r="V1743" s="57">
        <f>INT(tblJTL[[#This Row],[経過秒]]/60)</f>
        <v>7</v>
      </c>
      <c r="W1743" s="57">
        <f>IF(OR(tblJTL[[#This Row],[success]]=FALSE,tblJTL[[#This Row],[success]]="false"),1,0)</f>
        <v>0</v>
      </c>
      <c r="X1743" s="57">
        <f>IF(AND(tblJTL[[#This Row],[経過秒]]&gt;='17_分析サンプル'!$E$11,tblJTL[[#This Row],[経過秒]]&lt;'17_分析サンプル'!$E$12),1,0)</f>
        <v>1</v>
      </c>
    </row>
    <row r="1744" spans="2:24" ht="14.4" x14ac:dyDescent="0.3">
      <c r="B1744" s="57">
        <v>1790816836354</v>
      </c>
      <c r="C1744" s="58">
        <v>87</v>
      </c>
      <c r="D1744" s="59" t="s">
        <v>1658</v>
      </c>
      <c r="E1744" s="59" t="s">
        <v>1577</v>
      </c>
      <c r="F1744" s="59" t="s">
        <v>2275</v>
      </c>
      <c r="G1744" s="59" t="s">
        <v>3582</v>
      </c>
      <c r="H1744" s="59" t="s">
        <v>2281</v>
      </c>
      <c r="I1744" s="59" t="b">
        <v>1</v>
      </c>
      <c r="J1744" s="59"/>
      <c r="K1744" s="58">
        <v>1854</v>
      </c>
      <c r="L1744" s="58">
        <v>1342</v>
      </c>
      <c r="M1744" s="59">
        <v>10</v>
      </c>
      <c r="N1744" s="59">
        <v>10</v>
      </c>
      <c r="O1744" s="59" t="s">
        <v>3578</v>
      </c>
      <c r="P1744" s="58">
        <v>84</v>
      </c>
      <c r="Q1744" s="59">
        <v>0</v>
      </c>
      <c r="R1744" s="59">
        <v>0</v>
      </c>
      <c r="S1744" s="60">
        <f>tblJTL[[#This Row],[timeStamp]]/86400000+DATE(1970,1,1)+TIME(9,0,0)</f>
        <v>46296.421717060184</v>
      </c>
      <c r="T1744" s="57">
        <f>tblJTL[[#This Row],[timeStamp]]+tblJTL[[#This Row],[elapsed]]</f>
        <v>1790816836441</v>
      </c>
      <c r="U1744" s="61">
        <f>(tblJTL[[#This Row],[timeStamp]]-'17_分析サンプル'!$E$18)/1000</f>
        <v>436.17399999999998</v>
      </c>
      <c r="V1744" s="57">
        <f>INT(tblJTL[[#This Row],[経過秒]]/60)</f>
        <v>7</v>
      </c>
      <c r="W1744" s="57">
        <f>IF(OR(tblJTL[[#This Row],[success]]=FALSE,tblJTL[[#This Row],[success]]="false"),1,0)</f>
        <v>0</v>
      </c>
      <c r="X1744" s="57">
        <f>IF(AND(tblJTL[[#This Row],[経過秒]]&gt;='17_分析サンプル'!$E$11,tblJTL[[#This Row],[経過秒]]&lt;'17_分析サンプル'!$E$12),1,0)</f>
        <v>1</v>
      </c>
    </row>
    <row r="1745" spans="2:24" ht="14.4" x14ac:dyDescent="0.3">
      <c r="B1745" s="57">
        <v>1790816836439</v>
      </c>
      <c r="C1745" s="58">
        <v>121</v>
      </c>
      <c r="D1745" s="59" t="s">
        <v>1677</v>
      </c>
      <c r="E1745" s="59" t="s">
        <v>3579</v>
      </c>
      <c r="F1745" s="59" t="s">
        <v>3580</v>
      </c>
      <c r="G1745" s="59" t="s">
        <v>3583</v>
      </c>
      <c r="H1745" s="59" t="s">
        <v>2281</v>
      </c>
      <c r="I1745" s="59" t="b">
        <v>1</v>
      </c>
      <c r="J1745" s="59"/>
      <c r="K1745" s="58">
        <v>434</v>
      </c>
      <c r="L1745" s="58">
        <v>1478</v>
      </c>
      <c r="M1745" s="59">
        <v>10</v>
      </c>
      <c r="N1745" s="59">
        <v>10</v>
      </c>
      <c r="O1745" s="59" t="s">
        <v>3581</v>
      </c>
      <c r="P1745" s="58">
        <v>118</v>
      </c>
      <c r="Q1745" s="59">
        <v>0</v>
      </c>
      <c r="R1745" s="59">
        <v>0</v>
      </c>
      <c r="S1745" s="60">
        <f>tblJTL[[#This Row],[timeStamp]]/86400000+DATE(1970,1,1)+TIME(9,0,0)</f>
        <v>46296.421718043981</v>
      </c>
      <c r="T1745" s="57">
        <f>tblJTL[[#This Row],[timeStamp]]+tblJTL[[#This Row],[elapsed]]</f>
        <v>1790816836560</v>
      </c>
      <c r="U1745" s="61">
        <f>(tblJTL[[#This Row],[timeStamp]]-'17_分析サンプル'!$E$18)/1000</f>
        <v>436.25900000000001</v>
      </c>
      <c r="V1745" s="57">
        <f>INT(tblJTL[[#This Row],[経過秒]]/60)</f>
        <v>7</v>
      </c>
      <c r="W1745" s="57">
        <f>IF(OR(tblJTL[[#This Row],[success]]=FALSE,tblJTL[[#This Row],[success]]="false"),1,0)</f>
        <v>0</v>
      </c>
      <c r="X1745" s="57">
        <f>IF(AND(tblJTL[[#This Row],[経過秒]]&gt;='17_分析サンプル'!$E$11,tblJTL[[#This Row],[経過秒]]&lt;'17_分析サンプル'!$E$12),1,0)</f>
        <v>1</v>
      </c>
    </row>
    <row r="1746" spans="2:24" ht="14.4" x14ac:dyDescent="0.3">
      <c r="B1746" s="57">
        <v>1790816836406</v>
      </c>
      <c r="C1746" s="58">
        <v>201</v>
      </c>
      <c r="D1746" s="59" t="s">
        <v>1677</v>
      </c>
      <c r="E1746" s="59" t="s">
        <v>3579</v>
      </c>
      <c r="F1746" s="59" t="s">
        <v>3580</v>
      </c>
      <c r="G1746" s="59" t="s">
        <v>3588</v>
      </c>
      <c r="H1746" s="59" t="s">
        <v>2281</v>
      </c>
      <c r="I1746" s="59" t="b">
        <v>1</v>
      </c>
      <c r="J1746" s="59"/>
      <c r="K1746" s="58">
        <v>428</v>
      </c>
      <c r="L1746" s="58">
        <v>1478</v>
      </c>
      <c r="M1746" s="59">
        <v>10</v>
      </c>
      <c r="N1746" s="59">
        <v>10</v>
      </c>
      <c r="O1746" s="59" t="s">
        <v>3581</v>
      </c>
      <c r="P1746" s="58">
        <v>199</v>
      </c>
      <c r="Q1746" s="59">
        <v>0</v>
      </c>
      <c r="R1746" s="59">
        <v>0</v>
      </c>
      <c r="S1746" s="60">
        <f>tblJTL[[#This Row],[timeStamp]]/86400000+DATE(1970,1,1)+TIME(9,0,0)</f>
        <v>46296.421717662037</v>
      </c>
      <c r="T1746" s="57">
        <f>tblJTL[[#This Row],[timeStamp]]+tblJTL[[#This Row],[elapsed]]</f>
        <v>1790816836607</v>
      </c>
      <c r="U1746" s="61">
        <f>(tblJTL[[#This Row],[timeStamp]]-'17_分析サンプル'!$E$18)/1000</f>
        <v>436.226</v>
      </c>
      <c r="V1746" s="57">
        <f>INT(tblJTL[[#This Row],[経過秒]]/60)</f>
        <v>7</v>
      </c>
      <c r="W1746" s="57">
        <f>IF(OR(tblJTL[[#This Row],[success]]=FALSE,tblJTL[[#This Row],[success]]="false"),1,0)</f>
        <v>0</v>
      </c>
      <c r="X1746" s="57">
        <f>IF(AND(tblJTL[[#This Row],[経過秒]]&gt;='17_分析サンプル'!$E$11,tblJTL[[#This Row],[経過秒]]&lt;'17_分析サンプル'!$E$12),1,0)</f>
        <v>1</v>
      </c>
    </row>
    <row r="1747" spans="2:24" ht="14.4" x14ac:dyDescent="0.3">
      <c r="B1747" s="57">
        <v>1790816837174</v>
      </c>
      <c r="C1747" s="58">
        <v>169</v>
      </c>
      <c r="D1747" s="59" t="s">
        <v>1658</v>
      </c>
      <c r="E1747" s="59" t="s">
        <v>1577</v>
      </c>
      <c r="F1747" s="59" t="s">
        <v>2275</v>
      </c>
      <c r="G1747" s="59" t="s">
        <v>3587</v>
      </c>
      <c r="H1747" s="59" t="s">
        <v>2281</v>
      </c>
      <c r="I1747" s="59" t="b">
        <v>1</v>
      </c>
      <c r="J1747" s="59"/>
      <c r="K1747" s="58">
        <v>1859</v>
      </c>
      <c r="L1747" s="58">
        <v>1342</v>
      </c>
      <c r="M1747" s="59">
        <v>10</v>
      </c>
      <c r="N1747" s="59">
        <v>10</v>
      </c>
      <c r="O1747" s="59" t="s">
        <v>3578</v>
      </c>
      <c r="P1747" s="58">
        <v>161</v>
      </c>
      <c r="Q1747" s="59">
        <v>0</v>
      </c>
      <c r="R1747" s="59">
        <v>0</v>
      </c>
      <c r="S1747" s="60">
        <f>tblJTL[[#This Row],[timeStamp]]/86400000+DATE(1970,1,1)+TIME(9,0,0)</f>
        <v>46296.421726550921</v>
      </c>
      <c r="T1747" s="57">
        <f>tblJTL[[#This Row],[timeStamp]]+tblJTL[[#This Row],[elapsed]]</f>
        <v>1790816837343</v>
      </c>
      <c r="U1747" s="61">
        <f>(tblJTL[[#This Row],[timeStamp]]-'17_分析サンプル'!$E$18)/1000</f>
        <v>436.99400000000003</v>
      </c>
      <c r="V1747" s="57">
        <f>INT(tblJTL[[#This Row],[経過秒]]/60)</f>
        <v>7</v>
      </c>
      <c r="W1747" s="57">
        <f>IF(OR(tblJTL[[#This Row],[success]]=FALSE,tblJTL[[#This Row],[success]]="false"),1,0)</f>
        <v>0</v>
      </c>
      <c r="X1747" s="57">
        <f>IF(AND(tblJTL[[#This Row],[経過秒]]&gt;='17_分析サンプル'!$E$11,tblJTL[[#This Row],[経過秒]]&lt;'17_分析サンプル'!$E$12),1,0)</f>
        <v>1</v>
      </c>
    </row>
    <row r="1748" spans="2:24" ht="14.4" x14ac:dyDescent="0.3">
      <c r="B1748" s="57">
        <v>1790816837709</v>
      </c>
      <c r="C1748" s="58">
        <v>187</v>
      </c>
      <c r="D1748" s="59" t="s">
        <v>1677</v>
      </c>
      <c r="E1748" s="59" t="s">
        <v>3579</v>
      </c>
      <c r="F1748" s="59" t="s">
        <v>3580</v>
      </c>
      <c r="G1748" s="59" t="s">
        <v>3585</v>
      </c>
      <c r="H1748" s="59" t="s">
        <v>2281</v>
      </c>
      <c r="I1748" s="59" t="b">
        <v>1</v>
      </c>
      <c r="J1748" s="59"/>
      <c r="K1748" s="58">
        <v>415</v>
      </c>
      <c r="L1748" s="58">
        <v>1478</v>
      </c>
      <c r="M1748" s="59">
        <v>10</v>
      </c>
      <c r="N1748" s="59">
        <v>10</v>
      </c>
      <c r="O1748" s="59" t="s">
        <v>3581</v>
      </c>
      <c r="P1748" s="58">
        <v>179</v>
      </c>
      <c r="Q1748" s="59">
        <v>0</v>
      </c>
      <c r="R1748" s="59">
        <v>0</v>
      </c>
      <c r="S1748" s="60">
        <f>tblJTL[[#This Row],[timeStamp]]/86400000+DATE(1970,1,1)+TIME(9,0,0)</f>
        <v>46296.421732743052</v>
      </c>
      <c r="T1748" s="57">
        <f>tblJTL[[#This Row],[timeStamp]]+tblJTL[[#This Row],[elapsed]]</f>
        <v>1790816837896</v>
      </c>
      <c r="U1748" s="61">
        <f>(tblJTL[[#This Row],[timeStamp]]-'17_分析サンプル'!$E$18)/1000</f>
        <v>437.529</v>
      </c>
      <c r="V1748" s="57">
        <f>INT(tblJTL[[#This Row],[経過秒]]/60)</f>
        <v>7</v>
      </c>
      <c r="W1748" s="57">
        <f>IF(OR(tblJTL[[#This Row],[success]]=FALSE,tblJTL[[#This Row],[success]]="false"),1,0)</f>
        <v>0</v>
      </c>
      <c r="X1748" s="57">
        <f>IF(AND(tblJTL[[#This Row],[経過秒]]&gt;='17_分析サンプル'!$E$11,tblJTL[[#This Row],[経過秒]]&lt;'17_分析サンプル'!$E$12),1,0)</f>
        <v>1</v>
      </c>
    </row>
    <row r="1749" spans="2:24" ht="14.4" x14ac:dyDescent="0.3">
      <c r="B1749" s="57">
        <v>1790816837680</v>
      </c>
      <c r="C1749" s="58">
        <v>268</v>
      </c>
      <c r="D1749" s="59" t="s">
        <v>1677</v>
      </c>
      <c r="E1749" s="59" t="s">
        <v>3579</v>
      </c>
      <c r="F1749" s="59" t="s">
        <v>3580</v>
      </c>
      <c r="G1749" s="59" t="s">
        <v>3584</v>
      </c>
      <c r="H1749" s="59" t="s">
        <v>2281</v>
      </c>
      <c r="I1749" s="59" t="b">
        <v>1</v>
      </c>
      <c r="J1749" s="59"/>
      <c r="K1749" s="58">
        <v>413</v>
      </c>
      <c r="L1749" s="58">
        <v>1478</v>
      </c>
      <c r="M1749" s="59">
        <v>10</v>
      </c>
      <c r="N1749" s="59">
        <v>10</v>
      </c>
      <c r="O1749" s="59" t="s">
        <v>3581</v>
      </c>
      <c r="P1749" s="58">
        <v>263</v>
      </c>
      <c r="Q1749" s="59">
        <v>0</v>
      </c>
      <c r="R1749" s="59">
        <v>0</v>
      </c>
      <c r="S1749" s="60">
        <f>tblJTL[[#This Row],[timeStamp]]/86400000+DATE(1970,1,1)+TIME(9,0,0)</f>
        <v>46296.421732407412</v>
      </c>
      <c r="T1749" s="57">
        <f>tblJTL[[#This Row],[timeStamp]]+tblJTL[[#This Row],[elapsed]]</f>
        <v>1790816837948</v>
      </c>
      <c r="U1749" s="61">
        <f>(tblJTL[[#This Row],[timeStamp]]-'17_分析サンプル'!$E$18)/1000</f>
        <v>437.5</v>
      </c>
      <c r="V1749" s="57">
        <f>INT(tblJTL[[#This Row],[経過秒]]/60)</f>
        <v>7</v>
      </c>
      <c r="W1749" s="57">
        <f>IF(OR(tblJTL[[#This Row],[success]]=FALSE,tblJTL[[#This Row],[success]]="false"),1,0)</f>
        <v>0</v>
      </c>
      <c r="X1749" s="57">
        <f>IF(AND(tblJTL[[#This Row],[経過秒]]&gt;='17_分析サンプル'!$E$11,tblJTL[[#This Row],[経過秒]]&lt;'17_分析サンプル'!$E$12),1,0)</f>
        <v>1</v>
      </c>
    </row>
    <row r="1750" spans="2:24" ht="14.4" x14ac:dyDescent="0.3">
      <c r="B1750" s="57">
        <v>1790816837864</v>
      </c>
      <c r="C1750" s="58">
        <v>120</v>
      </c>
      <c r="D1750" s="59" t="s">
        <v>1658</v>
      </c>
      <c r="E1750" s="59" t="s">
        <v>1577</v>
      </c>
      <c r="F1750" s="59" t="s">
        <v>2275</v>
      </c>
      <c r="G1750" s="59" t="s">
        <v>3589</v>
      </c>
      <c r="H1750" s="59" t="s">
        <v>2281</v>
      </c>
      <c r="I1750" s="59" t="b">
        <v>1</v>
      </c>
      <c r="J1750" s="59"/>
      <c r="K1750" s="58">
        <v>1842</v>
      </c>
      <c r="L1750" s="58">
        <v>1342</v>
      </c>
      <c r="M1750" s="59">
        <v>10</v>
      </c>
      <c r="N1750" s="59">
        <v>10</v>
      </c>
      <c r="O1750" s="59" t="s">
        <v>3578</v>
      </c>
      <c r="P1750" s="58">
        <v>117</v>
      </c>
      <c r="Q1750" s="59">
        <v>0</v>
      </c>
      <c r="R1750" s="59">
        <v>0</v>
      </c>
      <c r="S1750" s="60">
        <f>tblJTL[[#This Row],[timeStamp]]/86400000+DATE(1970,1,1)+TIME(9,0,0)</f>
        <v>46296.421734537042</v>
      </c>
      <c r="T1750" s="57">
        <f>tblJTL[[#This Row],[timeStamp]]+tblJTL[[#This Row],[elapsed]]</f>
        <v>1790816837984</v>
      </c>
      <c r="U1750" s="61">
        <f>(tblJTL[[#This Row],[timeStamp]]-'17_分析サンプル'!$E$18)/1000</f>
        <v>437.68400000000003</v>
      </c>
      <c r="V1750" s="57">
        <f>INT(tblJTL[[#This Row],[経過秒]]/60)</f>
        <v>7</v>
      </c>
      <c r="W1750" s="57">
        <f>IF(OR(tblJTL[[#This Row],[success]]=FALSE,tblJTL[[#This Row],[success]]="false"),1,0)</f>
        <v>0</v>
      </c>
      <c r="X1750" s="57">
        <f>IF(AND(tblJTL[[#This Row],[経過秒]]&gt;='17_分析サンプル'!$E$11,tblJTL[[#This Row],[経過秒]]&lt;'17_分析サンプル'!$E$12),1,0)</f>
        <v>1</v>
      </c>
    </row>
    <row r="1751" spans="2:24" ht="14.4" x14ac:dyDescent="0.3">
      <c r="B1751" s="57">
        <v>1790816838163</v>
      </c>
      <c r="C1751" s="58">
        <v>294</v>
      </c>
      <c r="D1751" s="59" t="s">
        <v>1677</v>
      </c>
      <c r="E1751" s="59" t="s">
        <v>3579</v>
      </c>
      <c r="F1751" s="59" t="s">
        <v>3580</v>
      </c>
      <c r="G1751" s="59" t="s">
        <v>3582</v>
      </c>
      <c r="H1751" s="59" t="s">
        <v>2281</v>
      </c>
      <c r="I1751" s="59" t="b">
        <v>1</v>
      </c>
      <c r="J1751" s="59"/>
      <c r="K1751" s="58">
        <v>417</v>
      </c>
      <c r="L1751" s="58">
        <v>1478</v>
      </c>
      <c r="M1751" s="59">
        <v>10</v>
      </c>
      <c r="N1751" s="59">
        <v>10</v>
      </c>
      <c r="O1751" s="59" t="s">
        <v>3581</v>
      </c>
      <c r="P1751" s="58">
        <v>290</v>
      </c>
      <c r="Q1751" s="59">
        <v>0</v>
      </c>
      <c r="R1751" s="59">
        <v>46</v>
      </c>
      <c r="S1751" s="60">
        <f>tblJTL[[#This Row],[timeStamp]]/86400000+DATE(1970,1,1)+TIME(9,0,0)</f>
        <v>46296.421737997684</v>
      </c>
      <c r="T1751" s="57">
        <f>tblJTL[[#This Row],[timeStamp]]+tblJTL[[#This Row],[elapsed]]</f>
        <v>1790816838457</v>
      </c>
      <c r="U1751" s="61">
        <f>(tblJTL[[#This Row],[timeStamp]]-'17_分析サンプル'!$E$18)/1000</f>
        <v>437.983</v>
      </c>
      <c r="V1751" s="57">
        <f>INT(tblJTL[[#This Row],[経過秒]]/60)</f>
        <v>7</v>
      </c>
      <c r="W1751" s="57">
        <f>IF(OR(tblJTL[[#This Row],[success]]=FALSE,tblJTL[[#This Row],[success]]="false"),1,0)</f>
        <v>0</v>
      </c>
      <c r="X1751" s="57">
        <f>IF(AND(tblJTL[[#This Row],[経過秒]]&gt;='17_分析サンプル'!$E$11,tblJTL[[#This Row],[経過秒]]&lt;'17_分析サンプル'!$E$12),1,0)</f>
        <v>1</v>
      </c>
    </row>
    <row r="1752" spans="2:24" ht="14.4" x14ac:dyDescent="0.3">
      <c r="B1752" s="57">
        <v>1790816838365</v>
      </c>
      <c r="C1752" s="58">
        <v>162</v>
      </c>
      <c r="D1752" s="59" t="s">
        <v>1658</v>
      </c>
      <c r="E1752" s="59" t="s">
        <v>1577</v>
      </c>
      <c r="F1752" s="59" t="s">
        <v>2275</v>
      </c>
      <c r="G1752" s="59" t="s">
        <v>2278</v>
      </c>
      <c r="H1752" s="59" t="s">
        <v>2281</v>
      </c>
      <c r="I1752" s="59" t="b">
        <v>1</v>
      </c>
      <c r="J1752" s="59"/>
      <c r="K1752" s="58">
        <v>1824</v>
      </c>
      <c r="L1752" s="58">
        <v>1342</v>
      </c>
      <c r="M1752" s="59">
        <v>10</v>
      </c>
      <c r="N1752" s="59">
        <v>10</v>
      </c>
      <c r="O1752" s="59" t="s">
        <v>3578</v>
      </c>
      <c r="P1752" s="58">
        <v>155</v>
      </c>
      <c r="Q1752" s="59">
        <v>0</v>
      </c>
      <c r="R1752" s="59">
        <v>0</v>
      </c>
      <c r="S1752" s="60">
        <f>tblJTL[[#This Row],[timeStamp]]/86400000+DATE(1970,1,1)+TIME(9,0,0)</f>
        <v>46296.421740335645</v>
      </c>
      <c r="T1752" s="57">
        <f>tblJTL[[#This Row],[timeStamp]]+tblJTL[[#This Row],[elapsed]]</f>
        <v>1790816838527</v>
      </c>
      <c r="U1752" s="61">
        <f>(tblJTL[[#This Row],[timeStamp]]-'17_分析サンプル'!$E$18)/1000</f>
        <v>438.185</v>
      </c>
      <c r="V1752" s="57">
        <f>INT(tblJTL[[#This Row],[経過秒]]/60)</f>
        <v>7</v>
      </c>
      <c r="W1752" s="57">
        <f>IF(OR(tblJTL[[#This Row],[success]]=FALSE,tblJTL[[#This Row],[success]]="false"),1,0)</f>
        <v>0</v>
      </c>
      <c r="X1752" s="57">
        <f>IF(AND(tblJTL[[#This Row],[経過秒]]&gt;='17_分析サンプル'!$E$11,tblJTL[[#This Row],[経過秒]]&lt;'17_分析サンプル'!$E$12),1,0)</f>
        <v>1</v>
      </c>
    </row>
    <row r="1753" spans="2:24" ht="14.4" x14ac:dyDescent="0.3">
      <c r="B1753" s="57">
        <v>1790816838665</v>
      </c>
      <c r="C1753" s="58">
        <v>94</v>
      </c>
      <c r="D1753" s="59" t="s">
        <v>1658</v>
      </c>
      <c r="E1753" s="59" t="s">
        <v>1577</v>
      </c>
      <c r="F1753" s="59" t="s">
        <v>2275</v>
      </c>
      <c r="G1753" s="59" t="s">
        <v>3577</v>
      </c>
      <c r="H1753" s="59" t="s">
        <v>2281</v>
      </c>
      <c r="I1753" s="59" t="b">
        <v>1</v>
      </c>
      <c r="J1753" s="59"/>
      <c r="K1753" s="58">
        <v>1884</v>
      </c>
      <c r="L1753" s="58">
        <v>1342</v>
      </c>
      <c r="M1753" s="59">
        <v>10</v>
      </c>
      <c r="N1753" s="59">
        <v>10</v>
      </c>
      <c r="O1753" s="59" t="s">
        <v>3578</v>
      </c>
      <c r="P1753" s="58">
        <v>86</v>
      </c>
      <c r="Q1753" s="59">
        <v>0</v>
      </c>
      <c r="R1753" s="59">
        <v>0</v>
      </c>
      <c r="S1753" s="60">
        <f>tblJTL[[#This Row],[timeStamp]]/86400000+DATE(1970,1,1)+TIME(9,0,0)</f>
        <v>46296.42174380787</v>
      </c>
      <c r="T1753" s="57">
        <f>tblJTL[[#This Row],[timeStamp]]+tblJTL[[#This Row],[elapsed]]</f>
        <v>1790816838759</v>
      </c>
      <c r="U1753" s="61">
        <f>(tblJTL[[#This Row],[timeStamp]]-'17_分析サンプル'!$E$18)/1000</f>
        <v>438.48500000000001</v>
      </c>
      <c r="V1753" s="57">
        <f>INT(tblJTL[[#This Row],[経過秒]]/60)</f>
        <v>7</v>
      </c>
      <c r="W1753" s="57">
        <f>IF(OR(tblJTL[[#This Row],[success]]=FALSE,tblJTL[[#This Row],[success]]="false"),1,0)</f>
        <v>0</v>
      </c>
      <c r="X1753" s="57">
        <f>IF(AND(tblJTL[[#This Row],[経過秒]]&gt;='17_分析サンプル'!$E$11,tblJTL[[#This Row],[経過秒]]&lt;'17_分析サンプル'!$E$12),1,0)</f>
        <v>1</v>
      </c>
    </row>
    <row r="1754" spans="2:24" ht="14.4" x14ac:dyDescent="0.3">
      <c r="B1754" s="57">
        <v>1790816838913</v>
      </c>
      <c r="C1754" s="58">
        <v>347</v>
      </c>
      <c r="D1754" s="59" t="s">
        <v>1677</v>
      </c>
      <c r="E1754" s="59" t="s">
        <v>3579</v>
      </c>
      <c r="F1754" s="59" t="s">
        <v>3580</v>
      </c>
      <c r="G1754" s="59" t="s">
        <v>3586</v>
      </c>
      <c r="H1754" s="59" t="s">
        <v>2281</v>
      </c>
      <c r="I1754" s="59" t="b">
        <v>1</v>
      </c>
      <c r="J1754" s="59"/>
      <c r="K1754" s="58">
        <v>416</v>
      </c>
      <c r="L1754" s="58">
        <v>1478</v>
      </c>
      <c r="M1754" s="59">
        <v>10</v>
      </c>
      <c r="N1754" s="59">
        <v>10</v>
      </c>
      <c r="O1754" s="59" t="s">
        <v>3581</v>
      </c>
      <c r="P1754" s="58">
        <v>344</v>
      </c>
      <c r="Q1754" s="59">
        <v>0</v>
      </c>
      <c r="R1754" s="59">
        <v>0</v>
      </c>
      <c r="S1754" s="60">
        <f>tblJTL[[#This Row],[timeStamp]]/86400000+DATE(1970,1,1)+TIME(9,0,0)</f>
        <v>46296.421746678243</v>
      </c>
      <c r="T1754" s="57">
        <f>tblJTL[[#This Row],[timeStamp]]+tblJTL[[#This Row],[elapsed]]</f>
        <v>1790816839260</v>
      </c>
      <c r="U1754" s="61">
        <f>(tblJTL[[#This Row],[timeStamp]]-'17_分析サンプル'!$E$18)/1000</f>
        <v>438.733</v>
      </c>
      <c r="V1754" s="57">
        <f>INT(tblJTL[[#This Row],[経過秒]]/60)</f>
        <v>7</v>
      </c>
      <c r="W1754" s="57">
        <f>IF(OR(tblJTL[[#This Row],[success]]=FALSE,tblJTL[[#This Row],[success]]="false"),1,0)</f>
        <v>0</v>
      </c>
      <c r="X1754" s="57">
        <f>IF(AND(tblJTL[[#This Row],[経過秒]]&gt;='17_分析サンプル'!$E$11,tblJTL[[#This Row],[経過秒]]&lt;'17_分析サンプル'!$E$12),1,0)</f>
        <v>1</v>
      </c>
    </row>
    <row r="1755" spans="2:24" ht="14.4" x14ac:dyDescent="0.3">
      <c r="B1755" s="57">
        <v>1790816839343</v>
      </c>
      <c r="C1755" s="58">
        <v>112</v>
      </c>
      <c r="D1755" s="59" t="s">
        <v>1658</v>
      </c>
      <c r="E1755" s="59" t="s">
        <v>1577</v>
      </c>
      <c r="F1755" s="59" t="s">
        <v>2275</v>
      </c>
      <c r="G1755" s="59" t="s">
        <v>3583</v>
      </c>
      <c r="H1755" s="59" t="s">
        <v>2281</v>
      </c>
      <c r="I1755" s="59" t="b">
        <v>1</v>
      </c>
      <c r="J1755" s="59"/>
      <c r="K1755" s="58">
        <v>1824</v>
      </c>
      <c r="L1755" s="58">
        <v>1342</v>
      </c>
      <c r="M1755" s="59">
        <v>10</v>
      </c>
      <c r="N1755" s="59">
        <v>10</v>
      </c>
      <c r="O1755" s="59" t="s">
        <v>3578</v>
      </c>
      <c r="P1755" s="58">
        <v>106</v>
      </c>
      <c r="Q1755" s="59">
        <v>0</v>
      </c>
      <c r="R1755" s="59">
        <v>0</v>
      </c>
      <c r="S1755" s="60">
        <f>tblJTL[[#This Row],[timeStamp]]/86400000+DATE(1970,1,1)+TIME(9,0,0)</f>
        <v>46296.421751655093</v>
      </c>
      <c r="T1755" s="57">
        <f>tblJTL[[#This Row],[timeStamp]]+tblJTL[[#This Row],[elapsed]]</f>
        <v>1790816839455</v>
      </c>
      <c r="U1755" s="61">
        <f>(tblJTL[[#This Row],[timeStamp]]-'17_分析サンプル'!$E$18)/1000</f>
        <v>439.16300000000001</v>
      </c>
      <c r="V1755" s="57">
        <f>INT(tblJTL[[#This Row],[経過秒]]/60)</f>
        <v>7</v>
      </c>
      <c r="W1755" s="57">
        <f>IF(OR(tblJTL[[#This Row],[success]]=FALSE,tblJTL[[#This Row],[success]]="false"),1,0)</f>
        <v>0</v>
      </c>
      <c r="X1755" s="57">
        <f>IF(AND(tblJTL[[#This Row],[経過秒]]&gt;='17_分析サンプル'!$E$11,tblJTL[[#This Row],[経過秒]]&lt;'17_分析サンプル'!$E$12),1,0)</f>
        <v>1</v>
      </c>
    </row>
    <row r="1756" spans="2:24" ht="14.4" x14ac:dyDescent="0.3">
      <c r="B1756" s="57">
        <v>1790816839560</v>
      </c>
      <c r="C1756" s="58">
        <v>83</v>
      </c>
      <c r="D1756" s="59" t="s">
        <v>1658</v>
      </c>
      <c r="E1756" s="59" t="s">
        <v>1577</v>
      </c>
      <c r="F1756" s="59" t="s">
        <v>2275</v>
      </c>
      <c r="G1756" s="59" t="s">
        <v>3588</v>
      </c>
      <c r="H1756" s="59" t="s">
        <v>2281</v>
      </c>
      <c r="I1756" s="59" t="b">
        <v>1</v>
      </c>
      <c r="J1756" s="59"/>
      <c r="K1756" s="58">
        <v>1866</v>
      </c>
      <c r="L1756" s="58">
        <v>1342</v>
      </c>
      <c r="M1756" s="59">
        <v>10</v>
      </c>
      <c r="N1756" s="59">
        <v>10</v>
      </c>
      <c r="O1756" s="59" t="s">
        <v>3578</v>
      </c>
      <c r="P1756" s="58">
        <v>81</v>
      </c>
      <c r="Q1756" s="59">
        <v>0</v>
      </c>
      <c r="R1756" s="59">
        <v>0</v>
      </c>
      <c r="S1756" s="60">
        <f>tblJTL[[#This Row],[timeStamp]]/86400000+DATE(1970,1,1)+TIME(9,0,0)</f>
        <v>46296.421754166666</v>
      </c>
      <c r="T1756" s="57">
        <f>tblJTL[[#This Row],[timeStamp]]+tblJTL[[#This Row],[elapsed]]</f>
        <v>1790816839643</v>
      </c>
      <c r="U1756" s="61">
        <f>(tblJTL[[#This Row],[timeStamp]]-'17_分析サンプル'!$E$18)/1000</f>
        <v>439.38</v>
      </c>
      <c r="V1756" s="57">
        <f>INT(tblJTL[[#This Row],[経過秒]]/60)</f>
        <v>7</v>
      </c>
      <c r="W1756" s="57">
        <f>IF(OR(tblJTL[[#This Row],[success]]=FALSE,tblJTL[[#This Row],[success]]="false"),1,0)</f>
        <v>0</v>
      </c>
      <c r="X1756" s="57">
        <f>IF(AND(tblJTL[[#This Row],[経過秒]]&gt;='17_分析サンプル'!$E$11,tblJTL[[#This Row],[経過秒]]&lt;'17_分析サンプル'!$E$12),1,0)</f>
        <v>1</v>
      </c>
    </row>
    <row r="1757" spans="2:24" ht="14.4" x14ac:dyDescent="0.3">
      <c r="B1757" s="57">
        <v>1790816838487</v>
      </c>
      <c r="C1757" s="58">
        <v>1179</v>
      </c>
      <c r="D1757" s="59" t="s">
        <v>1677</v>
      </c>
      <c r="E1757" s="59" t="s">
        <v>3579</v>
      </c>
      <c r="F1757" s="59" t="s">
        <v>3580</v>
      </c>
      <c r="G1757" s="59" t="s">
        <v>3587</v>
      </c>
      <c r="H1757" s="59" t="s">
        <v>2281</v>
      </c>
      <c r="I1757" s="59" t="b">
        <v>1</v>
      </c>
      <c r="J1757" s="59"/>
      <c r="K1757" s="58">
        <v>410</v>
      </c>
      <c r="L1757" s="58">
        <v>1478</v>
      </c>
      <c r="M1757" s="59">
        <v>10</v>
      </c>
      <c r="N1757" s="59">
        <v>10</v>
      </c>
      <c r="O1757" s="59" t="s">
        <v>3581</v>
      </c>
      <c r="P1757" s="58">
        <v>1175</v>
      </c>
      <c r="Q1757" s="59">
        <v>0</v>
      </c>
      <c r="R1757" s="59">
        <v>0</v>
      </c>
      <c r="S1757" s="60">
        <f>tblJTL[[#This Row],[timeStamp]]/86400000+DATE(1970,1,1)+TIME(9,0,0)</f>
        <v>46296.42174174769</v>
      </c>
      <c r="T1757" s="57">
        <f>tblJTL[[#This Row],[timeStamp]]+tblJTL[[#This Row],[elapsed]]</f>
        <v>1790816839666</v>
      </c>
      <c r="U1757" s="61">
        <f>(tblJTL[[#This Row],[timeStamp]]-'17_分析サンプル'!$E$18)/1000</f>
        <v>438.30700000000002</v>
      </c>
      <c r="V1757" s="57">
        <f>INT(tblJTL[[#This Row],[経過秒]]/60)</f>
        <v>7</v>
      </c>
      <c r="W1757" s="57">
        <f>IF(OR(tblJTL[[#This Row],[success]]=FALSE,tblJTL[[#This Row],[success]]="false"),1,0)</f>
        <v>0</v>
      </c>
      <c r="X1757" s="57">
        <f>IF(AND(tblJTL[[#This Row],[経過秒]]&gt;='17_分析サンプル'!$E$11,tblJTL[[#This Row],[経過秒]]&lt;'17_分析サンプル'!$E$12),1,0)</f>
        <v>1</v>
      </c>
    </row>
    <row r="1758" spans="2:24" ht="14.4" x14ac:dyDescent="0.3">
      <c r="B1758" s="57">
        <v>1790816840104</v>
      </c>
      <c r="C1758" s="58">
        <v>158</v>
      </c>
      <c r="D1758" s="59" t="s">
        <v>1658</v>
      </c>
      <c r="E1758" s="59" t="s">
        <v>1577</v>
      </c>
      <c r="F1758" s="59" t="s">
        <v>2275</v>
      </c>
      <c r="G1758" s="59" t="s">
        <v>3582</v>
      </c>
      <c r="H1758" s="59" t="s">
        <v>2281</v>
      </c>
      <c r="I1758" s="59" t="b">
        <v>1</v>
      </c>
      <c r="J1758" s="59"/>
      <c r="K1758" s="58">
        <v>1849</v>
      </c>
      <c r="L1758" s="58">
        <v>1342</v>
      </c>
      <c r="M1758" s="59">
        <v>10</v>
      </c>
      <c r="N1758" s="59">
        <v>10</v>
      </c>
      <c r="O1758" s="59" t="s">
        <v>3578</v>
      </c>
      <c r="P1758" s="58">
        <v>151</v>
      </c>
      <c r="Q1758" s="59">
        <v>0</v>
      </c>
      <c r="R1758" s="59">
        <v>0</v>
      </c>
      <c r="S1758" s="60">
        <f>tblJTL[[#This Row],[timeStamp]]/86400000+DATE(1970,1,1)+TIME(9,0,0)</f>
        <v>46296.421760462967</v>
      </c>
      <c r="T1758" s="57">
        <f>tblJTL[[#This Row],[timeStamp]]+tblJTL[[#This Row],[elapsed]]</f>
        <v>1790816840262</v>
      </c>
      <c r="U1758" s="61">
        <f>(tblJTL[[#This Row],[timeStamp]]-'17_分析サンプル'!$E$18)/1000</f>
        <v>439.92399999999998</v>
      </c>
      <c r="V1758" s="57">
        <f>INT(tblJTL[[#This Row],[経過秒]]/60)</f>
        <v>7</v>
      </c>
      <c r="W1758" s="57">
        <f>IF(OR(tblJTL[[#This Row],[success]]=FALSE,tblJTL[[#This Row],[success]]="false"),1,0)</f>
        <v>0</v>
      </c>
      <c r="X1758" s="57">
        <f>IF(AND(tblJTL[[#This Row],[経過秒]]&gt;='17_分析サンプル'!$E$11,tblJTL[[#This Row],[経過秒]]&lt;'17_分析サンプル'!$E$12),1,0)</f>
        <v>1</v>
      </c>
    </row>
    <row r="1759" spans="2:24" ht="14.4" x14ac:dyDescent="0.3">
      <c r="B1759" s="57">
        <v>1790816840196</v>
      </c>
      <c r="C1759" s="58">
        <v>77</v>
      </c>
      <c r="D1759" s="59" t="s">
        <v>1658</v>
      </c>
      <c r="E1759" s="59" t="s">
        <v>1577</v>
      </c>
      <c r="F1759" s="59" t="s">
        <v>2275</v>
      </c>
      <c r="G1759" s="59" t="s">
        <v>3584</v>
      </c>
      <c r="H1759" s="59" t="s">
        <v>2281</v>
      </c>
      <c r="I1759" s="59" t="b">
        <v>1</v>
      </c>
      <c r="J1759" s="59"/>
      <c r="K1759" s="58">
        <v>1869</v>
      </c>
      <c r="L1759" s="58">
        <v>1342</v>
      </c>
      <c r="M1759" s="59">
        <v>10</v>
      </c>
      <c r="N1759" s="59">
        <v>10</v>
      </c>
      <c r="O1759" s="59" t="s">
        <v>3578</v>
      </c>
      <c r="P1759" s="58">
        <v>69</v>
      </c>
      <c r="Q1759" s="59">
        <v>0</v>
      </c>
      <c r="R1759" s="59">
        <v>0</v>
      </c>
      <c r="S1759" s="60">
        <f>tblJTL[[#This Row],[timeStamp]]/86400000+DATE(1970,1,1)+TIME(9,0,0)</f>
        <v>46296.421761527774</v>
      </c>
      <c r="T1759" s="57">
        <f>tblJTL[[#This Row],[timeStamp]]+tblJTL[[#This Row],[elapsed]]</f>
        <v>1790816840273</v>
      </c>
      <c r="U1759" s="61">
        <f>(tblJTL[[#This Row],[timeStamp]]-'17_分析サンプル'!$E$18)/1000</f>
        <v>440.01600000000002</v>
      </c>
      <c r="V1759" s="57">
        <f>INT(tblJTL[[#This Row],[経過秒]]/60)</f>
        <v>7</v>
      </c>
      <c r="W1759" s="57">
        <f>IF(OR(tblJTL[[#This Row],[success]]=FALSE,tblJTL[[#This Row],[success]]="false"),1,0)</f>
        <v>0</v>
      </c>
      <c r="X1759" s="57">
        <f>IF(AND(tblJTL[[#This Row],[経過秒]]&gt;='17_分析サンプル'!$E$11,tblJTL[[#This Row],[経過秒]]&lt;'17_分析サンプル'!$E$12),1,0)</f>
        <v>1</v>
      </c>
    </row>
    <row r="1760" spans="2:24" ht="14.4" x14ac:dyDescent="0.3">
      <c r="B1760" s="57">
        <v>1790816840745</v>
      </c>
      <c r="C1760" s="58">
        <v>138</v>
      </c>
      <c r="D1760" s="59" t="s">
        <v>1658</v>
      </c>
      <c r="E1760" s="59" t="s">
        <v>1577</v>
      </c>
      <c r="F1760" s="59" t="s">
        <v>2275</v>
      </c>
      <c r="G1760" s="59" t="s">
        <v>3586</v>
      </c>
      <c r="H1760" s="59" t="s">
        <v>2281</v>
      </c>
      <c r="I1760" s="59" t="b">
        <v>1</v>
      </c>
      <c r="J1760" s="59"/>
      <c r="K1760" s="58">
        <v>1846</v>
      </c>
      <c r="L1760" s="58">
        <v>1342</v>
      </c>
      <c r="M1760" s="59">
        <v>10</v>
      </c>
      <c r="N1760" s="59">
        <v>10</v>
      </c>
      <c r="O1760" s="59" t="s">
        <v>3578</v>
      </c>
      <c r="P1760" s="58">
        <v>133</v>
      </c>
      <c r="Q1760" s="59">
        <v>0</v>
      </c>
      <c r="R1760" s="59">
        <v>0</v>
      </c>
      <c r="S1760" s="60">
        <f>tblJTL[[#This Row],[timeStamp]]/86400000+DATE(1970,1,1)+TIME(9,0,0)</f>
        <v>46296.42176788194</v>
      </c>
      <c r="T1760" s="57">
        <f>tblJTL[[#This Row],[timeStamp]]+tblJTL[[#This Row],[elapsed]]</f>
        <v>1790816840883</v>
      </c>
      <c r="U1760" s="61">
        <f>(tblJTL[[#This Row],[timeStamp]]-'17_分析サンプル'!$E$18)/1000</f>
        <v>440.565</v>
      </c>
      <c r="V1760" s="57">
        <f>INT(tblJTL[[#This Row],[経過秒]]/60)</f>
        <v>7</v>
      </c>
      <c r="W1760" s="57">
        <f>IF(OR(tblJTL[[#This Row],[success]]=FALSE,tblJTL[[#This Row],[success]]="false"),1,0)</f>
        <v>0</v>
      </c>
      <c r="X1760" s="57">
        <f>IF(AND(tblJTL[[#This Row],[経過秒]]&gt;='17_分析サンプル'!$E$11,tblJTL[[#This Row],[経過秒]]&lt;'17_分析サンプル'!$E$12),1,0)</f>
        <v>1</v>
      </c>
    </row>
    <row r="1761" spans="2:24" ht="14.4" x14ac:dyDescent="0.3">
      <c r="B1761" s="57">
        <v>1790816840750</v>
      </c>
      <c r="C1761" s="58">
        <v>165</v>
      </c>
      <c r="D1761" s="59" t="s">
        <v>1677</v>
      </c>
      <c r="E1761" s="59" t="s">
        <v>3579</v>
      </c>
      <c r="F1761" s="59" t="s">
        <v>3580</v>
      </c>
      <c r="G1761" s="59" t="s">
        <v>3589</v>
      </c>
      <c r="H1761" s="59" t="s">
        <v>2281</v>
      </c>
      <c r="I1761" s="59" t="b">
        <v>1</v>
      </c>
      <c r="J1761" s="59"/>
      <c r="K1761" s="58">
        <v>430</v>
      </c>
      <c r="L1761" s="58">
        <v>1478</v>
      </c>
      <c r="M1761" s="59">
        <v>10</v>
      </c>
      <c r="N1761" s="59">
        <v>10</v>
      </c>
      <c r="O1761" s="59" t="s">
        <v>3581</v>
      </c>
      <c r="P1761" s="58">
        <v>161</v>
      </c>
      <c r="Q1761" s="59">
        <v>0</v>
      </c>
      <c r="R1761" s="59">
        <v>0</v>
      </c>
      <c r="S1761" s="60">
        <f>tblJTL[[#This Row],[timeStamp]]/86400000+DATE(1970,1,1)+TIME(9,0,0)</f>
        <v>46296.421767939813</v>
      </c>
      <c r="T1761" s="57">
        <f>tblJTL[[#This Row],[timeStamp]]+tblJTL[[#This Row],[elapsed]]</f>
        <v>1790816840915</v>
      </c>
      <c r="U1761" s="61">
        <f>(tblJTL[[#This Row],[timeStamp]]-'17_分析サンプル'!$E$18)/1000</f>
        <v>440.57</v>
      </c>
      <c r="V1761" s="57">
        <f>INT(tblJTL[[#This Row],[経過秒]]/60)</f>
        <v>7</v>
      </c>
      <c r="W1761" s="57">
        <f>IF(OR(tblJTL[[#This Row],[success]]=FALSE,tblJTL[[#This Row],[success]]="false"),1,0)</f>
        <v>0</v>
      </c>
      <c r="X1761" s="57">
        <f>IF(AND(tblJTL[[#This Row],[経過秒]]&gt;='17_分析サンプル'!$E$11,tblJTL[[#This Row],[経過秒]]&lt;'17_分析サンプル'!$E$12),1,0)</f>
        <v>1</v>
      </c>
    </row>
    <row r="1762" spans="2:24" ht="14.4" x14ac:dyDescent="0.3">
      <c r="B1762" s="57">
        <v>1790816840780</v>
      </c>
      <c r="C1762" s="58">
        <v>160</v>
      </c>
      <c r="D1762" s="59" t="s">
        <v>1658</v>
      </c>
      <c r="E1762" s="59" t="s">
        <v>1577</v>
      </c>
      <c r="F1762" s="59" t="s">
        <v>2275</v>
      </c>
      <c r="G1762" s="59" t="s">
        <v>3585</v>
      </c>
      <c r="H1762" s="59" t="s">
        <v>2281</v>
      </c>
      <c r="I1762" s="59" t="b">
        <v>1</v>
      </c>
      <c r="J1762" s="59"/>
      <c r="K1762" s="58">
        <v>1894</v>
      </c>
      <c r="L1762" s="58">
        <v>1342</v>
      </c>
      <c r="M1762" s="59">
        <v>10</v>
      </c>
      <c r="N1762" s="59">
        <v>10</v>
      </c>
      <c r="O1762" s="59" t="s">
        <v>3578</v>
      </c>
      <c r="P1762" s="58">
        <v>155</v>
      </c>
      <c r="Q1762" s="59">
        <v>0</v>
      </c>
      <c r="R1762" s="59">
        <v>0</v>
      </c>
      <c r="S1762" s="60">
        <f>tblJTL[[#This Row],[timeStamp]]/86400000+DATE(1970,1,1)+TIME(9,0,0)</f>
        <v>46296.421768287037</v>
      </c>
      <c r="T1762" s="57">
        <f>tblJTL[[#This Row],[timeStamp]]+tblJTL[[#This Row],[elapsed]]</f>
        <v>1790816840940</v>
      </c>
      <c r="U1762" s="61">
        <f>(tblJTL[[#This Row],[timeStamp]]-'17_分析サンプル'!$E$18)/1000</f>
        <v>440.6</v>
      </c>
      <c r="V1762" s="57">
        <f>INT(tblJTL[[#This Row],[経過秒]]/60)</f>
        <v>7</v>
      </c>
      <c r="W1762" s="57">
        <f>IF(OR(tblJTL[[#This Row],[success]]=FALSE,tblJTL[[#This Row],[success]]="false"),1,0)</f>
        <v>0</v>
      </c>
      <c r="X1762" s="57">
        <f>IF(AND(tblJTL[[#This Row],[経過秒]]&gt;='17_分析サンプル'!$E$11,tblJTL[[#This Row],[経過秒]]&lt;'17_分析サンプル'!$E$12),1,0)</f>
        <v>1</v>
      </c>
    </row>
    <row r="1763" spans="2:24" ht="14.4" x14ac:dyDescent="0.3">
      <c r="B1763" s="57">
        <v>1790816840749</v>
      </c>
      <c r="C1763" s="58">
        <v>216</v>
      </c>
      <c r="D1763" s="59" t="s">
        <v>1677</v>
      </c>
      <c r="E1763" s="59" t="s">
        <v>3579</v>
      </c>
      <c r="F1763" s="59" t="s">
        <v>3580</v>
      </c>
      <c r="G1763" s="59" t="s">
        <v>3577</v>
      </c>
      <c r="H1763" s="59" t="s">
        <v>2281</v>
      </c>
      <c r="I1763" s="59" t="b">
        <v>1</v>
      </c>
      <c r="J1763" s="59"/>
      <c r="K1763" s="58">
        <v>410</v>
      </c>
      <c r="L1763" s="58">
        <v>1478</v>
      </c>
      <c r="M1763" s="59">
        <v>10</v>
      </c>
      <c r="N1763" s="59">
        <v>10</v>
      </c>
      <c r="O1763" s="59" t="s">
        <v>3581</v>
      </c>
      <c r="P1763" s="58">
        <v>213</v>
      </c>
      <c r="Q1763" s="59">
        <v>0</v>
      </c>
      <c r="R1763" s="59">
        <v>0</v>
      </c>
      <c r="S1763" s="60">
        <f>tblJTL[[#This Row],[timeStamp]]/86400000+DATE(1970,1,1)+TIME(9,0,0)</f>
        <v>46296.421767928245</v>
      </c>
      <c r="T1763" s="57">
        <f>tblJTL[[#This Row],[timeStamp]]+tblJTL[[#This Row],[elapsed]]</f>
        <v>1790816840965</v>
      </c>
      <c r="U1763" s="61">
        <f>(tblJTL[[#This Row],[timeStamp]]-'17_分析サンプル'!$E$18)/1000</f>
        <v>440.56900000000002</v>
      </c>
      <c r="V1763" s="57">
        <f>INT(tblJTL[[#This Row],[経過秒]]/60)</f>
        <v>7</v>
      </c>
      <c r="W1763" s="57">
        <f>IF(OR(tblJTL[[#This Row],[success]]=FALSE,tblJTL[[#This Row],[success]]="false"),1,0)</f>
        <v>0</v>
      </c>
      <c r="X1763" s="57">
        <f>IF(AND(tblJTL[[#This Row],[経過秒]]&gt;='17_分析サンプル'!$E$11,tblJTL[[#This Row],[経過秒]]&lt;'17_分析サンプル'!$E$12),1,0)</f>
        <v>1</v>
      </c>
    </row>
    <row r="1764" spans="2:24" ht="14.4" x14ac:dyDescent="0.3">
      <c r="B1764" s="57">
        <v>1790816841013</v>
      </c>
      <c r="C1764" s="58">
        <v>330</v>
      </c>
      <c r="D1764" s="59" t="s">
        <v>1677</v>
      </c>
      <c r="E1764" s="59" t="s">
        <v>3579</v>
      </c>
      <c r="F1764" s="59" t="s">
        <v>3580</v>
      </c>
      <c r="G1764" s="59" t="s">
        <v>3583</v>
      </c>
      <c r="H1764" s="59" t="s">
        <v>2281</v>
      </c>
      <c r="I1764" s="59" t="b">
        <v>1</v>
      </c>
      <c r="J1764" s="59"/>
      <c r="K1764" s="58">
        <v>419</v>
      </c>
      <c r="L1764" s="58">
        <v>1478</v>
      </c>
      <c r="M1764" s="59">
        <v>10</v>
      </c>
      <c r="N1764" s="59">
        <v>10</v>
      </c>
      <c r="O1764" s="59" t="s">
        <v>3581</v>
      </c>
      <c r="P1764" s="58">
        <v>324</v>
      </c>
      <c r="Q1764" s="59">
        <v>0</v>
      </c>
      <c r="R1764" s="59">
        <v>0</v>
      </c>
      <c r="S1764" s="60">
        <f>tblJTL[[#This Row],[timeStamp]]/86400000+DATE(1970,1,1)+TIME(9,0,0)</f>
        <v>46296.421770983798</v>
      </c>
      <c r="T1764" s="57">
        <f>tblJTL[[#This Row],[timeStamp]]+tblJTL[[#This Row],[elapsed]]</f>
        <v>1790816841343</v>
      </c>
      <c r="U1764" s="61">
        <f>(tblJTL[[#This Row],[timeStamp]]-'17_分析サンプル'!$E$18)/1000</f>
        <v>440.83300000000003</v>
      </c>
      <c r="V1764" s="57">
        <f>INT(tblJTL[[#This Row],[経過秒]]/60)</f>
        <v>7</v>
      </c>
      <c r="W1764" s="57">
        <f>IF(OR(tblJTL[[#This Row],[success]]=FALSE,tblJTL[[#This Row],[success]]="false"),1,0)</f>
        <v>0</v>
      </c>
      <c r="X1764" s="57">
        <f>IF(AND(tblJTL[[#This Row],[経過秒]]&gt;='17_分析サンプル'!$E$11,tblJTL[[#This Row],[経過秒]]&lt;'17_分析サンプル'!$E$12),1,0)</f>
        <v>1</v>
      </c>
    </row>
    <row r="1765" spans="2:24" ht="14.4" x14ac:dyDescent="0.3">
      <c r="B1765" s="57">
        <v>1790816841262</v>
      </c>
      <c r="C1765" s="58">
        <v>244</v>
      </c>
      <c r="D1765" s="59" t="s">
        <v>1677</v>
      </c>
      <c r="E1765" s="59" t="s">
        <v>3579</v>
      </c>
      <c r="F1765" s="59" t="s">
        <v>3580</v>
      </c>
      <c r="G1765" s="59" t="s">
        <v>2278</v>
      </c>
      <c r="H1765" s="59" t="s">
        <v>2281</v>
      </c>
      <c r="I1765" s="59" t="b">
        <v>1</v>
      </c>
      <c r="J1765" s="59"/>
      <c r="K1765" s="58">
        <v>425</v>
      </c>
      <c r="L1765" s="58">
        <v>1478</v>
      </c>
      <c r="M1765" s="59">
        <v>10</v>
      </c>
      <c r="N1765" s="59">
        <v>10</v>
      </c>
      <c r="O1765" s="59" t="s">
        <v>3581</v>
      </c>
      <c r="P1765" s="58">
        <v>240</v>
      </c>
      <c r="Q1765" s="59">
        <v>0</v>
      </c>
      <c r="R1765" s="59">
        <v>0</v>
      </c>
      <c r="S1765" s="60">
        <f>tblJTL[[#This Row],[timeStamp]]/86400000+DATE(1970,1,1)+TIME(9,0,0)</f>
        <v>46296.421773865739</v>
      </c>
      <c r="T1765" s="57">
        <f>tblJTL[[#This Row],[timeStamp]]+tblJTL[[#This Row],[elapsed]]</f>
        <v>1790816841506</v>
      </c>
      <c r="U1765" s="61">
        <f>(tblJTL[[#This Row],[timeStamp]]-'17_分析サンプル'!$E$18)/1000</f>
        <v>441.08199999999999</v>
      </c>
      <c r="V1765" s="57">
        <f>INT(tblJTL[[#This Row],[経過秒]]/60)</f>
        <v>7</v>
      </c>
      <c r="W1765" s="57">
        <f>IF(OR(tblJTL[[#This Row],[success]]=FALSE,tblJTL[[#This Row],[success]]="false"),1,0)</f>
        <v>0</v>
      </c>
      <c r="X1765" s="57">
        <f>IF(AND(tblJTL[[#This Row],[経過秒]]&gt;='17_分析サンプル'!$E$11,tblJTL[[#This Row],[経過秒]]&lt;'17_分析サンプル'!$E$12),1,0)</f>
        <v>1</v>
      </c>
    </row>
    <row r="1766" spans="2:24" ht="14.4" x14ac:dyDescent="0.3">
      <c r="B1766" s="57">
        <v>1790816841184</v>
      </c>
      <c r="C1766" s="58">
        <v>353</v>
      </c>
      <c r="D1766" s="59" t="s">
        <v>1677</v>
      </c>
      <c r="E1766" s="59" t="s">
        <v>3579</v>
      </c>
      <c r="F1766" s="59" t="s">
        <v>3580</v>
      </c>
      <c r="G1766" s="59" t="s">
        <v>3588</v>
      </c>
      <c r="H1766" s="59" t="s">
        <v>2281</v>
      </c>
      <c r="I1766" s="59" t="b">
        <v>1</v>
      </c>
      <c r="J1766" s="59"/>
      <c r="K1766" s="58">
        <v>412</v>
      </c>
      <c r="L1766" s="58">
        <v>1478</v>
      </c>
      <c r="M1766" s="59">
        <v>10</v>
      </c>
      <c r="N1766" s="59">
        <v>10</v>
      </c>
      <c r="O1766" s="59" t="s">
        <v>3581</v>
      </c>
      <c r="P1766" s="58">
        <v>351</v>
      </c>
      <c r="Q1766" s="59">
        <v>0</v>
      </c>
      <c r="R1766" s="59">
        <v>0</v>
      </c>
      <c r="S1766" s="60">
        <f>tblJTL[[#This Row],[timeStamp]]/86400000+DATE(1970,1,1)+TIME(9,0,0)</f>
        <v>46296.42177296296</v>
      </c>
      <c r="T1766" s="57">
        <f>tblJTL[[#This Row],[timeStamp]]+tblJTL[[#This Row],[elapsed]]</f>
        <v>1790816841537</v>
      </c>
      <c r="U1766" s="61">
        <f>(tblJTL[[#This Row],[timeStamp]]-'17_分析サンプル'!$E$18)/1000</f>
        <v>441.00400000000002</v>
      </c>
      <c r="V1766" s="57">
        <f>INT(tblJTL[[#This Row],[経過秒]]/60)</f>
        <v>7</v>
      </c>
      <c r="W1766" s="57">
        <f>IF(OR(tblJTL[[#This Row],[success]]=FALSE,tblJTL[[#This Row],[success]]="false"),1,0)</f>
        <v>0</v>
      </c>
      <c r="X1766" s="57">
        <f>IF(AND(tblJTL[[#This Row],[経過秒]]&gt;='17_分析サンプル'!$E$11,tblJTL[[#This Row],[経過秒]]&lt;'17_分析サンプル'!$E$12),1,0)</f>
        <v>1</v>
      </c>
    </row>
    <row r="1767" spans="2:24" ht="14.4" x14ac:dyDescent="0.3">
      <c r="B1767" s="57">
        <v>1790816841639</v>
      </c>
      <c r="C1767" s="58">
        <v>257</v>
      </c>
      <c r="D1767" s="59" t="s">
        <v>1677</v>
      </c>
      <c r="E1767" s="59" t="s">
        <v>3579</v>
      </c>
      <c r="F1767" s="59" t="s">
        <v>3580</v>
      </c>
      <c r="G1767" s="59" t="s">
        <v>3584</v>
      </c>
      <c r="H1767" s="59" t="s">
        <v>2281</v>
      </c>
      <c r="I1767" s="59" t="b">
        <v>1</v>
      </c>
      <c r="J1767" s="59"/>
      <c r="K1767" s="58">
        <v>423</v>
      </c>
      <c r="L1767" s="58">
        <v>1478</v>
      </c>
      <c r="M1767" s="59">
        <v>10</v>
      </c>
      <c r="N1767" s="59">
        <v>10</v>
      </c>
      <c r="O1767" s="59" t="s">
        <v>3581</v>
      </c>
      <c r="P1767" s="58">
        <v>251</v>
      </c>
      <c r="Q1767" s="59">
        <v>0</v>
      </c>
      <c r="R1767" s="59">
        <v>0</v>
      </c>
      <c r="S1767" s="60">
        <f>tblJTL[[#This Row],[timeStamp]]/86400000+DATE(1970,1,1)+TIME(9,0,0)</f>
        <v>46296.421778229167</v>
      </c>
      <c r="T1767" s="57">
        <f>tblJTL[[#This Row],[timeStamp]]+tblJTL[[#This Row],[elapsed]]</f>
        <v>1790816841896</v>
      </c>
      <c r="U1767" s="61">
        <f>(tblJTL[[#This Row],[timeStamp]]-'17_分析サンプル'!$E$18)/1000</f>
        <v>441.459</v>
      </c>
      <c r="V1767" s="57">
        <f>INT(tblJTL[[#This Row],[経過秒]]/60)</f>
        <v>7</v>
      </c>
      <c r="W1767" s="57">
        <f>IF(OR(tblJTL[[#This Row],[success]]=FALSE,tblJTL[[#This Row],[success]]="false"),1,0)</f>
        <v>0</v>
      </c>
      <c r="X1767" s="57">
        <f>IF(AND(tblJTL[[#This Row],[経過秒]]&gt;='17_分析サンプル'!$E$11,tblJTL[[#This Row],[経過秒]]&lt;'17_分析サンプル'!$E$12),1,0)</f>
        <v>1</v>
      </c>
    </row>
    <row r="1768" spans="2:24" ht="14.4" x14ac:dyDescent="0.3">
      <c r="B1768" s="57">
        <v>1790816842089</v>
      </c>
      <c r="C1768" s="58">
        <v>109</v>
      </c>
      <c r="D1768" s="59" t="s">
        <v>1658</v>
      </c>
      <c r="E1768" s="59" t="s">
        <v>1577</v>
      </c>
      <c r="F1768" s="59" t="s">
        <v>2275</v>
      </c>
      <c r="G1768" s="59" t="s">
        <v>3587</v>
      </c>
      <c r="H1768" s="59" t="s">
        <v>2281</v>
      </c>
      <c r="I1768" s="59" t="b">
        <v>1</v>
      </c>
      <c r="J1768" s="59"/>
      <c r="K1768" s="58">
        <v>1840</v>
      </c>
      <c r="L1768" s="58">
        <v>1342</v>
      </c>
      <c r="M1768" s="59">
        <v>10</v>
      </c>
      <c r="N1768" s="59">
        <v>10</v>
      </c>
      <c r="O1768" s="59" t="s">
        <v>3578</v>
      </c>
      <c r="P1768" s="58">
        <v>104</v>
      </c>
      <c r="Q1768" s="59">
        <v>0</v>
      </c>
      <c r="R1768" s="59">
        <v>0</v>
      </c>
      <c r="S1768" s="60">
        <f>tblJTL[[#This Row],[timeStamp]]/86400000+DATE(1970,1,1)+TIME(9,0,0)</f>
        <v>46296.421783437501</v>
      </c>
      <c r="T1768" s="57">
        <f>tblJTL[[#This Row],[timeStamp]]+tblJTL[[#This Row],[elapsed]]</f>
        <v>1790816842198</v>
      </c>
      <c r="U1768" s="61">
        <f>(tblJTL[[#This Row],[timeStamp]]-'17_分析サンプル'!$E$18)/1000</f>
        <v>441.90899999999999</v>
      </c>
      <c r="V1768" s="57">
        <f>INT(tblJTL[[#This Row],[経過秒]]/60)</f>
        <v>7</v>
      </c>
      <c r="W1768" s="57">
        <f>IF(OR(tblJTL[[#This Row],[success]]=FALSE,tblJTL[[#This Row],[success]]="false"),1,0)</f>
        <v>0</v>
      </c>
      <c r="X1768" s="57">
        <f>IF(AND(tblJTL[[#This Row],[経過秒]]&gt;='17_分析サンプル'!$E$11,tblJTL[[#This Row],[経過秒]]&lt;'17_分析サンプル'!$E$12),1,0)</f>
        <v>1</v>
      </c>
    </row>
    <row r="1769" spans="2:24" ht="14.4" x14ac:dyDescent="0.3">
      <c r="B1769" s="57">
        <v>1790816842135</v>
      </c>
      <c r="C1769" s="58">
        <v>191</v>
      </c>
      <c r="D1769" s="59" t="s">
        <v>1677</v>
      </c>
      <c r="E1769" s="59" t="s">
        <v>3579</v>
      </c>
      <c r="F1769" s="59" t="s">
        <v>3580</v>
      </c>
      <c r="G1769" s="59" t="s">
        <v>3582</v>
      </c>
      <c r="H1769" s="59" t="s">
        <v>2281</v>
      </c>
      <c r="I1769" s="59" t="b">
        <v>1</v>
      </c>
      <c r="J1769" s="59"/>
      <c r="K1769" s="58">
        <v>414</v>
      </c>
      <c r="L1769" s="58">
        <v>1478</v>
      </c>
      <c r="M1769" s="59">
        <v>10</v>
      </c>
      <c r="N1769" s="59">
        <v>10</v>
      </c>
      <c r="O1769" s="59" t="s">
        <v>3581</v>
      </c>
      <c r="P1769" s="58">
        <v>188</v>
      </c>
      <c r="Q1769" s="59">
        <v>0</v>
      </c>
      <c r="R1769" s="59">
        <v>0</v>
      </c>
      <c r="S1769" s="60">
        <f>tblJTL[[#This Row],[timeStamp]]/86400000+DATE(1970,1,1)+TIME(9,0,0)</f>
        <v>46296.421783969912</v>
      </c>
      <c r="T1769" s="57">
        <f>tblJTL[[#This Row],[timeStamp]]+tblJTL[[#This Row],[elapsed]]</f>
        <v>1790816842326</v>
      </c>
      <c r="U1769" s="61">
        <f>(tblJTL[[#This Row],[timeStamp]]-'17_分析サンプル'!$E$18)/1000</f>
        <v>441.95499999999998</v>
      </c>
      <c r="V1769" s="57">
        <f>INT(tblJTL[[#This Row],[経過秒]]/60)</f>
        <v>7</v>
      </c>
      <c r="W1769" s="57">
        <f>IF(OR(tblJTL[[#This Row],[success]]=FALSE,tblJTL[[#This Row],[success]]="false"),1,0)</f>
        <v>0</v>
      </c>
      <c r="X1769" s="57">
        <f>IF(AND(tblJTL[[#This Row],[経過秒]]&gt;='17_分析サンプル'!$E$11,tblJTL[[#This Row],[経過秒]]&lt;'17_分析サンプル'!$E$12),1,0)</f>
        <v>1</v>
      </c>
    </row>
    <row r="1770" spans="2:24" ht="14.4" x14ac:dyDescent="0.3">
      <c r="B1770" s="57">
        <v>1790816842477</v>
      </c>
      <c r="C1770" s="58">
        <v>83</v>
      </c>
      <c r="D1770" s="59" t="s">
        <v>1658</v>
      </c>
      <c r="E1770" s="59" t="s">
        <v>1577</v>
      </c>
      <c r="F1770" s="59" t="s">
        <v>2275</v>
      </c>
      <c r="G1770" s="59" t="s">
        <v>3589</v>
      </c>
      <c r="H1770" s="59" t="s">
        <v>2281</v>
      </c>
      <c r="I1770" s="59" t="b">
        <v>1</v>
      </c>
      <c r="J1770" s="59"/>
      <c r="K1770" s="58">
        <v>1849</v>
      </c>
      <c r="L1770" s="58">
        <v>1342</v>
      </c>
      <c r="M1770" s="59">
        <v>10</v>
      </c>
      <c r="N1770" s="59">
        <v>10</v>
      </c>
      <c r="O1770" s="59" t="s">
        <v>3578</v>
      </c>
      <c r="P1770" s="58">
        <v>78</v>
      </c>
      <c r="Q1770" s="59">
        <v>0</v>
      </c>
      <c r="R1770" s="59">
        <v>0</v>
      </c>
      <c r="S1770" s="60">
        <f>tblJTL[[#This Row],[timeStamp]]/86400000+DATE(1970,1,1)+TIME(9,0,0)</f>
        <v>46296.421787928237</v>
      </c>
      <c r="T1770" s="57">
        <f>tblJTL[[#This Row],[timeStamp]]+tblJTL[[#This Row],[elapsed]]</f>
        <v>1790816842560</v>
      </c>
      <c r="U1770" s="61">
        <f>(tblJTL[[#This Row],[timeStamp]]-'17_分析サンプル'!$E$18)/1000</f>
        <v>442.29700000000003</v>
      </c>
      <c r="V1770" s="57">
        <f>INT(tblJTL[[#This Row],[経過秒]]/60)</f>
        <v>7</v>
      </c>
      <c r="W1770" s="57">
        <f>IF(OR(tblJTL[[#This Row],[success]]=FALSE,tblJTL[[#This Row],[success]]="false"),1,0)</f>
        <v>0</v>
      </c>
      <c r="X1770" s="57">
        <f>IF(AND(tblJTL[[#This Row],[経過秒]]&gt;='17_分析サンプル'!$E$11,tblJTL[[#This Row],[経過秒]]&lt;'17_分析サンプル'!$E$12),1,0)</f>
        <v>1</v>
      </c>
    </row>
    <row r="1771" spans="2:24" ht="14.4" x14ac:dyDescent="0.3">
      <c r="B1771" s="57">
        <v>1790816842487</v>
      </c>
      <c r="C1771" s="58">
        <v>198</v>
      </c>
      <c r="D1771" s="59" t="s">
        <v>1658</v>
      </c>
      <c r="E1771" s="59" t="s">
        <v>1577</v>
      </c>
      <c r="F1771" s="59" t="s">
        <v>2275</v>
      </c>
      <c r="G1771" s="59" t="s">
        <v>3583</v>
      </c>
      <c r="H1771" s="59" t="s">
        <v>2281</v>
      </c>
      <c r="I1771" s="59" t="b">
        <v>1</v>
      </c>
      <c r="J1771" s="59"/>
      <c r="K1771" s="58">
        <v>1869</v>
      </c>
      <c r="L1771" s="58">
        <v>1342</v>
      </c>
      <c r="M1771" s="59">
        <v>10</v>
      </c>
      <c r="N1771" s="59">
        <v>10</v>
      </c>
      <c r="O1771" s="59" t="s">
        <v>3578</v>
      </c>
      <c r="P1771" s="58">
        <v>194</v>
      </c>
      <c r="Q1771" s="59">
        <v>0</v>
      </c>
      <c r="R1771" s="59">
        <v>0</v>
      </c>
      <c r="S1771" s="60">
        <f>tblJTL[[#This Row],[timeStamp]]/86400000+DATE(1970,1,1)+TIME(9,0,0)</f>
        <v>46296.421788043983</v>
      </c>
      <c r="T1771" s="57">
        <f>tblJTL[[#This Row],[timeStamp]]+tblJTL[[#This Row],[elapsed]]</f>
        <v>1790816842685</v>
      </c>
      <c r="U1771" s="61">
        <f>(tblJTL[[#This Row],[timeStamp]]-'17_分析サンプル'!$E$18)/1000</f>
        <v>442.30700000000002</v>
      </c>
      <c r="V1771" s="57">
        <f>INT(tblJTL[[#This Row],[経過秒]]/60)</f>
        <v>7</v>
      </c>
      <c r="W1771" s="57">
        <f>IF(OR(tblJTL[[#This Row],[success]]=FALSE,tblJTL[[#This Row],[success]]="false"),1,0)</f>
        <v>0</v>
      </c>
      <c r="X1771" s="57">
        <f>IF(AND(tblJTL[[#This Row],[経過秒]]&gt;='17_分析サンプル'!$E$11,tblJTL[[#This Row],[経過秒]]&lt;'17_分析サンプル'!$E$12),1,0)</f>
        <v>1</v>
      </c>
    </row>
    <row r="1772" spans="2:24" ht="14.4" x14ac:dyDescent="0.3">
      <c r="B1772" s="57">
        <v>1790816842850</v>
      </c>
      <c r="C1772" s="58">
        <v>85</v>
      </c>
      <c r="D1772" s="59" t="s">
        <v>1658</v>
      </c>
      <c r="E1772" s="59" t="s">
        <v>1577</v>
      </c>
      <c r="F1772" s="59" t="s">
        <v>2275</v>
      </c>
      <c r="G1772" s="59" t="s">
        <v>2278</v>
      </c>
      <c r="H1772" s="59" t="s">
        <v>2281</v>
      </c>
      <c r="I1772" s="59" t="b">
        <v>1</v>
      </c>
      <c r="J1772" s="59"/>
      <c r="K1772" s="58">
        <v>1885</v>
      </c>
      <c r="L1772" s="58">
        <v>1342</v>
      </c>
      <c r="M1772" s="59">
        <v>10</v>
      </c>
      <c r="N1772" s="59">
        <v>10</v>
      </c>
      <c r="O1772" s="59" t="s">
        <v>3578</v>
      </c>
      <c r="P1772" s="58">
        <v>79</v>
      </c>
      <c r="Q1772" s="59">
        <v>0</v>
      </c>
      <c r="R1772" s="59">
        <v>0</v>
      </c>
      <c r="S1772" s="60">
        <f>tblJTL[[#This Row],[timeStamp]]/86400000+DATE(1970,1,1)+TIME(9,0,0)</f>
        <v>46296.421792245368</v>
      </c>
      <c r="T1772" s="57">
        <f>tblJTL[[#This Row],[timeStamp]]+tblJTL[[#This Row],[elapsed]]</f>
        <v>1790816842935</v>
      </c>
      <c r="U1772" s="61">
        <f>(tblJTL[[#This Row],[timeStamp]]-'17_分析サンプル'!$E$18)/1000</f>
        <v>442.67</v>
      </c>
      <c r="V1772" s="57">
        <f>INT(tblJTL[[#This Row],[経過秒]]/60)</f>
        <v>7</v>
      </c>
      <c r="W1772" s="57">
        <f>IF(OR(tblJTL[[#This Row],[success]]=FALSE,tblJTL[[#This Row],[success]]="false"),1,0)</f>
        <v>0</v>
      </c>
      <c r="X1772" s="57">
        <f>IF(AND(tblJTL[[#This Row],[経過秒]]&gt;='17_分析サンプル'!$E$11,tblJTL[[#This Row],[経過秒]]&lt;'17_分析サンプル'!$E$12),1,0)</f>
        <v>1</v>
      </c>
    </row>
    <row r="1773" spans="2:24" ht="14.4" x14ac:dyDescent="0.3">
      <c r="B1773" s="57">
        <v>1790816842686</v>
      </c>
      <c r="C1773" s="58">
        <v>438</v>
      </c>
      <c r="D1773" s="59" t="s">
        <v>1677</v>
      </c>
      <c r="E1773" s="59" t="s">
        <v>3579</v>
      </c>
      <c r="F1773" s="59" t="s">
        <v>3580</v>
      </c>
      <c r="G1773" s="59" t="s">
        <v>3585</v>
      </c>
      <c r="H1773" s="59" t="s">
        <v>2281</v>
      </c>
      <c r="I1773" s="59" t="b">
        <v>1</v>
      </c>
      <c r="J1773" s="59"/>
      <c r="K1773" s="58">
        <v>411</v>
      </c>
      <c r="L1773" s="58">
        <v>1478</v>
      </c>
      <c r="M1773" s="59">
        <v>10</v>
      </c>
      <c r="N1773" s="59">
        <v>10</v>
      </c>
      <c r="O1773" s="59" t="s">
        <v>3581</v>
      </c>
      <c r="P1773" s="58">
        <v>430</v>
      </c>
      <c r="Q1773" s="59">
        <v>0</v>
      </c>
      <c r="R1773" s="59">
        <v>0</v>
      </c>
      <c r="S1773" s="60">
        <f>tblJTL[[#This Row],[timeStamp]]/86400000+DATE(1970,1,1)+TIME(9,0,0)</f>
        <v>46296.421790347224</v>
      </c>
      <c r="T1773" s="57">
        <f>tblJTL[[#This Row],[timeStamp]]+tblJTL[[#This Row],[elapsed]]</f>
        <v>1790816843124</v>
      </c>
      <c r="U1773" s="61">
        <f>(tblJTL[[#This Row],[timeStamp]]-'17_分析サンプル'!$E$18)/1000</f>
        <v>442.50599999999997</v>
      </c>
      <c r="V1773" s="57">
        <f>INT(tblJTL[[#This Row],[経過秒]]/60)</f>
        <v>7</v>
      </c>
      <c r="W1773" s="57">
        <f>IF(OR(tblJTL[[#This Row],[success]]=FALSE,tblJTL[[#This Row],[success]]="false"),1,0)</f>
        <v>0</v>
      </c>
      <c r="X1773" s="57">
        <f>IF(AND(tblJTL[[#This Row],[経過秒]]&gt;='17_分析サンプル'!$E$11,tblJTL[[#This Row],[経過秒]]&lt;'17_分析サンプル'!$E$12),1,0)</f>
        <v>1</v>
      </c>
    </row>
    <row r="1774" spans="2:24" ht="14.4" x14ac:dyDescent="0.3">
      <c r="B1774" s="57">
        <v>1790816843017</v>
      </c>
      <c r="C1774" s="58">
        <v>173</v>
      </c>
      <c r="D1774" s="59" t="s">
        <v>1677</v>
      </c>
      <c r="E1774" s="59" t="s">
        <v>3579</v>
      </c>
      <c r="F1774" s="59" t="s">
        <v>3580</v>
      </c>
      <c r="G1774" s="59" t="s">
        <v>3586</v>
      </c>
      <c r="H1774" s="59" t="s">
        <v>2281</v>
      </c>
      <c r="I1774" s="59" t="b">
        <v>1</v>
      </c>
      <c r="J1774" s="59"/>
      <c r="K1774" s="58">
        <v>439</v>
      </c>
      <c r="L1774" s="58">
        <v>1478</v>
      </c>
      <c r="M1774" s="59">
        <v>10</v>
      </c>
      <c r="N1774" s="59">
        <v>10</v>
      </c>
      <c r="O1774" s="59" t="s">
        <v>3581</v>
      </c>
      <c r="P1774" s="58">
        <v>165</v>
      </c>
      <c r="Q1774" s="59">
        <v>0</v>
      </c>
      <c r="R1774" s="59">
        <v>0</v>
      </c>
      <c r="S1774" s="60">
        <f>tblJTL[[#This Row],[timeStamp]]/86400000+DATE(1970,1,1)+TIME(9,0,0)</f>
        <v>46296.421794178241</v>
      </c>
      <c r="T1774" s="57">
        <f>tblJTL[[#This Row],[timeStamp]]+tblJTL[[#This Row],[elapsed]]</f>
        <v>1790816843190</v>
      </c>
      <c r="U1774" s="61">
        <f>(tblJTL[[#This Row],[timeStamp]]-'17_分析サンプル'!$E$18)/1000</f>
        <v>442.83699999999999</v>
      </c>
      <c r="V1774" s="57">
        <f>INT(tblJTL[[#This Row],[経過秒]]/60)</f>
        <v>7</v>
      </c>
      <c r="W1774" s="57">
        <f>IF(OR(tblJTL[[#This Row],[success]]=FALSE,tblJTL[[#This Row],[success]]="false"),1,0)</f>
        <v>0</v>
      </c>
      <c r="X1774" s="57">
        <f>IF(AND(tblJTL[[#This Row],[経過秒]]&gt;='17_分析サンプル'!$E$11,tblJTL[[#This Row],[経過秒]]&lt;'17_分析サンプル'!$E$12),1,0)</f>
        <v>1</v>
      </c>
    </row>
    <row r="1775" spans="2:24" ht="14.4" x14ac:dyDescent="0.3">
      <c r="B1775" s="57">
        <v>1790816843733</v>
      </c>
      <c r="C1775" s="58">
        <v>197</v>
      </c>
      <c r="D1775" s="59" t="s">
        <v>1658</v>
      </c>
      <c r="E1775" s="59" t="s">
        <v>1577</v>
      </c>
      <c r="F1775" s="59" t="s">
        <v>2275</v>
      </c>
      <c r="G1775" s="59" t="s">
        <v>3577</v>
      </c>
      <c r="H1775" s="59" t="s">
        <v>2281</v>
      </c>
      <c r="I1775" s="59" t="b">
        <v>1</v>
      </c>
      <c r="J1775" s="59"/>
      <c r="K1775" s="58">
        <v>1868</v>
      </c>
      <c r="L1775" s="58">
        <v>1342</v>
      </c>
      <c r="M1775" s="59">
        <v>10</v>
      </c>
      <c r="N1775" s="59">
        <v>10</v>
      </c>
      <c r="O1775" s="59" t="s">
        <v>3578</v>
      </c>
      <c r="P1775" s="58">
        <v>191</v>
      </c>
      <c r="Q1775" s="59">
        <v>0</v>
      </c>
      <c r="R1775" s="59">
        <v>0</v>
      </c>
      <c r="S1775" s="60">
        <f>tblJTL[[#This Row],[timeStamp]]/86400000+DATE(1970,1,1)+TIME(9,0,0)</f>
        <v>46296.42180246528</v>
      </c>
      <c r="T1775" s="57">
        <f>tblJTL[[#This Row],[timeStamp]]+tblJTL[[#This Row],[elapsed]]</f>
        <v>1790816843930</v>
      </c>
      <c r="U1775" s="61">
        <f>(tblJTL[[#This Row],[timeStamp]]-'17_分析サンプル'!$E$18)/1000</f>
        <v>443.553</v>
      </c>
      <c r="V1775" s="57">
        <f>INT(tblJTL[[#This Row],[経過秒]]/60)</f>
        <v>7</v>
      </c>
      <c r="W1775" s="57">
        <f>IF(OR(tblJTL[[#This Row],[success]]=FALSE,tblJTL[[#This Row],[success]]="false"),1,0)</f>
        <v>0</v>
      </c>
      <c r="X1775" s="57">
        <f>IF(AND(tblJTL[[#This Row],[経過秒]]&gt;='17_分析サンプル'!$E$11,tblJTL[[#This Row],[経過秒]]&lt;'17_分析サンプル'!$E$12),1,0)</f>
        <v>1</v>
      </c>
    </row>
    <row r="1776" spans="2:24" ht="14.4" x14ac:dyDescent="0.3">
      <c r="B1776" s="57">
        <v>1790816844099</v>
      </c>
      <c r="C1776" s="58">
        <v>102</v>
      </c>
      <c r="D1776" s="59" t="s">
        <v>1658</v>
      </c>
      <c r="E1776" s="59" t="s">
        <v>1577</v>
      </c>
      <c r="F1776" s="59" t="s">
        <v>2275</v>
      </c>
      <c r="G1776" s="59" t="s">
        <v>3588</v>
      </c>
      <c r="H1776" s="59" t="s">
        <v>2281</v>
      </c>
      <c r="I1776" s="59" t="b">
        <v>1</v>
      </c>
      <c r="J1776" s="59"/>
      <c r="K1776" s="58">
        <v>1826</v>
      </c>
      <c r="L1776" s="58">
        <v>1342</v>
      </c>
      <c r="M1776" s="59">
        <v>10</v>
      </c>
      <c r="N1776" s="59">
        <v>10</v>
      </c>
      <c r="O1776" s="59" t="s">
        <v>3578</v>
      </c>
      <c r="P1776" s="58">
        <v>97</v>
      </c>
      <c r="Q1776" s="59">
        <v>0</v>
      </c>
      <c r="R1776" s="59">
        <v>0</v>
      </c>
      <c r="S1776" s="60">
        <f>tblJTL[[#This Row],[timeStamp]]/86400000+DATE(1970,1,1)+TIME(9,0,0)</f>
        <v>46296.421806701386</v>
      </c>
      <c r="T1776" s="57">
        <f>tblJTL[[#This Row],[timeStamp]]+tblJTL[[#This Row],[elapsed]]</f>
        <v>1790816844201</v>
      </c>
      <c r="U1776" s="61">
        <f>(tblJTL[[#This Row],[timeStamp]]-'17_分析サンプル'!$E$18)/1000</f>
        <v>443.91899999999998</v>
      </c>
      <c r="V1776" s="57">
        <f>INT(tblJTL[[#This Row],[経過秒]]/60)</f>
        <v>7</v>
      </c>
      <c r="W1776" s="57">
        <f>IF(OR(tblJTL[[#This Row],[success]]=FALSE,tblJTL[[#This Row],[success]]="false"),1,0)</f>
        <v>0</v>
      </c>
      <c r="X1776" s="57">
        <f>IF(AND(tblJTL[[#This Row],[経過秒]]&gt;='17_分析サンプル'!$E$11,tblJTL[[#This Row],[経過秒]]&lt;'17_分析サンプル'!$E$12),1,0)</f>
        <v>1</v>
      </c>
    </row>
    <row r="1777" spans="2:24" ht="14.4" x14ac:dyDescent="0.3">
      <c r="B1777" s="57">
        <v>1790816843996</v>
      </c>
      <c r="C1777" s="58">
        <v>242</v>
      </c>
      <c r="D1777" s="59" t="s">
        <v>1677</v>
      </c>
      <c r="E1777" s="59" t="s">
        <v>3579</v>
      </c>
      <c r="F1777" s="59" t="s">
        <v>3580</v>
      </c>
      <c r="G1777" s="59" t="s">
        <v>3589</v>
      </c>
      <c r="H1777" s="59" t="s">
        <v>2281</v>
      </c>
      <c r="I1777" s="59" t="b">
        <v>1</v>
      </c>
      <c r="J1777" s="59"/>
      <c r="K1777" s="58">
        <v>412</v>
      </c>
      <c r="L1777" s="58">
        <v>1478</v>
      </c>
      <c r="M1777" s="59">
        <v>10</v>
      </c>
      <c r="N1777" s="59">
        <v>10</v>
      </c>
      <c r="O1777" s="59" t="s">
        <v>3581</v>
      </c>
      <c r="P1777" s="58">
        <v>236</v>
      </c>
      <c r="Q1777" s="59">
        <v>0</v>
      </c>
      <c r="R1777" s="59">
        <v>0</v>
      </c>
      <c r="S1777" s="60">
        <f>tblJTL[[#This Row],[timeStamp]]/86400000+DATE(1970,1,1)+TIME(9,0,0)</f>
        <v>46296.421805509264</v>
      </c>
      <c r="T1777" s="57">
        <f>tblJTL[[#This Row],[timeStamp]]+tblJTL[[#This Row],[elapsed]]</f>
        <v>1790816844238</v>
      </c>
      <c r="U1777" s="61">
        <f>(tblJTL[[#This Row],[timeStamp]]-'17_分析サンプル'!$E$18)/1000</f>
        <v>443.81599999999997</v>
      </c>
      <c r="V1777" s="57">
        <f>INT(tblJTL[[#This Row],[経過秒]]/60)</f>
        <v>7</v>
      </c>
      <c r="W1777" s="57">
        <f>IF(OR(tblJTL[[#This Row],[success]]=FALSE,tblJTL[[#This Row],[success]]="false"),1,0)</f>
        <v>0</v>
      </c>
      <c r="X1777" s="57">
        <f>IF(AND(tblJTL[[#This Row],[経過秒]]&gt;='17_分析サンプル'!$E$11,tblJTL[[#This Row],[経過秒]]&lt;'17_分析サンプル'!$E$12),1,0)</f>
        <v>1</v>
      </c>
    </row>
    <row r="1778" spans="2:24" ht="14.4" x14ac:dyDescent="0.3">
      <c r="B1778" s="57">
        <v>1790816844419</v>
      </c>
      <c r="C1778" s="58">
        <v>84</v>
      </c>
      <c r="D1778" s="59" t="s">
        <v>1658</v>
      </c>
      <c r="E1778" s="59" t="s">
        <v>1577</v>
      </c>
      <c r="F1778" s="59" t="s">
        <v>2275</v>
      </c>
      <c r="G1778" s="59" t="s">
        <v>3584</v>
      </c>
      <c r="H1778" s="59" t="s">
        <v>2281</v>
      </c>
      <c r="I1778" s="59" t="b">
        <v>1</v>
      </c>
      <c r="J1778" s="59"/>
      <c r="K1778" s="58">
        <v>1821</v>
      </c>
      <c r="L1778" s="58">
        <v>1342</v>
      </c>
      <c r="M1778" s="59">
        <v>10</v>
      </c>
      <c r="N1778" s="59">
        <v>10</v>
      </c>
      <c r="O1778" s="59" t="s">
        <v>3578</v>
      </c>
      <c r="P1778" s="58">
        <v>76</v>
      </c>
      <c r="Q1778" s="59">
        <v>0</v>
      </c>
      <c r="R1778" s="59">
        <v>0</v>
      </c>
      <c r="S1778" s="60">
        <f>tblJTL[[#This Row],[timeStamp]]/86400000+DATE(1970,1,1)+TIME(9,0,0)</f>
        <v>46296.421810405096</v>
      </c>
      <c r="T1778" s="57">
        <f>tblJTL[[#This Row],[timeStamp]]+tblJTL[[#This Row],[elapsed]]</f>
        <v>1790816844503</v>
      </c>
      <c r="U1778" s="61">
        <f>(tblJTL[[#This Row],[timeStamp]]-'17_分析サンプル'!$E$18)/1000</f>
        <v>444.23899999999998</v>
      </c>
      <c r="V1778" s="57">
        <f>INT(tblJTL[[#This Row],[経過秒]]/60)</f>
        <v>7</v>
      </c>
      <c r="W1778" s="57">
        <f>IF(OR(tblJTL[[#This Row],[success]]=FALSE,tblJTL[[#This Row],[success]]="false"),1,0)</f>
        <v>0</v>
      </c>
      <c r="X1778" s="57">
        <f>IF(AND(tblJTL[[#This Row],[経過秒]]&gt;='17_分析サンプル'!$E$11,tblJTL[[#This Row],[経過秒]]&lt;'17_分析サンプル'!$E$12),1,0)</f>
        <v>1</v>
      </c>
    </row>
    <row r="1779" spans="2:24" ht="14.4" x14ac:dyDescent="0.3">
      <c r="B1779" s="57">
        <v>1790816844513</v>
      </c>
      <c r="C1779" s="58">
        <v>123</v>
      </c>
      <c r="D1779" s="59" t="s">
        <v>1658</v>
      </c>
      <c r="E1779" s="59" t="s">
        <v>1577</v>
      </c>
      <c r="F1779" s="59" t="s">
        <v>2275</v>
      </c>
      <c r="G1779" s="59" t="s">
        <v>3586</v>
      </c>
      <c r="H1779" s="59" t="s">
        <v>2281</v>
      </c>
      <c r="I1779" s="59" t="b">
        <v>1</v>
      </c>
      <c r="J1779" s="59"/>
      <c r="K1779" s="58">
        <v>1874</v>
      </c>
      <c r="L1779" s="58">
        <v>1342</v>
      </c>
      <c r="M1779" s="59">
        <v>10</v>
      </c>
      <c r="N1779" s="59">
        <v>10</v>
      </c>
      <c r="O1779" s="59" t="s">
        <v>3578</v>
      </c>
      <c r="P1779" s="58">
        <v>118</v>
      </c>
      <c r="Q1779" s="59">
        <v>0</v>
      </c>
      <c r="R1779" s="59">
        <v>0</v>
      </c>
      <c r="S1779" s="60">
        <f>tblJTL[[#This Row],[timeStamp]]/86400000+DATE(1970,1,1)+TIME(9,0,0)</f>
        <v>46296.421811493055</v>
      </c>
      <c r="T1779" s="57">
        <f>tblJTL[[#This Row],[timeStamp]]+tblJTL[[#This Row],[elapsed]]</f>
        <v>1790816844636</v>
      </c>
      <c r="U1779" s="61">
        <f>(tblJTL[[#This Row],[timeStamp]]-'17_分析サンプル'!$E$18)/1000</f>
        <v>444.33300000000003</v>
      </c>
      <c r="V1779" s="57">
        <f>INT(tblJTL[[#This Row],[経過秒]]/60)</f>
        <v>7</v>
      </c>
      <c r="W1779" s="57">
        <f>IF(OR(tblJTL[[#This Row],[success]]=FALSE,tblJTL[[#This Row],[success]]="false"),1,0)</f>
        <v>0</v>
      </c>
      <c r="X1779" s="57">
        <f>IF(AND(tblJTL[[#This Row],[経過秒]]&gt;='17_分析サンプル'!$E$11,tblJTL[[#This Row],[経過秒]]&lt;'17_分析サンプル'!$E$12),1,0)</f>
        <v>1</v>
      </c>
    </row>
    <row r="1780" spans="2:24" ht="14.4" x14ac:dyDescent="0.3">
      <c r="B1780" s="57">
        <v>1790816844935</v>
      </c>
      <c r="C1780" s="58">
        <v>273</v>
      </c>
      <c r="D1780" s="59" t="s">
        <v>1677</v>
      </c>
      <c r="E1780" s="59" t="s">
        <v>3579</v>
      </c>
      <c r="F1780" s="59" t="s">
        <v>3580</v>
      </c>
      <c r="G1780" s="59" t="s">
        <v>3587</v>
      </c>
      <c r="H1780" s="59" t="s">
        <v>2281</v>
      </c>
      <c r="I1780" s="59" t="b">
        <v>1</v>
      </c>
      <c r="J1780" s="59"/>
      <c r="K1780" s="58">
        <v>418</v>
      </c>
      <c r="L1780" s="58">
        <v>1478</v>
      </c>
      <c r="M1780" s="59">
        <v>10</v>
      </c>
      <c r="N1780" s="59">
        <v>10</v>
      </c>
      <c r="O1780" s="59" t="s">
        <v>3581</v>
      </c>
      <c r="P1780" s="58">
        <v>270</v>
      </c>
      <c r="Q1780" s="59">
        <v>0</v>
      </c>
      <c r="R1780" s="59">
        <v>0</v>
      </c>
      <c r="S1780" s="60">
        <f>tblJTL[[#This Row],[timeStamp]]/86400000+DATE(1970,1,1)+TIME(9,0,0)</f>
        <v>46296.421816377318</v>
      </c>
      <c r="T1780" s="57">
        <f>tblJTL[[#This Row],[timeStamp]]+tblJTL[[#This Row],[elapsed]]</f>
        <v>1790816845208</v>
      </c>
      <c r="U1780" s="61">
        <f>(tblJTL[[#This Row],[timeStamp]]-'17_分析サンプル'!$E$18)/1000</f>
        <v>444.755</v>
      </c>
      <c r="V1780" s="57">
        <f>INT(tblJTL[[#This Row],[経過秒]]/60)</f>
        <v>7</v>
      </c>
      <c r="W1780" s="57">
        <f>IF(OR(tblJTL[[#This Row],[success]]=FALSE,tblJTL[[#This Row],[success]]="false"),1,0)</f>
        <v>0</v>
      </c>
      <c r="X1780" s="57">
        <f>IF(AND(tblJTL[[#This Row],[経過秒]]&gt;='17_分析サンプル'!$E$11,tblJTL[[#This Row],[経過秒]]&lt;'17_分析サンプル'!$E$12),1,0)</f>
        <v>1</v>
      </c>
    </row>
    <row r="1781" spans="2:24" ht="14.4" x14ac:dyDescent="0.3">
      <c r="B1781" s="57">
        <v>1790816845308</v>
      </c>
      <c r="C1781" s="58">
        <v>67</v>
      </c>
      <c r="D1781" s="59" t="s">
        <v>1658</v>
      </c>
      <c r="E1781" s="59" t="s">
        <v>1577</v>
      </c>
      <c r="F1781" s="59" t="s">
        <v>2275</v>
      </c>
      <c r="G1781" s="59" t="s">
        <v>3582</v>
      </c>
      <c r="H1781" s="59" t="s">
        <v>2281</v>
      </c>
      <c r="I1781" s="59" t="b">
        <v>1</v>
      </c>
      <c r="J1781" s="59"/>
      <c r="K1781" s="58">
        <v>1872</v>
      </c>
      <c r="L1781" s="58">
        <v>1342</v>
      </c>
      <c r="M1781" s="59">
        <v>10</v>
      </c>
      <c r="N1781" s="59">
        <v>10</v>
      </c>
      <c r="O1781" s="59" t="s">
        <v>3578</v>
      </c>
      <c r="P1781" s="58">
        <v>63</v>
      </c>
      <c r="Q1781" s="59">
        <v>0</v>
      </c>
      <c r="R1781" s="59">
        <v>0</v>
      </c>
      <c r="S1781" s="60">
        <f>tblJTL[[#This Row],[timeStamp]]/86400000+DATE(1970,1,1)+TIME(9,0,0)</f>
        <v>46296.42182069445</v>
      </c>
      <c r="T1781" s="57">
        <f>tblJTL[[#This Row],[timeStamp]]+tblJTL[[#This Row],[elapsed]]</f>
        <v>1790816845375</v>
      </c>
      <c r="U1781" s="61">
        <f>(tblJTL[[#This Row],[timeStamp]]-'17_分析サンプル'!$E$18)/1000</f>
        <v>445.12799999999999</v>
      </c>
      <c r="V1781" s="57">
        <f>INT(tblJTL[[#This Row],[経過秒]]/60)</f>
        <v>7</v>
      </c>
      <c r="W1781" s="57">
        <f>IF(OR(tblJTL[[#This Row],[success]]=FALSE,tblJTL[[#This Row],[success]]="false"),1,0)</f>
        <v>0</v>
      </c>
      <c r="X1781" s="57">
        <f>IF(AND(tblJTL[[#This Row],[経過秒]]&gt;='17_分析サンプル'!$E$11,tblJTL[[#This Row],[経過秒]]&lt;'17_分析サンプル'!$E$12),1,0)</f>
        <v>1</v>
      </c>
    </row>
    <row r="1782" spans="2:24" ht="14.4" x14ac:dyDescent="0.3">
      <c r="B1782" s="57">
        <v>1790816845372</v>
      </c>
      <c r="C1782" s="58">
        <v>276</v>
      </c>
      <c r="D1782" s="59" t="s">
        <v>1677</v>
      </c>
      <c r="E1782" s="59" t="s">
        <v>3579</v>
      </c>
      <c r="F1782" s="59" t="s">
        <v>3580</v>
      </c>
      <c r="G1782" s="59" t="s">
        <v>3577</v>
      </c>
      <c r="H1782" s="59" t="s">
        <v>2281</v>
      </c>
      <c r="I1782" s="59" t="b">
        <v>1</v>
      </c>
      <c r="J1782" s="59"/>
      <c r="K1782" s="58">
        <v>423</v>
      </c>
      <c r="L1782" s="58">
        <v>1478</v>
      </c>
      <c r="M1782" s="59">
        <v>10</v>
      </c>
      <c r="N1782" s="59">
        <v>10</v>
      </c>
      <c r="O1782" s="59" t="s">
        <v>3581</v>
      </c>
      <c r="P1782" s="58">
        <v>272</v>
      </c>
      <c r="Q1782" s="59">
        <v>0</v>
      </c>
      <c r="R1782" s="59">
        <v>0</v>
      </c>
      <c r="S1782" s="60">
        <f>tblJTL[[#This Row],[timeStamp]]/86400000+DATE(1970,1,1)+TIME(9,0,0)</f>
        <v>46296.421821435186</v>
      </c>
      <c r="T1782" s="57">
        <f>tblJTL[[#This Row],[timeStamp]]+tblJTL[[#This Row],[elapsed]]</f>
        <v>1790816845648</v>
      </c>
      <c r="U1782" s="61">
        <f>(tblJTL[[#This Row],[timeStamp]]-'17_分析サンプル'!$E$18)/1000</f>
        <v>445.19200000000001</v>
      </c>
      <c r="V1782" s="57">
        <f>INT(tblJTL[[#This Row],[経過秒]]/60)</f>
        <v>7</v>
      </c>
      <c r="W1782" s="57">
        <f>IF(OR(tblJTL[[#This Row],[success]]=FALSE,tblJTL[[#This Row],[success]]="false"),1,0)</f>
        <v>0</v>
      </c>
      <c r="X1782" s="57">
        <f>IF(AND(tblJTL[[#This Row],[経過秒]]&gt;='17_分析サンプル'!$E$11,tblJTL[[#This Row],[経過秒]]&lt;'17_分析サンプル'!$E$12),1,0)</f>
        <v>1</v>
      </c>
    </row>
    <row r="1783" spans="2:24" ht="14.4" x14ac:dyDescent="0.3">
      <c r="B1783" s="57">
        <v>1790816845629</v>
      </c>
      <c r="C1783" s="58">
        <v>197</v>
      </c>
      <c r="D1783" s="59" t="s">
        <v>1677</v>
      </c>
      <c r="E1783" s="59" t="s">
        <v>3579</v>
      </c>
      <c r="F1783" s="59" t="s">
        <v>3580</v>
      </c>
      <c r="G1783" s="59" t="s">
        <v>3583</v>
      </c>
      <c r="H1783" s="59" t="s">
        <v>2281</v>
      </c>
      <c r="I1783" s="59" t="b">
        <v>1</v>
      </c>
      <c r="J1783" s="59"/>
      <c r="K1783" s="58">
        <v>422</v>
      </c>
      <c r="L1783" s="58">
        <v>1478</v>
      </c>
      <c r="M1783" s="59">
        <v>10</v>
      </c>
      <c r="N1783" s="59">
        <v>10</v>
      </c>
      <c r="O1783" s="59" t="s">
        <v>3581</v>
      </c>
      <c r="P1783" s="58">
        <v>191</v>
      </c>
      <c r="Q1783" s="59">
        <v>0</v>
      </c>
      <c r="R1783" s="59">
        <v>0</v>
      </c>
      <c r="S1783" s="60">
        <f>tblJTL[[#This Row],[timeStamp]]/86400000+DATE(1970,1,1)+TIME(9,0,0)</f>
        <v>46296.421824409721</v>
      </c>
      <c r="T1783" s="57">
        <f>tblJTL[[#This Row],[timeStamp]]+tblJTL[[#This Row],[elapsed]]</f>
        <v>1790816845826</v>
      </c>
      <c r="U1783" s="61">
        <f>(tblJTL[[#This Row],[timeStamp]]-'17_分析サンプル'!$E$18)/1000</f>
        <v>445.44900000000001</v>
      </c>
      <c r="V1783" s="57">
        <f>INT(tblJTL[[#This Row],[経過秒]]/60)</f>
        <v>7</v>
      </c>
      <c r="W1783" s="57">
        <f>IF(OR(tblJTL[[#This Row],[success]]=FALSE,tblJTL[[#This Row],[success]]="false"),1,0)</f>
        <v>0</v>
      </c>
      <c r="X1783" s="57">
        <f>IF(AND(tblJTL[[#This Row],[経過秒]]&gt;='17_分析サンプル'!$E$11,tblJTL[[#This Row],[経過秒]]&lt;'17_分析サンプル'!$E$12),1,0)</f>
        <v>1</v>
      </c>
    </row>
    <row r="1784" spans="2:24" ht="14.4" x14ac:dyDescent="0.3">
      <c r="B1784" s="57">
        <v>1790816845586</v>
      </c>
      <c r="C1784" s="58">
        <v>247</v>
      </c>
      <c r="D1784" s="59" t="s">
        <v>1677</v>
      </c>
      <c r="E1784" s="59" t="s">
        <v>3579</v>
      </c>
      <c r="F1784" s="59" t="s">
        <v>3580</v>
      </c>
      <c r="G1784" s="59" t="s">
        <v>3588</v>
      </c>
      <c r="H1784" s="59" t="s">
        <v>2281</v>
      </c>
      <c r="I1784" s="59" t="b">
        <v>1</v>
      </c>
      <c r="J1784" s="59"/>
      <c r="K1784" s="58">
        <v>431</v>
      </c>
      <c r="L1784" s="58">
        <v>1478</v>
      </c>
      <c r="M1784" s="59">
        <v>10</v>
      </c>
      <c r="N1784" s="59">
        <v>10</v>
      </c>
      <c r="O1784" s="59" t="s">
        <v>3581</v>
      </c>
      <c r="P1784" s="58">
        <v>241</v>
      </c>
      <c r="Q1784" s="59">
        <v>0</v>
      </c>
      <c r="R1784" s="59">
        <v>0</v>
      </c>
      <c r="S1784" s="60">
        <f>tblJTL[[#This Row],[timeStamp]]/86400000+DATE(1970,1,1)+TIME(9,0,0)</f>
        <v>46296.421823912038</v>
      </c>
      <c r="T1784" s="57">
        <f>tblJTL[[#This Row],[timeStamp]]+tblJTL[[#This Row],[elapsed]]</f>
        <v>1790816845833</v>
      </c>
      <c r="U1784" s="61">
        <f>(tblJTL[[#This Row],[timeStamp]]-'17_分析サンプル'!$E$18)/1000</f>
        <v>445.40600000000001</v>
      </c>
      <c r="V1784" s="57">
        <f>INT(tblJTL[[#This Row],[経過秒]]/60)</f>
        <v>7</v>
      </c>
      <c r="W1784" s="57">
        <f>IF(OR(tblJTL[[#This Row],[success]]=FALSE,tblJTL[[#This Row],[success]]="false"),1,0)</f>
        <v>0</v>
      </c>
      <c r="X1784" s="57">
        <f>IF(AND(tblJTL[[#This Row],[経過秒]]&gt;='17_分析サンプル'!$E$11,tblJTL[[#This Row],[経過秒]]&lt;'17_分析サンプル'!$E$12),1,0)</f>
        <v>1</v>
      </c>
    </row>
    <row r="1785" spans="2:24" ht="14.4" x14ac:dyDescent="0.3">
      <c r="B1785" s="57">
        <v>1790816845839</v>
      </c>
      <c r="C1785" s="58">
        <v>127</v>
      </c>
      <c r="D1785" s="59" t="s">
        <v>1658</v>
      </c>
      <c r="E1785" s="59" t="s">
        <v>1577</v>
      </c>
      <c r="F1785" s="59" t="s">
        <v>2275</v>
      </c>
      <c r="G1785" s="59" t="s">
        <v>3585</v>
      </c>
      <c r="H1785" s="59" t="s">
        <v>2281</v>
      </c>
      <c r="I1785" s="59" t="b">
        <v>1</v>
      </c>
      <c r="J1785" s="59"/>
      <c r="K1785" s="58">
        <v>1860</v>
      </c>
      <c r="L1785" s="58">
        <v>1342</v>
      </c>
      <c r="M1785" s="59">
        <v>10</v>
      </c>
      <c r="N1785" s="59">
        <v>10</v>
      </c>
      <c r="O1785" s="59" t="s">
        <v>3578</v>
      </c>
      <c r="P1785" s="58">
        <v>125</v>
      </c>
      <c r="Q1785" s="59">
        <v>0</v>
      </c>
      <c r="R1785" s="59">
        <v>0</v>
      </c>
      <c r="S1785" s="60">
        <f>tblJTL[[#This Row],[timeStamp]]/86400000+DATE(1970,1,1)+TIME(9,0,0)</f>
        <v>46296.421826840276</v>
      </c>
      <c r="T1785" s="57">
        <f>tblJTL[[#This Row],[timeStamp]]+tblJTL[[#This Row],[elapsed]]</f>
        <v>1790816845966</v>
      </c>
      <c r="U1785" s="61">
        <f>(tblJTL[[#This Row],[timeStamp]]-'17_分析サンプル'!$E$18)/1000</f>
        <v>445.65899999999999</v>
      </c>
      <c r="V1785" s="57">
        <f>INT(tblJTL[[#This Row],[経過秒]]/60)</f>
        <v>7</v>
      </c>
      <c r="W1785" s="57">
        <f>IF(OR(tblJTL[[#This Row],[success]]=FALSE,tblJTL[[#This Row],[success]]="false"),1,0)</f>
        <v>0</v>
      </c>
      <c r="X1785" s="57">
        <f>IF(AND(tblJTL[[#This Row],[経過秒]]&gt;='17_分析サンプル'!$E$11,tblJTL[[#This Row],[経過秒]]&lt;'17_分析サンプル'!$E$12),1,0)</f>
        <v>1</v>
      </c>
    </row>
    <row r="1786" spans="2:24" ht="14.4" x14ac:dyDescent="0.3">
      <c r="B1786" s="57">
        <v>1790816845654</v>
      </c>
      <c r="C1786" s="58">
        <v>390</v>
      </c>
      <c r="D1786" s="59" t="s">
        <v>1677</v>
      </c>
      <c r="E1786" s="59" t="s">
        <v>3579</v>
      </c>
      <c r="F1786" s="59" t="s">
        <v>3580</v>
      </c>
      <c r="G1786" s="59" t="s">
        <v>2278</v>
      </c>
      <c r="H1786" s="59" t="s">
        <v>2281</v>
      </c>
      <c r="I1786" s="59" t="b">
        <v>1</v>
      </c>
      <c r="J1786" s="59"/>
      <c r="K1786" s="58">
        <v>434</v>
      </c>
      <c r="L1786" s="58">
        <v>1478</v>
      </c>
      <c r="M1786" s="59">
        <v>10</v>
      </c>
      <c r="N1786" s="59">
        <v>10</v>
      </c>
      <c r="O1786" s="59" t="s">
        <v>3581</v>
      </c>
      <c r="P1786" s="58">
        <v>386</v>
      </c>
      <c r="Q1786" s="59">
        <v>0</v>
      </c>
      <c r="R1786" s="59">
        <v>0</v>
      </c>
      <c r="S1786" s="60">
        <f>tblJTL[[#This Row],[timeStamp]]/86400000+DATE(1970,1,1)+TIME(9,0,0)</f>
        <v>46296.421824699079</v>
      </c>
      <c r="T1786" s="57">
        <f>tblJTL[[#This Row],[timeStamp]]+tblJTL[[#This Row],[elapsed]]</f>
        <v>1790816846044</v>
      </c>
      <c r="U1786" s="61">
        <f>(tblJTL[[#This Row],[timeStamp]]-'17_分析サンプル'!$E$18)/1000</f>
        <v>445.47399999999999</v>
      </c>
      <c r="V1786" s="57">
        <f>INT(tblJTL[[#This Row],[経過秒]]/60)</f>
        <v>7</v>
      </c>
      <c r="W1786" s="57">
        <f>IF(OR(tblJTL[[#This Row],[success]]=FALSE,tblJTL[[#This Row],[success]]="false"),1,0)</f>
        <v>0</v>
      </c>
      <c r="X1786" s="57">
        <f>IF(AND(tblJTL[[#This Row],[経過秒]]&gt;='17_分析サンプル'!$E$11,tblJTL[[#This Row],[経過秒]]&lt;'17_分析サンプル'!$E$12),1,0)</f>
        <v>1</v>
      </c>
    </row>
    <row r="1787" spans="2:24" ht="14.4" x14ac:dyDescent="0.3">
      <c r="B1787" s="57">
        <v>1790816846135</v>
      </c>
      <c r="C1787" s="58">
        <v>220</v>
      </c>
      <c r="D1787" s="59" t="s">
        <v>1677</v>
      </c>
      <c r="E1787" s="59" t="s">
        <v>3579</v>
      </c>
      <c r="F1787" s="59" t="s">
        <v>3580</v>
      </c>
      <c r="G1787" s="59" t="s">
        <v>3584</v>
      </c>
      <c r="H1787" s="59" t="s">
        <v>2281</v>
      </c>
      <c r="I1787" s="59" t="b">
        <v>1</v>
      </c>
      <c r="J1787" s="59"/>
      <c r="K1787" s="58">
        <v>414</v>
      </c>
      <c r="L1787" s="58">
        <v>1478</v>
      </c>
      <c r="M1787" s="59">
        <v>10</v>
      </c>
      <c r="N1787" s="59">
        <v>10</v>
      </c>
      <c r="O1787" s="59" t="s">
        <v>3581</v>
      </c>
      <c r="P1787" s="58">
        <v>214</v>
      </c>
      <c r="Q1787" s="59">
        <v>0</v>
      </c>
      <c r="R1787" s="59">
        <v>0</v>
      </c>
      <c r="S1787" s="60">
        <f>tblJTL[[#This Row],[timeStamp]]/86400000+DATE(1970,1,1)+TIME(9,0,0)</f>
        <v>46296.421830266205</v>
      </c>
      <c r="T1787" s="57">
        <f>tblJTL[[#This Row],[timeStamp]]+tblJTL[[#This Row],[elapsed]]</f>
        <v>1790816846355</v>
      </c>
      <c r="U1787" s="61">
        <f>(tblJTL[[#This Row],[timeStamp]]-'17_分析サンプル'!$E$18)/1000</f>
        <v>445.95499999999998</v>
      </c>
      <c r="V1787" s="57">
        <f>INT(tblJTL[[#This Row],[経過秒]]/60)</f>
        <v>7</v>
      </c>
      <c r="W1787" s="57">
        <f>IF(OR(tblJTL[[#This Row],[success]]=FALSE,tblJTL[[#This Row],[success]]="false"),1,0)</f>
        <v>0</v>
      </c>
      <c r="X1787" s="57">
        <f>IF(AND(tblJTL[[#This Row],[経過秒]]&gt;='17_分析サンプル'!$E$11,tblJTL[[#This Row],[経過秒]]&lt;'17_分析サンプル'!$E$12),1,0)</f>
        <v>1</v>
      </c>
    </row>
    <row r="1788" spans="2:24" ht="14.4" x14ac:dyDescent="0.3">
      <c r="B1788" s="57">
        <v>1790816847158</v>
      </c>
      <c r="C1788" s="58">
        <v>139</v>
      </c>
      <c r="D1788" s="59" t="s">
        <v>1658</v>
      </c>
      <c r="E1788" s="59" t="s">
        <v>1577</v>
      </c>
      <c r="F1788" s="59" t="s">
        <v>2275</v>
      </c>
      <c r="G1788" s="59" t="s">
        <v>3589</v>
      </c>
      <c r="H1788" s="59" t="s">
        <v>2281</v>
      </c>
      <c r="I1788" s="59" t="b">
        <v>1</v>
      </c>
      <c r="J1788" s="59"/>
      <c r="K1788" s="58">
        <v>1837</v>
      </c>
      <c r="L1788" s="58">
        <v>1342</v>
      </c>
      <c r="M1788" s="59">
        <v>10</v>
      </c>
      <c r="N1788" s="59">
        <v>10</v>
      </c>
      <c r="O1788" s="59" t="s">
        <v>3578</v>
      </c>
      <c r="P1788" s="58">
        <v>137</v>
      </c>
      <c r="Q1788" s="59">
        <v>0</v>
      </c>
      <c r="R1788" s="59">
        <v>0</v>
      </c>
      <c r="S1788" s="60">
        <f>tblJTL[[#This Row],[timeStamp]]/86400000+DATE(1970,1,1)+TIME(9,0,0)</f>
        <v>46296.42184210648</v>
      </c>
      <c r="T1788" s="57">
        <f>tblJTL[[#This Row],[timeStamp]]+tblJTL[[#This Row],[elapsed]]</f>
        <v>1790816847297</v>
      </c>
      <c r="U1788" s="61">
        <f>(tblJTL[[#This Row],[timeStamp]]-'17_分析サンプル'!$E$18)/1000</f>
        <v>446.97800000000001</v>
      </c>
      <c r="V1788" s="57">
        <f>INT(tblJTL[[#This Row],[経過秒]]/60)</f>
        <v>7</v>
      </c>
      <c r="W1788" s="57">
        <f>IF(OR(tblJTL[[#This Row],[success]]=FALSE,tblJTL[[#This Row],[success]]="false"),1,0)</f>
        <v>0</v>
      </c>
      <c r="X1788" s="57">
        <f>IF(AND(tblJTL[[#This Row],[経過秒]]&gt;='17_分析サンプル'!$E$11,tblJTL[[#This Row],[経過秒]]&lt;'17_分析サンプル'!$E$12),1,0)</f>
        <v>1</v>
      </c>
    </row>
    <row r="1789" spans="2:24" ht="14.4" x14ac:dyDescent="0.3">
      <c r="B1789" s="57">
        <v>1790816847233</v>
      </c>
      <c r="C1789" s="58">
        <v>130</v>
      </c>
      <c r="D1789" s="59" t="s">
        <v>1658</v>
      </c>
      <c r="E1789" s="59" t="s">
        <v>1577</v>
      </c>
      <c r="F1789" s="59" t="s">
        <v>2275</v>
      </c>
      <c r="G1789" s="59" t="s">
        <v>3587</v>
      </c>
      <c r="H1789" s="59" t="s">
        <v>2281</v>
      </c>
      <c r="I1789" s="59" t="b">
        <v>1</v>
      </c>
      <c r="J1789" s="59"/>
      <c r="K1789" s="58">
        <v>1872</v>
      </c>
      <c r="L1789" s="58">
        <v>1342</v>
      </c>
      <c r="M1789" s="59">
        <v>10</v>
      </c>
      <c r="N1789" s="59">
        <v>10</v>
      </c>
      <c r="O1789" s="59" t="s">
        <v>3578</v>
      </c>
      <c r="P1789" s="58">
        <v>128</v>
      </c>
      <c r="Q1789" s="59">
        <v>0</v>
      </c>
      <c r="R1789" s="59">
        <v>0</v>
      </c>
      <c r="S1789" s="60">
        <f>tblJTL[[#This Row],[timeStamp]]/86400000+DATE(1970,1,1)+TIME(9,0,0)</f>
        <v>46296.421842974538</v>
      </c>
      <c r="T1789" s="57">
        <f>tblJTL[[#This Row],[timeStamp]]+tblJTL[[#This Row],[elapsed]]</f>
        <v>1790816847363</v>
      </c>
      <c r="U1789" s="61">
        <f>(tblJTL[[#This Row],[timeStamp]]-'17_分析サンプル'!$E$18)/1000</f>
        <v>447.053</v>
      </c>
      <c r="V1789" s="57">
        <f>INT(tblJTL[[#This Row],[経過秒]]/60)</f>
        <v>7</v>
      </c>
      <c r="W1789" s="57">
        <f>IF(OR(tblJTL[[#This Row],[success]]=FALSE,tblJTL[[#This Row],[success]]="false"),1,0)</f>
        <v>0</v>
      </c>
      <c r="X1789" s="57">
        <f>IF(AND(tblJTL[[#This Row],[経過秒]]&gt;='17_分析サンプル'!$E$11,tblJTL[[#This Row],[経過秒]]&lt;'17_分析サンプル'!$E$12),1,0)</f>
        <v>1</v>
      </c>
    </row>
    <row r="1790" spans="2:24" ht="14.4" x14ac:dyDescent="0.3">
      <c r="B1790" s="57">
        <v>1790816846976</v>
      </c>
      <c r="C1790" s="58">
        <v>451</v>
      </c>
      <c r="D1790" s="59" t="s">
        <v>1677</v>
      </c>
      <c r="E1790" s="59" t="s">
        <v>3579</v>
      </c>
      <c r="F1790" s="59" t="s">
        <v>3580</v>
      </c>
      <c r="G1790" s="59" t="s">
        <v>3582</v>
      </c>
      <c r="H1790" s="59" t="s">
        <v>2281</v>
      </c>
      <c r="I1790" s="59" t="b">
        <v>1</v>
      </c>
      <c r="J1790" s="59"/>
      <c r="K1790" s="58">
        <v>428</v>
      </c>
      <c r="L1790" s="58">
        <v>1478</v>
      </c>
      <c r="M1790" s="59">
        <v>10</v>
      </c>
      <c r="N1790" s="59">
        <v>10</v>
      </c>
      <c r="O1790" s="59" t="s">
        <v>3581</v>
      </c>
      <c r="P1790" s="58">
        <v>446</v>
      </c>
      <c r="Q1790" s="59">
        <v>0</v>
      </c>
      <c r="R1790" s="59">
        <v>0</v>
      </c>
      <c r="S1790" s="60">
        <f>tblJTL[[#This Row],[timeStamp]]/86400000+DATE(1970,1,1)+TIME(9,0,0)</f>
        <v>46296.421839999995</v>
      </c>
      <c r="T1790" s="57">
        <f>tblJTL[[#This Row],[timeStamp]]+tblJTL[[#This Row],[elapsed]]</f>
        <v>1790816847427</v>
      </c>
      <c r="U1790" s="61">
        <f>(tblJTL[[#This Row],[timeStamp]]-'17_分析サンプル'!$E$18)/1000</f>
        <v>446.79599999999999</v>
      </c>
      <c r="V1790" s="57">
        <f>INT(tblJTL[[#This Row],[経過秒]]/60)</f>
        <v>7</v>
      </c>
      <c r="W1790" s="57">
        <f>IF(OR(tblJTL[[#This Row],[success]]=FALSE,tblJTL[[#This Row],[success]]="false"),1,0)</f>
        <v>0</v>
      </c>
      <c r="X1790" s="57">
        <f>IF(AND(tblJTL[[#This Row],[経過秒]]&gt;='17_分析サンプル'!$E$11,tblJTL[[#This Row],[経過秒]]&lt;'17_分析サンプル'!$E$12),1,0)</f>
        <v>1</v>
      </c>
    </row>
    <row r="1791" spans="2:24" ht="14.4" x14ac:dyDescent="0.3">
      <c r="B1791" s="57">
        <v>1790816847450</v>
      </c>
      <c r="C1791" s="58">
        <v>227</v>
      </c>
      <c r="D1791" s="59" t="s">
        <v>1658</v>
      </c>
      <c r="E1791" s="59" t="s">
        <v>1577</v>
      </c>
      <c r="F1791" s="59" t="s">
        <v>2275</v>
      </c>
      <c r="G1791" s="59" t="s">
        <v>3588</v>
      </c>
      <c r="H1791" s="59" t="s">
        <v>2281</v>
      </c>
      <c r="I1791" s="59" t="b">
        <v>1</v>
      </c>
      <c r="J1791" s="59"/>
      <c r="K1791" s="58">
        <v>1885</v>
      </c>
      <c r="L1791" s="58">
        <v>1342</v>
      </c>
      <c r="M1791" s="59">
        <v>10</v>
      </c>
      <c r="N1791" s="59">
        <v>10</v>
      </c>
      <c r="O1791" s="59" t="s">
        <v>3578</v>
      </c>
      <c r="P1791" s="58">
        <v>223</v>
      </c>
      <c r="Q1791" s="59">
        <v>0</v>
      </c>
      <c r="R1791" s="59">
        <v>0</v>
      </c>
      <c r="S1791" s="60">
        <f>tblJTL[[#This Row],[timeStamp]]/86400000+DATE(1970,1,1)+TIME(9,0,0)</f>
        <v>46296.421845486111</v>
      </c>
      <c r="T1791" s="57">
        <f>tblJTL[[#This Row],[timeStamp]]+tblJTL[[#This Row],[elapsed]]</f>
        <v>1790816847677</v>
      </c>
      <c r="U1791" s="61">
        <f>(tblJTL[[#This Row],[timeStamp]]-'17_分析サンプル'!$E$18)/1000</f>
        <v>447.27</v>
      </c>
      <c r="V1791" s="57">
        <f>INT(tblJTL[[#This Row],[経過秒]]/60)</f>
        <v>7</v>
      </c>
      <c r="W1791" s="57">
        <f>IF(OR(tblJTL[[#This Row],[success]]=FALSE,tblJTL[[#This Row],[success]]="false"),1,0)</f>
        <v>0</v>
      </c>
      <c r="X1791" s="57">
        <f>IF(AND(tblJTL[[#This Row],[経過秒]]&gt;='17_分析サンプル'!$E$11,tblJTL[[#This Row],[経過秒]]&lt;'17_分析サンプル'!$E$12),1,0)</f>
        <v>1</v>
      </c>
    </row>
    <row r="1792" spans="2:24" ht="14.4" x14ac:dyDescent="0.3">
      <c r="B1792" s="57">
        <v>1790816847642</v>
      </c>
      <c r="C1792" s="58">
        <v>127</v>
      </c>
      <c r="D1792" s="59" t="s">
        <v>1658</v>
      </c>
      <c r="E1792" s="59" t="s">
        <v>1577</v>
      </c>
      <c r="F1792" s="59" t="s">
        <v>2275</v>
      </c>
      <c r="G1792" s="59" t="s">
        <v>3584</v>
      </c>
      <c r="H1792" s="59" t="s">
        <v>2281</v>
      </c>
      <c r="I1792" s="59" t="b">
        <v>1</v>
      </c>
      <c r="J1792" s="59"/>
      <c r="K1792" s="58">
        <v>1900</v>
      </c>
      <c r="L1792" s="58">
        <v>1342</v>
      </c>
      <c r="M1792" s="59">
        <v>10</v>
      </c>
      <c r="N1792" s="59">
        <v>10</v>
      </c>
      <c r="O1792" s="59" t="s">
        <v>3578</v>
      </c>
      <c r="P1792" s="58">
        <v>119</v>
      </c>
      <c r="Q1792" s="59">
        <v>0</v>
      </c>
      <c r="R1792" s="59">
        <v>0</v>
      </c>
      <c r="S1792" s="60">
        <f>tblJTL[[#This Row],[timeStamp]]/86400000+DATE(1970,1,1)+TIME(9,0,0)</f>
        <v>46296.421847708334</v>
      </c>
      <c r="T1792" s="57">
        <f>tblJTL[[#This Row],[timeStamp]]+tblJTL[[#This Row],[elapsed]]</f>
        <v>1790816847769</v>
      </c>
      <c r="U1792" s="61">
        <f>(tblJTL[[#This Row],[timeStamp]]-'17_分析サンプル'!$E$18)/1000</f>
        <v>447.46199999999999</v>
      </c>
      <c r="V1792" s="57">
        <f>INT(tblJTL[[#This Row],[経過秒]]/60)</f>
        <v>7</v>
      </c>
      <c r="W1792" s="57">
        <f>IF(OR(tblJTL[[#This Row],[success]]=FALSE,tblJTL[[#This Row],[success]]="false"),1,0)</f>
        <v>0</v>
      </c>
      <c r="X1792" s="57">
        <f>IF(AND(tblJTL[[#This Row],[経過秒]]&gt;='17_分析サンプル'!$E$11,tblJTL[[#This Row],[経過秒]]&lt;'17_分析サンプル'!$E$12),1,0)</f>
        <v>1</v>
      </c>
    </row>
    <row r="1793" spans="2:24" ht="14.4" x14ac:dyDescent="0.3">
      <c r="B1793" s="57">
        <v>1790816847552</v>
      </c>
      <c r="C1793" s="58">
        <v>265</v>
      </c>
      <c r="D1793" s="59" t="s">
        <v>1677</v>
      </c>
      <c r="E1793" s="59" t="s">
        <v>3579</v>
      </c>
      <c r="F1793" s="59" t="s">
        <v>3580</v>
      </c>
      <c r="G1793" s="59" t="s">
        <v>3586</v>
      </c>
      <c r="H1793" s="59" t="s">
        <v>2281</v>
      </c>
      <c r="I1793" s="59" t="b">
        <v>1</v>
      </c>
      <c r="J1793" s="59"/>
      <c r="K1793" s="58">
        <v>417</v>
      </c>
      <c r="L1793" s="58">
        <v>1478</v>
      </c>
      <c r="M1793" s="59">
        <v>10</v>
      </c>
      <c r="N1793" s="59">
        <v>10</v>
      </c>
      <c r="O1793" s="59" t="s">
        <v>3581</v>
      </c>
      <c r="P1793" s="58">
        <v>260</v>
      </c>
      <c r="Q1793" s="59">
        <v>0</v>
      </c>
      <c r="R1793" s="59">
        <v>0</v>
      </c>
      <c r="S1793" s="60">
        <f>tblJTL[[#This Row],[timeStamp]]/86400000+DATE(1970,1,1)+TIME(9,0,0)</f>
        <v>46296.421846666664</v>
      </c>
      <c r="T1793" s="57">
        <f>tblJTL[[#This Row],[timeStamp]]+tblJTL[[#This Row],[elapsed]]</f>
        <v>1790816847817</v>
      </c>
      <c r="U1793" s="61">
        <f>(tblJTL[[#This Row],[timeStamp]]-'17_分析サンプル'!$E$18)/1000</f>
        <v>447.37200000000001</v>
      </c>
      <c r="V1793" s="57">
        <f>INT(tblJTL[[#This Row],[経過秒]]/60)</f>
        <v>7</v>
      </c>
      <c r="W1793" s="57">
        <f>IF(OR(tblJTL[[#This Row],[success]]=FALSE,tblJTL[[#This Row],[success]]="false"),1,0)</f>
        <v>0</v>
      </c>
      <c r="X1793" s="57">
        <f>IF(AND(tblJTL[[#This Row],[経過秒]]&gt;='17_分析サンプル'!$E$11,tblJTL[[#This Row],[経過秒]]&lt;'17_分析サンプル'!$E$12),1,0)</f>
        <v>1</v>
      </c>
    </row>
    <row r="1794" spans="2:24" ht="14.4" x14ac:dyDescent="0.3">
      <c r="B1794" s="57">
        <v>1790816847900</v>
      </c>
      <c r="C1794" s="58">
        <v>188</v>
      </c>
      <c r="D1794" s="59" t="s">
        <v>1677</v>
      </c>
      <c r="E1794" s="59" t="s">
        <v>3579</v>
      </c>
      <c r="F1794" s="59" t="s">
        <v>3580</v>
      </c>
      <c r="G1794" s="59" t="s">
        <v>3585</v>
      </c>
      <c r="H1794" s="59" t="s">
        <v>2281</v>
      </c>
      <c r="I1794" s="59" t="b">
        <v>1</v>
      </c>
      <c r="J1794" s="59"/>
      <c r="K1794" s="58">
        <v>412</v>
      </c>
      <c r="L1794" s="58">
        <v>1478</v>
      </c>
      <c r="M1794" s="59">
        <v>10</v>
      </c>
      <c r="N1794" s="59">
        <v>10</v>
      </c>
      <c r="O1794" s="59" t="s">
        <v>3581</v>
      </c>
      <c r="P1794" s="58">
        <v>183</v>
      </c>
      <c r="Q1794" s="59">
        <v>0</v>
      </c>
      <c r="R1794" s="59">
        <v>0</v>
      </c>
      <c r="S1794" s="60">
        <f>tblJTL[[#This Row],[timeStamp]]/86400000+DATE(1970,1,1)+TIME(9,0,0)</f>
        <v>46296.421850694445</v>
      </c>
      <c r="T1794" s="57">
        <f>tblJTL[[#This Row],[timeStamp]]+tblJTL[[#This Row],[elapsed]]</f>
        <v>1790816848088</v>
      </c>
      <c r="U1794" s="61">
        <f>(tblJTL[[#This Row],[timeStamp]]-'17_分析サンプル'!$E$18)/1000</f>
        <v>447.72</v>
      </c>
      <c r="V1794" s="57">
        <f>INT(tblJTL[[#This Row],[経過秒]]/60)</f>
        <v>7</v>
      </c>
      <c r="W1794" s="57">
        <f>IF(OR(tblJTL[[#This Row],[success]]=FALSE,tblJTL[[#This Row],[success]]="false"),1,0)</f>
        <v>0</v>
      </c>
      <c r="X1794" s="57">
        <f>IF(AND(tblJTL[[#This Row],[経過秒]]&gt;='17_分析サンプル'!$E$11,tblJTL[[#This Row],[経過秒]]&lt;'17_分析サンプル'!$E$12),1,0)</f>
        <v>1</v>
      </c>
    </row>
    <row r="1795" spans="2:24" ht="14.4" x14ac:dyDescent="0.3">
      <c r="B1795" s="57">
        <v>1790816848017</v>
      </c>
      <c r="C1795" s="58">
        <v>90</v>
      </c>
      <c r="D1795" s="59" t="s">
        <v>1658</v>
      </c>
      <c r="E1795" s="59" t="s">
        <v>1577</v>
      </c>
      <c r="F1795" s="59" t="s">
        <v>2275</v>
      </c>
      <c r="G1795" s="59" t="s">
        <v>3577</v>
      </c>
      <c r="H1795" s="59" t="s">
        <v>2281</v>
      </c>
      <c r="I1795" s="59" t="b">
        <v>1</v>
      </c>
      <c r="J1795" s="59"/>
      <c r="K1795" s="58">
        <v>1844</v>
      </c>
      <c r="L1795" s="58">
        <v>1342</v>
      </c>
      <c r="M1795" s="59">
        <v>10</v>
      </c>
      <c r="N1795" s="59">
        <v>10</v>
      </c>
      <c r="O1795" s="59" t="s">
        <v>3578</v>
      </c>
      <c r="P1795" s="58">
        <v>87</v>
      </c>
      <c r="Q1795" s="59">
        <v>0</v>
      </c>
      <c r="R1795" s="59">
        <v>0</v>
      </c>
      <c r="S1795" s="60">
        <f>tblJTL[[#This Row],[timeStamp]]/86400000+DATE(1970,1,1)+TIME(9,0,0)</f>
        <v>46296.42185204861</v>
      </c>
      <c r="T1795" s="57">
        <f>tblJTL[[#This Row],[timeStamp]]+tblJTL[[#This Row],[elapsed]]</f>
        <v>1790816848107</v>
      </c>
      <c r="U1795" s="61">
        <f>(tblJTL[[#This Row],[timeStamp]]-'17_分析サンプル'!$E$18)/1000</f>
        <v>447.83699999999999</v>
      </c>
      <c r="V1795" s="57">
        <f>INT(tblJTL[[#This Row],[経過秒]]/60)</f>
        <v>7</v>
      </c>
      <c r="W1795" s="57">
        <f>IF(OR(tblJTL[[#This Row],[success]]=FALSE,tblJTL[[#This Row],[success]]="false"),1,0)</f>
        <v>0</v>
      </c>
      <c r="X1795" s="57">
        <f>IF(AND(tblJTL[[#This Row],[経過秒]]&gt;='17_分析サンプル'!$E$11,tblJTL[[#This Row],[経過秒]]&lt;'17_分析サンプル'!$E$12),1,0)</f>
        <v>1</v>
      </c>
    </row>
    <row r="1796" spans="2:24" ht="14.4" x14ac:dyDescent="0.3">
      <c r="B1796" s="57">
        <v>1790816848052</v>
      </c>
      <c r="C1796" s="58">
        <v>171</v>
      </c>
      <c r="D1796" s="59" t="s">
        <v>1658</v>
      </c>
      <c r="E1796" s="59" t="s">
        <v>1577</v>
      </c>
      <c r="F1796" s="59" t="s">
        <v>2275</v>
      </c>
      <c r="G1796" s="59" t="s">
        <v>2278</v>
      </c>
      <c r="H1796" s="59" t="s">
        <v>2281</v>
      </c>
      <c r="I1796" s="59" t="b">
        <v>1</v>
      </c>
      <c r="J1796" s="59"/>
      <c r="K1796" s="58">
        <v>1868</v>
      </c>
      <c r="L1796" s="58">
        <v>1342</v>
      </c>
      <c r="M1796" s="59">
        <v>10</v>
      </c>
      <c r="N1796" s="59">
        <v>10</v>
      </c>
      <c r="O1796" s="59" t="s">
        <v>3578</v>
      </c>
      <c r="P1796" s="58">
        <v>168</v>
      </c>
      <c r="Q1796" s="59">
        <v>0</v>
      </c>
      <c r="R1796" s="59">
        <v>41</v>
      </c>
      <c r="S1796" s="60">
        <f>tblJTL[[#This Row],[timeStamp]]/86400000+DATE(1970,1,1)+TIME(9,0,0)</f>
        <v>46296.421852453699</v>
      </c>
      <c r="T1796" s="57">
        <f>tblJTL[[#This Row],[timeStamp]]+tblJTL[[#This Row],[elapsed]]</f>
        <v>1790816848223</v>
      </c>
      <c r="U1796" s="61">
        <f>(tblJTL[[#This Row],[timeStamp]]-'17_分析サンプル'!$E$18)/1000</f>
        <v>447.87200000000001</v>
      </c>
      <c r="V1796" s="57">
        <f>INT(tblJTL[[#This Row],[経過秒]]/60)</f>
        <v>7</v>
      </c>
      <c r="W1796" s="57">
        <f>IF(OR(tblJTL[[#This Row],[success]]=FALSE,tblJTL[[#This Row],[success]]="false"),1,0)</f>
        <v>0</v>
      </c>
      <c r="X1796" s="57">
        <f>IF(AND(tblJTL[[#This Row],[経過秒]]&gt;='17_分析サンプル'!$E$11,tblJTL[[#This Row],[経過秒]]&lt;'17_分析サンプル'!$E$12),1,0)</f>
        <v>1</v>
      </c>
    </row>
    <row r="1797" spans="2:24" ht="14.4" x14ac:dyDescent="0.3">
      <c r="B1797" s="57">
        <v>1790816848265</v>
      </c>
      <c r="C1797" s="58">
        <v>156</v>
      </c>
      <c r="D1797" s="59" t="s">
        <v>1658</v>
      </c>
      <c r="E1797" s="59" t="s">
        <v>1577</v>
      </c>
      <c r="F1797" s="59" t="s">
        <v>2275</v>
      </c>
      <c r="G1797" s="59" t="s">
        <v>3583</v>
      </c>
      <c r="H1797" s="59" t="s">
        <v>2281</v>
      </c>
      <c r="I1797" s="59" t="b">
        <v>1</v>
      </c>
      <c r="J1797" s="59"/>
      <c r="K1797" s="58">
        <v>1884</v>
      </c>
      <c r="L1797" s="58">
        <v>1342</v>
      </c>
      <c r="M1797" s="59">
        <v>10</v>
      </c>
      <c r="N1797" s="59">
        <v>10</v>
      </c>
      <c r="O1797" s="59" t="s">
        <v>3578</v>
      </c>
      <c r="P1797" s="58">
        <v>149</v>
      </c>
      <c r="Q1797" s="59">
        <v>0</v>
      </c>
      <c r="R1797" s="59">
        <v>0</v>
      </c>
      <c r="S1797" s="60">
        <f>tblJTL[[#This Row],[timeStamp]]/86400000+DATE(1970,1,1)+TIME(9,0,0)</f>
        <v>46296.421854918983</v>
      </c>
      <c r="T1797" s="57">
        <f>tblJTL[[#This Row],[timeStamp]]+tblJTL[[#This Row],[elapsed]]</f>
        <v>1790816848421</v>
      </c>
      <c r="U1797" s="61">
        <f>(tblJTL[[#This Row],[timeStamp]]-'17_分析サンプル'!$E$18)/1000</f>
        <v>448.08499999999998</v>
      </c>
      <c r="V1797" s="57">
        <f>INT(tblJTL[[#This Row],[経過秒]]/60)</f>
        <v>7</v>
      </c>
      <c r="W1797" s="57">
        <f>IF(OR(tblJTL[[#This Row],[success]]=FALSE,tblJTL[[#This Row],[success]]="false"),1,0)</f>
        <v>0</v>
      </c>
      <c r="X1797" s="57">
        <f>IF(AND(tblJTL[[#This Row],[経過秒]]&gt;='17_分析サンプル'!$E$11,tblJTL[[#This Row],[経過秒]]&lt;'17_分析サンプル'!$E$12),1,0)</f>
        <v>1</v>
      </c>
    </row>
    <row r="1798" spans="2:24" ht="14.4" x14ac:dyDescent="0.3">
      <c r="B1798" s="57">
        <v>1790816848965</v>
      </c>
      <c r="C1798" s="58">
        <v>104</v>
      </c>
      <c r="D1798" s="59" t="s">
        <v>1658</v>
      </c>
      <c r="E1798" s="59" t="s">
        <v>1577</v>
      </c>
      <c r="F1798" s="59" t="s">
        <v>2275</v>
      </c>
      <c r="G1798" s="59" t="s">
        <v>3582</v>
      </c>
      <c r="H1798" s="59" t="s">
        <v>2281</v>
      </c>
      <c r="I1798" s="59" t="b">
        <v>1</v>
      </c>
      <c r="J1798" s="59"/>
      <c r="K1798" s="58">
        <v>1838</v>
      </c>
      <c r="L1798" s="58">
        <v>1342</v>
      </c>
      <c r="M1798" s="59">
        <v>10</v>
      </c>
      <c r="N1798" s="59">
        <v>10</v>
      </c>
      <c r="O1798" s="59" t="s">
        <v>3578</v>
      </c>
      <c r="P1798" s="58">
        <v>96</v>
      </c>
      <c r="Q1798" s="59">
        <v>0</v>
      </c>
      <c r="R1798" s="59">
        <v>0</v>
      </c>
      <c r="S1798" s="60">
        <f>tblJTL[[#This Row],[timeStamp]]/86400000+DATE(1970,1,1)+TIME(9,0,0)</f>
        <v>46296.421863020834</v>
      </c>
      <c r="T1798" s="57">
        <f>tblJTL[[#This Row],[timeStamp]]+tblJTL[[#This Row],[elapsed]]</f>
        <v>1790816849069</v>
      </c>
      <c r="U1798" s="61">
        <f>(tblJTL[[#This Row],[timeStamp]]-'17_分析サンプル'!$E$18)/1000</f>
        <v>448.78500000000003</v>
      </c>
      <c r="V1798" s="57">
        <f>INT(tblJTL[[#This Row],[経過秒]]/60)</f>
        <v>7</v>
      </c>
      <c r="W1798" s="57">
        <f>IF(OR(tblJTL[[#This Row],[success]]=FALSE,tblJTL[[#This Row],[success]]="false"),1,0)</f>
        <v>0</v>
      </c>
      <c r="X1798" s="57">
        <f>IF(AND(tblJTL[[#This Row],[経過秒]]&gt;='17_分析サンプル'!$E$11,tblJTL[[#This Row],[経過秒]]&lt;'17_分析サンプル'!$E$12),1,0)</f>
        <v>1</v>
      </c>
    </row>
    <row r="1799" spans="2:24" ht="14.4" x14ac:dyDescent="0.3">
      <c r="B1799" s="57">
        <v>1790816849159</v>
      </c>
      <c r="C1799" s="58">
        <v>81</v>
      </c>
      <c r="D1799" s="59" t="s">
        <v>1658</v>
      </c>
      <c r="E1799" s="59" t="s">
        <v>1577</v>
      </c>
      <c r="F1799" s="59" t="s">
        <v>2275</v>
      </c>
      <c r="G1799" s="59" t="s">
        <v>3586</v>
      </c>
      <c r="H1799" s="59" t="s">
        <v>2281</v>
      </c>
      <c r="I1799" s="59" t="b">
        <v>1</v>
      </c>
      <c r="J1799" s="59"/>
      <c r="K1799" s="58">
        <v>1885</v>
      </c>
      <c r="L1799" s="58">
        <v>1342</v>
      </c>
      <c r="M1799" s="59">
        <v>10</v>
      </c>
      <c r="N1799" s="59">
        <v>10</v>
      </c>
      <c r="O1799" s="59" t="s">
        <v>3578</v>
      </c>
      <c r="P1799" s="58">
        <v>77</v>
      </c>
      <c r="Q1799" s="59">
        <v>0</v>
      </c>
      <c r="R1799" s="59">
        <v>0</v>
      </c>
      <c r="S1799" s="60">
        <f>tblJTL[[#This Row],[timeStamp]]/86400000+DATE(1970,1,1)+TIME(9,0,0)</f>
        <v>46296.421865266202</v>
      </c>
      <c r="T1799" s="57">
        <f>tblJTL[[#This Row],[timeStamp]]+tblJTL[[#This Row],[elapsed]]</f>
        <v>1790816849240</v>
      </c>
      <c r="U1799" s="61">
        <f>(tblJTL[[#This Row],[timeStamp]]-'17_分析サンプル'!$E$18)/1000</f>
        <v>448.97899999999998</v>
      </c>
      <c r="V1799" s="57">
        <f>INT(tblJTL[[#This Row],[経過秒]]/60)</f>
        <v>7</v>
      </c>
      <c r="W1799" s="57">
        <f>IF(OR(tblJTL[[#This Row],[success]]=FALSE,tblJTL[[#This Row],[success]]="false"),1,0)</f>
        <v>0</v>
      </c>
      <c r="X1799" s="57">
        <f>IF(AND(tblJTL[[#This Row],[経過秒]]&gt;='17_分析サンプル'!$E$11,tblJTL[[#This Row],[経過秒]]&lt;'17_分析サンプル'!$E$12),1,0)</f>
        <v>1</v>
      </c>
    </row>
    <row r="1800" spans="2:24" ht="14.4" x14ac:dyDescent="0.3">
      <c r="B1800" s="57">
        <v>1790816848921</v>
      </c>
      <c r="C1800" s="58">
        <v>400</v>
      </c>
      <c r="D1800" s="59" t="s">
        <v>1677</v>
      </c>
      <c r="E1800" s="59" t="s">
        <v>3579</v>
      </c>
      <c r="F1800" s="59" t="s">
        <v>3580</v>
      </c>
      <c r="G1800" s="59" t="s">
        <v>3587</v>
      </c>
      <c r="H1800" s="59" t="s">
        <v>2281</v>
      </c>
      <c r="I1800" s="59" t="b">
        <v>1</v>
      </c>
      <c r="J1800" s="59"/>
      <c r="K1800" s="58">
        <v>436</v>
      </c>
      <c r="L1800" s="58">
        <v>1478</v>
      </c>
      <c r="M1800" s="59">
        <v>10</v>
      </c>
      <c r="N1800" s="59">
        <v>10</v>
      </c>
      <c r="O1800" s="59" t="s">
        <v>3581</v>
      </c>
      <c r="P1800" s="58">
        <v>398</v>
      </c>
      <c r="Q1800" s="59">
        <v>0</v>
      </c>
      <c r="R1800" s="59">
        <v>0</v>
      </c>
      <c r="S1800" s="60">
        <f>tblJTL[[#This Row],[timeStamp]]/86400000+DATE(1970,1,1)+TIME(9,0,0)</f>
        <v>46296.421862511575</v>
      </c>
      <c r="T1800" s="57">
        <f>tblJTL[[#This Row],[timeStamp]]+tblJTL[[#This Row],[elapsed]]</f>
        <v>1790816849321</v>
      </c>
      <c r="U1800" s="61">
        <f>(tblJTL[[#This Row],[timeStamp]]-'17_分析サンプル'!$E$18)/1000</f>
        <v>448.74099999999999</v>
      </c>
      <c r="V1800" s="57">
        <f>INT(tblJTL[[#This Row],[経過秒]]/60)</f>
        <v>7</v>
      </c>
      <c r="W1800" s="57">
        <f>IF(OR(tblJTL[[#This Row],[success]]=FALSE,tblJTL[[#This Row],[success]]="false"),1,0)</f>
        <v>0</v>
      </c>
      <c r="X1800" s="57">
        <f>IF(AND(tblJTL[[#This Row],[経過秒]]&gt;='17_分析サンプル'!$E$11,tblJTL[[#This Row],[経過秒]]&lt;'17_分析サンプル'!$E$12),1,0)</f>
        <v>1</v>
      </c>
    </row>
    <row r="1801" spans="2:24" ht="14.4" x14ac:dyDescent="0.3">
      <c r="B1801" s="57">
        <v>1790816849230</v>
      </c>
      <c r="C1801" s="58">
        <v>266</v>
      </c>
      <c r="D1801" s="59" t="s">
        <v>1677</v>
      </c>
      <c r="E1801" s="59" t="s">
        <v>3579</v>
      </c>
      <c r="F1801" s="59" t="s">
        <v>3580</v>
      </c>
      <c r="G1801" s="59" t="s">
        <v>3577</v>
      </c>
      <c r="H1801" s="59" t="s">
        <v>2281</v>
      </c>
      <c r="I1801" s="59" t="b">
        <v>1</v>
      </c>
      <c r="J1801" s="59"/>
      <c r="K1801" s="58">
        <v>426</v>
      </c>
      <c r="L1801" s="58">
        <v>1478</v>
      </c>
      <c r="M1801" s="59">
        <v>10</v>
      </c>
      <c r="N1801" s="59">
        <v>10</v>
      </c>
      <c r="O1801" s="59" t="s">
        <v>3581</v>
      </c>
      <c r="P1801" s="58">
        <v>261</v>
      </c>
      <c r="Q1801" s="59">
        <v>0</v>
      </c>
      <c r="R1801" s="59">
        <v>0</v>
      </c>
      <c r="S1801" s="60">
        <f>tblJTL[[#This Row],[timeStamp]]/86400000+DATE(1970,1,1)+TIME(9,0,0)</f>
        <v>46296.421866087963</v>
      </c>
      <c r="T1801" s="57">
        <f>tblJTL[[#This Row],[timeStamp]]+tblJTL[[#This Row],[elapsed]]</f>
        <v>1790816849496</v>
      </c>
      <c r="U1801" s="61">
        <f>(tblJTL[[#This Row],[timeStamp]]-'17_分析サンプル'!$E$18)/1000</f>
        <v>449.05</v>
      </c>
      <c r="V1801" s="57">
        <f>INT(tblJTL[[#This Row],[経過秒]]/60)</f>
        <v>7</v>
      </c>
      <c r="W1801" s="57">
        <f>IF(OR(tblJTL[[#This Row],[success]]=FALSE,tblJTL[[#This Row],[success]]="false"),1,0)</f>
        <v>0</v>
      </c>
      <c r="X1801" s="57">
        <f>IF(AND(tblJTL[[#This Row],[経過秒]]&gt;='17_分析サンプル'!$E$11,tblJTL[[#This Row],[経過秒]]&lt;'17_分析サンプル'!$E$12),1,0)</f>
        <v>1</v>
      </c>
    </row>
    <row r="1802" spans="2:24" ht="14.4" x14ac:dyDescent="0.3">
      <c r="B1802" s="57">
        <v>1790816849591</v>
      </c>
      <c r="C1802" s="58">
        <v>250</v>
      </c>
      <c r="D1802" s="59" t="s">
        <v>1677</v>
      </c>
      <c r="E1802" s="59" t="s">
        <v>3579</v>
      </c>
      <c r="F1802" s="59" t="s">
        <v>3580</v>
      </c>
      <c r="G1802" s="59" t="s">
        <v>3589</v>
      </c>
      <c r="H1802" s="59" t="s">
        <v>2281</v>
      </c>
      <c r="I1802" s="59" t="b">
        <v>1</v>
      </c>
      <c r="J1802" s="59"/>
      <c r="K1802" s="58">
        <v>412</v>
      </c>
      <c r="L1802" s="58">
        <v>1478</v>
      </c>
      <c r="M1802" s="59">
        <v>10</v>
      </c>
      <c r="N1802" s="59">
        <v>10</v>
      </c>
      <c r="O1802" s="59" t="s">
        <v>3581</v>
      </c>
      <c r="P1802" s="58">
        <v>247</v>
      </c>
      <c r="Q1802" s="59">
        <v>0</v>
      </c>
      <c r="R1802" s="59">
        <v>0</v>
      </c>
      <c r="S1802" s="60">
        <f>tblJTL[[#This Row],[timeStamp]]/86400000+DATE(1970,1,1)+TIME(9,0,0)</f>
        <v>46296.421870266204</v>
      </c>
      <c r="T1802" s="57">
        <f>tblJTL[[#This Row],[timeStamp]]+tblJTL[[#This Row],[elapsed]]</f>
        <v>1790816849841</v>
      </c>
      <c r="U1802" s="61">
        <f>(tblJTL[[#This Row],[timeStamp]]-'17_分析サンプル'!$E$18)/1000</f>
        <v>449.411</v>
      </c>
      <c r="V1802" s="57">
        <f>INT(tblJTL[[#This Row],[経過秒]]/60)</f>
        <v>7</v>
      </c>
      <c r="W1802" s="57">
        <f>IF(OR(tblJTL[[#This Row],[success]]=FALSE,tblJTL[[#This Row],[success]]="false"),1,0)</f>
        <v>0</v>
      </c>
      <c r="X1802" s="57">
        <f>IF(AND(tblJTL[[#This Row],[経過秒]]&gt;='17_分析サンプル'!$E$11,tblJTL[[#This Row],[経過秒]]&lt;'17_分析サンプル'!$E$12),1,0)</f>
        <v>1</v>
      </c>
    </row>
    <row r="1803" spans="2:24" ht="14.4" x14ac:dyDescent="0.3">
      <c r="B1803" s="57">
        <v>1790816849601</v>
      </c>
      <c r="C1803" s="58">
        <v>273</v>
      </c>
      <c r="D1803" s="59" t="s">
        <v>1677</v>
      </c>
      <c r="E1803" s="59" t="s">
        <v>3579</v>
      </c>
      <c r="F1803" s="59" t="s">
        <v>3580</v>
      </c>
      <c r="G1803" s="59" t="s">
        <v>3583</v>
      </c>
      <c r="H1803" s="59" t="s">
        <v>2281</v>
      </c>
      <c r="I1803" s="59" t="b">
        <v>1</v>
      </c>
      <c r="J1803" s="59"/>
      <c r="K1803" s="58">
        <v>412</v>
      </c>
      <c r="L1803" s="58">
        <v>1478</v>
      </c>
      <c r="M1803" s="59">
        <v>10</v>
      </c>
      <c r="N1803" s="59">
        <v>10</v>
      </c>
      <c r="O1803" s="59" t="s">
        <v>3581</v>
      </c>
      <c r="P1803" s="58">
        <v>271</v>
      </c>
      <c r="Q1803" s="59">
        <v>0</v>
      </c>
      <c r="R1803" s="59">
        <v>0</v>
      </c>
      <c r="S1803" s="60">
        <f>tblJTL[[#This Row],[timeStamp]]/86400000+DATE(1970,1,1)+TIME(9,0,0)</f>
        <v>46296.42187038195</v>
      </c>
      <c r="T1803" s="57">
        <f>tblJTL[[#This Row],[timeStamp]]+tblJTL[[#This Row],[elapsed]]</f>
        <v>1790816849874</v>
      </c>
      <c r="U1803" s="61">
        <f>(tblJTL[[#This Row],[timeStamp]]-'17_分析サンプル'!$E$18)/1000</f>
        <v>449.42099999999999</v>
      </c>
      <c r="V1803" s="57">
        <f>INT(tblJTL[[#This Row],[経過秒]]/60)</f>
        <v>7</v>
      </c>
      <c r="W1803" s="57">
        <f>IF(OR(tblJTL[[#This Row],[success]]=FALSE,tblJTL[[#This Row],[success]]="false"),1,0)</f>
        <v>0</v>
      </c>
      <c r="X1803" s="57">
        <f>IF(AND(tblJTL[[#This Row],[経過秒]]&gt;='17_分析サンプル'!$E$11,tblJTL[[#This Row],[経過秒]]&lt;'17_分析サンプル'!$E$12),1,0)</f>
        <v>1</v>
      </c>
    </row>
    <row r="1804" spans="2:24" ht="14.4" x14ac:dyDescent="0.3">
      <c r="B1804" s="57">
        <v>1790816849624</v>
      </c>
      <c r="C1804" s="58">
        <v>288</v>
      </c>
      <c r="D1804" s="59" t="s">
        <v>1677</v>
      </c>
      <c r="E1804" s="59" t="s">
        <v>3579</v>
      </c>
      <c r="F1804" s="59" t="s">
        <v>3580</v>
      </c>
      <c r="G1804" s="59" t="s">
        <v>3588</v>
      </c>
      <c r="H1804" s="59" t="s">
        <v>2281</v>
      </c>
      <c r="I1804" s="59" t="b">
        <v>1</v>
      </c>
      <c r="J1804" s="59"/>
      <c r="K1804" s="58">
        <v>414</v>
      </c>
      <c r="L1804" s="58">
        <v>1478</v>
      </c>
      <c r="M1804" s="59">
        <v>10</v>
      </c>
      <c r="N1804" s="59">
        <v>10</v>
      </c>
      <c r="O1804" s="59" t="s">
        <v>3581</v>
      </c>
      <c r="P1804" s="58">
        <v>283</v>
      </c>
      <c r="Q1804" s="59">
        <v>0</v>
      </c>
      <c r="R1804" s="59">
        <v>0</v>
      </c>
      <c r="S1804" s="60">
        <f>tblJTL[[#This Row],[timeStamp]]/86400000+DATE(1970,1,1)+TIME(9,0,0)</f>
        <v>46296.421870648148</v>
      </c>
      <c r="T1804" s="57">
        <f>tblJTL[[#This Row],[timeStamp]]+tblJTL[[#This Row],[elapsed]]</f>
        <v>1790816849912</v>
      </c>
      <c r="U1804" s="61">
        <f>(tblJTL[[#This Row],[timeStamp]]-'17_分析サンプル'!$E$18)/1000</f>
        <v>449.44400000000002</v>
      </c>
      <c r="V1804" s="57">
        <f>INT(tblJTL[[#This Row],[経過秒]]/60)</f>
        <v>7</v>
      </c>
      <c r="W1804" s="57">
        <f>IF(OR(tblJTL[[#This Row],[success]]=FALSE,tblJTL[[#This Row],[success]]="false"),1,0)</f>
        <v>0</v>
      </c>
      <c r="X1804" s="57">
        <f>IF(AND(tblJTL[[#This Row],[経過秒]]&gt;='17_分析サンプル'!$E$11,tblJTL[[#This Row],[経過秒]]&lt;'17_分析サンプル'!$E$12),1,0)</f>
        <v>1</v>
      </c>
    </row>
    <row r="1805" spans="2:24" ht="14.4" x14ac:dyDescent="0.3">
      <c r="B1805" s="57">
        <v>1790816849951</v>
      </c>
      <c r="C1805" s="58">
        <v>286</v>
      </c>
      <c r="D1805" s="59" t="s">
        <v>1677</v>
      </c>
      <c r="E1805" s="59" t="s">
        <v>3579</v>
      </c>
      <c r="F1805" s="59" t="s">
        <v>3580</v>
      </c>
      <c r="G1805" s="59" t="s">
        <v>2278</v>
      </c>
      <c r="H1805" s="59" t="s">
        <v>2281</v>
      </c>
      <c r="I1805" s="59" t="b">
        <v>1</v>
      </c>
      <c r="J1805" s="59"/>
      <c r="K1805" s="58">
        <v>440</v>
      </c>
      <c r="L1805" s="58">
        <v>1478</v>
      </c>
      <c r="M1805" s="59">
        <v>10</v>
      </c>
      <c r="N1805" s="59">
        <v>10</v>
      </c>
      <c r="O1805" s="59" t="s">
        <v>3581</v>
      </c>
      <c r="P1805" s="58">
        <v>284</v>
      </c>
      <c r="Q1805" s="59">
        <v>0</v>
      </c>
      <c r="R1805" s="59">
        <v>0</v>
      </c>
      <c r="S1805" s="60">
        <f>tblJTL[[#This Row],[timeStamp]]/86400000+DATE(1970,1,1)+TIME(9,0,0)</f>
        <v>46296.421874432868</v>
      </c>
      <c r="T1805" s="57">
        <f>tblJTL[[#This Row],[timeStamp]]+tblJTL[[#This Row],[elapsed]]</f>
        <v>1790816850237</v>
      </c>
      <c r="U1805" s="61">
        <f>(tblJTL[[#This Row],[timeStamp]]-'17_分析サンプル'!$E$18)/1000</f>
        <v>449.77100000000002</v>
      </c>
      <c r="V1805" s="57">
        <f>INT(tblJTL[[#This Row],[経過秒]]/60)</f>
        <v>7</v>
      </c>
      <c r="W1805" s="57">
        <f>IF(OR(tblJTL[[#This Row],[success]]=FALSE,tblJTL[[#This Row],[success]]="false"),1,0)</f>
        <v>0</v>
      </c>
      <c r="X1805" s="57">
        <f>IF(AND(tblJTL[[#This Row],[経過秒]]&gt;='17_分析サンプル'!$E$11,tblJTL[[#This Row],[経過秒]]&lt;'17_分析サンプル'!$E$12),1,0)</f>
        <v>1</v>
      </c>
    </row>
    <row r="1806" spans="2:24" ht="14.4" x14ac:dyDescent="0.3">
      <c r="B1806" s="57">
        <v>1790816850706</v>
      </c>
      <c r="C1806" s="58">
        <v>229</v>
      </c>
      <c r="D1806" s="59" t="s">
        <v>1658</v>
      </c>
      <c r="E1806" s="59" t="s">
        <v>1577</v>
      </c>
      <c r="F1806" s="59" t="s">
        <v>2275</v>
      </c>
      <c r="G1806" s="59" t="s">
        <v>3587</v>
      </c>
      <c r="H1806" s="59" t="s">
        <v>2281</v>
      </c>
      <c r="I1806" s="59" t="b">
        <v>1</v>
      </c>
      <c r="J1806" s="59"/>
      <c r="K1806" s="58">
        <v>1861</v>
      </c>
      <c r="L1806" s="58">
        <v>1342</v>
      </c>
      <c r="M1806" s="59">
        <v>10</v>
      </c>
      <c r="N1806" s="59">
        <v>10</v>
      </c>
      <c r="O1806" s="59" t="s">
        <v>3578</v>
      </c>
      <c r="P1806" s="58">
        <v>227</v>
      </c>
      <c r="Q1806" s="59">
        <v>0</v>
      </c>
      <c r="R1806" s="59">
        <v>0</v>
      </c>
      <c r="S1806" s="60">
        <f>tblJTL[[#This Row],[timeStamp]]/86400000+DATE(1970,1,1)+TIME(9,0,0)</f>
        <v>46296.421883171293</v>
      </c>
      <c r="T1806" s="57">
        <f>tblJTL[[#This Row],[timeStamp]]+tblJTL[[#This Row],[elapsed]]</f>
        <v>1790816850935</v>
      </c>
      <c r="U1806" s="61">
        <f>(tblJTL[[#This Row],[timeStamp]]-'17_分析サンプル'!$E$18)/1000</f>
        <v>450.52600000000001</v>
      </c>
      <c r="V1806" s="57">
        <f>INT(tblJTL[[#This Row],[経過秒]]/60)</f>
        <v>7</v>
      </c>
      <c r="W1806" s="57">
        <f>IF(OR(tblJTL[[#This Row],[success]]=FALSE,tblJTL[[#This Row],[success]]="false"),1,0)</f>
        <v>0</v>
      </c>
      <c r="X1806" s="57">
        <f>IF(AND(tblJTL[[#This Row],[経過秒]]&gt;='17_分析サンプル'!$E$11,tblJTL[[#This Row],[経過秒]]&lt;'17_分析サンプル'!$E$12),1,0)</f>
        <v>1</v>
      </c>
    </row>
    <row r="1807" spans="2:24" ht="14.4" x14ac:dyDescent="0.3">
      <c r="B1807" s="57">
        <v>1790816850882</v>
      </c>
      <c r="C1807" s="58">
        <v>108</v>
      </c>
      <c r="D1807" s="59" t="s">
        <v>1658</v>
      </c>
      <c r="E1807" s="59" t="s">
        <v>1577</v>
      </c>
      <c r="F1807" s="59" t="s">
        <v>2275</v>
      </c>
      <c r="G1807" s="59" t="s">
        <v>3585</v>
      </c>
      <c r="H1807" s="59" t="s">
        <v>2281</v>
      </c>
      <c r="I1807" s="59" t="b">
        <v>1</v>
      </c>
      <c r="J1807" s="59"/>
      <c r="K1807" s="58">
        <v>1848</v>
      </c>
      <c r="L1807" s="58">
        <v>1342</v>
      </c>
      <c r="M1807" s="59">
        <v>10</v>
      </c>
      <c r="N1807" s="59">
        <v>10</v>
      </c>
      <c r="O1807" s="59" t="s">
        <v>3578</v>
      </c>
      <c r="P1807" s="58">
        <v>100</v>
      </c>
      <c r="Q1807" s="59">
        <v>0</v>
      </c>
      <c r="R1807" s="59">
        <v>0</v>
      </c>
      <c r="S1807" s="60">
        <f>tblJTL[[#This Row],[timeStamp]]/86400000+DATE(1970,1,1)+TIME(9,0,0)</f>
        <v>46296.421885208329</v>
      </c>
      <c r="T1807" s="57">
        <f>tblJTL[[#This Row],[timeStamp]]+tblJTL[[#This Row],[elapsed]]</f>
        <v>1790816850990</v>
      </c>
      <c r="U1807" s="61">
        <f>(tblJTL[[#This Row],[timeStamp]]-'17_分析サンプル'!$E$18)/1000</f>
        <v>450.702</v>
      </c>
      <c r="V1807" s="57">
        <f>INT(tblJTL[[#This Row],[経過秒]]/60)</f>
        <v>7</v>
      </c>
      <c r="W1807" s="57">
        <f>IF(OR(tblJTL[[#This Row],[success]]=FALSE,tblJTL[[#This Row],[success]]="false"),1,0)</f>
        <v>0</v>
      </c>
      <c r="X1807" s="57">
        <f>IF(AND(tblJTL[[#This Row],[経過秒]]&gt;='17_分析サンプル'!$E$11,tblJTL[[#This Row],[経過秒]]&lt;'17_分析サンプル'!$E$12),1,0)</f>
        <v>1</v>
      </c>
    </row>
    <row r="1808" spans="2:24" ht="14.4" x14ac:dyDescent="0.3">
      <c r="B1808" s="57">
        <v>1790816850734</v>
      </c>
      <c r="C1808" s="58">
        <v>315</v>
      </c>
      <c r="D1808" s="59" t="s">
        <v>1677</v>
      </c>
      <c r="E1808" s="59" t="s">
        <v>3579</v>
      </c>
      <c r="F1808" s="59" t="s">
        <v>3580</v>
      </c>
      <c r="G1808" s="59" t="s">
        <v>3584</v>
      </c>
      <c r="H1808" s="59" t="s">
        <v>2281</v>
      </c>
      <c r="I1808" s="59" t="b">
        <v>1</v>
      </c>
      <c r="J1808" s="59"/>
      <c r="K1808" s="58">
        <v>410</v>
      </c>
      <c r="L1808" s="58">
        <v>1478</v>
      </c>
      <c r="M1808" s="59">
        <v>10</v>
      </c>
      <c r="N1808" s="59">
        <v>10</v>
      </c>
      <c r="O1808" s="59" t="s">
        <v>3581</v>
      </c>
      <c r="P1808" s="58">
        <v>313</v>
      </c>
      <c r="Q1808" s="59">
        <v>0</v>
      </c>
      <c r="R1808" s="59">
        <v>0</v>
      </c>
      <c r="S1808" s="60">
        <f>tblJTL[[#This Row],[timeStamp]]/86400000+DATE(1970,1,1)+TIME(9,0,0)</f>
        <v>46296.421883495372</v>
      </c>
      <c r="T1808" s="57">
        <f>tblJTL[[#This Row],[timeStamp]]+tblJTL[[#This Row],[elapsed]]</f>
        <v>1790816851049</v>
      </c>
      <c r="U1808" s="61">
        <f>(tblJTL[[#This Row],[timeStamp]]-'17_分析サンプル'!$E$18)/1000</f>
        <v>450.55399999999997</v>
      </c>
      <c r="V1808" s="57">
        <f>INT(tblJTL[[#This Row],[経過秒]]/60)</f>
        <v>7</v>
      </c>
      <c r="W1808" s="57">
        <f>IF(OR(tblJTL[[#This Row],[success]]=FALSE,tblJTL[[#This Row],[success]]="false"),1,0)</f>
        <v>0</v>
      </c>
      <c r="X1808" s="57">
        <f>IF(AND(tblJTL[[#This Row],[経過秒]]&gt;='17_分析サンプル'!$E$11,tblJTL[[#This Row],[経過秒]]&lt;'17_分析サンプル'!$E$12),1,0)</f>
        <v>1</v>
      </c>
    </row>
    <row r="1809" spans="2:24" ht="14.4" x14ac:dyDescent="0.3">
      <c r="B1809" s="57">
        <v>1790816851026</v>
      </c>
      <c r="C1809" s="58">
        <v>172</v>
      </c>
      <c r="D1809" s="59" t="s">
        <v>1677</v>
      </c>
      <c r="E1809" s="59" t="s">
        <v>3579</v>
      </c>
      <c r="F1809" s="59" t="s">
        <v>3580</v>
      </c>
      <c r="G1809" s="59" t="s">
        <v>3586</v>
      </c>
      <c r="H1809" s="59" t="s">
        <v>2281</v>
      </c>
      <c r="I1809" s="59" t="b">
        <v>1</v>
      </c>
      <c r="J1809" s="59"/>
      <c r="K1809" s="58">
        <v>413</v>
      </c>
      <c r="L1809" s="58">
        <v>1478</v>
      </c>
      <c r="M1809" s="59">
        <v>10</v>
      </c>
      <c r="N1809" s="59">
        <v>10</v>
      </c>
      <c r="O1809" s="59" t="s">
        <v>3581</v>
      </c>
      <c r="P1809" s="58">
        <v>167</v>
      </c>
      <c r="Q1809" s="59">
        <v>0</v>
      </c>
      <c r="R1809" s="59">
        <v>0</v>
      </c>
      <c r="S1809" s="60">
        <f>tblJTL[[#This Row],[timeStamp]]/86400000+DATE(1970,1,1)+TIME(9,0,0)</f>
        <v>46296.421886875003</v>
      </c>
      <c r="T1809" s="57">
        <f>tblJTL[[#This Row],[timeStamp]]+tblJTL[[#This Row],[elapsed]]</f>
        <v>1790816851198</v>
      </c>
      <c r="U1809" s="61">
        <f>(tblJTL[[#This Row],[timeStamp]]-'17_分析サンプル'!$E$18)/1000</f>
        <v>450.846</v>
      </c>
      <c r="V1809" s="57">
        <f>INT(tblJTL[[#This Row],[経過秒]]/60)</f>
        <v>7</v>
      </c>
      <c r="W1809" s="57">
        <f>IF(OR(tblJTL[[#This Row],[success]]=FALSE,tblJTL[[#This Row],[success]]="false"),1,0)</f>
        <v>0</v>
      </c>
      <c r="X1809" s="57">
        <f>IF(AND(tblJTL[[#This Row],[経過秒]]&gt;='17_分析サンプル'!$E$11,tblJTL[[#This Row],[経過秒]]&lt;'17_分析サンプル'!$E$12),1,0)</f>
        <v>1</v>
      </c>
    </row>
    <row r="1810" spans="2:24" ht="14.4" x14ac:dyDescent="0.3">
      <c r="B1810" s="57">
        <v>1790816851108</v>
      </c>
      <c r="C1810" s="58">
        <v>139</v>
      </c>
      <c r="D1810" s="59" t="s">
        <v>1658</v>
      </c>
      <c r="E1810" s="59" t="s">
        <v>1577</v>
      </c>
      <c r="F1810" s="59" t="s">
        <v>2275</v>
      </c>
      <c r="G1810" s="59" t="s">
        <v>3577</v>
      </c>
      <c r="H1810" s="59" t="s">
        <v>2281</v>
      </c>
      <c r="I1810" s="59" t="b">
        <v>1</v>
      </c>
      <c r="J1810" s="59"/>
      <c r="K1810" s="58">
        <v>1875</v>
      </c>
      <c r="L1810" s="58">
        <v>1342</v>
      </c>
      <c r="M1810" s="59">
        <v>10</v>
      </c>
      <c r="N1810" s="59">
        <v>10</v>
      </c>
      <c r="O1810" s="59" t="s">
        <v>3578</v>
      </c>
      <c r="P1810" s="58">
        <v>137</v>
      </c>
      <c r="Q1810" s="59">
        <v>0</v>
      </c>
      <c r="R1810" s="59">
        <v>0</v>
      </c>
      <c r="S1810" s="60">
        <f>tblJTL[[#This Row],[timeStamp]]/86400000+DATE(1970,1,1)+TIME(9,0,0)</f>
        <v>46296.421887824079</v>
      </c>
      <c r="T1810" s="57">
        <f>tblJTL[[#This Row],[timeStamp]]+tblJTL[[#This Row],[elapsed]]</f>
        <v>1790816851247</v>
      </c>
      <c r="U1810" s="61">
        <f>(tblJTL[[#This Row],[timeStamp]]-'17_分析サンプル'!$E$18)/1000</f>
        <v>450.928</v>
      </c>
      <c r="V1810" s="57">
        <f>INT(tblJTL[[#This Row],[経過秒]]/60)</f>
        <v>7</v>
      </c>
      <c r="W1810" s="57">
        <f>IF(OR(tblJTL[[#This Row],[success]]=FALSE,tblJTL[[#This Row],[success]]="false"),1,0)</f>
        <v>0</v>
      </c>
      <c r="X1810" s="57">
        <f>IF(AND(tblJTL[[#This Row],[経過秒]]&gt;='17_分析サンプル'!$E$11,tblJTL[[#This Row],[経過秒]]&lt;'17_分析サンプル'!$E$12),1,0)</f>
        <v>1</v>
      </c>
    </row>
    <row r="1811" spans="2:24" ht="14.4" x14ac:dyDescent="0.3">
      <c r="B1811" s="57">
        <v>1790816851190</v>
      </c>
      <c r="C1811" s="58">
        <v>132</v>
      </c>
      <c r="D1811" s="59" t="s">
        <v>1658</v>
      </c>
      <c r="E1811" s="59" t="s">
        <v>1577</v>
      </c>
      <c r="F1811" s="59" t="s">
        <v>2275</v>
      </c>
      <c r="G1811" s="59" t="s">
        <v>3583</v>
      </c>
      <c r="H1811" s="59" t="s">
        <v>2281</v>
      </c>
      <c r="I1811" s="59" t="b">
        <v>1</v>
      </c>
      <c r="J1811" s="59"/>
      <c r="K1811" s="58">
        <v>1897</v>
      </c>
      <c r="L1811" s="58">
        <v>1342</v>
      </c>
      <c r="M1811" s="59">
        <v>10</v>
      </c>
      <c r="N1811" s="59">
        <v>10</v>
      </c>
      <c r="O1811" s="59" t="s">
        <v>3578</v>
      </c>
      <c r="P1811" s="58">
        <v>130</v>
      </c>
      <c r="Q1811" s="59">
        <v>0</v>
      </c>
      <c r="R1811" s="59">
        <v>48</v>
      </c>
      <c r="S1811" s="60">
        <f>tblJTL[[#This Row],[timeStamp]]/86400000+DATE(1970,1,1)+TIME(9,0,0)</f>
        <v>46296.421888773148</v>
      </c>
      <c r="T1811" s="57">
        <f>tblJTL[[#This Row],[timeStamp]]+tblJTL[[#This Row],[elapsed]]</f>
        <v>1790816851322</v>
      </c>
      <c r="U1811" s="61">
        <f>(tblJTL[[#This Row],[timeStamp]]-'17_分析サンプル'!$E$18)/1000</f>
        <v>451.01</v>
      </c>
      <c r="V1811" s="57">
        <f>INT(tblJTL[[#This Row],[経過秒]]/60)</f>
        <v>7</v>
      </c>
      <c r="W1811" s="57">
        <f>IF(OR(tblJTL[[#This Row],[success]]=FALSE,tblJTL[[#This Row],[success]]="false"),1,0)</f>
        <v>0</v>
      </c>
      <c r="X1811" s="57">
        <f>IF(AND(tblJTL[[#This Row],[経過秒]]&gt;='17_分析サンプル'!$E$11,tblJTL[[#This Row],[経過秒]]&lt;'17_分析サンプル'!$E$12),1,0)</f>
        <v>1</v>
      </c>
    </row>
    <row r="1812" spans="2:24" ht="14.4" x14ac:dyDescent="0.3">
      <c r="B1812" s="57">
        <v>1790816851992</v>
      </c>
      <c r="C1812" s="58">
        <v>132</v>
      </c>
      <c r="D1812" s="59" t="s">
        <v>1658</v>
      </c>
      <c r="E1812" s="59" t="s">
        <v>1577</v>
      </c>
      <c r="F1812" s="59" t="s">
        <v>2275</v>
      </c>
      <c r="G1812" s="59" t="s">
        <v>3589</v>
      </c>
      <c r="H1812" s="59" t="s">
        <v>2281</v>
      </c>
      <c r="I1812" s="59" t="b">
        <v>1</v>
      </c>
      <c r="J1812" s="59"/>
      <c r="K1812" s="58">
        <v>1852</v>
      </c>
      <c r="L1812" s="58">
        <v>1342</v>
      </c>
      <c r="M1812" s="59">
        <v>10</v>
      </c>
      <c r="N1812" s="59">
        <v>10</v>
      </c>
      <c r="O1812" s="59" t="s">
        <v>3578</v>
      </c>
      <c r="P1812" s="58">
        <v>128</v>
      </c>
      <c r="Q1812" s="59">
        <v>0</v>
      </c>
      <c r="R1812" s="59">
        <v>0</v>
      </c>
      <c r="S1812" s="60">
        <f>tblJTL[[#This Row],[timeStamp]]/86400000+DATE(1970,1,1)+TIME(9,0,0)</f>
        <v>46296.42189805556</v>
      </c>
      <c r="T1812" s="57">
        <f>tblJTL[[#This Row],[timeStamp]]+tblJTL[[#This Row],[elapsed]]</f>
        <v>1790816852124</v>
      </c>
      <c r="U1812" s="61">
        <f>(tblJTL[[#This Row],[timeStamp]]-'17_分析サンプル'!$E$18)/1000</f>
        <v>451.81200000000001</v>
      </c>
      <c r="V1812" s="57">
        <f>INT(tblJTL[[#This Row],[経過秒]]/60)</f>
        <v>7</v>
      </c>
      <c r="W1812" s="57">
        <f>IF(OR(tblJTL[[#This Row],[success]]=FALSE,tblJTL[[#This Row],[success]]="false"),1,0)</f>
        <v>0</v>
      </c>
      <c r="X1812" s="57">
        <f>IF(AND(tblJTL[[#This Row],[経過秒]]&gt;='17_分析サンプル'!$E$11,tblJTL[[#This Row],[経過秒]]&lt;'17_分析サンプル'!$E$12),1,0)</f>
        <v>1</v>
      </c>
    </row>
    <row r="1813" spans="2:24" ht="14.4" x14ac:dyDescent="0.3">
      <c r="B1813" s="57">
        <v>1790816851956</v>
      </c>
      <c r="C1813" s="58">
        <v>238</v>
      </c>
      <c r="D1813" s="59" t="s">
        <v>1677</v>
      </c>
      <c r="E1813" s="59" t="s">
        <v>3579</v>
      </c>
      <c r="F1813" s="59" t="s">
        <v>3580</v>
      </c>
      <c r="G1813" s="59" t="s">
        <v>3582</v>
      </c>
      <c r="H1813" s="59" t="s">
        <v>2281</v>
      </c>
      <c r="I1813" s="59" t="b">
        <v>1</v>
      </c>
      <c r="J1813" s="59"/>
      <c r="K1813" s="58">
        <v>428</v>
      </c>
      <c r="L1813" s="58">
        <v>1478</v>
      </c>
      <c r="M1813" s="59">
        <v>10</v>
      </c>
      <c r="N1813" s="59">
        <v>10</v>
      </c>
      <c r="O1813" s="59" t="s">
        <v>3581</v>
      </c>
      <c r="P1813" s="58">
        <v>233</v>
      </c>
      <c r="Q1813" s="59">
        <v>0</v>
      </c>
      <c r="R1813" s="59">
        <v>0</v>
      </c>
      <c r="S1813" s="60">
        <f>tblJTL[[#This Row],[timeStamp]]/86400000+DATE(1970,1,1)+TIME(9,0,0)</f>
        <v>46296.421897638887</v>
      </c>
      <c r="T1813" s="57">
        <f>tblJTL[[#This Row],[timeStamp]]+tblJTL[[#This Row],[elapsed]]</f>
        <v>1790816852194</v>
      </c>
      <c r="U1813" s="61">
        <f>(tblJTL[[#This Row],[timeStamp]]-'17_分析サンプル'!$E$18)/1000</f>
        <v>451.77600000000001</v>
      </c>
      <c r="V1813" s="57">
        <f>INT(tblJTL[[#This Row],[経過秒]]/60)</f>
        <v>7</v>
      </c>
      <c r="W1813" s="57">
        <f>IF(OR(tblJTL[[#This Row],[success]]=FALSE,tblJTL[[#This Row],[success]]="false"),1,0)</f>
        <v>0</v>
      </c>
      <c r="X1813" s="57">
        <f>IF(AND(tblJTL[[#This Row],[経過秒]]&gt;='17_分析サンプル'!$E$11,tblJTL[[#This Row],[経過秒]]&lt;'17_分析サンプル'!$E$12),1,0)</f>
        <v>1</v>
      </c>
    </row>
    <row r="1814" spans="2:24" ht="14.4" x14ac:dyDescent="0.3">
      <c r="B1814" s="57">
        <v>1790816852436</v>
      </c>
      <c r="C1814" s="58">
        <v>135</v>
      </c>
      <c r="D1814" s="59" t="s">
        <v>1658</v>
      </c>
      <c r="E1814" s="59" t="s">
        <v>1577</v>
      </c>
      <c r="F1814" s="59" t="s">
        <v>2275</v>
      </c>
      <c r="G1814" s="59" t="s">
        <v>3586</v>
      </c>
      <c r="H1814" s="59" t="s">
        <v>2281</v>
      </c>
      <c r="I1814" s="59" t="b">
        <v>1</v>
      </c>
      <c r="J1814" s="59"/>
      <c r="K1814" s="58">
        <v>1890</v>
      </c>
      <c r="L1814" s="58">
        <v>1342</v>
      </c>
      <c r="M1814" s="59">
        <v>10</v>
      </c>
      <c r="N1814" s="59">
        <v>10</v>
      </c>
      <c r="O1814" s="59" t="s">
        <v>3578</v>
      </c>
      <c r="P1814" s="58">
        <v>133</v>
      </c>
      <c r="Q1814" s="59">
        <v>0</v>
      </c>
      <c r="R1814" s="59">
        <v>0</v>
      </c>
      <c r="S1814" s="60">
        <f>tblJTL[[#This Row],[timeStamp]]/86400000+DATE(1970,1,1)+TIME(9,0,0)</f>
        <v>46296.421903194445</v>
      </c>
      <c r="T1814" s="57">
        <f>tblJTL[[#This Row],[timeStamp]]+tblJTL[[#This Row],[elapsed]]</f>
        <v>1790816852571</v>
      </c>
      <c r="U1814" s="61">
        <f>(tblJTL[[#This Row],[timeStamp]]-'17_分析サンプル'!$E$18)/1000</f>
        <v>452.25599999999997</v>
      </c>
      <c r="V1814" s="57">
        <f>INT(tblJTL[[#This Row],[経過秒]]/60)</f>
        <v>7</v>
      </c>
      <c r="W1814" s="57">
        <f>IF(OR(tblJTL[[#This Row],[success]]=FALSE,tblJTL[[#This Row],[success]]="false"),1,0)</f>
        <v>0</v>
      </c>
      <c r="X1814" s="57">
        <f>IF(AND(tblJTL[[#This Row],[経過秒]]&gt;='17_分析サンプル'!$E$11,tblJTL[[#This Row],[経過秒]]&lt;'17_分析サンプル'!$E$12),1,0)</f>
        <v>1</v>
      </c>
    </row>
    <row r="1815" spans="2:24" ht="14.4" x14ac:dyDescent="0.3">
      <c r="B1815" s="57">
        <v>1790816852649</v>
      </c>
      <c r="C1815" s="58">
        <v>139</v>
      </c>
      <c r="D1815" s="59" t="s">
        <v>1658</v>
      </c>
      <c r="E1815" s="59" t="s">
        <v>1577</v>
      </c>
      <c r="F1815" s="59" t="s">
        <v>2275</v>
      </c>
      <c r="G1815" s="59" t="s">
        <v>3588</v>
      </c>
      <c r="H1815" s="59" t="s">
        <v>2281</v>
      </c>
      <c r="I1815" s="59" t="b">
        <v>1</v>
      </c>
      <c r="J1815" s="59"/>
      <c r="K1815" s="58">
        <v>1859</v>
      </c>
      <c r="L1815" s="58">
        <v>1342</v>
      </c>
      <c r="M1815" s="59">
        <v>10</v>
      </c>
      <c r="N1815" s="59">
        <v>10</v>
      </c>
      <c r="O1815" s="59" t="s">
        <v>3578</v>
      </c>
      <c r="P1815" s="58">
        <v>132</v>
      </c>
      <c r="Q1815" s="59">
        <v>0</v>
      </c>
      <c r="R1815" s="59">
        <v>0</v>
      </c>
      <c r="S1815" s="60">
        <f>tblJTL[[#This Row],[timeStamp]]/86400000+DATE(1970,1,1)+TIME(9,0,0)</f>
        <v>46296.421905659721</v>
      </c>
      <c r="T1815" s="57">
        <f>tblJTL[[#This Row],[timeStamp]]+tblJTL[[#This Row],[elapsed]]</f>
        <v>1790816852788</v>
      </c>
      <c r="U1815" s="61">
        <f>(tblJTL[[#This Row],[timeStamp]]-'17_分析サンプル'!$E$18)/1000</f>
        <v>452.46899999999999</v>
      </c>
      <c r="V1815" s="57">
        <f>INT(tblJTL[[#This Row],[経過秒]]/60)</f>
        <v>7</v>
      </c>
      <c r="W1815" s="57">
        <f>IF(OR(tblJTL[[#This Row],[success]]=FALSE,tblJTL[[#This Row],[success]]="false"),1,0)</f>
        <v>0</v>
      </c>
      <c r="X1815" s="57">
        <f>IF(AND(tblJTL[[#This Row],[経過秒]]&gt;='17_分析サンプル'!$E$11,tblJTL[[#This Row],[経過秒]]&lt;'17_分析サンプル'!$E$12),1,0)</f>
        <v>1</v>
      </c>
    </row>
    <row r="1816" spans="2:24" ht="14.4" x14ac:dyDescent="0.3">
      <c r="B1816" s="57">
        <v>1790816852647</v>
      </c>
      <c r="C1816" s="58">
        <v>218</v>
      </c>
      <c r="D1816" s="59" t="s">
        <v>1677</v>
      </c>
      <c r="E1816" s="59" t="s">
        <v>3579</v>
      </c>
      <c r="F1816" s="59" t="s">
        <v>3580</v>
      </c>
      <c r="G1816" s="59" t="s">
        <v>3587</v>
      </c>
      <c r="H1816" s="59" t="s">
        <v>2281</v>
      </c>
      <c r="I1816" s="59" t="b">
        <v>1</v>
      </c>
      <c r="J1816" s="59"/>
      <c r="K1816" s="58">
        <v>424</v>
      </c>
      <c r="L1816" s="58">
        <v>1478</v>
      </c>
      <c r="M1816" s="59">
        <v>10</v>
      </c>
      <c r="N1816" s="59">
        <v>10</v>
      </c>
      <c r="O1816" s="59" t="s">
        <v>3581</v>
      </c>
      <c r="P1816" s="58">
        <v>215</v>
      </c>
      <c r="Q1816" s="59">
        <v>0</v>
      </c>
      <c r="R1816" s="59">
        <v>0</v>
      </c>
      <c r="S1816" s="60">
        <f>tblJTL[[#This Row],[timeStamp]]/86400000+DATE(1970,1,1)+TIME(9,0,0)</f>
        <v>46296.421905636569</v>
      </c>
      <c r="T1816" s="57">
        <f>tblJTL[[#This Row],[timeStamp]]+tblJTL[[#This Row],[elapsed]]</f>
        <v>1790816852865</v>
      </c>
      <c r="U1816" s="61">
        <f>(tblJTL[[#This Row],[timeStamp]]-'17_分析サンプル'!$E$18)/1000</f>
        <v>452.46699999999998</v>
      </c>
      <c r="V1816" s="57">
        <f>INT(tblJTL[[#This Row],[経過秒]]/60)</f>
        <v>7</v>
      </c>
      <c r="W1816" s="57">
        <f>IF(OR(tblJTL[[#This Row],[success]]=FALSE,tblJTL[[#This Row],[success]]="false"),1,0)</f>
        <v>0</v>
      </c>
      <c r="X1816" s="57">
        <f>IF(AND(tblJTL[[#This Row],[経過秒]]&gt;='17_分析サンプル'!$E$11,tblJTL[[#This Row],[経過秒]]&lt;'17_分析サンプル'!$E$12),1,0)</f>
        <v>1</v>
      </c>
    </row>
    <row r="1817" spans="2:24" ht="14.4" x14ac:dyDescent="0.3">
      <c r="B1817" s="57">
        <v>1790816853028</v>
      </c>
      <c r="C1817" s="58">
        <v>97</v>
      </c>
      <c r="D1817" s="59" t="s">
        <v>1658</v>
      </c>
      <c r="E1817" s="59" t="s">
        <v>1577</v>
      </c>
      <c r="F1817" s="59" t="s">
        <v>2275</v>
      </c>
      <c r="G1817" s="59" t="s">
        <v>2278</v>
      </c>
      <c r="H1817" s="59" t="s">
        <v>2281</v>
      </c>
      <c r="I1817" s="59" t="b">
        <v>1</v>
      </c>
      <c r="J1817" s="59"/>
      <c r="K1817" s="58">
        <v>1851</v>
      </c>
      <c r="L1817" s="58">
        <v>1342</v>
      </c>
      <c r="M1817" s="59">
        <v>10</v>
      </c>
      <c r="N1817" s="59">
        <v>10</v>
      </c>
      <c r="O1817" s="59" t="s">
        <v>3578</v>
      </c>
      <c r="P1817" s="58">
        <v>93</v>
      </c>
      <c r="Q1817" s="59">
        <v>0</v>
      </c>
      <c r="R1817" s="59">
        <v>0</v>
      </c>
      <c r="S1817" s="60">
        <f>tblJTL[[#This Row],[timeStamp]]/86400000+DATE(1970,1,1)+TIME(9,0,0)</f>
        <v>46296.421910046294</v>
      </c>
      <c r="T1817" s="57">
        <f>tblJTL[[#This Row],[timeStamp]]+tblJTL[[#This Row],[elapsed]]</f>
        <v>1790816853125</v>
      </c>
      <c r="U1817" s="61">
        <f>(tblJTL[[#This Row],[timeStamp]]-'17_分析サンプル'!$E$18)/1000</f>
        <v>452.84800000000001</v>
      </c>
      <c r="V1817" s="57">
        <f>INT(tblJTL[[#This Row],[経過秒]]/60)</f>
        <v>7</v>
      </c>
      <c r="W1817" s="57">
        <f>IF(OR(tblJTL[[#This Row],[success]]=FALSE,tblJTL[[#This Row],[success]]="false"),1,0)</f>
        <v>0</v>
      </c>
      <c r="X1817" s="57">
        <f>IF(AND(tblJTL[[#This Row],[経過秒]]&gt;='17_分析サンプル'!$E$11,tblJTL[[#This Row],[経過秒]]&lt;'17_分析サンプル'!$E$12),1,0)</f>
        <v>1</v>
      </c>
    </row>
    <row r="1818" spans="2:24" ht="14.4" x14ac:dyDescent="0.3">
      <c r="B1818" s="57">
        <v>1790816853350</v>
      </c>
      <c r="C1818" s="58">
        <v>109</v>
      </c>
      <c r="D1818" s="59" t="s">
        <v>1658</v>
      </c>
      <c r="E1818" s="59" t="s">
        <v>1577</v>
      </c>
      <c r="F1818" s="59" t="s">
        <v>2275</v>
      </c>
      <c r="G1818" s="59" t="s">
        <v>3584</v>
      </c>
      <c r="H1818" s="59" t="s">
        <v>2281</v>
      </c>
      <c r="I1818" s="59" t="b">
        <v>1</v>
      </c>
      <c r="J1818" s="59"/>
      <c r="K1818" s="58">
        <v>1843</v>
      </c>
      <c r="L1818" s="58">
        <v>1342</v>
      </c>
      <c r="M1818" s="59">
        <v>10</v>
      </c>
      <c r="N1818" s="59">
        <v>10</v>
      </c>
      <c r="O1818" s="59" t="s">
        <v>3578</v>
      </c>
      <c r="P1818" s="58">
        <v>101</v>
      </c>
      <c r="Q1818" s="59">
        <v>0</v>
      </c>
      <c r="R1818" s="59">
        <v>0</v>
      </c>
      <c r="S1818" s="60">
        <f>tblJTL[[#This Row],[timeStamp]]/86400000+DATE(1970,1,1)+TIME(9,0,0)</f>
        <v>46296.421913773149</v>
      </c>
      <c r="T1818" s="57">
        <f>tblJTL[[#This Row],[timeStamp]]+tblJTL[[#This Row],[elapsed]]</f>
        <v>1790816853459</v>
      </c>
      <c r="U1818" s="61">
        <f>(tblJTL[[#This Row],[timeStamp]]-'17_分析サンプル'!$E$18)/1000</f>
        <v>453.17</v>
      </c>
      <c r="V1818" s="57">
        <f>INT(tblJTL[[#This Row],[経過秒]]/60)</f>
        <v>7</v>
      </c>
      <c r="W1818" s="57">
        <f>IF(OR(tblJTL[[#This Row],[success]]=FALSE,tblJTL[[#This Row],[success]]="false"),1,0)</f>
        <v>0</v>
      </c>
      <c r="X1818" s="57">
        <f>IF(AND(tblJTL[[#This Row],[経過秒]]&gt;='17_分析サンプル'!$E$11,tblJTL[[#This Row],[経過秒]]&lt;'17_分析サンプル'!$E$12),1,0)</f>
        <v>1</v>
      </c>
    </row>
    <row r="1819" spans="2:24" ht="14.4" x14ac:dyDescent="0.3">
      <c r="B1819" s="57">
        <v>1790816853231</v>
      </c>
      <c r="C1819" s="58">
        <v>352</v>
      </c>
      <c r="D1819" s="59" t="s">
        <v>1677</v>
      </c>
      <c r="E1819" s="59" t="s">
        <v>3579</v>
      </c>
      <c r="F1819" s="59" t="s">
        <v>3580</v>
      </c>
      <c r="G1819" s="59" t="s">
        <v>3577</v>
      </c>
      <c r="H1819" s="59" t="s">
        <v>2281</v>
      </c>
      <c r="I1819" s="59" t="b">
        <v>1</v>
      </c>
      <c r="J1819" s="59"/>
      <c r="K1819" s="58">
        <v>416</v>
      </c>
      <c r="L1819" s="58">
        <v>1478</v>
      </c>
      <c r="M1819" s="59">
        <v>10</v>
      </c>
      <c r="N1819" s="59">
        <v>10</v>
      </c>
      <c r="O1819" s="59" t="s">
        <v>3581</v>
      </c>
      <c r="P1819" s="58">
        <v>346</v>
      </c>
      <c r="Q1819" s="59">
        <v>0</v>
      </c>
      <c r="R1819" s="59">
        <v>0</v>
      </c>
      <c r="S1819" s="60">
        <f>tblJTL[[#This Row],[timeStamp]]/86400000+DATE(1970,1,1)+TIME(9,0,0)</f>
        <v>46296.421912395832</v>
      </c>
      <c r="T1819" s="57">
        <f>tblJTL[[#This Row],[timeStamp]]+tblJTL[[#This Row],[elapsed]]</f>
        <v>1790816853583</v>
      </c>
      <c r="U1819" s="61">
        <f>(tblJTL[[#This Row],[timeStamp]]-'17_分析サンプル'!$E$18)/1000</f>
        <v>453.05099999999999</v>
      </c>
      <c r="V1819" s="57">
        <f>INT(tblJTL[[#This Row],[経過秒]]/60)</f>
        <v>7</v>
      </c>
      <c r="W1819" s="57">
        <f>IF(OR(tblJTL[[#This Row],[success]]=FALSE,tblJTL[[#This Row],[success]]="false"),1,0)</f>
        <v>0</v>
      </c>
      <c r="X1819" s="57">
        <f>IF(AND(tblJTL[[#This Row],[経過秒]]&gt;='17_分析サンプル'!$E$11,tblJTL[[#This Row],[経過秒]]&lt;'17_分析サンプル'!$E$12),1,0)</f>
        <v>1</v>
      </c>
    </row>
    <row r="1820" spans="2:24" ht="14.4" x14ac:dyDescent="0.3">
      <c r="B1820" s="57">
        <v>1790816853564</v>
      </c>
      <c r="C1820" s="58">
        <v>202</v>
      </c>
      <c r="D1820" s="59" t="s">
        <v>1677</v>
      </c>
      <c r="E1820" s="59" t="s">
        <v>3579</v>
      </c>
      <c r="F1820" s="59" t="s">
        <v>3580</v>
      </c>
      <c r="G1820" s="59" t="s">
        <v>3585</v>
      </c>
      <c r="H1820" s="59" t="s">
        <v>2281</v>
      </c>
      <c r="I1820" s="59" t="b">
        <v>1</v>
      </c>
      <c r="J1820" s="59"/>
      <c r="K1820" s="58">
        <v>417</v>
      </c>
      <c r="L1820" s="58">
        <v>1478</v>
      </c>
      <c r="M1820" s="59">
        <v>10</v>
      </c>
      <c r="N1820" s="59">
        <v>10</v>
      </c>
      <c r="O1820" s="59" t="s">
        <v>3581</v>
      </c>
      <c r="P1820" s="58">
        <v>194</v>
      </c>
      <c r="Q1820" s="59">
        <v>0</v>
      </c>
      <c r="R1820" s="59">
        <v>0</v>
      </c>
      <c r="S1820" s="60">
        <f>tblJTL[[#This Row],[timeStamp]]/86400000+DATE(1970,1,1)+TIME(9,0,0)</f>
        <v>46296.421916250001</v>
      </c>
      <c r="T1820" s="57">
        <f>tblJTL[[#This Row],[timeStamp]]+tblJTL[[#This Row],[elapsed]]</f>
        <v>1790816853766</v>
      </c>
      <c r="U1820" s="61">
        <f>(tblJTL[[#This Row],[timeStamp]]-'17_分析サンプル'!$E$18)/1000</f>
        <v>453.38400000000001</v>
      </c>
      <c r="V1820" s="57">
        <f>INT(tblJTL[[#This Row],[経過秒]]/60)</f>
        <v>7</v>
      </c>
      <c r="W1820" s="57">
        <f>IF(OR(tblJTL[[#This Row],[success]]=FALSE,tblJTL[[#This Row],[success]]="false"),1,0)</f>
        <v>0</v>
      </c>
      <c r="X1820" s="57">
        <f>IF(AND(tblJTL[[#This Row],[経過秒]]&gt;='17_分析サンプル'!$E$11,tblJTL[[#This Row],[経過秒]]&lt;'17_分析サンプル'!$E$12),1,0)</f>
        <v>1</v>
      </c>
    </row>
    <row r="1821" spans="2:24" ht="14.4" x14ac:dyDescent="0.3">
      <c r="B1821" s="57">
        <v>1790816853917</v>
      </c>
      <c r="C1821" s="58">
        <v>307</v>
      </c>
      <c r="D1821" s="59" t="s">
        <v>1677</v>
      </c>
      <c r="E1821" s="59" t="s">
        <v>3579</v>
      </c>
      <c r="F1821" s="59" t="s">
        <v>3580</v>
      </c>
      <c r="G1821" s="59" t="s">
        <v>3588</v>
      </c>
      <c r="H1821" s="59" t="s">
        <v>2281</v>
      </c>
      <c r="I1821" s="59" t="b">
        <v>1</v>
      </c>
      <c r="J1821" s="59"/>
      <c r="K1821" s="58">
        <v>426</v>
      </c>
      <c r="L1821" s="58">
        <v>1478</v>
      </c>
      <c r="M1821" s="59">
        <v>10</v>
      </c>
      <c r="N1821" s="59">
        <v>10</v>
      </c>
      <c r="O1821" s="59" t="s">
        <v>3581</v>
      </c>
      <c r="P1821" s="58">
        <v>304</v>
      </c>
      <c r="Q1821" s="59">
        <v>0</v>
      </c>
      <c r="R1821" s="59">
        <v>0</v>
      </c>
      <c r="S1821" s="60">
        <f>tblJTL[[#This Row],[timeStamp]]/86400000+DATE(1970,1,1)+TIME(9,0,0)</f>
        <v>46296.421920335648</v>
      </c>
      <c r="T1821" s="57">
        <f>tblJTL[[#This Row],[timeStamp]]+tblJTL[[#This Row],[elapsed]]</f>
        <v>1790816854224</v>
      </c>
      <c r="U1821" s="61">
        <f>(tblJTL[[#This Row],[timeStamp]]-'17_分析サンプル'!$E$18)/1000</f>
        <v>453.73700000000002</v>
      </c>
      <c r="V1821" s="57">
        <f>INT(tblJTL[[#This Row],[経過秒]]/60)</f>
        <v>7</v>
      </c>
      <c r="W1821" s="57">
        <f>IF(OR(tblJTL[[#This Row],[success]]=FALSE,tblJTL[[#This Row],[success]]="false"),1,0)</f>
        <v>0</v>
      </c>
      <c r="X1821" s="57">
        <f>IF(AND(tblJTL[[#This Row],[経過秒]]&gt;='17_分析サンプル'!$E$11,tblJTL[[#This Row],[経過秒]]&lt;'17_分析サンプル'!$E$12),1,0)</f>
        <v>1</v>
      </c>
    </row>
    <row r="1822" spans="2:24" ht="14.4" x14ac:dyDescent="0.3">
      <c r="B1822" s="57">
        <v>1790816854211</v>
      </c>
      <c r="C1822" s="58">
        <v>277</v>
      </c>
      <c r="D1822" s="59" t="s">
        <v>1677</v>
      </c>
      <c r="E1822" s="59" t="s">
        <v>3579</v>
      </c>
      <c r="F1822" s="59" t="s">
        <v>3580</v>
      </c>
      <c r="G1822" s="59" t="s">
        <v>3583</v>
      </c>
      <c r="H1822" s="59" t="s">
        <v>2281</v>
      </c>
      <c r="I1822" s="59" t="b">
        <v>1</v>
      </c>
      <c r="J1822" s="59"/>
      <c r="K1822" s="58">
        <v>438</v>
      </c>
      <c r="L1822" s="58">
        <v>1478</v>
      </c>
      <c r="M1822" s="59">
        <v>10</v>
      </c>
      <c r="N1822" s="59">
        <v>10</v>
      </c>
      <c r="O1822" s="59" t="s">
        <v>3581</v>
      </c>
      <c r="P1822" s="58">
        <v>269</v>
      </c>
      <c r="Q1822" s="59">
        <v>0</v>
      </c>
      <c r="R1822" s="59">
        <v>0</v>
      </c>
      <c r="S1822" s="60">
        <f>tblJTL[[#This Row],[timeStamp]]/86400000+DATE(1970,1,1)+TIME(9,0,0)</f>
        <v>46296.421923738424</v>
      </c>
      <c r="T1822" s="57">
        <f>tblJTL[[#This Row],[timeStamp]]+tblJTL[[#This Row],[elapsed]]</f>
        <v>1790816854488</v>
      </c>
      <c r="U1822" s="61">
        <f>(tblJTL[[#This Row],[timeStamp]]-'17_分析サンプル'!$E$18)/1000</f>
        <v>454.03100000000001</v>
      </c>
      <c r="V1822" s="57">
        <f>INT(tblJTL[[#This Row],[経過秒]]/60)</f>
        <v>7</v>
      </c>
      <c r="W1822" s="57">
        <f>IF(OR(tblJTL[[#This Row],[success]]=FALSE,tblJTL[[#This Row],[success]]="false"),1,0)</f>
        <v>0</v>
      </c>
      <c r="X1822" s="57">
        <f>IF(AND(tblJTL[[#This Row],[経過秒]]&gt;='17_分析サンプル'!$E$11,tblJTL[[#This Row],[経過秒]]&lt;'17_分析サンプル'!$E$12),1,0)</f>
        <v>1</v>
      </c>
    </row>
    <row r="1823" spans="2:24" ht="14.4" x14ac:dyDescent="0.3">
      <c r="B1823" s="57">
        <v>1790816854714</v>
      </c>
      <c r="C1823" s="58">
        <v>177</v>
      </c>
      <c r="D1823" s="59" t="s">
        <v>1677</v>
      </c>
      <c r="E1823" s="59" t="s">
        <v>3579</v>
      </c>
      <c r="F1823" s="59" t="s">
        <v>3580</v>
      </c>
      <c r="G1823" s="59" t="s">
        <v>3589</v>
      </c>
      <c r="H1823" s="59" t="s">
        <v>2281</v>
      </c>
      <c r="I1823" s="59" t="b">
        <v>1</v>
      </c>
      <c r="J1823" s="59"/>
      <c r="K1823" s="58">
        <v>436</v>
      </c>
      <c r="L1823" s="58">
        <v>1478</v>
      </c>
      <c r="M1823" s="59">
        <v>10</v>
      </c>
      <c r="N1823" s="59">
        <v>10</v>
      </c>
      <c r="O1823" s="59" t="s">
        <v>3581</v>
      </c>
      <c r="P1823" s="58">
        <v>171</v>
      </c>
      <c r="Q1823" s="59">
        <v>0</v>
      </c>
      <c r="R1823" s="59">
        <v>0</v>
      </c>
      <c r="S1823" s="60">
        <f>tblJTL[[#This Row],[timeStamp]]/86400000+DATE(1970,1,1)+TIME(9,0,0)</f>
        <v>46296.421929560187</v>
      </c>
      <c r="T1823" s="57">
        <f>tblJTL[[#This Row],[timeStamp]]+tblJTL[[#This Row],[elapsed]]</f>
        <v>1790816854891</v>
      </c>
      <c r="U1823" s="61">
        <f>(tblJTL[[#This Row],[timeStamp]]-'17_分析サンプル'!$E$18)/1000</f>
        <v>454.53399999999999</v>
      </c>
      <c r="V1823" s="57">
        <f>INT(tblJTL[[#This Row],[経過秒]]/60)</f>
        <v>7</v>
      </c>
      <c r="W1823" s="57">
        <f>IF(OR(tblJTL[[#This Row],[success]]=FALSE,tblJTL[[#This Row],[success]]="false"),1,0)</f>
        <v>0</v>
      </c>
      <c r="X1823" s="57">
        <f>IF(AND(tblJTL[[#This Row],[経過秒]]&gt;='17_分析サンプル'!$E$11,tblJTL[[#This Row],[経過秒]]&lt;'17_分析サンプル'!$E$12),1,0)</f>
        <v>1</v>
      </c>
    </row>
    <row r="1824" spans="2:24" ht="14.4" x14ac:dyDescent="0.3">
      <c r="B1824" s="57">
        <v>1790816854767</v>
      </c>
      <c r="C1824" s="58">
        <v>141</v>
      </c>
      <c r="D1824" s="59" t="s">
        <v>1677</v>
      </c>
      <c r="E1824" s="59" t="s">
        <v>3579</v>
      </c>
      <c r="F1824" s="59" t="s">
        <v>3580</v>
      </c>
      <c r="G1824" s="59" t="s">
        <v>2278</v>
      </c>
      <c r="H1824" s="59" t="s">
        <v>2281</v>
      </c>
      <c r="I1824" s="59" t="b">
        <v>1</v>
      </c>
      <c r="J1824" s="59"/>
      <c r="K1824" s="58">
        <v>413</v>
      </c>
      <c r="L1824" s="58">
        <v>1478</v>
      </c>
      <c r="M1824" s="59">
        <v>10</v>
      </c>
      <c r="N1824" s="59">
        <v>10</v>
      </c>
      <c r="O1824" s="59" t="s">
        <v>3581</v>
      </c>
      <c r="P1824" s="58">
        <v>138</v>
      </c>
      <c r="Q1824" s="59">
        <v>0</v>
      </c>
      <c r="R1824" s="59">
        <v>0</v>
      </c>
      <c r="S1824" s="60">
        <f>tblJTL[[#This Row],[timeStamp]]/86400000+DATE(1970,1,1)+TIME(9,0,0)</f>
        <v>46296.421930173616</v>
      </c>
      <c r="T1824" s="57">
        <f>tblJTL[[#This Row],[timeStamp]]+tblJTL[[#This Row],[elapsed]]</f>
        <v>1790816854908</v>
      </c>
      <c r="U1824" s="61">
        <f>(tblJTL[[#This Row],[timeStamp]]-'17_分析サンプル'!$E$18)/1000</f>
        <v>454.58699999999999</v>
      </c>
      <c r="V1824" s="57">
        <f>INT(tblJTL[[#This Row],[経過秒]]/60)</f>
        <v>7</v>
      </c>
      <c r="W1824" s="57">
        <f>IF(OR(tblJTL[[#This Row],[success]]=FALSE,tblJTL[[#This Row],[success]]="false"),1,0)</f>
        <v>0</v>
      </c>
      <c r="X1824" s="57">
        <f>IF(AND(tblJTL[[#This Row],[経過秒]]&gt;='17_分析サンプル'!$E$11,tblJTL[[#This Row],[経過秒]]&lt;'17_分析サンプル'!$E$12),1,0)</f>
        <v>1</v>
      </c>
    </row>
    <row r="1825" spans="2:24" ht="14.4" x14ac:dyDescent="0.3">
      <c r="B1825" s="57">
        <v>1790816854899</v>
      </c>
      <c r="C1825" s="58">
        <v>105</v>
      </c>
      <c r="D1825" s="59" t="s">
        <v>1658</v>
      </c>
      <c r="E1825" s="59" t="s">
        <v>1577</v>
      </c>
      <c r="F1825" s="59" t="s">
        <v>2275</v>
      </c>
      <c r="G1825" s="59" t="s">
        <v>3577</v>
      </c>
      <c r="H1825" s="59" t="s">
        <v>2281</v>
      </c>
      <c r="I1825" s="59" t="b">
        <v>1</v>
      </c>
      <c r="J1825" s="59"/>
      <c r="K1825" s="58">
        <v>1827</v>
      </c>
      <c r="L1825" s="58">
        <v>1342</v>
      </c>
      <c r="M1825" s="59">
        <v>10</v>
      </c>
      <c r="N1825" s="59">
        <v>10</v>
      </c>
      <c r="O1825" s="59" t="s">
        <v>3578</v>
      </c>
      <c r="P1825" s="58">
        <v>98</v>
      </c>
      <c r="Q1825" s="59">
        <v>0</v>
      </c>
      <c r="R1825" s="59">
        <v>0</v>
      </c>
      <c r="S1825" s="60">
        <f>tblJTL[[#This Row],[timeStamp]]/86400000+DATE(1970,1,1)+TIME(9,0,0)</f>
        <v>46296.421931701392</v>
      </c>
      <c r="T1825" s="57">
        <f>tblJTL[[#This Row],[timeStamp]]+tblJTL[[#This Row],[elapsed]]</f>
        <v>1790816855004</v>
      </c>
      <c r="U1825" s="61">
        <f>(tblJTL[[#This Row],[timeStamp]]-'17_分析サンプル'!$E$18)/1000</f>
        <v>454.71899999999999</v>
      </c>
      <c r="V1825" s="57">
        <f>INT(tblJTL[[#This Row],[経過秒]]/60)</f>
        <v>7</v>
      </c>
      <c r="W1825" s="57">
        <f>IF(OR(tblJTL[[#This Row],[success]]=FALSE,tblJTL[[#This Row],[success]]="false"),1,0)</f>
        <v>0</v>
      </c>
      <c r="X1825" s="57">
        <f>IF(AND(tblJTL[[#This Row],[経過秒]]&gt;='17_分析サンプル'!$E$11,tblJTL[[#This Row],[経過秒]]&lt;'17_分析サンプル'!$E$12),1,0)</f>
        <v>1</v>
      </c>
    </row>
    <row r="1826" spans="2:24" ht="14.4" x14ac:dyDescent="0.3">
      <c r="B1826" s="57">
        <v>1790816854705</v>
      </c>
      <c r="C1826" s="58">
        <v>340</v>
      </c>
      <c r="D1826" s="59" t="s">
        <v>1677</v>
      </c>
      <c r="E1826" s="59" t="s">
        <v>3579</v>
      </c>
      <c r="F1826" s="59" t="s">
        <v>3580</v>
      </c>
      <c r="G1826" s="59" t="s">
        <v>3584</v>
      </c>
      <c r="H1826" s="59" t="s">
        <v>2281</v>
      </c>
      <c r="I1826" s="59" t="b">
        <v>1</v>
      </c>
      <c r="J1826" s="59"/>
      <c r="K1826" s="58">
        <v>427</v>
      </c>
      <c r="L1826" s="58">
        <v>1478</v>
      </c>
      <c r="M1826" s="59">
        <v>10</v>
      </c>
      <c r="N1826" s="59">
        <v>10</v>
      </c>
      <c r="O1826" s="59" t="s">
        <v>3581</v>
      </c>
      <c r="P1826" s="58">
        <v>335</v>
      </c>
      <c r="Q1826" s="59">
        <v>0</v>
      </c>
      <c r="R1826" s="59">
        <v>52</v>
      </c>
      <c r="S1826" s="60">
        <f>tblJTL[[#This Row],[timeStamp]]/86400000+DATE(1970,1,1)+TIME(9,0,0)</f>
        <v>46296.421929456017</v>
      </c>
      <c r="T1826" s="57">
        <f>tblJTL[[#This Row],[timeStamp]]+tblJTL[[#This Row],[elapsed]]</f>
        <v>1790816855045</v>
      </c>
      <c r="U1826" s="61">
        <f>(tblJTL[[#This Row],[timeStamp]]-'17_分析サンプル'!$E$18)/1000</f>
        <v>454.52499999999998</v>
      </c>
      <c r="V1826" s="57">
        <f>INT(tblJTL[[#This Row],[経過秒]]/60)</f>
        <v>7</v>
      </c>
      <c r="W1826" s="57">
        <f>IF(OR(tblJTL[[#This Row],[success]]=FALSE,tblJTL[[#This Row],[success]]="false"),1,0)</f>
        <v>0</v>
      </c>
      <c r="X1826" s="57">
        <f>IF(AND(tblJTL[[#This Row],[経過秒]]&gt;='17_分析サンプル'!$E$11,tblJTL[[#This Row],[経過秒]]&lt;'17_分析サンプル'!$E$12),1,0)</f>
        <v>1</v>
      </c>
    </row>
    <row r="1827" spans="2:24" ht="14.4" x14ac:dyDescent="0.3">
      <c r="B1827" s="57">
        <v>1790816855029</v>
      </c>
      <c r="C1827" s="58">
        <v>102</v>
      </c>
      <c r="D1827" s="59" t="s">
        <v>1658</v>
      </c>
      <c r="E1827" s="59" t="s">
        <v>1577</v>
      </c>
      <c r="F1827" s="59" t="s">
        <v>2275</v>
      </c>
      <c r="G1827" s="59" t="s">
        <v>3582</v>
      </c>
      <c r="H1827" s="59" t="s">
        <v>2281</v>
      </c>
      <c r="I1827" s="59" t="b">
        <v>1</v>
      </c>
      <c r="J1827" s="59"/>
      <c r="K1827" s="58">
        <v>1859</v>
      </c>
      <c r="L1827" s="58">
        <v>1342</v>
      </c>
      <c r="M1827" s="59">
        <v>10</v>
      </c>
      <c r="N1827" s="59">
        <v>10</v>
      </c>
      <c r="O1827" s="59" t="s">
        <v>3578</v>
      </c>
      <c r="P1827" s="58">
        <v>100</v>
      </c>
      <c r="Q1827" s="59">
        <v>0</v>
      </c>
      <c r="R1827" s="59">
        <v>0</v>
      </c>
      <c r="S1827" s="60">
        <f>tblJTL[[#This Row],[timeStamp]]/86400000+DATE(1970,1,1)+TIME(9,0,0)</f>
        <v>46296.421933206017</v>
      </c>
      <c r="T1827" s="57">
        <f>tblJTL[[#This Row],[timeStamp]]+tblJTL[[#This Row],[elapsed]]</f>
        <v>1790816855131</v>
      </c>
      <c r="U1827" s="61">
        <f>(tblJTL[[#This Row],[timeStamp]]-'17_分析サンプル'!$E$18)/1000</f>
        <v>454.84899999999999</v>
      </c>
      <c r="V1827" s="57">
        <f>INT(tblJTL[[#This Row],[経過秒]]/60)</f>
        <v>7</v>
      </c>
      <c r="W1827" s="57">
        <f>IF(OR(tblJTL[[#This Row],[success]]=FALSE,tblJTL[[#This Row],[success]]="false"),1,0)</f>
        <v>0</v>
      </c>
      <c r="X1827" s="57">
        <f>IF(AND(tblJTL[[#This Row],[経過秒]]&gt;='17_分析サンプル'!$E$11,tblJTL[[#This Row],[経過秒]]&lt;'17_分析サンプル'!$E$12),1,0)</f>
        <v>1</v>
      </c>
    </row>
    <row r="1828" spans="2:24" ht="14.4" x14ac:dyDescent="0.3">
      <c r="B1828" s="57">
        <v>1790816855411</v>
      </c>
      <c r="C1828" s="58">
        <v>83</v>
      </c>
      <c r="D1828" s="59" t="s">
        <v>1658</v>
      </c>
      <c r="E1828" s="59" t="s">
        <v>1577</v>
      </c>
      <c r="F1828" s="59" t="s">
        <v>2275</v>
      </c>
      <c r="G1828" s="59" t="s">
        <v>3588</v>
      </c>
      <c r="H1828" s="59" t="s">
        <v>2281</v>
      </c>
      <c r="I1828" s="59" t="b">
        <v>1</v>
      </c>
      <c r="J1828" s="59"/>
      <c r="K1828" s="58">
        <v>1848</v>
      </c>
      <c r="L1828" s="58">
        <v>1342</v>
      </c>
      <c r="M1828" s="59">
        <v>10</v>
      </c>
      <c r="N1828" s="59">
        <v>10</v>
      </c>
      <c r="O1828" s="59" t="s">
        <v>3578</v>
      </c>
      <c r="P1828" s="58">
        <v>80</v>
      </c>
      <c r="Q1828" s="59">
        <v>0</v>
      </c>
      <c r="R1828" s="59">
        <v>0</v>
      </c>
      <c r="S1828" s="60">
        <f>tblJTL[[#This Row],[timeStamp]]/86400000+DATE(1970,1,1)+TIME(9,0,0)</f>
        <v>46296.42193762731</v>
      </c>
      <c r="T1828" s="57">
        <f>tblJTL[[#This Row],[timeStamp]]+tblJTL[[#This Row],[elapsed]]</f>
        <v>1790816855494</v>
      </c>
      <c r="U1828" s="61">
        <f>(tblJTL[[#This Row],[timeStamp]]-'17_分析サンプル'!$E$18)/1000</f>
        <v>455.23099999999999</v>
      </c>
      <c r="V1828" s="57">
        <f>INT(tblJTL[[#This Row],[経過秒]]/60)</f>
        <v>7</v>
      </c>
      <c r="W1828" s="57">
        <f>IF(OR(tblJTL[[#This Row],[success]]=FALSE,tblJTL[[#This Row],[success]]="false"),1,0)</f>
        <v>0</v>
      </c>
      <c r="X1828" s="57">
        <f>IF(AND(tblJTL[[#This Row],[経過秒]]&gt;='17_分析サンプル'!$E$11,tblJTL[[#This Row],[経過秒]]&lt;'17_分析サンプル'!$E$12),1,0)</f>
        <v>1</v>
      </c>
    </row>
    <row r="1829" spans="2:24" ht="14.4" x14ac:dyDescent="0.3">
      <c r="B1829" s="57">
        <v>1790816855387</v>
      </c>
      <c r="C1829" s="58">
        <v>202</v>
      </c>
      <c r="D1829" s="59" t="s">
        <v>1677</v>
      </c>
      <c r="E1829" s="59" t="s">
        <v>3579</v>
      </c>
      <c r="F1829" s="59" t="s">
        <v>3580</v>
      </c>
      <c r="G1829" s="59" t="s">
        <v>3586</v>
      </c>
      <c r="H1829" s="59" t="s">
        <v>2281</v>
      </c>
      <c r="I1829" s="59" t="b">
        <v>1</v>
      </c>
      <c r="J1829" s="59"/>
      <c r="K1829" s="58">
        <v>414</v>
      </c>
      <c r="L1829" s="58">
        <v>1478</v>
      </c>
      <c r="M1829" s="59">
        <v>10</v>
      </c>
      <c r="N1829" s="59">
        <v>10</v>
      </c>
      <c r="O1829" s="59" t="s">
        <v>3581</v>
      </c>
      <c r="P1829" s="58">
        <v>196</v>
      </c>
      <c r="Q1829" s="59">
        <v>0</v>
      </c>
      <c r="R1829" s="59">
        <v>0</v>
      </c>
      <c r="S1829" s="60">
        <f>tblJTL[[#This Row],[timeStamp]]/86400000+DATE(1970,1,1)+TIME(9,0,0)</f>
        <v>46296.421937349536</v>
      </c>
      <c r="T1829" s="57">
        <f>tblJTL[[#This Row],[timeStamp]]+tblJTL[[#This Row],[elapsed]]</f>
        <v>1790816855589</v>
      </c>
      <c r="U1829" s="61">
        <f>(tblJTL[[#This Row],[timeStamp]]-'17_分析サンプル'!$E$18)/1000</f>
        <v>455.20699999999999</v>
      </c>
      <c r="V1829" s="57">
        <f>INT(tblJTL[[#This Row],[経過秒]]/60)</f>
        <v>7</v>
      </c>
      <c r="W1829" s="57">
        <f>IF(OR(tblJTL[[#This Row],[success]]=FALSE,tblJTL[[#This Row],[success]]="false"),1,0)</f>
        <v>0</v>
      </c>
      <c r="X1829" s="57">
        <f>IF(AND(tblJTL[[#This Row],[経過秒]]&gt;='17_分析サンプル'!$E$11,tblJTL[[#This Row],[経過秒]]&lt;'17_分析サンプル'!$E$12),1,0)</f>
        <v>1</v>
      </c>
    </row>
    <row r="1830" spans="2:24" ht="14.4" x14ac:dyDescent="0.3">
      <c r="B1830" s="57">
        <v>1790816855567</v>
      </c>
      <c r="C1830" s="58">
        <v>178</v>
      </c>
      <c r="D1830" s="59" t="s">
        <v>1658</v>
      </c>
      <c r="E1830" s="59" t="s">
        <v>1577</v>
      </c>
      <c r="F1830" s="59" t="s">
        <v>2275</v>
      </c>
      <c r="G1830" s="59" t="s">
        <v>3587</v>
      </c>
      <c r="H1830" s="59" t="s">
        <v>2281</v>
      </c>
      <c r="I1830" s="59" t="b">
        <v>1</v>
      </c>
      <c r="J1830" s="59"/>
      <c r="K1830" s="58">
        <v>1836</v>
      </c>
      <c r="L1830" s="58">
        <v>1342</v>
      </c>
      <c r="M1830" s="59">
        <v>10</v>
      </c>
      <c r="N1830" s="59">
        <v>10</v>
      </c>
      <c r="O1830" s="59" t="s">
        <v>3578</v>
      </c>
      <c r="P1830" s="58">
        <v>175</v>
      </c>
      <c r="Q1830" s="59">
        <v>0</v>
      </c>
      <c r="R1830" s="59">
        <v>0</v>
      </c>
      <c r="S1830" s="60">
        <f>tblJTL[[#This Row],[timeStamp]]/86400000+DATE(1970,1,1)+TIME(9,0,0)</f>
        <v>46296.421939432868</v>
      </c>
      <c r="T1830" s="57">
        <f>tblJTL[[#This Row],[timeStamp]]+tblJTL[[#This Row],[elapsed]]</f>
        <v>1790816855745</v>
      </c>
      <c r="U1830" s="61">
        <f>(tblJTL[[#This Row],[timeStamp]]-'17_分析サンプル'!$E$18)/1000</f>
        <v>455.387</v>
      </c>
      <c r="V1830" s="57">
        <f>INT(tblJTL[[#This Row],[経過秒]]/60)</f>
        <v>7</v>
      </c>
      <c r="W1830" s="57">
        <f>IF(OR(tblJTL[[#This Row],[success]]=FALSE,tblJTL[[#This Row],[success]]="false"),1,0)</f>
        <v>0</v>
      </c>
      <c r="X1830" s="57">
        <f>IF(AND(tblJTL[[#This Row],[経過秒]]&gt;='17_分析サンプル'!$E$11,tblJTL[[#This Row],[経過秒]]&lt;'17_分析サンプル'!$E$12),1,0)</f>
        <v>1</v>
      </c>
    </row>
    <row r="1831" spans="2:24" ht="14.4" x14ac:dyDescent="0.3">
      <c r="B1831" s="57">
        <v>1790816855791</v>
      </c>
      <c r="C1831" s="58">
        <v>92</v>
      </c>
      <c r="D1831" s="59" t="s">
        <v>1658</v>
      </c>
      <c r="E1831" s="59" t="s">
        <v>1577</v>
      </c>
      <c r="F1831" s="59" t="s">
        <v>2275</v>
      </c>
      <c r="G1831" s="59" t="s">
        <v>3585</v>
      </c>
      <c r="H1831" s="59" t="s">
        <v>2281</v>
      </c>
      <c r="I1831" s="59" t="b">
        <v>1</v>
      </c>
      <c r="J1831" s="59"/>
      <c r="K1831" s="58">
        <v>1882</v>
      </c>
      <c r="L1831" s="58">
        <v>1342</v>
      </c>
      <c r="M1831" s="59">
        <v>10</v>
      </c>
      <c r="N1831" s="59">
        <v>10</v>
      </c>
      <c r="O1831" s="59" t="s">
        <v>3578</v>
      </c>
      <c r="P1831" s="58">
        <v>86</v>
      </c>
      <c r="Q1831" s="59">
        <v>0</v>
      </c>
      <c r="R1831" s="59">
        <v>0</v>
      </c>
      <c r="S1831" s="60">
        <f>tblJTL[[#This Row],[timeStamp]]/86400000+DATE(1970,1,1)+TIME(9,0,0)</f>
        <v>46296.421942025467</v>
      </c>
      <c r="T1831" s="57">
        <f>tblJTL[[#This Row],[timeStamp]]+tblJTL[[#This Row],[elapsed]]</f>
        <v>1790816855883</v>
      </c>
      <c r="U1831" s="61">
        <f>(tblJTL[[#This Row],[timeStamp]]-'17_分析サンプル'!$E$18)/1000</f>
        <v>455.61099999999999</v>
      </c>
      <c r="V1831" s="57">
        <f>INT(tblJTL[[#This Row],[経過秒]]/60)</f>
        <v>7</v>
      </c>
      <c r="W1831" s="57">
        <f>IF(OR(tblJTL[[#This Row],[success]]=FALSE,tblJTL[[#This Row],[success]]="false"),1,0)</f>
        <v>0</v>
      </c>
      <c r="X1831" s="57">
        <f>IF(AND(tblJTL[[#This Row],[経過秒]]&gt;='17_分析サンプル'!$E$11,tblJTL[[#This Row],[経過秒]]&lt;'17_分析サンプル'!$E$12),1,0)</f>
        <v>1</v>
      </c>
    </row>
    <row r="1832" spans="2:24" ht="14.4" x14ac:dyDescent="0.3">
      <c r="B1832" s="57">
        <v>1790816856067</v>
      </c>
      <c r="C1832" s="58">
        <v>118</v>
      </c>
      <c r="D1832" s="59" t="s">
        <v>1658</v>
      </c>
      <c r="E1832" s="59" t="s">
        <v>1577</v>
      </c>
      <c r="F1832" s="59" t="s">
        <v>2275</v>
      </c>
      <c r="G1832" s="59" t="s">
        <v>3583</v>
      </c>
      <c r="H1832" s="59" t="s">
        <v>2281</v>
      </c>
      <c r="I1832" s="59" t="b">
        <v>1</v>
      </c>
      <c r="J1832" s="59"/>
      <c r="K1832" s="58">
        <v>1885</v>
      </c>
      <c r="L1832" s="58">
        <v>1342</v>
      </c>
      <c r="M1832" s="59">
        <v>10</v>
      </c>
      <c r="N1832" s="59">
        <v>10</v>
      </c>
      <c r="O1832" s="59" t="s">
        <v>3578</v>
      </c>
      <c r="P1832" s="58">
        <v>112</v>
      </c>
      <c r="Q1832" s="59">
        <v>0</v>
      </c>
      <c r="R1832" s="59">
        <v>0</v>
      </c>
      <c r="S1832" s="60">
        <f>tblJTL[[#This Row],[timeStamp]]/86400000+DATE(1970,1,1)+TIME(9,0,0)</f>
        <v>46296.421945219903</v>
      </c>
      <c r="T1832" s="57">
        <f>tblJTL[[#This Row],[timeStamp]]+tblJTL[[#This Row],[elapsed]]</f>
        <v>1790816856185</v>
      </c>
      <c r="U1832" s="61">
        <f>(tblJTL[[#This Row],[timeStamp]]-'17_分析サンプル'!$E$18)/1000</f>
        <v>455.887</v>
      </c>
      <c r="V1832" s="57">
        <f>INT(tblJTL[[#This Row],[経過秒]]/60)</f>
        <v>7</v>
      </c>
      <c r="W1832" s="57">
        <f>IF(OR(tblJTL[[#This Row],[success]]=FALSE,tblJTL[[#This Row],[success]]="false"),1,0)</f>
        <v>0</v>
      </c>
      <c r="X1832" s="57">
        <f>IF(AND(tblJTL[[#This Row],[経過秒]]&gt;='17_分析サンプル'!$E$11,tblJTL[[#This Row],[経過秒]]&lt;'17_分析サンプル'!$E$12),1,0)</f>
        <v>1</v>
      </c>
    </row>
    <row r="1833" spans="2:24" ht="14.4" x14ac:dyDescent="0.3">
      <c r="B1833" s="57">
        <v>1790816856208</v>
      </c>
      <c r="C1833" s="58">
        <v>90</v>
      </c>
      <c r="D1833" s="59" t="s">
        <v>1658</v>
      </c>
      <c r="E1833" s="59" t="s">
        <v>1577</v>
      </c>
      <c r="F1833" s="59" t="s">
        <v>2275</v>
      </c>
      <c r="G1833" s="59" t="s">
        <v>3584</v>
      </c>
      <c r="H1833" s="59" t="s">
        <v>2281</v>
      </c>
      <c r="I1833" s="59" t="b">
        <v>1</v>
      </c>
      <c r="J1833" s="59"/>
      <c r="K1833" s="58">
        <v>1871</v>
      </c>
      <c r="L1833" s="58">
        <v>1342</v>
      </c>
      <c r="M1833" s="59">
        <v>10</v>
      </c>
      <c r="N1833" s="59">
        <v>10</v>
      </c>
      <c r="O1833" s="59" t="s">
        <v>3578</v>
      </c>
      <c r="P1833" s="58">
        <v>88</v>
      </c>
      <c r="Q1833" s="59">
        <v>0</v>
      </c>
      <c r="R1833" s="59">
        <v>0</v>
      </c>
      <c r="S1833" s="60">
        <f>tblJTL[[#This Row],[timeStamp]]/86400000+DATE(1970,1,1)+TIME(9,0,0)</f>
        <v>46296.421946851857</v>
      </c>
      <c r="T1833" s="57">
        <f>tblJTL[[#This Row],[timeStamp]]+tblJTL[[#This Row],[elapsed]]</f>
        <v>1790816856298</v>
      </c>
      <c r="U1833" s="61">
        <f>(tblJTL[[#This Row],[timeStamp]]-'17_分析サンプル'!$E$18)/1000</f>
        <v>456.02800000000002</v>
      </c>
      <c r="V1833" s="57">
        <f>INT(tblJTL[[#This Row],[経過秒]]/60)</f>
        <v>7</v>
      </c>
      <c r="W1833" s="57">
        <f>IF(OR(tblJTL[[#This Row],[success]]=FALSE,tblJTL[[#This Row],[success]]="false"),1,0)</f>
        <v>0</v>
      </c>
      <c r="X1833" s="57">
        <f>IF(AND(tblJTL[[#This Row],[経過秒]]&gt;='17_分析サンプル'!$E$11,tblJTL[[#This Row],[経過秒]]&lt;'17_分析サンプル'!$E$12),1,0)</f>
        <v>1</v>
      </c>
    </row>
    <row r="1834" spans="2:24" ht="14.4" x14ac:dyDescent="0.3">
      <c r="B1834" s="57">
        <v>1790816857084</v>
      </c>
      <c r="C1834" s="58">
        <v>80</v>
      </c>
      <c r="D1834" s="59" t="s">
        <v>1658</v>
      </c>
      <c r="E1834" s="59" t="s">
        <v>1577</v>
      </c>
      <c r="F1834" s="59" t="s">
        <v>2275</v>
      </c>
      <c r="G1834" s="59" t="s">
        <v>2278</v>
      </c>
      <c r="H1834" s="59" t="s">
        <v>2281</v>
      </c>
      <c r="I1834" s="59" t="b">
        <v>1</v>
      </c>
      <c r="J1834" s="59"/>
      <c r="K1834" s="58">
        <v>1856</v>
      </c>
      <c r="L1834" s="58">
        <v>1342</v>
      </c>
      <c r="M1834" s="59">
        <v>10</v>
      </c>
      <c r="N1834" s="59">
        <v>10</v>
      </c>
      <c r="O1834" s="59" t="s">
        <v>3578</v>
      </c>
      <c r="P1834" s="58">
        <v>76</v>
      </c>
      <c r="Q1834" s="59">
        <v>0</v>
      </c>
      <c r="R1834" s="59">
        <v>0</v>
      </c>
      <c r="S1834" s="60">
        <f>tblJTL[[#This Row],[timeStamp]]/86400000+DATE(1970,1,1)+TIME(9,0,0)</f>
        <v>46296.421956990744</v>
      </c>
      <c r="T1834" s="57">
        <f>tblJTL[[#This Row],[timeStamp]]+tblJTL[[#This Row],[elapsed]]</f>
        <v>1790816857164</v>
      </c>
      <c r="U1834" s="61">
        <f>(tblJTL[[#This Row],[timeStamp]]-'17_分析サンプル'!$E$18)/1000</f>
        <v>456.904</v>
      </c>
      <c r="V1834" s="57">
        <f>INT(tblJTL[[#This Row],[経過秒]]/60)</f>
        <v>7</v>
      </c>
      <c r="W1834" s="57">
        <f>IF(OR(tblJTL[[#This Row],[success]]=FALSE,tblJTL[[#This Row],[success]]="false"),1,0)</f>
        <v>0</v>
      </c>
      <c r="X1834" s="57">
        <f>IF(AND(tblJTL[[#This Row],[経過秒]]&gt;='17_分析サンプル'!$E$11,tblJTL[[#This Row],[経過秒]]&lt;'17_分析サンプル'!$E$12),1,0)</f>
        <v>1</v>
      </c>
    </row>
    <row r="1835" spans="2:24" ht="14.4" x14ac:dyDescent="0.3">
      <c r="B1835" s="57">
        <v>1790816856911</v>
      </c>
      <c r="C1835" s="58">
        <v>353</v>
      </c>
      <c r="D1835" s="59" t="s">
        <v>1677</v>
      </c>
      <c r="E1835" s="59" t="s">
        <v>3579</v>
      </c>
      <c r="F1835" s="59" t="s">
        <v>3580</v>
      </c>
      <c r="G1835" s="59" t="s">
        <v>3587</v>
      </c>
      <c r="H1835" s="59" t="s">
        <v>2281</v>
      </c>
      <c r="I1835" s="59" t="b">
        <v>1</v>
      </c>
      <c r="J1835" s="59"/>
      <c r="K1835" s="58">
        <v>410</v>
      </c>
      <c r="L1835" s="58">
        <v>1478</v>
      </c>
      <c r="M1835" s="59">
        <v>10</v>
      </c>
      <c r="N1835" s="59">
        <v>10</v>
      </c>
      <c r="O1835" s="59" t="s">
        <v>3581</v>
      </c>
      <c r="P1835" s="58">
        <v>351</v>
      </c>
      <c r="Q1835" s="59">
        <v>0</v>
      </c>
      <c r="R1835" s="59">
        <v>0</v>
      </c>
      <c r="S1835" s="60">
        <f>tblJTL[[#This Row],[timeStamp]]/86400000+DATE(1970,1,1)+TIME(9,0,0)</f>
        <v>46296.421954988429</v>
      </c>
      <c r="T1835" s="57">
        <f>tblJTL[[#This Row],[timeStamp]]+tblJTL[[#This Row],[elapsed]]</f>
        <v>1790816857264</v>
      </c>
      <c r="U1835" s="61">
        <f>(tblJTL[[#This Row],[timeStamp]]-'17_分析サンプル'!$E$18)/1000</f>
        <v>456.73099999999999</v>
      </c>
      <c r="V1835" s="57">
        <f>INT(tblJTL[[#This Row],[経過秒]]/60)</f>
        <v>7</v>
      </c>
      <c r="W1835" s="57">
        <f>IF(OR(tblJTL[[#This Row],[success]]=FALSE,tblJTL[[#This Row],[success]]="false"),1,0)</f>
        <v>0</v>
      </c>
      <c r="X1835" s="57">
        <f>IF(AND(tblJTL[[#This Row],[経過秒]]&gt;='17_分析サンプル'!$E$11,tblJTL[[#This Row],[経過秒]]&lt;'17_分析サンプル'!$E$12),1,0)</f>
        <v>1</v>
      </c>
    </row>
    <row r="1836" spans="2:24" ht="14.4" x14ac:dyDescent="0.3">
      <c r="B1836" s="57">
        <v>1790816857242</v>
      </c>
      <c r="C1836" s="58">
        <v>67</v>
      </c>
      <c r="D1836" s="59" t="s">
        <v>1658</v>
      </c>
      <c r="E1836" s="59" t="s">
        <v>1577</v>
      </c>
      <c r="F1836" s="59" t="s">
        <v>2275</v>
      </c>
      <c r="G1836" s="59" t="s">
        <v>3586</v>
      </c>
      <c r="H1836" s="59" t="s">
        <v>2281</v>
      </c>
      <c r="I1836" s="59" t="b">
        <v>1</v>
      </c>
      <c r="J1836" s="59"/>
      <c r="K1836" s="58">
        <v>1898</v>
      </c>
      <c r="L1836" s="58">
        <v>1342</v>
      </c>
      <c r="M1836" s="59">
        <v>10</v>
      </c>
      <c r="N1836" s="59">
        <v>10</v>
      </c>
      <c r="O1836" s="59" t="s">
        <v>3578</v>
      </c>
      <c r="P1836" s="58">
        <v>61</v>
      </c>
      <c r="Q1836" s="59">
        <v>0</v>
      </c>
      <c r="R1836" s="59">
        <v>0</v>
      </c>
      <c r="S1836" s="60">
        <f>tblJTL[[#This Row],[timeStamp]]/86400000+DATE(1970,1,1)+TIME(9,0,0)</f>
        <v>46296.421958819439</v>
      </c>
      <c r="T1836" s="57">
        <f>tblJTL[[#This Row],[timeStamp]]+tblJTL[[#This Row],[elapsed]]</f>
        <v>1790816857309</v>
      </c>
      <c r="U1836" s="61">
        <f>(tblJTL[[#This Row],[timeStamp]]-'17_分析サンプル'!$E$18)/1000</f>
        <v>457.06200000000001</v>
      </c>
      <c r="V1836" s="57">
        <f>INT(tblJTL[[#This Row],[経過秒]]/60)</f>
        <v>7</v>
      </c>
      <c r="W1836" s="57">
        <f>IF(OR(tblJTL[[#This Row],[success]]=FALSE,tblJTL[[#This Row],[success]]="false"),1,0)</f>
        <v>0</v>
      </c>
      <c r="X1836" s="57">
        <f>IF(AND(tblJTL[[#This Row],[経過秒]]&gt;='17_分析サンプル'!$E$11,tblJTL[[#This Row],[経過秒]]&lt;'17_分析サンプル'!$E$12),1,0)</f>
        <v>1</v>
      </c>
    </row>
    <row r="1837" spans="2:24" ht="14.4" x14ac:dyDescent="0.3">
      <c r="B1837" s="57">
        <v>1790816857243</v>
      </c>
      <c r="C1837" s="58">
        <v>250</v>
      </c>
      <c r="D1837" s="59" t="s">
        <v>1677</v>
      </c>
      <c r="E1837" s="59" t="s">
        <v>3579</v>
      </c>
      <c r="F1837" s="59" t="s">
        <v>3580</v>
      </c>
      <c r="G1837" s="59" t="s">
        <v>3583</v>
      </c>
      <c r="H1837" s="59" t="s">
        <v>2281</v>
      </c>
      <c r="I1837" s="59" t="b">
        <v>1</v>
      </c>
      <c r="J1837" s="59"/>
      <c r="K1837" s="58">
        <v>431</v>
      </c>
      <c r="L1837" s="58">
        <v>1478</v>
      </c>
      <c r="M1837" s="59">
        <v>10</v>
      </c>
      <c r="N1837" s="59">
        <v>10</v>
      </c>
      <c r="O1837" s="59" t="s">
        <v>3581</v>
      </c>
      <c r="P1837" s="58">
        <v>243</v>
      </c>
      <c r="Q1837" s="59">
        <v>0</v>
      </c>
      <c r="R1837" s="59">
        <v>0</v>
      </c>
      <c r="S1837" s="60">
        <f>tblJTL[[#This Row],[timeStamp]]/86400000+DATE(1970,1,1)+TIME(9,0,0)</f>
        <v>46296.421958831022</v>
      </c>
      <c r="T1837" s="57">
        <f>tblJTL[[#This Row],[timeStamp]]+tblJTL[[#This Row],[elapsed]]</f>
        <v>1790816857493</v>
      </c>
      <c r="U1837" s="61">
        <f>(tblJTL[[#This Row],[timeStamp]]-'17_分析サンプル'!$E$18)/1000</f>
        <v>457.06299999999999</v>
      </c>
      <c r="V1837" s="57">
        <f>INT(tblJTL[[#This Row],[経過秒]]/60)</f>
        <v>7</v>
      </c>
      <c r="W1837" s="57">
        <f>IF(OR(tblJTL[[#This Row],[success]]=FALSE,tblJTL[[#This Row],[success]]="false"),1,0)</f>
        <v>0</v>
      </c>
      <c r="X1837" s="57">
        <f>IF(AND(tblJTL[[#This Row],[経過秒]]&gt;='17_分析サンプル'!$E$11,tblJTL[[#This Row],[経過秒]]&lt;'17_分析サンプル'!$E$12),1,0)</f>
        <v>1</v>
      </c>
    </row>
    <row r="1838" spans="2:24" ht="14.4" x14ac:dyDescent="0.3">
      <c r="B1838" s="57">
        <v>1790816857718</v>
      </c>
      <c r="C1838" s="58">
        <v>129</v>
      </c>
      <c r="D1838" s="59" t="s">
        <v>1658</v>
      </c>
      <c r="E1838" s="59" t="s">
        <v>1577</v>
      </c>
      <c r="F1838" s="59" t="s">
        <v>2275</v>
      </c>
      <c r="G1838" s="59" t="s">
        <v>3589</v>
      </c>
      <c r="H1838" s="59" t="s">
        <v>2281</v>
      </c>
      <c r="I1838" s="59" t="b">
        <v>1</v>
      </c>
      <c r="J1838" s="59"/>
      <c r="K1838" s="58">
        <v>1836</v>
      </c>
      <c r="L1838" s="58">
        <v>1342</v>
      </c>
      <c r="M1838" s="59">
        <v>10</v>
      </c>
      <c r="N1838" s="59">
        <v>10</v>
      </c>
      <c r="O1838" s="59" t="s">
        <v>3578</v>
      </c>
      <c r="P1838" s="58">
        <v>126</v>
      </c>
      <c r="Q1838" s="59">
        <v>0</v>
      </c>
      <c r="R1838" s="59">
        <v>0</v>
      </c>
      <c r="S1838" s="60">
        <f>tblJTL[[#This Row],[timeStamp]]/86400000+DATE(1970,1,1)+TIME(9,0,0)</f>
        <v>46296.421964328707</v>
      </c>
      <c r="T1838" s="57">
        <f>tblJTL[[#This Row],[timeStamp]]+tblJTL[[#This Row],[elapsed]]</f>
        <v>1790816857847</v>
      </c>
      <c r="U1838" s="61">
        <f>(tblJTL[[#This Row],[timeStamp]]-'17_分析サンプル'!$E$18)/1000</f>
        <v>457.53800000000001</v>
      </c>
      <c r="V1838" s="57">
        <f>INT(tblJTL[[#This Row],[経過秒]]/60)</f>
        <v>7</v>
      </c>
      <c r="W1838" s="57">
        <f>IF(OR(tblJTL[[#This Row],[success]]=FALSE,tblJTL[[#This Row],[success]]="false"),1,0)</f>
        <v>0</v>
      </c>
      <c r="X1838" s="57">
        <f>IF(AND(tblJTL[[#This Row],[経過秒]]&gt;='17_分析サンプル'!$E$11,tblJTL[[#This Row],[経過秒]]&lt;'17_分析サンプル'!$E$12),1,0)</f>
        <v>1</v>
      </c>
    </row>
    <row r="1839" spans="2:24" ht="14.4" x14ac:dyDescent="0.3">
      <c r="B1839" s="57">
        <v>1790816857804</v>
      </c>
      <c r="C1839" s="58">
        <v>188</v>
      </c>
      <c r="D1839" s="59" t="s">
        <v>1677</v>
      </c>
      <c r="E1839" s="59" t="s">
        <v>3579</v>
      </c>
      <c r="F1839" s="59" t="s">
        <v>3580</v>
      </c>
      <c r="G1839" s="59" t="s">
        <v>3577</v>
      </c>
      <c r="H1839" s="59" t="s">
        <v>2281</v>
      </c>
      <c r="I1839" s="59" t="b">
        <v>1</v>
      </c>
      <c r="J1839" s="59"/>
      <c r="K1839" s="58">
        <v>436</v>
      </c>
      <c r="L1839" s="58">
        <v>1478</v>
      </c>
      <c r="M1839" s="59">
        <v>10</v>
      </c>
      <c r="N1839" s="59">
        <v>10</v>
      </c>
      <c r="O1839" s="59" t="s">
        <v>3581</v>
      </c>
      <c r="P1839" s="58">
        <v>185</v>
      </c>
      <c r="Q1839" s="59">
        <v>0</v>
      </c>
      <c r="R1839" s="59">
        <v>0</v>
      </c>
      <c r="S1839" s="60">
        <f>tblJTL[[#This Row],[timeStamp]]/86400000+DATE(1970,1,1)+TIME(9,0,0)</f>
        <v>46296.421965324073</v>
      </c>
      <c r="T1839" s="57">
        <f>tblJTL[[#This Row],[timeStamp]]+tblJTL[[#This Row],[elapsed]]</f>
        <v>1790816857992</v>
      </c>
      <c r="U1839" s="61">
        <f>(tblJTL[[#This Row],[timeStamp]]-'17_分析サンプル'!$E$18)/1000</f>
        <v>457.62400000000002</v>
      </c>
      <c r="V1839" s="57">
        <f>INT(tblJTL[[#This Row],[経過秒]]/60)</f>
        <v>7</v>
      </c>
      <c r="W1839" s="57">
        <f>IF(OR(tblJTL[[#This Row],[success]]=FALSE,tblJTL[[#This Row],[success]]="false"),1,0)</f>
        <v>0</v>
      </c>
      <c r="X1839" s="57">
        <f>IF(AND(tblJTL[[#This Row],[経過秒]]&gt;='17_分析サンプル'!$E$11,tblJTL[[#This Row],[経過秒]]&lt;'17_分析サンプル'!$E$12),1,0)</f>
        <v>1</v>
      </c>
    </row>
    <row r="1840" spans="2:24" ht="14.4" x14ac:dyDescent="0.3">
      <c r="B1840" s="57">
        <v>1790816857799</v>
      </c>
      <c r="C1840" s="58">
        <v>233</v>
      </c>
      <c r="D1840" s="59" t="s">
        <v>1677</v>
      </c>
      <c r="E1840" s="59" t="s">
        <v>3579</v>
      </c>
      <c r="F1840" s="59" t="s">
        <v>3580</v>
      </c>
      <c r="G1840" s="59" t="s">
        <v>3582</v>
      </c>
      <c r="H1840" s="59" t="s">
        <v>2281</v>
      </c>
      <c r="I1840" s="59" t="b">
        <v>1</v>
      </c>
      <c r="J1840" s="59"/>
      <c r="K1840" s="58">
        <v>423</v>
      </c>
      <c r="L1840" s="58">
        <v>1478</v>
      </c>
      <c r="M1840" s="59">
        <v>10</v>
      </c>
      <c r="N1840" s="59">
        <v>10</v>
      </c>
      <c r="O1840" s="59" t="s">
        <v>3581</v>
      </c>
      <c r="P1840" s="58">
        <v>231</v>
      </c>
      <c r="Q1840" s="59">
        <v>0</v>
      </c>
      <c r="R1840" s="59">
        <v>0</v>
      </c>
      <c r="S1840" s="60">
        <f>tblJTL[[#This Row],[timeStamp]]/86400000+DATE(1970,1,1)+TIME(9,0,0)</f>
        <v>46296.4219652662</v>
      </c>
      <c r="T1840" s="57">
        <f>tblJTL[[#This Row],[timeStamp]]+tblJTL[[#This Row],[elapsed]]</f>
        <v>1790816858032</v>
      </c>
      <c r="U1840" s="61">
        <f>(tblJTL[[#This Row],[timeStamp]]-'17_分析サンプル'!$E$18)/1000</f>
        <v>457.61900000000003</v>
      </c>
      <c r="V1840" s="57">
        <f>INT(tblJTL[[#This Row],[経過秒]]/60)</f>
        <v>7</v>
      </c>
      <c r="W1840" s="57">
        <f>IF(OR(tblJTL[[#This Row],[success]]=FALSE,tblJTL[[#This Row],[success]]="false"),1,0)</f>
        <v>0</v>
      </c>
      <c r="X1840" s="57">
        <f>IF(AND(tblJTL[[#This Row],[経過秒]]&gt;='17_分析サンプル'!$E$11,tblJTL[[#This Row],[経過秒]]&lt;'17_分析サンプル'!$E$12),1,0)</f>
        <v>1</v>
      </c>
    </row>
    <row r="1841" spans="2:24" ht="14.4" x14ac:dyDescent="0.3">
      <c r="B1841" s="57">
        <v>1790816858195</v>
      </c>
      <c r="C1841" s="58">
        <v>188</v>
      </c>
      <c r="D1841" s="59" t="s">
        <v>1677</v>
      </c>
      <c r="E1841" s="59" t="s">
        <v>3579</v>
      </c>
      <c r="F1841" s="59" t="s">
        <v>3580</v>
      </c>
      <c r="G1841" s="59" t="s">
        <v>3588</v>
      </c>
      <c r="H1841" s="59" t="s">
        <v>2281</v>
      </c>
      <c r="I1841" s="59" t="b">
        <v>1</v>
      </c>
      <c r="J1841" s="59"/>
      <c r="K1841" s="58">
        <v>440</v>
      </c>
      <c r="L1841" s="58">
        <v>1478</v>
      </c>
      <c r="M1841" s="59">
        <v>10</v>
      </c>
      <c r="N1841" s="59">
        <v>10</v>
      </c>
      <c r="O1841" s="59" t="s">
        <v>3581</v>
      </c>
      <c r="P1841" s="58">
        <v>181</v>
      </c>
      <c r="Q1841" s="59">
        <v>0</v>
      </c>
      <c r="R1841" s="59">
        <v>0</v>
      </c>
      <c r="S1841" s="60">
        <f>tblJTL[[#This Row],[timeStamp]]/86400000+DATE(1970,1,1)+TIME(9,0,0)</f>
        <v>46296.421969849536</v>
      </c>
      <c r="T1841" s="57">
        <f>tblJTL[[#This Row],[timeStamp]]+tblJTL[[#This Row],[elapsed]]</f>
        <v>1790816858383</v>
      </c>
      <c r="U1841" s="61">
        <f>(tblJTL[[#This Row],[timeStamp]]-'17_分析サンプル'!$E$18)/1000</f>
        <v>458.01499999999999</v>
      </c>
      <c r="V1841" s="57">
        <f>INT(tblJTL[[#This Row],[経過秒]]/60)</f>
        <v>7</v>
      </c>
      <c r="W1841" s="57">
        <f>IF(OR(tblJTL[[#This Row],[success]]=FALSE,tblJTL[[#This Row],[success]]="false"),1,0)</f>
        <v>0</v>
      </c>
      <c r="X1841" s="57">
        <f>IF(AND(tblJTL[[#This Row],[経過秒]]&gt;='17_分析サンプル'!$E$11,tblJTL[[#This Row],[経過秒]]&lt;'17_分析サンプル'!$E$12),1,0)</f>
        <v>1</v>
      </c>
    </row>
    <row r="1842" spans="2:24" ht="14.4" x14ac:dyDescent="0.3">
      <c r="B1842" s="57">
        <v>1790816858201</v>
      </c>
      <c r="C1842" s="58">
        <v>206</v>
      </c>
      <c r="D1842" s="59" t="s">
        <v>1677</v>
      </c>
      <c r="E1842" s="59" t="s">
        <v>3579</v>
      </c>
      <c r="F1842" s="59" t="s">
        <v>3580</v>
      </c>
      <c r="G1842" s="59" t="s">
        <v>2278</v>
      </c>
      <c r="H1842" s="59" t="s">
        <v>2281</v>
      </c>
      <c r="I1842" s="59" t="b">
        <v>1</v>
      </c>
      <c r="J1842" s="59"/>
      <c r="K1842" s="58">
        <v>422</v>
      </c>
      <c r="L1842" s="58">
        <v>1478</v>
      </c>
      <c r="M1842" s="59">
        <v>10</v>
      </c>
      <c r="N1842" s="59">
        <v>10</v>
      </c>
      <c r="O1842" s="59" t="s">
        <v>3581</v>
      </c>
      <c r="P1842" s="58">
        <v>198</v>
      </c>
      <c r="Q1842" s="59">
        <v>0</v>
      </c>
      <c r="R1842" s="59">
        <v>0</v>
      </c>
      <c r="S1842" s="60">
        <f>tblJTL[[#This Row],[timeStamp]]/86400000+DATE(1970,1,1)+TIME(9,0,0)</f>
        <v>46296.421969918985</v>
      </c>
      <c r="T1842" s="57">
        <f>tblJTL[[#This Row],[timeStamp]]+tblJTL[[#This Row],[elapsed]]</f>
        <v>1790816858407</v>
      </c>
      <c r="U1842" s="61">
        <f>(tblJTL[[#This Row],[timeStamp]]-'17_分析サンプル'!$E$18)/1000</f>
        <v>458.02100000000002</v>
      </c>
      <c r="V1842" s="57">
        <f>INT(tblJTL[[#This Row],[経過秒]]/60)</f>
        <v>7</v>
      </c>
      <c r="W1842" s="57">
        <f>IF(OR(tblJTL[[#This Row],[success]]=FALSE,tblJTL[[#This Row],[success]]="false"),1,0)</f>
        <v>0</v>
      </c>
      <c r="X1842" s="57">
        <f>IF(AND(tblJTL[[#This Row],[経過秒]]&gt;='17_分析サンプル'!$E$11,tblJTL[[#This Row],[経過秒]]&lt;'17_分析サンプル'!$E$12),1,0)</f>
        <v>1</v>
      </c>
    </row>
    <row r="1843" spans="2:24" ht="14.4" x14ac:dyDescent="0.3">
      <c r="B1843" s="57">
        <v>1790816858287</v>
      </c>
      <c r="C1843" s="58">
        <v>164</v>
      </c>
      <c r="D1843" s="59" t="s">
        <v>1658</v>
      </c>
      <c r="E1843" s="59" t="s">
        <v>1577</v>
      </c>
      <c r="F1843" s="59" t="s">
        <v>2275</v>
      </c>
      <c r="G1843" s="59" t="s">
        <v>3587</v>
      </c>
      <c r="H1843" s="59" t="s">
        <v>2281</v>
      </c>
      <c r="I1843" s="59" t="b">
        <v>1</v>
      </c>
      <c r="J1843" s="59"/>
      <c r="K1843" s="58">
        <v>1868</v>
      </c>
      <c r="L1843" s="58">
        <v>1342</v>
      </c>
      <c r="M1843" s="59">
        <v>10</v>
      </c>
      <c r="N1843" s="59">
        <v>10</v>
      </c>
      <c r="O1843" s="59" t="s">
        <v>3578</v>
      </c>
      <c r="P1843" s="58">
        <v>160</v>
      </c>
      <c r="Q1843" s="59">
        <v>0</v>
      </c>
      <c r="R1843" s="59">
        <v>0</v>
      </c>
      <c r="S1843" s="60">
        <f>tblJTL[[#This Row],[timeStamp]]/86400000+DATE(1970,1,1)+TIME(9,0,0)</f>
        <v>46296.421970914351</v>
      </c>
      <c r="T1843" s="57">
        <f>tblJTL[[#This Row],[timeStamp]]+tblJTL[[#This Row],[elapsed]]</f>
        <v>1790816858451</v>
      </c>
      <c r="U1843" s="61">
        <f>(tblJTL[[#This Row],[timeStamp]]-'17_分析サンプル'!$E$18)/1000</f>
        <v>458.10700000000003</v>
      </c>
      <c r="V1843" s="57">
        <f>INT(tblJTL[[#This Row],[経過秒]]/60)</f>
        <v>7</v>
      </c>
      <c r="W1843" s="57">
        <f>IF(OR(tblJTL[[#This Row],[success]]=FALSE,tblJTL[[#This Row],[success]]="false"),1,0)</f>
        <v>0</v>
      </c>
      <c r="X1843" s="57">
        <f>IF(AND(tblJTL[[#This Row],[経過秒]]&gt;='17_分析サンプル'!$E$11,tblJTL[[#This Row],[経過秒]]&lt;'17_分析サンプル'!$E$12),1,0)</f>
        <v>1</v>
      </c>
    </row>
    <row r="1844" spans="2:24" ht="14.4" x14ac:dyDescent="0.3">
      <c r="B1844" s="57">
        <v>1790816858796</v>
      </c>
      <c r="C1844" s="58">
        <v>154</v>
      </c>
      <c r="D1844" s="59" t="s">
        <v>1677</v>
      </c>
      <c r="E1844" s="59" t="s">
        <v>3579</v>
      </c>
      <c r="F1844" s="59" t="s">
        <v>3580</v>
      </c>
      <c r="G1844" s="59" t="s">
        <v>3584</v>
      </c>
      <c r="H1844" s="59" t="s">
        <v>2281</v>
      </c>
      <c r="I1844" s="59" t="b">
        <v>1</v>
      </c>
      <c r="J1844" s="59"/>
      <c r="K1844" s="58">
        <v>413</v>
      </c>
      <c r="L1844" s="58">
        <v>1478</v>
      </c>
      <c r="M1844" s="59">
        <v>10</v>
      </c>
      <c r="N1844" s="59">
        <v>10</v>
      </c>
      <c r="O1844" s="59" t="s">
        <v>3581</v>
      </c>
      <c r="P1844" s="58">
        <v>152</v>
      </c>
      <c r="Q1844" s="59">
        <v>0</v>
      </c>
      <c r="R1844" s="59">
        <v>0</v>
      </c>
      <c r="S1844" s="60">
        <f>tblJTL[[#This Row],[timeStamp]]/86400000+DATE(1970,1,1)+TIME(9,0,0)</f>
        <v>46296.421976805555</v>
      </c>
      <c r="T1844" s="57">
        <f>tblJTL[[#This Row],[timeStamp]]+tblJTL[[#This Row],[elapsed]]</f>
        <v>1790816858950</v>
      </c>
      <c r="U1844" s="61">
        <f>(tblJTL[[#This Row],[timeStamp]]-'17_分析サンプル'!$E$18)/1000</f>
        <v>458.61599999999999</v>
      </c>
      <c r="V1844" s="57">
        <f>INT(tblJTL[[#This Row],[経過秒]]/60)</f>
        <v>7</v>
      </c>
      <c r="W1844" s="57">
        <f>IF(OR(tblJTL[[#This Row],[success]]=FALSE,tblJTL[[#This Row],[success]]="false"),1,0)</f>
        <v>0</v>
      </c>
      <c r="X1844" s="57">
        <f>IF(AND(tblJTL[[#This Row],[経過秒]]&gt;='17_分析サンプル'!$E$11,tblJTL[[#This Row],[経過秒]]&lt;'17_分析サンプル'!$E$12),1,0)</f>
        <v>1</v>
      </c>
    </row>
    <row r="1845" spans="2:24" ht="14.4" x14ac:dyDescent="0.3">
      <c r="B1845" s="57">
        <v>1790816858698</v>
      </c>
      <c r="C1845" s="58">
        <v>354</v>
      </c>
      <c r="D1845" s="59" t="s">
        <v>1677</v>
      </c>
      <c r="E1845" s="59" t="s">
        <v>3579</v>
      </c>
      <c r="F1845" s="59" t="s">
        <v>3580</v>
      </c>
      <c r="G1845" s="59" t="s">
        <v>3585</v>
      </c>
      <c r="H1845" s="59" t="s">
        <v>2281</v>
      </c>
      <c r="I1845" s="59" t="b">
        <v>1</v>
      </c>
      <c r="J1845" s="59"/>
      <c r="K1845" s="58">
        <v>422</v>
      </c>
      <c r="L1845" s="58">
        <v>1478</v>
      </c>
      <c r="M1845" s="59">
        <v>10</v>
      </c>
      <c r="N1845" s="59">
        <v>10</v>
      </c>
      <c r="O1845" s="59" t="s">
        <v>3581</v>
      </c>
      <c r="P1845" s="58">
        <v>352</v>
      </c>
      <c r="Q1845" s="59">
        <v>0</v>
      </c>
      <c r="R1845" s="59">
        <v>0</v>
      </c>
      <c r="S1845" s="60">
        <f>tblJTL[[#This Row],[timeStamp]]/86400000+DATE(1970,1,1)+TIME(9,0,0)</f>
        <v>46296.421975671299</v>
      </c>
      <c r="T1845" s="57">
        <f>tblJTL[[#This Row],[timeStamp]]+tblJTL[[#This Row],[elapsed]]</f>
        <v>1790816859052</v>
      </c>
      <c r="U1845" s="61">
        <f>(tblJTL[[#This Row],[timeStamp]]-'17_分析サンプル'!$E$18)/1000</f>
        <v>458.51799999999997</v>
      </c>
      <c r="V1845" s="57">
        <f>INT(tblJTL[[#This Row],[経過秒]]/60)</f>
        <v>7</v>
      </c>
      <c r="W1845" s="57">
        <f>IF(OR(tblJTL[[#This Row],[success]]=FALSE,tblJTL[[#This Row],[success]]="false"),1,0)</f>
        <v>0</v>
      </c>
      <c r="X1845" s="57">
        <f>IF(AND(tblJTL[[#This Row],[経過秒]]&gt;='17_分析サンプル'!$E$11,tblJTL[[#This Row],[経過秒]]&lt;'17_分析サンプル'!$E$12),1,0)</f>
        <v>1</v>
      </c>
    </row>
    <row r="1846" spans="2:24" ht="14.4" x14ac:dyDescent="0.3">
      <c r="B1846" s="57">
        <v>1790816859837</v>
      </c>
      <c r="C1846" s="58">
        <v>239</v>
      </c>
      <c r="D1846" s="59" t="s">
        <v>1677</v>
      </c>
      <c r="E1846" s="59" t="s">
        <v>3579</v>
      </c>
      <c r="F1846" s="59" t="s">
        <v>3580</v>
      </c>
      <c r="G1846" s="59" t="s">
        <v>3586</v>
      </c>
      <c r="H1846" s="59" t="s">
        <v>2281</v>
      </c>
      <c r="I1846" s="59" t="b">
        <v>1</v>
      </c>
      <c r="J1846" s="59"/>
      <c r="K1846" s="58">
        <v>429</v>
      </c>
      <c r="L1846" s="58">
        <v>1478</v>
      </c>
      <c r="M1846" s="59">
        <v>10</v>
      </c>
      <c r="N1846" s="59">
        <v>10</v>
      </c>
      <c r="O1846" s="59" t="s">
        <v>3581</v>
      </c>
      <c r="P1846" s="58">
        <v>233</v>
      </c>
      <c r="Q1846" s="59">
        <v>0</v>
      </c>
      <c r="R1846" s="59">
        <v>0</v>
      </c>
      <c r="S1846" s="60">
        <f>tblJTL[[#This Row],[timeStamp]]/86400000+DATE(1970,1,1)+TIME(9,0,0)</f>
        <v>46296.42198885417</v>
      </c>
      <c r="T1846" s="57">
        <f>tblJTL[[#This Row],[timeStamp]]+tblJTL[[#This Row],[elapsed]]</f>
        <v>1790816860076</v>
      </c>
      <c r="U1846" s="61">
        <f>(tblJTL[[#This Row],[timeStamp]]-'17_分析サンプル'!$E$18)/1000</f>
        <v>459.65699999999998</v>
      </c>
      <c r="V1846" s="57">
        <f>INT(tblJTL[[#This Row],[経過秒]]/60)</f>
        <v>7</v>
      </c>
      <c r="W1846" s="57">
        <f>IF(OR(tblJTL[[#This Row],[success]]=FALSE,tblJTL[[#This Row],[success]]="false"),1,0)</f>
        <v>0</v>
      </c>
      <c r="X1846" s="57">
        <f>IF(AND(tblJTL[[#This Row],[経過秒]]&gt;='17_分析サンプル'!$E$11,tblJTL[[#This Row],[経過秒]]&lt;'17_分析サンプル'!$E$12),1,0)</f>
        <v>1</v>
      </c>
    </row>
    <row r="1847" spans="2:24" ht="14.4" x14ac:dyDescent="0.3">
      <c r="B1847" s="57">
        <v>1790816859979</v>
      </c>
      <c r="C1847" s="58">
        <v>135</v>
      </c>
      <c r="D1847" s="59" t="s">
        <v>1658</v>
      </c>
      <c r="E1847" s="59" t="s">
        <v>1577</v>
      </c>
      <c r="F1847" s="59" t="s">
        <v>2275</v>
      </c>
      <c r="G1847" s="59" t="s">
        <v>3583</v>
      </c>
      <c r="H1847" s="59" t="s">
        <v>2281</v>
      </c>
      <c r="I1847" s="59" t="b">
        <v>1</v>
      </c>
      <c r="J1847" s="59"/>
      <c r="K1847" s="58">
        <v>1861</v>
      </c>
      <c r="L1847" s="58">
        <v>1342</v>
      </c>
      <c r="M1847" s="59">
        <v>10</v>
      </c>
      <c r="N1847" s="59">
        <v>10</v>
      </c>
      <c r="O1847" s="59" t="s">
        <v>3578</v>
      </c>
      <c r="P1847" s="58">
        <v>132</v>
      </c>
      <c r="Q1847" s="59">
        <v>0</v>
      </c>
      <c r="R1847" s="59">
        <v>0</v>
      </c>
      <c r="S1847" s="60">
        <f>tblJTL[[#This Row],[timeStamp]]/86400000+DATE(1970,1,1)+TIME(9,0,0)</f>
        <v>46296.421990497685</v>
      </c>
      <c r="T1847" s="57">
        <f>tblJTL[[#This Row],[timeStamp]]+tblJTL[[#This Row],[elapsed]]</f>
        <v>1790816860114</v>
      </c>
      <c r="U1847" s="61">
        <f>(tblJTL[[#This Row],[timeStamp]]-'17_分析サンプル'!$E$18)/1000</f>
        <v>459.79899999999998</v>
      </c>
      <c r="V1847" s="57">
        <f>INT(tblJTL[[#This Row],[経過秒]]/60)</f>
        <v>7</v>
      </c>
      <c r="W1847" s="57">
        <f>IF(OR(tblJTL[[#This Row],[success]]=FALSE,tblJTL[[#This Row],[success]]="false"),1,0)</f>
        <v>0</v>
      </c>
      <c r="X1847" s="57">
        <f>IF(AND(tblJTL[[#This Row],[経過秒]]&gt;='17_分析サンプル'!$E$11,tblJTL[[#This Row],[経過秒]]&lt;'17_分析サンプル'!$E$12),1,0)</f>
        <v>1</v>
      </c>
    </row>
    <row r="1848" spans="2:24" ht="14.4" x14ac:dyDescent="0.3">
      <c r="B1848" s="57">
        <v>1790816860016</v>
      </c>
      <c r="C1848" s="58">
        <v>111</v>
      </c>
      <c r="D1848" s="59" t="s">
        <v>1677</v>
      </c>
      <c r="E1848" s="59" t="s">
        <v>3579</v>
      </c>
      <c r="F1848" s="59" t="s">
        <v>3580</v>
      </c>
      <c r="G1848" s="59" t="s">
        <v>3587</v>
      </c>
      <c r="H1848" s="59" t="s">
        <v>2281</v>
      </c>
      <c r="I1848" s="59" t="b">
        <v>1</v>
      </c>
      <c r="J1848" s="59"/>
      <c r="K1848" s="58">
        <v>433</v>
      </c>
      <c r="L1848" s="58">
        <v>1478</v>
      </c>
      <c r="M1848" s="59">
        <v>10</v>
      </c>
      <c r="N1848" s="59">
        <v>10</v>
      </c>
      <c r="O1848" s="59" t="s">
        <v>3581</v>
      </c>
      <c r="P1848" s="58">
        <v>107</v>
      </c>
      <c r="Q1848" s="59">
        <v>0</v>
      </c>
      <c r="R1848" s="59">
        <v>0</v>
      </c>
      <c r="S1848" s="60">
        <f>tblJTL[[#This Row],[timeStamp]]/86400000+DATE(1970,1,1)+TIME(9,0,0)</f>
        <v>46296.421990925926</v>
      </c>
      <c r="T1848" s="57">
        <f>tblJTL[[#This Row],[timeStamp]]+tblJTL[[#This Row],[elapsed]]</f>
        <v>1790816860127</v>
      </c>
      <c r="U1848" s="61">
        <f>(tblJTL[[#This Row],[timeStamp]]-'17_分析サンプル'!$E$18)/1000</f>
        <v>459.83600000000001</v>
      </c>
      <c r="V1848" s="57">
        <f>INT(tblJTL[[#This Row],[経過秒]]/60)</f>
        <v>7</v>
      </c>
      <c r="W1848" s="57">
        <f>IF(OR(tblJTL[[#This Row],[success]]=FALSE,tblJTL[[#This Row],[success]]="false"),1,0)</f>
        <v>0</v>
      </c>
      <c r="X1848" s="57">
        <f>IF(AND(tblJTL[[#This Row],[経過秒]]&gt;='17_分析サンプル'!$E$11,tblJTL[[#This Row],[経過秒]]&lt;'17_分析サンプル'!$E$12),1,0)</f>
        <v>1</v>
      </c>
    </row>
    <row r="1849" spans="2:24" ht="14.4" x14ac:dyDescent="0.3">
      <c r="B1849" s="57">
        <v>1790816860266</v>
      </c>
      <c r="C1849" s="58">
        <v>135</v>
      </c>
      <c r="D1849" s="59" t="s">
        <v>1658</v>
      </c>
      <c r="E1849" s="59" t="s">
        <v>1577</v>
      </c>
      <c r="F1849" s="59" t="s">
        <v>2275</v>
      </c>
      <c r="G1849" s="59" t="s">
        <v>2278</v>
      </c>
      <c r="H1849" s="59" t="s">
        <v>2281</v>
      </c>
      <c r="I1849" s="59" t="b">
        <v>1</v>
      </c>
      <c r="J1849" s="59"/>
      <c r="K1849" s="58">
        <v>1898</v>
      </c>
      <c r="L1849" s="58">
        <v>1342</v>
      </c>
      <c r="M1849" s="59">
        <v>10</v>
      </c>
      <c r="N1849" s="59">
        <v>10</v>
      </c>
      <c r="O1849" s="59" t="s">
        <v>3578</v>
      </c>
      <c r="P1849" s="58">
        <v>133</v>
      </c>
      <c r="Q1849" s="59">
        <v>0</v>
      </c>
      <c r="R1849" s="59">
        <v>0</v>
      </c>
      <c r="S1849" s="60">
        <f>tblJTL[[#This Row],[timeStamp]]/86400000+DATE(1970,1,1)+TIME(9,0,0)</f>
        <v>46296.421993819444</v>
      </c>
      <c r="T1849" s="57">
        <f>tblJTL[[#This Row],[timeStamp]]+tblJTL[[#This Row],[elapsed]]</f>
        <v>1790816860401</v>
      </c>
      <c r="U1849" s="61">
        <f>(tblJTL[[#This Row],[timeStamp]]-'17_分析サンプル'!$E$18)/1000</f>
        <v>460.08600000000001</v>
      </c>
      <c r="V1849" s="57">
        <f>INT(tblJTL[[#This Row],[経過秒]]/60)</f>
        <v>7</v>
      </c>
      <c r="W1849" s="57">
        <f>IF(OR(tblJTL[[#This Row],[success]]=FALSE,tblJTL[[#This Row],[success]]="false"),1,0)</f>
        <v>0</v>
      </c>
      <c r="X1849" s="57">
        <f>IF(AND(tblJTL[[#This Row],[経過秒]]&gt;='17_分析サンプル'!$E$11,tblJTL[[#This Row],[経過秒]]&lt;'17_分析サンプル'!$E$12),1,0)</f>
        <v>1</v>
      </c>
    </row>
    <row r="1850" spans="2:24" ht="14.4" x14ac:dyDescent="0.3">
      <c r="B1850" s="57">
        <v>1790816860450</v>
      </c>
      <c r="C1850" s="58">
        <v>110</v>
      </c>
      <c r="D1850" s="59" t="s">
        <v>1658</v>
      </c>
      <c r="E1850" s="59" t="s">
        <v>1577</v>
      </c>
      <c r="F1850" s="59" t="s">
        <v>2275</v>
      </c>
      <c r="G1850" s="59" t="s">
        <v>3577</v>
      </c>
      <c r="H1850" s="59" t="s">
        <v>2281</v>
      </c>
      <c r="I1850" s="59" t="b">
        <v>1</v>
      </c>
      <c r="J1850" s="59"/>
      <c r="K1850" s="58">
        <v>1846</v>
      </c>
      <c r="L1850" s="58">
        <v>1342</v>
      </c>
      <c r="M1850" s="59">
        <v>10</v>
      </c>
      <c r="N1850" s="59">
        <v>10</v>
      </c>
      <c r="O1850" s="59" t="s">
        <v>3578</v>
      </c>
      <c r="P1850" s="58">
        <v>103</v>
      </c>
      <c r="Q1850" s="59">
        <v>0</v>
      </c>
      <c r="R1850" s="59">
        <v>0</v>
      </c>
      <c r="S1850" s="60">
        <f>tblJTL[[#This Row],[timeStamp]]/86400000+DATE(1970,1,1)+TIME(9,0,0)</f>
        <v>46296.421995949073</v>
      </c>
      <c r="T1850" s="57">
        <f>tblJTL[[#This Row],[timeStamp]]+tblJTL[[#This Row],[elapsed]]</f>
        <v>1790816860560</v>
      </c>
      <c r="U1850" s="61">
        <f>(tblJTL[[#This Row],[timeStamp]]-'17_分析サンプル'!$E$18)/1000</f>
        <v>460.27</v>
      </c>
      <c r="V1850" s="57">
        <f>INT(tblJTL[[#This Row],[経過秒]]/60)</f>
        <v>7</v>
      </c>
      <c r="W1850" s="57">
        <f>IF(OR(tblJTL[[#This Row],[success]]=FALSE,tblJTL[[#This Row],[success]]="false"),1,0)</f>
        <v>0</v>
      </c>
      <c r="X1850" s="57">
        <f>IF(AND(tblJTL[[#This Row],[経過秒]]&gt;='17_分析サンプル'!$E$11,tblJTL[[#This Row],[経過秒]]&lt;'17_分析サンプル'!$E$12),1,0)</f>
        <v>1</v>
      </c>
    </row>
    <row r="1851" spans="2:24" ht="14.4" x14ac:dyDescent="0.3">
      <c r="B1851" s="57">
        <v>1790816860493</v>
      </c>
      <c r="C1851" s="58">
        <v>93</v>
      </c>
      <c r="D1851" s="59" t="s">
        <v>1658</v>
      </c>
      <c r="E1851" s="59" t="s">
        <v>1577</v>
      </c>
      <c r="F1851" s="59" t="s">
        <v>2275</v>
      </c>
      <c r="G1851" s="59" t="s">
        <v>3582</v>
      </c>
      <c r="H1851" s="59" t="s">
        <v>2281</v>
      </c>
      <c r="I1851" s="59" t="b">
        <v>1</v>
      </c>
      <c r="J1851" s="59"/>
      <c r="K1851" s="58">
        <v>1823</v>
      </c>
      <c r="L1851" s="58">
        <v>1342</v>
      </c>
      <c r="M1851" s="59">
        <v>10</v>
      </c>
      <c r="N1851" s="59">
        <v>10</v>
      </c>
      <c r="O1851" s="59" t="s">
        <v>3578</v>
      </c>
      <c r="P1851" s="58">
        <v>91</v>
      </c>
      <c r="Q1851" s="59">
        <v>0</v>
      </c>
      <c r="R1851" s="59">
        <v>0</v>
      </c>
      <c r="S1851" s="60">
        <f>tblJTL[[#This Row],[timeStamp]]/86400000+DATE(1970,1,1)+TIME(9,0,0)</f>
        <v>46296.421996446763</v>
      </c>
      <c r="T1851" s="57">
        <f>tblJTL[[#This Row],[timeStamp]]+tblJTL[[#This Row],[elapsed]]</f>
        <v>1790816860586</v>
      </c>
      <c r="U1851" s="61">
        <f>(tblJTL[[#This Row],[timeStamp]]-'17_分析サンプル'!$E$18)/1000</f>
        <v>460.31299999999999</v>
      </c>
      <c r="V1851" s="57">
        <f>INT(tblJTL[[#This Row],[経過秒]]/60)</f>
        <v>7</v>
      </c>
      <c r="W1851" s="57">
        <f>IF(OR(tblJTL[[#This Row],[success]]=FALSE,tblJTL[[#This Row],[success]]="false"),1,0)</f>
        <v>0</v>
      </c>
      <c r="X1851" s="57">
        <f>IF(AND(tblJTL[[#This Row],[経過秒]]&gt;='17_分析サンプル'!$E$11,tblJTL[[#This Row],[経過秒]]&lt;'17_分析サンプル'!$E$12),1,0)</f>
        <v>1</v>
      </c>
    </row>
    <row r="1852" spans="2:24" ht="14.4" x14ac:dyDescent="0.3">
      <c r="B1852" s="57">
        <v>1790816860227</v>
      </c>
      <c r="C1852" s="58">
        <v>383</v>
      </c>
      <c r="D1852" s="59" t="s">
        <v>1677</v>
      </c>
      <c r="E1852" s="59" t="s">
        <v>3579</v>
      </c>
      <c r="F1852" s="59" t="s">
        <v>3580</v>
      </c>
      <c r="G1852" s="59" t="s">
        <v>3589</v>
      </c>
      <c r="H1852" s="59" t="s">
        <v>2281</v>
      </c>
      <c r="I1852" s="59" t="b">
        <v>1</v>
      </c>
      <c r="J1852" s="59"/>
      <c r="K1852" s="58">
        <v>425</v>
      </c>
      <c r="L1852" s="58">
        <v>1478</v>
      </c>
      <c r="M1852" s="59">
        <v>10</v>
      </c>
      <c r="N1852" s="59">
        <v>10</v>
      </c>
      <c r="O1852" s="59" t="s">
        <v>3581</v>
      </c>
      <c r="P1852" s="58">
        <v>380</v>
      </c>
      <c r="Q1852" s="59">
        <v>0</v>
      </c>
      <c r="R1852" s="59">
        <v>0</v>
      </c>
      <c r="S1852" s="60">
        <f>tblJTL[[#This Row],[timeStamp]]/86400000+DATE(1970,1,1)+TIME(9,0,0)</f>
        <v>46296.421993368058</v>
      </c>
      <c r="T1852" s="57">
        <f>tblJTL[[#This Row],[timeStamp]]+tblJTL[[#This Row],[elapsed]]</f>
        <v>1790816860610</v>
      </c>
      <c r="U1852" s="61">
        <f>(tblJTL[[#This Row],[timeStamp]]-'17_分析サンプル'!$E$18)/1000</f>
        <v>460.04700000000003</v>
      </c>
      <c r="V1852" s="57">
        <f>INT(tblJTL[[#This Row],[経過秒]]/60)</f>
        <v>7</v>
      </c>
      <c r="W1852" s="57">
        <f>IF(OR(tblJTL[[#This Row],[success]]=FALSE,tblJTL[[#This Row],[success]]="false"),1,0)</f>
        <v>0</v>
      </c>
      <c r="X1852" s="57">
        <f>IF(AND(tblJTL[[#This Row],[経過秒]]&gt;='17_分析サンプル'!$E$11,tblJTL[[#This Row],[経過秒]]&lt;'17_分析サンプル'!$E$12),1,0)</f>
        <v>1</v>
      </c>
    </row>
    <row r="1853" spans="2:24" ht="14.4" x14ac:dyDescent="0.3">
      <c r="B1853" s="57">
        <v>1790816861268</v>
      </c>
      <c r="C1853" s="58">
        <v>84</v>
      </c>
      <c r="D1853" s="59" t="s">
        <v>1658</v>
      </c>
      <c r="E1853" s="59" t="s">
        <v>1577</v>
      </c>
      <c r="F1853" s="59" t="s">
        <v>2275</v>
      </c>
      <c r="G1853" s="59" t="s">
        <v>3588</v>
      </c>
      <c r="H1853" s="59" t="s">
        <v>2281</v>
      </c>
      <c r="I1853" s="59" t="b">
        <v>1</v>
      </c>
      <c r="J1853" s="59"/>
      <c r="K1853" s="58">
        <v>1871</v>
      </c>
      <c r="L1853" s="58">
        <v>1342</v>
      </c>
      <c r="M1853" s="59">
        <v>10</v>
      </c>
      <c r="N1853" s="59">
        <v>10</v>
      </c>
      <c r="O1853" s="59" t="s">
        <v>3578</v>
      </c>
      <c r="P1853" s="58">
        <v>77</v>
      </c>
      <c r="Q1853" s="59">
        <v>0</v>
      </c>
      <c r="R1853" s="59">
        <v>0</v>
      </c>
      <c r="S1853" s="60">
        <f>tblJTL[[#This Row],[timeStamp]]/86400000+DATE(1970,1,1)+TIME(9,0,0)</f>
        <v>46296.422005416665</v>
      </c>
      <c r="T1853" s="57">
        <f>tblJTL[[#This Row],[timeStamp]]+tblJTL[[#This Row],[elapsed]]</f>
        <v>1790816861352</v>
      </c>
      <c r="U1853" s="61">
        <f>(tblJTL[[#This Row],[timeStamp]]-'17_分析サンプル'!$E$18)/1000</f>
        <v>461.08800000000002</v>
      </c>
      <c r="V1853" s="57">
        <f>INT(tblJTL[[#This Row],[経過秒]]/60)</f>
        <v>7</v>
      </c>
      <c r="W1853" s="57">
        <f>IF(OR(tblJTL[[#This Row],[success]]=FALSE,tblJTL[[#This Row],[success]]="false"),1,0)</f>
        <v>0</v>
      </c>
      <c r="X1853" s="57">
        <f>IF(AND(tblJTL[[#This Row],[経過秒]]&gt;='17_分析サンプル'!$E$11,tblJTL[[#This Row],[経過秒]]&lt;'17_分析サンプル'!$E$12),1,0)</f>
        <v>1</v>
      </c>
    </row>
    <row r="1854" spans="2:24" ht="14.4" x14ac:dyDescent="0.3">
      <c r="B1854" s="57">
        <v>1790816861307</v>
      </c>
      <c r="C1854" s="58">
        <v>255</v>
      </c>
      <c r="D1854" s="59" t="s">
        <v>1658</v>
      </c>
      <c r="E1854" s="59" t="s">
        <v>1577</v>
      </c>
      <c r="F1854" s="59" t="s">
        <v>2275</v>
      </c>
      <c r="G1854" s="59" t="s">
        <v>3584</v>
      </c>
      <c r="H1854" s="59" t="s">
        <v>2281</v>
      </c>
      <c r="I1854" s="59" t="b">
        <v>1</v>
      </c>
      <c r="J1854" s="59"/>
      <c r="K1854" s="58">
        <v>1826</v>
      </c>
      <c r="L1854" s="58">
        <v>1342</v>
      </c>
      <c r="M1854" s="59">
        <v>10</v>
      </c>
      <c r="N1854" s="59">
        <v>10</v>
      </c>
      <c r="O1854" s="59" t="s">
        <v>3578</v>
      </c>
      <c r="P1854" s="58">
        <v>247</v>
      </c>
      <c r="Q1854" s="59">
        <v>0</v>
      </c>
      <c r="R1854" s="59">
        <v>0</v>
      </c>
      <c r="S1854" s="60">
        <f>tblJTL[[#This Row],[timeStamp]]/86400000+DATE(1970,1,1)+TIME(9,0,0)</f>
        <v>46296.422005868051</v>
      </c>
      <c r="T1854" s="57">
        <f>tblJTL[[#This Row],[timeStamp]]+tblJTL[[#This Row],[elapsed]]</f>
        <v>1790816861562</v>
      </c>
      <c r="U1854" s="61">
        <f>(tblJTL[[#This Row],[timeStamp]]-'17_分析サンプル'!$E$18)/1000</f>
        <v>461.12700000000001</v>
      </c>
      <c r="V1854" s="57">
        <f>INT(tblJTL[[#This Row],[経過秒]]/60)</f>
        <v>7</v>
      </c>
      <c r="W1854" s="57">
        <f>IF(OR(tblJTL[[#This Row],[success]]=FALSE,tblJTL[[#This Row],[success]]="false"),1,0)</f>
        <v>0</v>
      </c>
      <c r="X1854" s="57">
        <f>IF(AND(tblJTL[[#This Row],[経過秒]]&gt;='17_分析サンプル'!$E$11,tblJTL[[#This Row],[経過秒]]&lt;'17_分析サンプル'!$E$12),1,0)</f>
        <v>1</v>
      </c>
    </row>
    <row r="1855" spans="2:24" ht="14.4" x14ac:dyDescent="0.3">
      <c r="B1855" s="57">
        <v>1790816861535</v>
      </c>
      <c r="C1855" s="58">
        <v>159</v>
      </c>
      <c r="D1855" s="59" t="s">
        <v>1658</v>
      </c>
      <c r="E1855" s="59" t="s">
        <v>1577</v>
      </c>
      <c r="F1855" s="59" t="s">
        <v>2275</v>
      </c>
      <c r="G1855" s="59" t="s">
        <v>3585</v>
      </c>
      <c r="H1855" s="59" t="s">
        <v>2281</v>
      </c>
      <c r="I1855" s="59" t="b">
        <v>1</v>
      </c>
      <c r="J1855" s="59"/>
      <c r="K1855" s="58">
        <v>1838</v>
      </c>
      <c r="L1855" s="58">
        <v>1342</v>
      </c>
      <c r="M1855" s="59">
        <v>10</v>
      </c>
      <c r="N1855" s="59">
        <v>10</v>
      </c>
      <c r="O1855" s="59" t="s">
        <v>3578</v>
      </c>
      <c r="P1855" s="58">
        <v>152</v>
      </c>
      <c r="Q1855" s="59">
        <v>0</v>
      </c>
      <c r="R1855" s="59">
        <v>0</v>
      </c>
      <c r="S1855" s="60">
        <f>tblJTL[[#This Row],[timeStamp]]/86400000+DATE(1970,1,1)+TIME(9,0,0)</f>
        <v>46296.422008506939</v>
      </c>
      <c r="T1855" s="57">
        <f>tblJTL[[#This Row],[timeStamp]]+tblJTL[[#This Row],[elapsed]]</f>
        <v>1790816861694</v>
      </c>
      <c r="U1855" s="61">
        <f>(tblJTL[[#This Row],[timeStamp]]-'17_分析サンプル'!$E$18)/1000</f>
        <v>461.35500000000002</v>
      </c>
      <c r="V1855" s="57">
        <f>INT(tblJTL[[#This Row],[経過秒]]/60)</f>
        <v>7</v>
      </c>
      <c r="W1855" s="57">
        <f>IF(OR(tblJTL[[#This Row],[success]]=FALSE,tblJTL[[#This Row],[success]]="false"),1,0)</f>
        <v>0</v>
      </c>
      <c r="X1855" s="57">
        <f>IF(AND(tblJTL[[#This Row],[経過秒]]&gt;='17_分析サンプル'!$E$11,tblJTL[[#This Row],[経過秒]]&lt;'17_分析サンプル'!$E$12),1,0)</f>
        <v>1</v>
      </c>
    </row>
    <row r="1856" spans="2:24" ht="14.4" x14ac:dyDescent="0.3">
      <c r="B1856" s="57">
        <v>1790816861686</v>
      </c>
      <c r="C1856" s="58">
        <v>258</v>
      </c>
      <c r="D1856" s="59" t="s">
        <v>1677</v>
      </c>
      <c r="E1856" s="59" t="s">
        <v>3579</v>
      </c>
      <c r="F1856" s="59" t="s">
        <v>3580</v>
      </c>
      <c r="G1856" s="59" t="s">
        <v>2278</v>
      </c>
      <c r="H1856" s="59" t="s">
        <v>2281</v>
      </c>
      <c r="I1856" s="59" t="b">
        <v>1</v>
      </c>
      <c r="J1856" s="59"/>
      <c r="K1856" s="58">
        <v>436</v>
      </c>
      <c r="L1856" s="58">
        <v>1478</v>
      </c>
      <c r="M1856" s="59">
        <v>10</v>
      </c>
      <c r="N1856" s="59">
        <v>10</v>
      </c>
      <c r="O1856" s="59" t="s">
        <v>3581</v>
      </c>
      <c r="P1856" s="58">
        <v>251</v>
      </c>
      <c r="Q1856" s="59">
        <v>0</v>
      </c>
      <c r="R1856" s="59">
        <v>0</v>
      </c>
      <c r="S1856" s="60">
        <f>tblJTL[[#This Row],[timeStamp]]/86400000+DATE(1970,1,1)+TIME(9,0,0)</f>
        <v>46296.422010254624</v>
      </c>
      <c r="T1856" s="57">
        <f>tblJTL[[#This Row],[timeStamp]]+tblJTL[[#This Row],[elapsed]]</f>
        <v>1790816861944</v>
      </c>
      <c r="U1856" s="61">
        <f>(tblJTL[[#This Row],[timeStamp]]-'17_分析サンプル'!$E$18)/1000</f>
        <v>461.50599999999997</v>
      </c>
      <c r="V1856" s="57">
        <f>INT(tblJTL[[#This Row],[経過秒]]/60)</f>
        <v>7</v>
      </c>
      <c r="W1856" s="57">
        <f>IF(OR(tblJTL[[#This Row],[success]]=FALSE,tblJTL[[#This Row],[success]]="false"),1,0)</f>
        <v>0</v>
      </c>
      <c r="X1856" s="57">
        <f>IF(AND(tblJTL[[#This Row],[経過秒]]&gt;='17_分析サンプル'!$E$11,tblJTL[[#This Row],[経過秒]]&lt;'17_分析サンプル'!$E$12),1,0)</f>
        <v>1</v>
      </c>
    </row>
    <row r="1857" spans="2:24" ht="14.4" x14ac:dyDescent="0.3">
      <c r="B1857" s="57">
        <v>1790816861868</v>
      </c>
      <c r="C1857" s="58">
        <v>141</v>
      </c>
      <c r="D1857" s="59" t="s">
        <v>1658</v>
      </c>
      <c r="E1857" s="59" t="s">
        <v>1577</v>
      </c>
      <c r="F1857" s="59" t="s">
        <v>2275</v>
      </c>
      <c r="G1857" s="59" t="s">
        <v>3586</v>
      </c>
      <c r="H1857" s="59" t="s">
        <v>2281</v>
      </c>
      <c r="I1857" s="59" t="b">
        <v>1</v>
      </c>
      <c r="J1857" s="59"/>
      <c r="K1857" s="58">
        <v>1897</v>
      </c>
      <c r="L1857" s="58">
        <v>1342</v>
      </c>
      <c r="M1857" s="59">
        <v>10</v>
      </c>
      <c r="N1857" s="59">
        <v>10</v>
      </c>
      <c r="O1857" s="59" t="s">
        <v>3578</v>
      </c>
      <c r="P1857" s="58">
        <v>134</v>
      </c>
      <c r="Q1857" s="59">
        <v>0</v>
      </c>
      <c r="R1857" s="59">
        <v>0</v>
      </c>
      <c r="S1857" s="60">
        <f>tblJTL[[#This Row],[timeStamp]]/86400000+DATE(1970,1,1)+TIME(9,0,0)</f>
        <v>46296.422012361116</v>
      </c>
      <c r="T1857" s="57">
        <f>tblJTL[[#This Row],[timeStamp]]+tblJTL[[#This Row],[elapsed]]</f>
        <v>1790816862009</v>
      </c>
      <c r="U1857" s="61">
        <f>(tblJTL[[#This Row],[timeStamp]]-'17_分析サンプル'!$E$18)/1000</f>
        <v>461.68799999999999</v>
      </c>
      <c r="V1857" s="57">
        <f>INT(tblJTL[[#This Row],[経過秒]]/60)</f>
        <v>7</v>
      </c>
      <c r="W1857" s="57">
        <f>IF(OR(tblJTL[[#This Row],[success]]=FALSE,tblJTL[[#This Row],[success]]="false"),1,0)</f>
        <v>0</v>
      </c>
      <c r="X1857" s="57">
        <f>IF(AND(tblJTL[[#This Row],[経過秒]]&gt;='17_分析サンプル'!$E$11,tblJTL[[#This Row],[経過秒]]&lt;'17_分析サンプル'!$E$12),1,0)</f>
        <v>1</v>
      </c>
    </row>
    <row r="1858" spans="2:24" ht="14.4" x14ac:dyDescent="0.3">
      <c r="B1858" s="57">
        <v>1790816861911</v>
      </c>
      <c r="C1858" s="58">
        <v>382</v>
      </c>
      <c r="D1858" s="59" t="s">
        <v>1677</v>
      </c>
      <c r="E1858" s="59" t="s">
        <v>3579</v>
      </c>
      <c r="F1858" s="59" t="s">
        <v>3580</v>
      </c>
      <c r="G1858" s="59" t="s">
        <v>3582</v>
      </c>
      <c r="H1858" s="59" t="s">
        <v>2281</v>
      </c>
      <c r="I1858" s="59" t="b">
        <v>1</v>
      </c>
      <c r="J1858" s="59"/>
      <c r="K1858" s="58">
        <v>427</v>
      </c>
      <c r="L1858" s="58">
        <v>1478</v>
      </c>
      <c r="M1858" s="59">
        <v>10</v>
      </c>
      <c r="N1858" s="59">
        <v>10</v>
      </c>
      <c r="O1858" s="59" t="s">
        <v>3581</v>
      </c>
      <c r="P1858" s="58">
        <v>379</v>
      </c>
      <c r="Q1858" s="59">
        <v>0</v>
      </c>
      <c r="R1858" s="59">
        <v>0</v>
      </c>
      <c r="S1858" s="60">
        <f>tblJTL[[#This Row],[timeStamp]]/86400000+DATE(1970,1,1)+TIME(9,0,0)</f>
        <v>46296.422012858791</v>
      </c>
      <c r="T1858" s="57">
        <f>tblJTL[[#This Row],[timeStamp]]+tblJTL[[#This Row],[elapsed]]</f>
        <v>1790816862293</v>
      </c>
      <c r="U1858" s="61">
        <f>(tblJTL[[#This Row],[timeStamp]]-'17_分析サンプル'!$E$18)/1000</f>
        <v>461.73099999999999</v>
      </c>
      <c r="V1858" s="57">
        <f>INT(tblJTL[[#This Row],[経過秒]]/60)</f>
        <v>7</v>
      </c>
      <c r="W1858" s="57">
        <f>IF(OR(tblJTL[[#This Row],[success]]=FALSE,tblJTL[[#This Row],[success]]="false"),1,0)</f>
        <v>0</v>
      </c>
      <c r="X1858" s="57">
        <f>IF(AND(tblJTL[[#This Row],[経過秒]]&gt;='17_分析サンプル'!$E$11,tblJTL[[#This Row],[経過秒]]&lt;'17_分析サンプル'!$E$12),1,0)</f>
        <v>1</v>
      </c>
    </row>
    <row r="1859" spans="2:24" ht="14.4" x14ac:dyDescent="0.3">
      <c r="B1859" s="57">
        <v>1790816862939</v>
      </c>
      <c r="C1859" s="58">
        <v>133</v>
      </c>
      <c r="D1859" s="59" t="s">
        <v>1658</v>
      </c>
      <c r="E1859" s="59" t="s">
        <v>1577</v>
      </c>
      <c r="F1859" s="59" t="s">
        <v>2275</v>
      </c>
      <c r="G1859" s="59" t="s">
        <v>3587</v>
      </c>
      <c r="H1859" s="59" t="s">
        <v>2281</v>
      </c>
      <c r="I1859" s="59" t="b">
        <v>1</v>
      </c>
      <c r="J1859" s="59"/>
      <c r="K1859" s="58">
        <v>1856</v>
      </c>
      <c r="L1859" s="58">
        <v>1342</v>
      </c>
      <c r="M1859" s="59">
        <v>10</v>
      </c>
      <c r="N1859" s="59">
        <v>10</v>
      </c>
      <c r="O1859" s="59" t="s">
        <v>3578</v>
      </c>
      <c r="P1859" s="58">
        <v>130</v>
      </c>
      <c r="Q1859" s="59">
        <v>0</v>
      </c>
      <c r="R1859" s="59">
        <v>0</v>
      </c>
      <c r="S1859" s="60">
        <f>tblJTL[[#This Row],[timeStamp]]/86400000+DATE(1970,1,1)+TIME(9,0,0)</f>
        <v>46296.422024756946</v>
      </c>
      <c r="T1859" s="57">
        <f>tblJTL[[#This Row],[timeStamp]]+tblJTL[[#This Row],[elapsed]]</f>
        <v>1790816863072</v>
      </c>
      <c r="U1859" s="61">
        <f>(tblJTL[[#This Row],[timeStamp]]-'17_分析サンプル'!$E$18)/1000</f>
        <v>462.75900000000001</v>
      </c>
      <c r="V1859" s="57">
        <f>INT(tblJTL[[#This Row],[経過秒]]/60)</f>
        <v>7</v>
      </c>
      <c r="W1859" s="57">
        <f>IF(OR(tblJTL[[#This Row],[success]]=FALSE,tblJTL[[#This Row],[success]]="false"),1,0)</f>
        <v>0</v>
      </c>
      <c r="X1859" s="57">
        <f>IF(AND(tblJTL[[#This Row],[経過秒]]&gt;='17_分析サンプル'!$E$11,tblJTL[[#This Row],[経過秒]]&lt;'17_分析サンプル'!$E$12),1,0)</f>
        <v>1</v>
      </c>
    </row>
    <row r="1860" spans="2:24" ht="14.4" x14ac:dyDescent="0.3">
      <c r="B1860" s="57">
        <v>1790816862869</v>
      </c>
      <c r="C1860" s="58">
        <v>220</v>
      </c>
      <c r="D1860" s="59" t="s">
        <v>1677</v>
      </c>
      <c r="E1860" s="59" t="s">
        <v>3579</v>
      </c>
      <c r="F1860" s="59" t="s">
        <v>3580</v>
      </c>
      <c r="G1860" s="59" t="s">
        <v>3583</v>
      </c>
      <c r="H1860" s="59" t="s">
        <v>2281</v>
      </c>
      <c r="I1860" s="59" t="b">
        <v>1</v>
      </c>
      <c r="J1860" s="59"/>
      <c r="K1860" s="58">
        <v>418</v>
      </c>
      <c r="L1860" s="58">
        <v>1478</v>
      </c>
      <c r="M1860" s="59">
        <v>10</v>
      </c>
      <c r="N1860" s="59">
        <v>10</v>
      </c>
      <c r="O1860" s="59" t="s">
        <v>3581</v>
      </c>
      <c r="P1860" s="58">
        <v>217</v>
      </c>
      <c r="Q1860" s="59">
        <v>0</v>
      </c>
      <c r="R1860" s="59">
        <v>0</v>
      </c>
      <c r="S1860" s="60">
        <f>tblJTL[[#This Row],[timeStamp]]/86400000+DATE(1970,1,1)+TIME(9,0,0)</f>
        <v>46296.422023946754</v>
      </c>
      <c r="T1860" s="57">
        <f>tblJTL[[#This Row],[timeStamp]]+tblJTL[[#This Row],[elapsed]]</f>
        <v>1790816863089</v>
      </c>
      <c r="U1860" s="61">
        <f>(tblJTL[[#This Row],[timeStamp]]-'17_分析サンプル'!$E$18)/1000</f>
        <v>462.68900000000002</v>
      </c>
      <c r="V1860" s="57">
        <f>INT(tblJTL[[#This Row],[経過秒]]/60)</f>
        <v>7</v>
      </c>
      <c r="W1860" s="57">
        <f>IF(OR(tblJTL[[#This Row],[success]]=FALSE,tblJTL[[#This Row],[success]]="false"),1,0)</f>
        <v>0</v>
      </c>
      <c r="X1860" s="57">
        <f>IF(AND(tblJTL[[#This Row],[経過秒]]&gt;='17_分析サンプル'!$E$11,tblJTL[[#This Row],[経過秒]]&lt;'17_分析サンプル'!$E$12),1,0)</f>
        <v>1</v>
      </c>
    </row>
    <row r="1861" spans="2:24" ht="14.4" x14ac:dyDescent="0.3">
      <c r="B1861" s="57">
        <v>1790816863023</v>
      </c>
      <c r="C1861" s="58">
        <v>178</v>
      </c>
      <c r="D1861" s="59" t="s">
        <v>1658</v>
      </c>
      <c r="E1861" s="59" t="s">
        <v>1577</v>
      </c>
      <c r="F1861" s="59" t="s">
        <v>2275</v>
      </c>
      <c r="G1861" s="59" t="s">
        <v>3589</v>
      </c>
      <c r="H1861" s="59" t="s">
        <v>2281</v>
      </c>
      <c r="I1861" s="59" t="b">
        <v>1</v>
      </c>
      <c r="J1861" s="59"/>
      <c r="K1861" s="58">
        <v>1852</v>
      </c>
      <c r="L1861" s="58">
        <v>1342</v>
      </c>
      <c r="M1861" s="59">
        <v>10</v>
      </c>
      <c r="N1861" s="59">
        <v>10</v>
      </c>
      <c r="O1861" s="59" t="s">
        <v>3578</v>
      </c>
      <c r="P1861" s="58">
        <v>173</v>
      </c>
      <c r="Q1861" s="59">
        <v>0</v>
      </c>
      <c r="R1861" s="59">
        <v>0</v>
      </c>
      <c r="S1861" s="60">
        <f>tblJTL[[#This Row],[timeStamp]]/86400000+DATE(1970,1,1)+TIME(9,0,0)</f>
        <v>46296.422025729167</v>
      </c>
      <c r="T1861" s="57">
        <f>tblJTL[[#This Row],[timeStamp]]+tblJTL[[#This Row],[elapsed]]</f>
        <v>1790816863201</v>
      </c>
      <c r="U1861" s="61">
        <f>(tblJTL[[#This Row],[timeStamp]]-'17_分析サンプル'!$E$18)/1000</f>
        <v>462.84300000000002</v>
      </c>
      <c r="V1861" s="57">
        <f>INT(tblJTL[[#This Row],[経過秒]]/60)</f>
        <v>7</v>
      </c>
      <c r="W1861" s="57">
        <f>IF(OR(tblJTL[[#This Row],[success]]=FALSE,tblJTL[[#This Row],[success]]="false"),1,0)</f>
        <v>0</v>
      </c>
      <c r="X1861" s="57">
        <f>IF(AND(tblJTL[[#This Row],[経過秒]]&gt;='17_分析サンプル'!$E$11,tblJTL[[#This Row],[経過秒]]&lt;'17_分析サンプル'!$E$12),1,0)</f>
        <v>1</v>
      </c>
    </row>
    <row r="1862" spans="2:24" ht="14.4" x14ac:dyDescent="0.3">
      <c r="B1862" s="57">
        <v>1790816863354</v>
      </c>
      <c r="C1862" s="58">
        <v>107</v>
      </c>
      <c r="D1862" s="59" t="s">
        <v>1658</v>
      </c>
      <c r="E1862" s="59" t="s">
        <v>1577</v>
      </c>
      <c r="F1862" s="59" t="s">
        <v>2275</v>
      </c>
      <c r="G1862" s="59" t="s">
        <v>2278</v>
      </c>
      <c r="H1862" s="59" t="s">
        <v>2281</v>
      </c>
      <c r="I1862" s="59" t="b">
        <v>1</v>
      </c>
      <c r="J1862" s="59"/>
      <c r="K1862" s="58">
        <v>1835</v>
      </c>
      <c r="L1862" s="58">
        <v>1342</v>
      </c>
      <c r="M1862" s="59">
        <v>10</v>
      </c>
      <c r="N1862" s="59">
        <v>10</v>
      </c>
      <c r="O1862" s="59" t="s">
        <v>3578</v>
      </c>
      <c r="P1862" s="58">
        <v>103</v>
      </c>
      <c r="Q1862" s="59">
        <v>0</v>
      </c>
      <c r="R1862" s="59">
        <v>0</v>
      </c>
      <c r="S1862" s="60">
        <f>tblJTL[[#This Row],[timeStamp]]/86400000+DATE(1970,1,1)+TIME(9,0,0)</f>
        <v>46296.422029560184</v>
      </c>
      <c r="T1862" s="57">
        <f>tblJTL[[#This Row],[timeStamp]]+tblJTL[[#This Row],[elapsed]]</f>
        <v>1790816863461</v>
      </c>
      <c r="U1862" s="61">
        <f>(tblJTL[[#This Row],[timeStamp]]-'17_分析サンプル'!$E$18)/1000</f>
        <v>463.17399999999998</v>
      </c>
      <c r="V1862" s="57">
        <f>INT(tblJTL[[#This Row],[経過秒]]/60)</f>
        <v>7</v>
      </c>
      <c r="W1862" s="57">
        <f>IF(OR(tblJTL[[#This Row],[success]]=FALSE,tblJTL[[#This Row],[success]]="false"),1,0)</f>
        <v>0</v>
      </c>
      <c r="X1862" s="57">
        <f>IF(AND(tblJTL[[#This Row],[経過秒]]&gt;='17_分析サンプル'!$E$11,tblJTL[[#This Row],[経過秒]]&lt;'17_分析サンプル'!$E$12),1,0)</f>
        <v>1</v>
      </c>
    </row>
    <row r="1863" spans="2:24" ht="14.4" x14ac:dyDescent="0.3">
      <c r="B1863" s="57">
        <v>1790816863303</v>
      </c>
      <c r="C1863" s="58">
        <v>221</v>
      </c>
      <c r="D1863" s="59" t="s">
        <v>1677</v>
      </c>
      <c r="E1863" s="59" t="s">
        <v>3579</v>
      </c>
      <c r="F1863" s="59" t="s">
        <v>3580</v>
      </c>
      <c r="G1863" s="59" t="s">
        <v>3584</v>
      </c>
      <c r="H1863" s="59" t="s">
        <v>2281</v>
      </c>
      <c r="I1863" s="59" t="b">
        <v>1</v>
      </c>
      <c r="J1863" s="59"/>
      <c r="K1863" s="58">
        <v>436</v>
      </c>
      <c r="L1863" s="58">
        <v>1478</v>
      </c>
      <c r="M1863" s="59">
        <v>10</v>
      </c>
      <c r="N1863" s="59">
        <v>10</v>
      </c>
      <c r="O1863" s="59" t="s">
        <v>3581</v>
      </c>
      <c r="P1863" s="58">
        <v>218</v>
      </c>
      <c r="Q1863" s="59">
        <v>0</v>
      </c>
      <c r="R1863" s="59">
        <v>0</v>
      </c>
      <c r="S1863" s="60">
        <f>tblJTL[[#This Row],[timeStamp]]/86400000+DATE(1970,1,1)+TIME(9,0,0)</f>
        <v>46296.422028969908</v>
      </c>
      <c r="T1863" s="57">
        <f>tblJTL[[#This Row],[timeStamp]]+tblJTL[[#This Row],[elapsed]]</f>
        <v>1790816863524</v>
      </c>
      <c r="U1863" s="61">
        <f>(tblJTL[[#This Row],[timeStamp]]-'17_分析サンプル'!$E$18)/1000</f>
        <v>463.12299999999999</v>
      </c>
      <c r="V1863" s="57">
        <f>INT(tblJTL[[#This Row],[経過秒]]/60)</f>
        <v>7</v>
      </c>
      <c r="W1863" s="57">
        <f>IF(OR(tblJTL[[#This Row],[success]]=FALSE,tblJTL[[#This Row],[success]]="false"),1,0)</f>
        <v>0</v>
      </c>
      <c r="X1863" s="57">
        <f>IF(AND(tblJTL[[#This Row],[経過秒]]&gt;='17_分析サンプル'!$E$11,tblJTL[[#This Row],[経過秒]]&lt;'17_分析サンプル'!$E$12),1,0)</f>
        <v>1</v>
      </c>
    </row>
    <row r="1864" spans="2:24" ht="14.4" x14ac:dyDescent="0.3">
      <c r="B1864" s="57">
        <v>1790816863406</v>
      </c>
      <c r="C1864" s="58">
        <v>225</v>
      </c>
      <c r="D1864" s="59" t="s">
        <v>1677</v>
      </c>
      <c r="E1864" s="59" t="s">
        <v>3579</v>
      </c>
      <c r="F1864" s="59" t="s">
        <v>3580</v>
      </c>
      <c r="G1864" s="59" t="s">
        <v>3577</v>
      </c>
      <c r="H1864" s="59" t="s">
        <v>2281</v>
      </c>
      <c r="I1864" s="59" t="b">
        <v>1</v>
      </c>
      <c r="J1864" s="59"/>
      <c r="K1864" s="58">
        <v>415</v>
      </c>
      <c r="L1864" s="58">
        <v>1478</v>
      </c>
      <c r="M1864" s="59">
        <v>10</v>
      </c>
      <c r="N1864" s="59">
        <v>10</v>
      </c>
      <c r="O1864" s="59" t="s">
        <v>3581</v>
      </c>
      <c r="P1864" s="58">
        <v>220</v>
      </c>
      <c r="Q1864" s="59">
        <v>0</v>
      </c>
      <c r="R1864" s="59">
        <v>0</v>
      </c>
      <c r="S1864" s="60">
        <f>tblJTL[[#This Row],[timeStamp]]/86400000+DATE(1970,1,1)+TIME(9,0,0)</f>
        <v>46296.422030162037</v>
      </c>
      <c r="T1864" s="57">
        <f>tblJTL[[#This Row],[timeStamp]]+tblJTL[[#This Row],[elapsed]]</f>
        <v>1790816863631</v>
      </c>
      <c r="U1864" s="61">
        <f>(tblJTL[[#This Row],[timeStamp]]-'17_分析サンプル'!$E$18)/1000</f>
        <v>463.226</v>
      </c>
      <c r="V1864" s="57">
        <f>INT(tblJTL[[#This Row],[経過秒]]/60)</f>
        <v>7</v>
      </c>
      <c r="W1864" s="57">
        <f>IF(OR(tblJTL[[#This Row],[success]]=FALSE,tblJTL[[#This Row],[success]]="false"),1,0)</f>
        <v>0</v>
      </c>
      <c r="X1864" s="57">
        <f>IF(AND(tblJTL[[#This Row],[経過秒]]&gt;='17_分析サンプル'!$E$11,tblJTL[[#This Row],[経過秒]]&lt;'17_分析サンプル'!$E$12),1,0)</f>
        <v>1</v>
      </c>
    </row>
    <row r="1865" spans="2:24" ht="14.4" x14ac:dyDescent="0.3">
      <c r="B1865" s="57">
        <v>1790816863656</v>
      </c>
      <c r="C1865" s="58">
        <v>248</v>
      </c>
      <c r="D1865" s="59" t="s">
        <v>1677</v>
      </c>
      <c r="E1865" s="59" t="s">
        <v>3579</v>
      </c>
      <c r="F1865" s="59" t="s">
        <v>3580</v>
      </c>
      <c r="G1865" s="59" t="s">
        <v>3588</v>
      </c>
      <c r="H1865" s="59" t="s">
        <v>2281</v>
      </c>
      <c r="I1865" s="59" t="b">
        <v>1</v>
      </c>
      <c r="J1865" s="59"/>
      <c r="K1865" s="58">
        <v>426</v>
      </c>
      <c r="L1865" s="58">
        <v>1478</v>
      </c>
      <c r="M1865" s="59">
        <v>10</v>
      </c>
      <c r="N1865" s="59">
        <v>10</v>
      </c>
      <c r="O1865" s="59" t="s">
        <v>3581</v>
      </c>
      <c r="P1865" s="58">
        <v>246</v>
      </c>
      <c r="Q1865" s="59">
        <v>0</v>
      </c>
      <c r="R1865" s="59">
        <v>0</v>
      </c>
      <c r="S1865" s="60">
        <f>tblJTL[[#This Row],[timeStamp]]/86400000+DATE(1970,1,1)+TIME(9,0,0)</f>
        <v>46296.422033055554</v>
      </c>
      <c r="T1865" s="57">
        <f>tblJTL[[#This Row],[timeStamp]]+tblJTL[[#This Row],[elapsed]]</f>
        <v>1790816863904</v>
      </c>
      <c r="U1865" s="61">
        <f>(tblJTL[[#This Row],[timeStamp]]-'17_分析サンプル'!$E$18)/1000</f>
        <v>463.476</v>
      </c>
      <c r="V1865" s="57">
        <f>INT(tblJTL[[#This Row],[経過秒]]/60)</f>
        <v>7</v>
      </c>
      <c r="W1865" s="57">
        <f>IF(OR(tblJTL[[#This Row],[success]]=FALSE,tblJTL[[#This Row],[success]]="false"),1,0)</f>
        <v>0</v>
      </c>
      <c r="X1865" s="57">
        <f>IF(AND(tblJTL[[#This Row],[経過秒]]&gt;='17_分析サンプル'!$E$11,tblJTL[[#This Row],[経過秒]]&lt;'17_分析サンプル'!$E$12),1,0)</f>
        <v>1</v>
      </c>
    </row>
    <row r="1866" spans="2:24" ht="14.4" x14ac:dyDescent="0.3">
      <c r="B1866" s="57">
        <v>1790816863672</v>
      </c>
      <c r="C1866" s="58">
        <v>240</v>
      </c>
      <c r="D1866" s="59" t="s">
        <v>1677</v>
      </c>
      <c r="E1866" s="59" t="s">
        <v>3579</v>
      </c>
      <c r="F1866" s="59" t="s">
        <v>3580</v>
      </c>
      <c r="G1866" s="59" t="s">
        <v>3586</v>
      </c>
      <c r="H1866" s="59" t="s">
        <v>2281</v>
      </c>
      <c r="I1866" s="59" t="b">
        <v>1</v>
      </c>
      <c r="J1866" s="59"/>
      <c r="K1866" s="58">
        <v>431</v>
      </c>
      <c r="L1866" s="58">
        <v>1478</v>
      </c>
      <c r="M1866" s="59">
        <v>10</v>
      </c>
      <c r="N1866" s="59">
        <v>10</v>
      </c>
      <c r="O1866" s="59" t="s">
        <v>3581</v>
      </c>
      <c r="P1866" s="58">
        <v>238</v>
      </c>
      <c r="Q1866" s="59">
        <v>0</v>
      </c>
      <c r="R1866" s="59">
        <v>0</v>
      </c>
      <c r="S1866" s="60">
        <f>tblJTL[[#This Row],[timeStamp]]/86400000+DATE(1970,1,1)+TIME(9,0,0)</f>
        <v>46296.422033240742</v>
      </c>
      <c r="T1866" s="57">
        <f>tblJTL[[#This Row],[timeStamp]]+tblJTL[[#This Row],[elapsed]]</f>
        <v>1790816863912</v>
      </c>
      <c r="U1866" s="61">
        <f>(tblJTL[[#This Row],[timeStamp]]-'17_分析サンプル'!$E$18)/1000</f>
        <v>463.49200000000002</v>
      </c>
      <c r="V1866" s="57">
        <f>INT(tblJTL[[#This Row],[経過秒]]/60)</f>
        <v>7</v>
      </c>
      <c r="W1866" s="57">
        <f>IF(OR(tblJTL[[#This Row],[success]]=FALSE,tblJTL[[#This Row],[success]]="false"),1,0)</f>
        <v>0</v>
      </c>
      <c r="X1866" s="57">
        <f>IF(AND(tblJTL[[#This Row],[経過秒]]&gt;='17_分析サンプル'!$E$11,tblJTL[[#This Row],[経過秒]]&lt;'17_分析サンプル'!$E$12),1,0)</f>
        <v>1</v>
      </c>
    </row>
    <row r="1867" spans="2:24" ht="14.4" x14ac:dyDescent="0.3">
      <c r="B1867" s="57">
        <v>1790816864038</v>
      </c>
      <c r="C1867" s="58">
        <v>91</v>
      </c>
      <c r="D1867" s="59" t="s">
        <v>1658</v>
      </c>
      <c r="E1867" s="59" t="s">
        <v>1577</v>
      </c>
      <c r="F1867" s="59" t="s">
        <v>2275</v>
      </c>
      <c r="G1867" s="59" t="s">
        <v>3582</v>
      </c>
      <c r="H1867" s="59" t="s">
        <v>2281</v>
      </c>
      <c r="I1867" s="59" t="b">
        <v>1</v>
      </c>
      <c r="J1867" s="59"/>
      <c r="K1867" s="58">
        <v>1893</v>
      </c>
      <c r="L1867" s="58">
        <v>1342</v>
      </c>
      <c r="M1867" s="59">
        <v>10</v>
      </c>
      <c r="N1867" s="59">
        <v>10</v>
      </c>
      <c r="O1867" s="59" t="s">
        <v>3578</v>
      </c>
      <c r="P1867" s="58">
        <v>87</v>
      </c>
      <c r="Q1867" s="59">
        <v>0</v>
      </c>
      <c r="R1867" s="59">
        <v>0</v>
      </c>
      <c r="S1867" s="60">
        <f>tblJTL[[#This Row],[timeStamp]]/86400000+DATE(1970,1,1)+TIME(9,0,0)</f>
        <v>46296.422037476848</v>
      </c>
      <c r="T1867" s="57">
        <f>tblJTL[[#This Row],[timeStamp]]+tblJTL[[#This Row],[elapsed]]</f>
        <v>1790816864129</v>
      </c>
      <c r="U1867" s="61">
        <f>(tblJTL[[#This Row],[timeStamp]]-'17_分析サンプル'!$E$18)/1000</f>
        <v>463.858</v>
      </c>
      <c r="V1867" s="57">
        <f>INT(tblJTL[[#This Row],[経過秒]]/60)</f>
        <v>7</v>
      </c>
      <c r="W1867" s="57">
        <f>IF(OR(tblJTL[[#This Row],[success]]=FALSE,tblJTL[[#This Row],[success]]="false"),1,0)</f>
        <v>0</v>
      </c>
      <c r="X1867" s="57">
        <f>IF(AND(tblJTL[[#This Row],[経過秒]]&gt;='17_分析サンプル'!$E$11,tblJTL[[#This Row],[経過秒]]&lt;'17_分析サンプル'!$E$12),1,0)</f>
        <v>1</v>
      </c>
    </row>
    <row r="1868" spans="2:24" ht="14.4" x14ac:dyDescent="0.3">
      <c r="B1868" s="57">
        <v>1790816864363</v>
      </c>
      <c r="C1868" s="58">
        <v>404</v>
      </c>
      <c r="D1868" s="59" t="s">
        <v>1677</v>
      </c>
      <c r="E1868" s="59" t="s">
        <v>3579</v>
      </c>
      <c r="F1868" s="59" t="s">
        <v>3580</v>
      </c>
      <c r="G1868" s="59" t="s">
        <v>3585</v>
      </c>
      <c r="H1868" s="59" t="s">
        <v>2281</v>
      </c>
      <c r="I1868" s="59" t="b">
        <v>1</v>
      </c>
      <c r="J1868" s="59"/>
      <c r="K1868" s="58">
        <v>411</v>
      </c>
      <c r="L1868" s="58">
        <v>1478</v>
      </c>
      <c r="M1868" s="59">
        <v>10</v>
      </c>
      <c r="N1868" s="59">
        <v>10</v>
      </c>
      <c r="O1868" s="59" t="s">
        <v>3581</v>
      </c>
      <c r="P1868" s="58">
        <v>402</v>
      </c>
      <c r="Q1868" s="59">
        <v>0</v>
      </c>
      <c r="R1868" s="59">
        <v>63</v>
      </c>
      <c r="S1868" s="60">
        <f>tblJTL[[#This Row],[timeStamp]]/86400000+DATE(1970,1,1)+TIME(9,0,0)</f>
        <v>46296.422041238431</v>
      </c>
      <c r="T1868" s="57">
        <f>tblJTL[[#This Row],[timeStamp]]+tblJTL[[#This Row],[elapsed]]</f>
        <v>1790816864767</v>
      </c>
      <c r="U1868" s="61">
        <f>(tblJTL[[#This Row],[timeStamp]]-'17_分析サンプル'!$E$18)/1000</f>
        <v>464.18299999999999</v>
      </c>
      <c r="V1868" s="57">
        <f>INT(tblJTL[[#This Row],[経過秒]]/60)</f>
        <v>7</v>
      </c>
      <c r="W1868" s="57">
        <f>IF(OR(tblJTL[[#This Row],[success]]=FALSE,tblJTL[[#This Row],[success]]="false"),1,0)</f>
        <v>0</v>
      </c>
      <c r="X1868" s="57">
        <f>IF(AND(tblJTL[[#This Row],[経過秒]]&gt;='17_分析サンプル'!$E$11,tblJTL[[#This Row],[経過秒]]&lt;'17_分析サンプル'!$E$12),1,0)</f>
        <v>1</v>
      </c>
    </row>
    <row r="1869" spans="2:24" ht="14.4" x14ac:dyDescent="0.3">
      <c r="B1869" s="57">
        <v>1790816864641</v>
      </c>
      <c r="C1869" s="58">
        <v>318</v>
      </c>
      <c r="D1869" s="59" t="s">
        <v>1677</v>
      </c>
      <c r="E1869" s="59" t="s">
        <v>3579</v>
      </c>
      <c r="F1869" s="59" t="s">
        <v>3580</v>
      </c>
      <c r="G1869" s="59" t="s">
        <v>2278</v>
      </c>
      <c r="H1869" s="59" t="s">
        <v>2281</v>
      </c>
      <c r="I1869" s="59" t="b">
        <v>1</v>
      </c>
      <c r="J1869" s="59"/>
      <c r="K1869" s="58">
        <v>420</v>
      </c>
      <c r="L1869" s="58">
        <v>1478</v>
      </c>
      <c r="M1869" s="59">
        <v>10</v>
      </c>
      <c r="N1869" s="59">
        <v>10</v>
      </c>
      <c r="O1869" s="59" t="s">
        <v>3581</v>
      </c>
      <c r="P1869" s="58">
        <v>316</v>
      </c>
      <c r="Q1869" s="59">
        <v>0</v>
      </c>
      <c r="R1869" s="59">
        <v>0</v>
      </c>
      <c r="S1869" s="60">
        <f>tblJTL[[#This Row],[timeStamp]]/86400000+DATE(1970,1,1)+TIME(9,0,0)</f>
        <v>46296.42204445602</v>
      </c>
      <c r="T1869" s="57">
        <f>tblJTL[[#This Row],[timeStamp]]+tblJTL[[#This Row],[elapsed]]</f>
        <v>1790816864959</v>
      </c>
      <c r="U1869" s="61">
        <f>(tblJTL[[#This Row],[timeStamp]]-'17_分析サンプル'!$E$18)/1000</f>
        <v>464.46100000000001</v>
      </c>
      <c r="V1869" s="57">
        <f>INT(tblJTL[[#This Row],[経過秒]]/60)</f>
        <v>7</v>
      </c>
      <c r="W1869" s="57">
        <f>IF(OR(tblJTL[[#This Row],[success]]=FALSE,tblJTL[[#This Row],[success]]="false"),1,0)</f>
        <v>0</v>
      </c>
      <c r="X1869" s="57">
        <f>IF(AND(tblJTL[[#This Row],[経過秒]]&gt;='17_分析サンプル'!$E$11,tblJTL[[#This Row],[経過秒]]&lt;'17_分析サンプル'!$E$12),1,0)</f>
        <v>1</v>
      </c>
    </row>
    <row r="1870" spans="2:24" ht="14.4" x14ac:dyDescent="0.3">
      <c r="B1870" s="57">
        <v>1790816864979</v>
      </c>
      <c r="C1870" s="58">
        <v>101</v>
      </c>
      <c r="D1870" s="59" t="s">
        <v>1658</v>
      </c>
      <c r="E1870" s="59" t="s">
        <v>1577</v>
      </c>
      <c r="F1870" s="59" t="s">
        <v>2275</v>
      </c>
      <c r="G1870" s="59" t="s">
        <v>3584</v>
      </c>
      <c r="H1870" s="59" t="s">
        <v>2281</v>
      </c>
      <c r="I1870" s="59" t="b">
        <v>1</v>
      </c>
      <c r="J1870" s="59"/>
      <c r="K1870" s="58">
        <v>1893</v>
      </c>
      <c r="L1870" s="58">
        <v>1342</v>
      </c>
      <c r="M1870" s="59">
        <v>10</v>
      </c>
      <c r="N1870" s="59">
        <v>10</v>
      </c>
      <c r="O1870" s="59" t="s">
        <v>3578</v>
      </c>
      <c r="P1870" s="58">
        <v>96</v>
      </c>
      <c r="Q1870" s="59">
        <v>0</v>
      </c>
      <c r="R1870" s="59">
        <v>0</v>
      </c>
      <c r="S1870" s="60">
        <f>tblJTL[[#This Row],[timeStamp]]/86400000+DATE(1970,1,1)+TIME(9,0,0)</f>
        <v>46296.422048368055</v>
      </c>
      <c r="T1870" s="57">
        <f>tblJTL[[#This Row],[timeStamp]]+tblJTL[[#This Row],[elapsed]]</f>
        <v>1790816865080</v>
      </c>
      <c r="U1870" s="61">
        <f>(tblJTL[[#This Row],[timeStamp]]-'17_分析サンプル'!$E$18)/1000</f>
        <v>464.79899999999998</v>
      </c>
      <c r="V1870" s="57">
        <f>INT(tblJTL[[#This Row],[経過秒]]/60)</f>
        <v>7</v>
      </c>
      <c r="W1870" s="57">
        <f>IF(OR(tblJTL[[#This Row],[success]]=FALSE,tblJTL[[#This Row],[success]]="false"),1,0)</f>
        <v>0</v>
      </c>
      <c r="X1870" s="57">
        <f>IF(AND(tblJTL[[#This Row],[経過秒]]&gt;='17_分析サンプル'!$E$11,tblJTL[[#This Row],[経過秒]]&lt;'17_分析サンプル'!$E$12),1,0)</f>
        <v>1</v>
      </c>
    </row>
    <row r="1871" spans="2:24" ht="14.4" x14ac:dyDescent="0.3">
      <c r="B1871" s="57">
        <v>1790816865809</v>
      </c>
      <c r="C1871" s="58">
        <v>72</v>
      </c>
      <c r="D1871" s="59" t="s">
        <v>1658</v>
      </c>
      <c r="E1871" s="59" t="s">
        <v>1577</v>
      </c>
      <c r="F1871" s="59" t="s">
        <v>2275</v>
      </c>
      <c r="G1871" s="59" t="s">
        <v>3583</v>
      </c>
      <c r="H1871" s="59" t="s">
        <v>2281</v>
      </c>
      <c r="I1871" s="59" t="b">
        <v>1</v>
      </c>
      <c r="J1871" s="59"/>
      <c r="K1871" s="58">
        <v>1866</v>
      </c>
      <c r="L1871" s="58">
        <v>1342</v>
      </c>
      <c r="M1871" s="59">
        <v>10</v>
      </c>
      <c r="N1871" s="59">
        <v>10</v>
      </c>
      <c r="O1871" s="59" t="s">
        <v>3578</v>
      </c>
      <c r="P1871" s="58">
        <v>69</v>
      </c>
      <c r="Q1871" s="59">
        <v>0</v>
      </c>
      <c r="R1871" s="59">
        <v>0</v>
      </c>
      <c r="S1871" s="60">
        <f>tblJTL[[#This Row],[timeStamp]]/86400000+DATE(1970,1,1)+TIME(9,0,0)</f>
        <v>46296.422057974538</v>
      </c>
      <c r="T1871" s="57">
        <f>tblJTL[[#This Row],[timeStamp]]+tblJTL[[#This Row],[elapsed]]</f>
        <v>1790816865881</v>
      </c>
      <c r="U1871" s="61">
        <f>(tblJTL[[#This Row],[timeStamp]]-'17_分析サンプル'!$E$18)/1000</f>
        <v>465.62900000000002</v>
      </c>
      <c r="V1871" s="57">
        <f>INT(tblJTL[[#This Row],[経過秒]]/60)</f>
        <v>7</v>
      </c>
      <c r="W1871" s="57">
        <f>IF(OR(tblJTL[[#This Row],[success]]=FALSE,tblJTL[[#This Row],[success]]="false"),1,0)</f>
        <v>0</v>
      </c>
      <c r="X1871" s="57">
        <f>IF(AND(tblJTL[[#This Row],[経過秒]]&gt;='17_分析サンプル'!$E$11,tblJTL[[#This Row],[経過秒]]&lt;'17_分析サンプル'!$E$12),1,0)</f>
        <v>1</v>
      </c>
    </row>
    <row r="1872" spans="2:24" ht="14.4" x14ac:dyDescent="0.3">
      <c r="B1872" s="57">
        <v>1790816865875</v>
      </c>
      <c r="C1872" s="58">
        <v>91</v>
      </c>
      <c r="D1872" s="59" t="s">
        <v>1658</v>
      </c>
      <c r="E1872" s="59" t="s">
        <v>1577</v>
      </c>
      <c r="F1872" s="59" t="s">
        <v>2275</v>
      </c>
      <c r="G1872" s="59" t="s">
        <v>3585</v>
      </c>
      <c r="H1872" s="59" t="s">
        <v>2281</v>
      </c>
      <c r="I1872" s="59" t="b">
        <v>1</v>
      </c>
      <c r="J1872" s="59"/>
      <c r="K1872" s="58">
        <v>1861</v>
      </c>
      <c r="L1872" s="58">
        <v>1342</v>
      </c>
      <c r="M1872" s="59">
        <v>10</v>
      </c>
      <c r="N1872" s="59">
        <v>10</v>
      </c>
      <c r="O1872" s="59" t="s">
        <v>3578</v>
      </c>
      <c r="P1872" s="58">
        <v>88</v>
      </c>
      <c r="Q1872" s="59">
        <v>0</v>
      </c>
      <c r="R1872" s="59">
        <v>0</v>
      </c>
      <c r="S1872" s="60">
        <f>tblJTL[[#This Row],[timeStamp]]/86400000+DATE(1970,1,1)+TIME(9,0,0)</f>
        <v>46296.422058738426</v>
      </c>
      <c r="T1872" s="57">
        <f>tblJTL[[#This Row],[timeStamp]]+tblJTL[[#This Row],[elapsed]]</f>
        <v>1790816865966</v>
      </c>
      <c r="U1872" s="61">
        <f>(tblJTL[[#This Row],[timeStamp]]-'17_分析サンプル'!$E$18)/1000</f>
        <v>465.69499999999999</v>
      </c>
      <c r="V1872" s="57">
        <f>INT(tblJTL[[#This Row],[経過秒]]/60)</f>
        <v>7</v>
      </c>
      <c r="W1872" s="57">
        <f>IF(OR(tblJTL[[#This Row],[success]]=FALSE,tblJTL[[#This Row],[success]]="false"),1,0)</f>
        <v>0</v>
      </c>
      <c r="X1872" s="57">
        <f>IF(AND(tblJTL[[#This Row],[経過秒]]&gt;='17_分析サンプル'!$E$11,tblJTL[[#This Row],[経過秒]]&lt;'17_分析サンプル'!$E$12),1,0)</f>
        <v>1</v>
      </c>
    </row>
    <row r="1873" spans="2:24" ht="14.4" x14ac:dyDescent="0.3">
      <c r="B1873" s="57">
        <v>1790816865723</v>
      </c>
      <c r="C1873" s="58">
        <v>261</v>
      </c>
      <c r="D1873" s="59" t="s">
        <v>1677</v>
      </c>
      <c r="E1873" s="59" t="s">
        <v>3579</v>
      </c>
      <c r="F1873" s="59" t="s">
        <v>3580</v>
      </c>
      <c r="G1873" s="59" t="s">
        <v>3589</v>
      </c>
      <c r="H1873" s="59" t="s">
        <v>2281</v>
      </c>
      <c r="I1873" s="59" t="b">
        <v>1</v>
      </c>
      <c r="J1873" s="59"/>
      <c r="K1873" s="58">
        <v>440</v>
      </c>
      <c r="L1873" s="58">
        <v>1478</v>
      </c>
      <c r="M1873" s="59">
        <v>10</v>
      </c>
      <c r="N1873" s="59">
        <v>10</v>
      </c>
      <c r="O1873" s="59" t="s">
        <v>3581</v>
      </c>
      <c r="P1873" s="58">
        <v>256</v>
      </c>
      <c r="Q1873" s="59">
        <v>0</v>
      </c>
      <c r="R1873" s="59">
        <v>0</v>
      </c>
      <c r="S1873" s="60">
        <f>tblJTL[[#This Row],[timeStamp]]/86400000+DATE(1970,1,1)+TIME(9,0,0)</f>
        <v>46296.422056979165</v>
      </c>
      <c r="T1873" s="57">
        <f>tblJTL[[#This Row],[timeStamp]]+tblJTL[[#This Row],[elapsed]]</f>
        <v>1790816865984</v>
      </c>
      <c r="U1873" s="61">
        <f>(tblJTL[[#This Row],[timeStamp]]-'17_分析サンプル'!$E$18)/1000</f>
        <v>465.54300000000001</v>
      </c>
      <c r="V1873" s="57">
        <f>INT(tblJTL[[#This Row],[経過秒]]/60)</f>
        <v>7</v>
      </c>
      <c r="W1873" s="57">
        <f>IF(OR(tblJTL[[#This Row],[success]]=FALSE,tblJTL[[#This Row],[success]]="false"),1,0)</f>
        <v>0</v>
      </c>
      <c r="X1873" s="57">
        <f>IF(AND(tblJTL[[#This Row],[経過秒]]&gt;='17_分析サンプル'!$E$11,tblJTL[[#This Row],[経過秒]]&lt;'17_分析サンプル'!$E$12),1,0)</f>
        <v>1</v>
      </c>
    </row>
    <row r="1874" spans="2:24" ht="14.4" x14ac:dyDescent="0.3">
      <c r="B1874" s="57">
        <v>1790816866021</v>
      </c>
      <c r="C1874" s="58">
        <v>135</v>
      </c>
      <c r="D1874" s="59" t="s">
        <v>1658</v>
      </c>
      <c r="E1874" s="59" t="s">
        <v>1577</v>
      </c>
      <c r="F1874" s="59" t="s">
        <v>2275</v>
      </c>
      <c r="G1874" s="59" t="s">
        <v>3577</v>
      </c>
      <c r="H1874" s="59" t="s">
        <v>2281</v>
      </c>
      <c r="I1874" s="59" t="b">
        <v>1</v>
      </c>
      <c r="J1874" s="59"/>
      <c r="K1874" s="58">
        <v>1831</v>
      </c>
      <c r="L1874" s="58">
        <v>1342</v>
      </c>
      <c r="M1874" s="59">
        <v>10</v>
      </c>
      <c r="N1874" s="59">
        <v>10</v>
      </c>
      <c r="O1874" s="59" t="s">
        <v>3578</v>
      </c>
      <c r="P1874" s="58">
        <v>127</v>
      </c>
      <c r="Q1874" s="59">
        <v>0</v>
      </c>
      <c r="R1874" s="59">
        <v>0</v>
      </c>
      <c r="S1874" s="60">
        <f>tblJTL[[#This Row],[timeStamp]]/86400000+DATE(1970,1,1)+TIME(9,0,0)</f>
        <v>46296.422060428245</v>
      </c>
      <c r="T1874" s="57">
        <f>tblJTL[[#This Row],[timeStamp]]+tblJTL[[#This Row],[elapsed]]</f>
        <v>1790816866156</v>
      </c>
      <c r="U1874" s="61">
        <f>(tblJTL[[#This Row],[timeStamp]]-'17_分析サンプル'!$E$18)/1000</f>
        <v>465.84100000000001</v>
      </c>
      <c r="V1874" s="57">
        <f>INT(tblJTL[[#This Row],[経過秒]]/60)</f>
        <v>7</v>
      </c>
      <c r="W1874" s="57">
        <f>IF(OR(tblJTL[[#This Row],[success]]=FALSE,tblJTL[[#This Row],[success]]="false"),1,0)</f>
        <v>0</v>
      </c>
      <c r="X1874" s="57">
        <f>IF(AND(tblJTL[[#This Row],[経過秒]]&gt;='17_分析サンプル'!$E$11,tblJTL[[#This Row],[経過秒]]&lt;'17_分析サンプル'!$E$12),1,0)</f>
        <v>1</v>
      </c>
    </row>
    <row r="1875" spans="2:24" ht="14.4" x14ac:dyDescent="0.3">
      <c r="B1875" s="57">
        <v>1790816866072</v>
      </c>
      <c r="C1875" s="58">
        <v>112</v>
      </c>
      <c r="D1875" s="59" t="s">
        <v>1658</v>
      </c>
      <c r="E1875" s="59" t="s">
        <v>1577</v>
      </c>
      <c r="F1875" s="59" t="s">
        <v>2275</v>
      </c>
      <c r="G1875" s="59" t="s">
        <v>3588</v>
      </c>
      <c r="H1875" s="59" t="s">
        <v>2281</v>
      </c>
      <c r="I1875" s="59" t="b">
        <v>1</v>
      </c>
      <c r="J1875" s="59"/>
      <c r="K1875" s="58">
        <v>1844</v>
      </c>
      <c r="L1875" s="58">
        <v>1342</v>
      </c>
      <c r="M1875" s="59">
        <v>10</v>
      </c>
      <c r="N1875" s="59">
        <v>10</v>
      </c>
      <c r="O1875" s="59" t="s">
        <v>3578</v>
      </c>
      <c r="P1875" s="58">
        <v>109</v>
      </c>
      <c r="Q1875" s="59">
        <v>0</v>
      </c>
      <c r="R1875" s="59">
        <v>0</v>
      </c>
      <c r="S1875" s="60">
        <f>tblJTL[[#This Row],[timeStamp]]/86400000+DATE(1970,1,1)+TIME(9,0,0)</f>
        <v>46296.422061018515</v>
      </c>
      <c r="T1875" s="57">
        <f>tblJTL[[#This Row],[timeStamp]]+tblJTL[[#This Row],[elapsed]]</f>
        <v>1790816866184</v>
      </c>
      <c r="U1875" s="61">
        <f>(tblJTL[[#This Row],[timeStamp]]-'17_分析サンプル'!$E$18)/1000</f>
        <v>465.892</v>
      </c>
      <c r="V1875" s="57">
        <f>INT(tblJTL[[#This Row],[経過秒]]/60)</f>
        <v>7</v>
      </c>
      <c r="W1875" s="57">
        <f>IF(OR(tblJTL[[#This Row],[success]]=FALSE,tblJTL[[#This Row],[success]]="false"),1,0)</f>
        <v>0</v>
      </c>
      <c r="X1875" s="57">
        <f>IF(AND(tblJTL[[#This Row],[経過秒]]&gt;='17_分析サンプル'!$E$11,tblJTL[[#This Row],[経過秒]]&lt;'17_分析サンプル'!$E$12),1,0)</f>
        <v>1</v>
      </c>
    </row>
    <row r="1876" spans="2:24" ht="14.4" x14ac:dyDescent="0.3">
      <c r="B1876" s="57">
        <v>1790816866082</v>
      </c>
      <c r="C1876" s="58">
        <v>144</v>
      </c>
      <c r="D1876" s="59" t="s">
        <v>1658</v>
      </c>
      <c r="E1876" s="59" t="s">
        <v>1577</v>
      </c>
      <c r="F1876" s="59" t="s">
        <v>2275</v>
      </c>
      <c r="G1876" s="59" t="s">
        <v>2278</v>
      </c>
      <c r="H1876" s="59" t="s">
        <v>2281</v>
      </c>
      <c r="I1876" s="59" t="b">
        <v>1</v>
      </c>
      <c r="J1876" s="59"/>
      <c r="K1876" s="58">
        <v>1839</v>
      </c>
      <c r="L1876" s="58">
        <v>1342</v>
      </c>
      <c r="M1876" s="59">
        <v>10</v>
      </c>
      <c r="N1876" s="59">
        <v>10</v>
      </c>
      <c r="O1876" s="59" t="s">
        <v>3578</v>
      </c>
      <c r="P1876" s="58">
        <v>137</v>
      </c>
      <c r="Q1876" s="59">
        <v>0</v>
      </c>
      <c r="R1876" s="59">
        <v>0</v>
      </c>
      <c r="S1876" s="60">
        <f>tblJTL[[#This Row],[timeStamp]]/86400000+DATE(1970,1,1)+TIME(9,0,0)</f>
        <v>46296.422061134261</v>
      </c>
      <c r="T1876" s="57">
        <f>tblJTL[[#This Row],[timeStamp]]+tblJTL[[#This Row],[elapsed]]</f>
        <v>1790816866226</v>
      </c>
      <c r="U1876" s="61">
        <f>(tblJTL[[#This Row],[timeStamp]]-'17_分析サンプル'!$E$18)/1000</f>
        <v>465.90199999999999</v>
      </c>
      <c r="V1876" s="57">
        <f>INT(tblJTL[[#This Row],[経過秒]]/60)</f>
        <v>7</v>
      </c>
      <c r="W1876" s="57">
        <f>IF(OR(tblJTL[[#This Row],[success]]=FALSE,tblJTL[[#This Row],[success]]="false"),1,0)</f>
        <v>0</v>
      </c>
      <c r="X1876" s="57">
        <f>IF(AND(tblJTL[[#This Row],[経過秒]]&gt;='17_分析サンプル'!$E$11,tblJTL[[#This Row],[経過秒]]&lt;'17_分析サンプル'!$E$12),1,0)</f>
        <v>1</v>
      </c>
    </row>
    <row r="1877" spans="2:24" ht="14.4" x14ac:dyDescent="0.3">
      <c r="B1877" s="57">
        <v>1790816865952</v>
      </c>
      <c r="C1877" s="58">
        <v>442</v>
      </c>
      <c r="D1877" s="59" t="s">
        <v>1677</v>
      </c>
      <c r="E1877" s="59" t="s">
        <v>3579</v>
      </c>
      <c r="F1877" s="59" t="s">
        <v>3580</v>
      </c>
      <c r="G1877" s="59" t="s">
        <v>3587</v>
      </c>
      <c r="H1877" s="59" t="s">
        <v>2281</v>
      </c>
      <c r="I1877" s="59" t="b">
        <v>1</v>
      </c>
      <c r="J1877" s="59"/>
      <c r="K1877" s="58">
        <v>431</v>
      </c>
      <c r="L1877" s="58">
        <v>1478</v>
      </c>
      <c r="M1877" s="59">
        <v>10</v>
      </c>
      <c r="N1877" s="59">
        <v>10</v>
      </c>
      <c r="O1877" s="59" t="s">
        <v>3581</v>
      </c>
      <c r="P1877" s="58">
        <v>437</v>
      </c>
      <c r="Q1877" s="59">
        <v>0</v>
      </c>
      <c r="R1877" s="59">
        <v>0</v>
      </c>
      <c r="S1877" s="60">
        <f>tblJTL[[#This Row],[timeStamp]]/86400000+DATE(1970,1,1)+TIME(9,0,0)</f>
        <v>46296.422059629629</v>
      </c>
      <c r="T1877" s="57">
        <f>tblJTL[[#This Row],[timeStamp]]+tblJTL[[#This Row],[elapsed]]</f>
        <v>1790816866394</v>
      </c>
      <c r="U1877" s="61">
        <f>(tblJTL[[#This Row],[timeStamp]]-'17_分析サンプル'!$E$18)/1000</f>
        <v>465.77199999999999</v>
      </c>
      <c r="V1877" s="57">
        <f>INT(tblJTL[[#This Row],[経過秒]]/60)</f>
        <v>7</v>
      </c>
      <c r="W1877" s="57">
        <f>IF(OR(tblJTL[[#This Row],[success]]=FALSE,tblJTL[[#This Row],[success]]="false"),1,0)</f>
        <v>0</v>
      </c>
      <c r="X1877" s="57">
        <f>IF(AND(tblJTL[[#This Row],[経過秒]]&gt;='17_分析サンプル'!$E$11,tblJTL[[#This Row],[経過秒]]&lt;'17_分析サンプル'!$E$12),1,0)</f>
        <v>1</v>
      </c>
    </row>
    <row r="1878" spans="2:24" ht="14.4" x14ac:dyDescent="0.3">
      <c r="B1878" s="57">
        <v>1790816866431</v>
      </c>
      <c r="C1878" s="58">
        <v>100</v>
      </c>
      <c r="D1878" s="59" t="s">
        <v>1658</v>
      </c>
      <c r="E1878" s="59" t="s">
        <v>1577</v>
      </c>
      <c r="F1878" s="59" t="s">
        <v>2275</v>
      </c>
      <c r="G1878" s="59" t="s">
        <v>3586</v>
      </c>
      <c r="H1878" s="59" t="s">
        <v>2281</v>
      </c>
      <c r="I1878" s="59" t="b">
        <v>1</v>
      </c>
      <c r="J1878" s="59"/>
      <c r="K1878" s="58">
        <v>1850</v>
      </c>
      <c r="L1878" s="58">
        <v>1342</v>
      </c>
      <c r="M1878" s="59">
        <v>10</v>
      </c>
      <c r="N1878" s="59">
        <v>10</v>
      </c>
      <c r="O1878" s="59" t="s">
        <v>3578</v>
      </c>
      <c r="P1878" s="58">
        <v>97</v>
      </c>
      <c r="Q1878" s="59">
        <v>0</v>
      </c>
      <c r="R1878" s="59">
        <v>0</v>
      </c>
      <c r="S1878" s="60">
        <f>tblJTL[[#This Row],[timeStamp]]/86400000+DATE(1970,1,1)+TIME(9,0,0)</f>
        <v>46296.42206517361</v>
      </c>
      <c r="T1878" s="57">
        <f>tblJTL[[#This Row],[timeStamp]]+tblJTL[[#This Row],[elapsed]]</f>
        <v>1790816866531</v>
      </c>
      <c r="U1878" s="61">
        <f>(tblJTL[[#This Row],[timeStamp]]-'17_分析サンプル'!$E$18)/1000</f>
        <v>466.25099999999998</v>
      </c>
      <c r="V1878" s="57">
        <f>INT(tblJTL[[#This Row],[経過秒]]/60)</f>
        <v>7</v>
      </c>
      <c r="W1878" s="57">
        <f>IF(OR(tblJTL[[#This Row],[success]]=FALSE,tblJTL[[#This Row],[success]]="false"),1,0)</f>
        <v>0</v>
      </c>
      <c r="X1878" s="57">
        <f>IF(AND(tblJTL[[#This Row],[経過秒]]&gt;='17_分析サンプル'!$E$11,tblJTL[[#This Row],[経過秒]]&lt;'17_分析サンプル'!$E$12),1,0)</f>
        <v>1</v>
      </c>
    </row>
    <row r="1879" spans="2:24" ht="14.4" x14ac:dyDescent="0.3">
      <c r="B1879" s="57">
        <v>1790816867074</v>
      </c>
      <c r="C1879" s="58">
        <v>242</v>
      </c>
      <c r="D1879" s="59" t="s">
        <v>1677</v>
      </c>
      <c r="E1879" s="59" t="s">
        <v>3579</v>
      </c>
      <c r="F1879" s="59" t="s">
        <v>3580</v>
      </c>
      <c r="G1879" s="59" t="s">
        <v>3582</v>
      </c>
      <c r="H1879" s="59" t="s">
        <v>2281</v>
      </c>
      <c r="I1879" s="59" t="b">
        <v>1</v>
      </c>
      <c r="J1879" s="59"/>
      <c r="K1879" s="58">
        <v>425</v>
      </c>
      <c r="L1879" s="58">
        <v>1478</v>
      </c>
      <c r="M1879" s="59">
        <v>10</v>
      </c>
      <c r="N1879" s="59">
        <v>10</v>
      </c>
      <c r="O1879" s="59" t="s">
        <v>3581</v>
      </c>
      <c r="P1879" s="58">
        <v>238</v>
      </c>
      <c r="Q1879" s="59">
        <v>0</v>
      </c>
      <c r="R1879" s="59">
        <v>0</v>
      </c>
      <c r="S1879" s="60">
        <f>tblJTL[[#This Row],[timeStamp]]/86400000+DATE(1970,1,1)+TIME(9,0,0)</f>
        <v>46296.422072615736</v>
      </c>
      <c r="T1879" s="57">
        <f>tblJTL[[#This Row],[timeStamp]]+tblJTL[[#This Row],[elapsed]]</f>
        <v>1790816867316</v>
      </c>
      <c r="U1879" s="61">
        <f>(tblJTL[[#This Row],[timeStamp]]-'17_分析サンプル'!$E$18)/1000</f>
        <v>466.89400000000001</v>
      </c>
      <c r="V1879" s="57">
        <f>INT(tblJTL[[#This Row],[経過秒]]/60)</f>
        <v>7</v>
      </c>
      <c r="W1879" s="57">
        <f>IF(OR(tblJTL[[#This Row],[success]]=FALSE,tblJTL[[#This Row],[success]]="false"),1,0)</f>
        <v>0</v>
      </c>
      <c r="X1879" s="57">
        <f>IF(AND(tblJTL[[#This Row],[経過秒]]&gt;='17_分析サンプル'!$E$11,tblJTL[[#This Row],[経過秒]]&lt;'17_分析サンプル'!$E$12),1,0)</f>
        <v>1</v>
      </c>
    </row>
    <row r="1880" spans="2:24" ht="14.4" x14ac:dyDescent="0.3">
      <c r="B1880" s="57">
        <v>1790816867165</v>
      </c>
      <c r="C1880" s="58">
        <v>247</v>
      </c>
      <c r="D1880" s="59" t="s">
        <v>1677</v>
      </c>
      <c r="E1880" s="59" t="s">
        <v>3579</v>
      </c>
      <c r="F1880" s="59" t="s">
        <v>3580</v>
      </c>
      <c r="G1880" s="59" t="s">
        <v>3584</v>
      </c>
      <c r="H1880" s="59" t="s">
        <v>2281</v>
      </c>
      <c r="I1880" s="59" t="b">
        <v>1</v>
      </c>
      <c r="J1880" s="59"/>
      <c r="K1880" s="58">
        <v>426</v>
      </c>
      <c r="L1880" s="58">
        <v>1478</v>
      </c>
      <c r="M1880" s="59">
        <v>10</v>
      </c>
      <c r="N1880" s="59">
        <v>10</v>
      </c>
      <c r="O1880" s="59" t="s">
        <v>3581</v>
      </c>
      <c r="P1880" s="58">
        <v>239</v>
      </c>
      <c r="Q1880" s="59">
        <v>0</v>
      </c>
      <c r="R1880" s="59">
        <v>0</v>
      </c>
      <c r="S1880" s="60">
        <f>tblJTL[[#This Row],[timeStamp]]/86400000+DATE(1970,1,1)+TIME(9,0,0)</f>
        <v>46296.422073668982</v>
      </c>
      <c r="T1880" s="57">
        <f>tblJTL[[#This Row],[timeStamp]]+tblJTL[[#This Row],[elapsed]]</f>
        <v>1790816867412</v>
      </c>
      <c r="U1880" s="61">
        <f>(tblJTL[[#This Row],[timeStamp]]-'17_分析サンプル'!$E$18)/1000</f>
        <v>466.98500000000001</v>
      </c>
      <c r="V1880" s="57">
        <f>INT(tblJTL[[#This Row],[経過秒]]/60)</f>
        <v>7</v>
      </c>
      <c r="W1880" s="57">
        <f>IF(OR(tblJTL[[#This Row],[success]]=FALSE,tblJTL[[#This Row],[success]]="false"),1,0)</f>
        <v>0</v>
      </c>
      <c r="X1880" s="57">
        <f>IF(AND(tblJTL[[#This Row],[経過秒]]&gt;='17_分析サンプル'!$E$11,tblJTL[[#This Row],[経過秒]]&lt;'17_分析サンプル'!$E$12),1,0)</f>
        <v>1</v>
      </c>
    </row>
    <row r="1881" spans="2:24" ht="14.4" x14ac:dyDescent="0.3">
      <c r="B1881" s="57">
        <v>1790816868301</v>
      </c>
      <c r="C1881" s="58">
        <v>213</v>
      </c>
      <c r="D1881" s="59" t="s">
        <v>1677</v>
      </c>
      <c r="E1881" s="59" t="s">
        <v>3579</v>
      </c>
      <c r="F1881" s="59" t="s">
        <v>3580</v>
      </c>
      <c r="G1881" s="59" t="s">
        <v>3585</v>
      </c>
      <c r="H1881" s="59" t="s">
        <v>2281</v>
      </c>
      <c r="I1881" s="59" t="b">
        <v>1</v>
      </c>
      <c r="J1881" s="59"/>
      <c r="K1881" s="58">
        <v>420</v>
      </c>
      <c r="L1881" s="58">
        <v>1478</v>
      </c>
      <c r="M1881" s="59">
        <v>10</v>
      </c>
      <c r="N1881" s="59">
        <v>10</v>
      </c>
      <c r="O1881" s="59" t="s">
        <v>3581</v>
      </c>
      <c r="P1881" s="58">
        <v>211</v>
      </c>
      <c r="Q1881" s="59">
        <v>0</v>
      </c>
      <c r="R1881" s="59">
        <v>0</v>
      </c>
      <c r="S1881" s="60">
        <f>tblJTL[[#This Row],[timeStamp]]/86400000+DATE(1970,1,1)+TIME(9,0,0)</f>
        <v>46296.422086817125</v>
      </c>
      <c r="T1881" s="57">
        <f>tblJTL[[#This Row],[timeStamp]]+tblJTL[[#This Row],[elapsed]]</f>
        <v>1790816868514</v>
      </c>
      <c r="U1881" s="61">
        <f>(tblJTL[[#This Row],[timeStamp]]-'17_分析サンプル'!$E$18)/1000</f>
        <v>468.12099999999998</v>
      </c>
      <c r="V1881" s="57">
        <f>INT(tblJTL[[#This Row],[経過秒]]/60)</f>
        <v>7</v>
      </c>
      <c r="W1881" s="57">
        <f>IF(OR(tblJTL[[#This Row],[success]]=FALSE,tblJTL[[#This Row],[success]]="false"),1,0)</f>
        <v>0</v>
      </c>
      <c r="X1881" s="57">
        <f>IF(AND(tblJTL[[#This Row],[経過秒]]&gt;='17_分析サンプル'!$E$11,tblJTL[[#This Row],[経過秒]]&lt;'17_分析サンプル'!$E$12),1,0)</f>
        <v>1</v>
      </c>
    </row>
    <row r="1882" spans="2:24" ht="14.4" x14ac:dyDescent="0.3">
      <c r="B1882" s="57">
        <v>1790816868391</v>
      </c>
      <c r="C1882" s="58">
        <v>131</v>
      </c>
      <c r="D1882" s="59" t="s">
        <v>1658</v>
      </c>
      <c r="E1882" s="59" t="s">
        <v>1577</v>
      </c>
      <c r="F1882" s="59" t="s">
        <v>2275</v>
      </c>
      <c r="G1882" s="59" t="s">
        <v>3587</v>
      </c>
      <c r="H1882" s="59" t="s">
        <v>2281</v>
      </c>
      <c r="I1882" s="59" t="b">
        <v>1</v>
      </c>
      <c r="J1882" s="59"/>
      <c r="K1882" s="58">
        <v>1860</v>
      </c>
      <c r="L1882" s="58">
        <v>1342</v>
      </c>
      <c r="M1882" s="59">
        <v>10</v>
      </c>
      <c r="N1882" s="59">
        <v>10</v>
      </c>
      <c r="O1882" s="59" t="s">
        <v>3578</v>
      </c>
      <c r="P1882" s="58">
        <v>126</v>
      </c>
      <c r="Q1882" s="59">
        <v>0</v>
      </c>
      <c r="R1882" s="59">
        <v>0</v>
      </c>
      <c r="S1882" s="60">
        <f>tblJTL[[#This Row],[timeStamp]]/86400000+DATE(1970,1,1)+TIME(9,0,0)</f>
        <v>46296.422087858795</v>
      </c>
      <c r="T1882" s="57">
        <f>tblJTL[[#This Row],[timeStamp]]+tblJTL[[#This Row],[elapsed]]</f>
        <v>1790816868522</v>
      </c>
      <c r="U1882" s="61">
        <f>(tblJTL[[#This Row],[timeStamp]]-'17_分析サンプル'!$E$18)/1000</f>
        <v>468.21100000000001</v>
      </c>
      <c r="V1882" s="57">
        <f>INT(tblJTL[[#This Row],[経過秒]]/60)</f>
        <v>7</v>
      </c>
      <c r="W1882" s="57">
        <f>IF(OR(tblJTL[[#This Row],[success]]=FALSE,tblJTL[[#This Row],[success]]="false"),1,0)</f>
        <v>0</v>
      </c>
      <c r="X1882" s="57">
        <f>IF(AND(tblJTL[[#This Row],[経過秒]]&gt;='17_分析サンプル'!$E$11,tblJTL[[#This Row],[経過秒]]&lt;'17_分析サンプル'!$E$12),1,0)</f>
        <v>1</v>
      </c>
    </row>
    <row r="1883" spans="2:24" ht="14.4" x14ac:dyDescent="0.3">
      <c r="B1883" s="57">
        <v>1790816868382</v>
      </c>
      <c r="C1883" s="58">
        <v>141</v>
      </c>
      <c r="D1883" s="59" t="s">
        <v>1658</v>
      </c>
      <c r="E1883" s="59" t="s">
        <v>1577</v>
      </c>
      <c r="F1883" s="59" t="s">
        <v>2275</v>
      </c>
      <c r="G1883" s="59" t="s">
        <v>3589</v>
      </c>
      <c r="H1883" s="59" t="s">
        <v>2281</v>
      </c>
      <c r="I1883" s="59" t="b">
        <v>1</v>
      </c>
      <c r="J1883" s="59"/>
      <c r="K1883" s="58">
        <v>1827</v>
      </c>
      <c r="L1883" s="58">
        <v>1342</v>
      </c>
      <c r="M1883" s="59">
        <v>10</v>
      </c>
      <c r="N1883" s="59">
        <v>10</v>
      </c>
      <c r="O1883" s="59" t="s">
        <v>3578</v>
      </c>
      <c r="P1883" s="58">
        <v>137</v>
      </c>
      <c r="Q1883" s="59">
        <v>0</v>
      </c>
      <c r="R1883" s="59">
        <v>0</v>
      </c>
      <c r="S1883" s="60">
        <f>tblJTL[[#This Row],[timeStamp]]/86400000+DATE(1970,1,1)+TIME(9,0,0)</f>
        <v>46296.422087754632</v>
      </c>
      <c r="T1883" s="57">
        <f>tblJTL[[#This Row],[timeStamp]]+tblJTL[[#This Row],[elapsed]]</f>
        <v>1790816868523</v>
      </c>
      <c r="U1883" s="61">
        <f>(tblJTL[[#This Row],[timeStamp]]-'17_分析サンプル'!$E$18)/1000</f>
        <v>468.202</v>
      </c>
      <c r="V1883" s="57">
        <f>INT(tblJTL[[#This Row],[経過秒]]/60)</f>
        <v>7</v>
      </c>
      <c r="W1883" s="57">
        <f>IF(OR(tblJTL[[#This Row],[success]]=FALSE,tblJTL[[#This Row],[success]]="false"),1,0)</f>
        <v>0</v>
      </c>
      <c r="X1883" s="57">
        <f>IF(AND(tblJTL[[#This Row],[経過秒]]&gt;='17_分析サンプル'!$E$11,tblJTL[[#This Row],[経過秒]]&lt;'17_分析サンプル'!$E$12),1,0)</f>
        <v>1</v>
      </c>
    </row>
    <row r="1884" spans="2:24" ht="14.4" x14ac:dyDescent="0.3">
      <c r="B1884" s="57">
        <v>1790816868287</v>
      </c>
      <c r="C1884" s="58">
        <v>336</v>
      </c>
      <c r="D1884" s="59" t="s">
        <v>1677</v>
      </c>
      <c r="E1884" s="59" t="s">
        <v>3579</v>
      </c>
      <c r="F1884" s="59" t="s">
        <v>3580</v>
      </c>
      <c r="G1884" s="59" t="s">
        <v>3583</v>
      </c>
      <c r="H1884" s="59" t="s">
        <v>2281</v>
      </c>
      <c r="I1884" s="59" t="b">
        <v>1</v>
      </c>
      <c r="J1884" s="59"/>
      <c r="K1884" s="58">
        <v>421</v>
      </c>
      <c r="L1884" s="58">
        <v>1478</v>
      </c>
      <c r="M1884" s="59">
        <v>10</v>
      </c>
      <c r="N1884" s="59">
        <v>10</v>
      </c>
      <c r="O1884" s="59" t="s">
        <v>3581</v>
      </c>
      <c r="P1884" s="58">
        <v>330</v>
      </c>
      <c r="Q1884" s="59">
        <v>0</v>
      </c>
      <c r="R1884" s="59">
        <v>0</v>
      </c>
      <c r="S1884" s="60">
        <f>tblJTL[[#This Row],[timeStamp]]/86400000+DATE(1970,1,1)+TIME(9,0,0)</f>
        <v>46296.42208665509</v>
      </c>
      <c r="T1884" s="57">
        <f>tblJTL[[#This Row],[timeStamp]]+tblJTL[[#This Row],[elapsed]]</f>
        <v>1790816868623</v>
      </c>
      <c r="U1884" s="61">
        <f>(tblJTL[[#This Row],[timeStamp]]-'17_分析サンプル'!$E$18)/1000</f>
        <v>468.10700000000003</v>
      </c>
      <c r="V1884" s="57">
        <f>INT(tblJTL[[#This Row],[経過秒]]/60)</f>
        <v>7</v>
      </c>
      <c r="W1884" s="57">
        <f>IF(OR(tblJTL[[#This Row],[success]]=FALSE,tblJTL[[#This Row],[success]]="false"),1,0)</f>
        <v>0</v>
      </c>
      <c r="X1884" s="57">
        <f>IF(AND(tblJTL[[#This Row],[経過秒]]&gt;='17_分析サンプル'!$E$11,tblJTL[[#This Row],[経過秒]]&lt;'17_分析サンプル'!$E$12),1,0)</f>
        <v>1</v>
      </c>
    </row>
    <row r="1885" spans="2:24" ht="14.4" x14ac:dyDescent="0.3">
      <c r="B1885" s="57">
        <v>1790816868399</v>
      </c>
      <c r="C1885" s="58">
        <v>306</v>
      </c>
      <c r="D1885" s="59" t="s">
        <v>1677</v>
      </c>
      <c r="E1885" s="59" t="s">
        <v>3579</v>
      </c>
      <c r="F1885" s="59" t="s">
        <v>3580</v>
      </c>
      <c r="G1885" s="59" t="s">
        <v>2278</v>
      </c>
      <c r="H1885" s="59" t="s">
        <v>2281</v>
      </c>
      <c r="I1885" s="59" t="b">
        <v>1</v>
      </c>
      <c r="J1885" s="59"/>
      <c r="K1885" s="58">
        <v>421</v>
      </c>
      <c r="L1885" s="58">
        <v>1478</v>
      </c>
      <c r="M1885" s="59">
        <v>10</v>
      </c>
      <c r="N1885" s="59">
        <v>10</v>
      </c>
      <c r="O1885" s="59" t="s">
        <v>3581</v>
      </c>
      <c r="P1885" s="58">
        <v>299</v>
      </c>
      <c r="Q1885" s="59">
        <v>0</v>
      </c>
      <c r="R1885" s="59">
        <v>0</v>
      </c>
      <c r="S1885" s="60">
        <f>tblJTL[[#This Row],[timeStamp]]/86400000+DATE(1970,1,1)+TIME(9,0,0)</f>
        <v>46296.422087951389</v>
      </c>
      <c r="T1885" s="57">
        <f>tblJTL[[#This Row],[timeStamp]]+tblJTL[[#This Row],[elapsed]]</f>
        <v>1790816868705</v>
      </c>
      <c r="U1885" s="61">
        <f>(tblJTL[[#This Row],[timeStamp]]-'17_分析サンプル'!$E$18)/1000</f>
        <v>468.21899999999999</v>
      </c>
      <c r="V1885" s="57">
        <f>INT(tblJTL[[#This Row],[経過秒]]/60)</f>
        <v>7</v>
      </c>
      <c r="W1885" s="57">
        <f>IF(OR(tblJTL[[#This Row],[success]]=FALSE,tblJTL[[#This Row],[success]]="false"),1,0)</f>
        <v>0</v>
      </c>
      <c r="X1885" s="57">
        <f>IF(AND(tblJTL[[#This Row],[経過秒]]&gt;='17_分析サンプル'!$E$11,tblJTL[[#This Row],[経過秒]]&lt;'17_分析サンプル'!$E$12),1,0)</f>
        <v>1</v>
      </c>
    </row>
    <row r="1886" spans="2:24" ht="14.4" x14ac:dyDescent="0.3">
      <c r="B1886" s="57">
        <v>1790816868530</v>
      </c>
      <c r="C1886" s="58">
        <v>192</v>
      </c>
      <c r="D1886" s="59" t="s">
        <v>1677</v>
      </c>
      <c r="E1886" s="59" t="s">
        <v>3579</v>
      </c>
      <c r="F1886" s="59" t="s">
        <v>3580</v>
      </c>
      <c r="G1886" s="59" t="s">
        <v>3577</v>
      </c>
      <c r="H1886" s="59" t="s">
        <v>2281</v>
      </c>
      <c r="I1886" s="59" t="b">
        <v>1</v>
      </c>
      <c r="J1886" s="59"/>
      <c r="K1886" s="58">
        <v>429</v>
      </c>
      <c r="L1886" s="58">
        <v>1478</v>
      </c>
      <c r="M1886" s="59">
        <v>10</v>
      </c>
      <c r="N1886" s="59">
        <v>10</v>
      </c>
      <c r="O1886" s="59" t="s">
        <v>3581</v>
      </c>
      <c r="P1886" s="58">
        <v>185</v>
      </c>
      <c r="Q1886" s="59">
        <v>0</v>
      </c>
      <c r="R1886" s="59">
        <v>0</v>
      </c>
      <c r="S1886" s="60">
        <f>tblJTL[[#This Row],[timeStamp]]/86400000+DATE(1970,1,1)+TIME(9,0,0)</f>
        <v>46296.422089467596</v>
      </c>
      <c r="T1886" s="57">
        <f>tblJTL[[#This Row],[timeStamp]]+tblJTL[[#This Row],[elapsed]]</f>
        <v>1790816868722</v>
      </c>
      <c r="U1886" s="61">
        <f>(tblJTL[[#This Row],[timeStamp]]-'17_分析サンプル'!$E$18)/1000</f>
        <v>468.35</v>
      </c>
      <c r="V1886" s="57">
        <f>INT(tblJTL[[#This Row],[経過秒]]/60)</f>
        <v>7</v>
      </c>
      <c r="W1886" s="57">
        <f>IF(OR(tblJTL[[#This Row],[success]]=FALSE,tblJTL[[#This Row],[success]]="false"),1,0)</f>
        <v>0</v>
      </c>
      <c r="X1886" s="57">
        <f>IF(AND(tblJTL[[#This Row],[経過秒]]&gt;='17_分析サンプル'!$E$11,tblJTL[[#This Row],[経過秒]]&lt;'17_分析サンプル'!$E$12),1,0)</f>
        <v>1</v>
      </c>
    </row>
    <row r="1887" spans="2:24" ht="14.4" x14ac:dyDescent="0.3">
      <c r="B1887" s="57">
        <v>1790816868620</v>
      </c>
      <c r="C1887" s="58">
        <v>297</v>
      </c>
      <c r="D1887" s="59" t="s">
        <v>1677</v>
      </c>
      <c r="E1887" s="59" t="s">
        <v>3579</v>
      </c>
      <c r="F1887" s="59" t="s">
        <v>3580</v>
      </c>
      <c r="G1887" s="59" t="s">
        <v>3588</v>
      </c>
      <c r="H1887" s="59" t="s">
        <v>2281</v>
      </c>
      <c r="I1887" s="59" t="b">
        <v>1</v>
      </c>
      <c r="J1887" s="59"/>
      <c r="K1887" s="58">
        <v>439</v>
      </c>
      <c r="L1887" s="58">
        <v>1478</v>
      </c>
      <c r="M1887" s="59">
        <v>10</v>
      </c>
      <c r="N1887" s="59">
        <v>10</v>
      </c>
      <c r="O1887" s="59" t="s">
        <v>3581</v>
      </c>
      <c r="P1887" s="58">
        <v>295</v>
      </c>
      <c r="Q1887" s="59">
        <v>0</v>
      </c>
      <c r="R1887" s="59">
        <v>0</v>
      </c>
      <c r="S1887" s="60">
        <f>tblJTL[[#This Row],[timeStamp]]/86400000+DATE(1970,1,1)+TIME(9,0,0)</f>
        <v>46296.422090509259</v>
      </c>
      <c r="T1887" s="57">
        <f>tblJTL[[#This Row],[timeStamp]]+tblJTL[[#This Row],[elapsed]]</f>
        <v>1790816868917</v>
      </c>
      <c r="U1887" s="61">
        <f>(tblJTL[[#This Row],[timeStamp]]-'17_分析サンプル'!$E$18)/1000</f>
        <v>468.44</v>
      </c>
      <c r="V1887" s="57">
        <f>INT(tblJTL[[#This Row],[経過秒]]/60)</f>
        <v>7</v>
      </c>
      <c r="W1887" s="57">
        <f>IF(OR(tblJTL[[#This Row],[success]]=FALSE,tblJTL[[#This Row],[success]]="false"),1,0)</f>
        <v>0</v>
      </c>
      <c r="X1887" s="57">
        <f>IF(AND(tblJTL[[#This Row],[経過秒]]&gt;='17_分析サンプル'!$E$11,tblJTL[[#This Row],[経過秒]]&lt;'17_分析サンプル'!$E$12),1,0)</f>
        <v>1</v>
      </c>
    </row>
    <row r="1888" spans="2:24" ht="14.4" x14ac:dyDescent="0.3">
      <c r="B1888" s="57">
        <v>1790816869136</v>
      </c>
      <c r="C1888" s="58">
        <v>130</v>
      </c>
      <c r="D1888" s="59" t="s">
        <v>1658</v>
      </c>
      <c r="E1888" s="59" t="s">
        <v>1577</v>
      </c>
      <c r="F1888" s="59" t="s">
        <v>2275</v>
      </c>
      <c r="G1888" s="59" t="s">
        <v>3582</v>
      </c>
      <c r="H1888" s="59" t="s">
        <v>2281</v>
      </c>
      <c r="I1888" s="59" t="b">
        <v>1</v>
      </c>
      <c r="J1888" s="59"/>
      <c r="K1888" s="58">
        <v>1845</v>
      </c>
      <c r="L1888" s="58">
        <v>1342</v>
      </c>
      <c r="M1888" s="59">
        <v>10</v>
      </c>
      <c r="N1888" s="59">
        <v>10</v>
      </c>
      <c r="O1888" s="59" t="s">
        <v>3578</v>
      </c>
      <c r="P1888" s="58">
        <v>122</v>
      </c>
      <c r="Q1888" s="59">
        <v>0</v>
      </c>
      <c r="R1888" s="59">
        <v>0</v>
      </c>
      <c r="S1888" s="60">
        <f>tblJTL[[#This Row],[timeStamp]]/86400000+DATE(1970,1,1)+TIME(9,0,0)</f>
        <v>46296.422096481481</v>
      </c>
      <c r="T1888" s="57">
        <f>tblJTL[[#This Row],[timeStamp]]+tblJTL[[#This Row],[elapsed]]</f>
        <v>1790816869266</v>
      </c>
      <c r="U1888" s="61">
        <f>(tblJTL[[#This Row],[timeStamp]]-'17_分析サンプル'!$E$18)/1000</f>
        <v>468.95600000000002</v>
      </c>
      <c r="V1888" s="57">
        <f>INT(tblJTL[[#This Row],[経過秒]]/60)</f>
        <v>7</v>
      </c>
      <c r="W1888" s="57">
        <f>IF(OR(tblJTL[[#This Row],[success]]=FALSE,tblJTL[[#This Row],[success]]="false"),1,0)</f>
        <v>0</v>
      </c>
      <c r="X1888" s="57">
        <f>IF(AND(tblJTL[[#This Row],[経過秒]]&gt;='17_分析サンプル'!$E$11,tblJTL[[#This Row],[経過秒]]&lt;'17_分析サンプル'!$E$12),1,0)</f>
        <v>1</v>
      </c>
    </row>
    <row r="1889" spans="2:24" ht="14.4" x14ac:dyDescent="0.3">
      <c r="B1889" s="57">
        <v>1790816868913</v>
      </c>
      <c r="C1889" s="58">
        <v>356</v>
      </c>
      <c r="D1889" s="59" t="s">
        <v>1677</v>
      </c>
      <c r="E1889" s="59" t="s">
        <v>3579</v>
      </c>
      <c r="F1889" s="59" t="s">
        <v>3580</v>
      </c>
      <c r="G1889" s="59" t="s">
        <v>3586</v>
      </c>
      <c r="H1889" s="59" t="s">
        <v>2281</v>
      </c>
      <c r="I1889" s="59" t="b">
        <v>1</v>
      </c>
      <c r="J1889" s="59"/>
      <c r="K1889" s="58">
        <v>410</v>
      </c>
      <c r="L1889" s="58">
        <v>1478</v>
      </c>
      <c r="M1889" s="59">
        <v>10</v>
      </c>
      <c r="N1889" s="59">
        <v>10</v>
      </c>
      <c r="O1889" s="59" t="s">
        <v>3581</v>
      </c>
      <c r="P1889" s="58">
        <v>353</v>
      </c>
      <c r="Q1889" s="59">
        <v>0</v>
      </c>
      <c r="R1889" s="59">
        <v>56</v>
      </c>
      <c r="S1889" s="60">
        <f>tblJTL[[#This Row],[timeStamp]]/86400000+DATE(1970,1,1)+TIME(9,0,0)</f>
        <v>46296.422093900459</v>
      </c>
      <c r="T1889" s="57">
        <f>tblJTL[[#This Row],[timeStamp]]+tblJTL[[#This Row],[elapsed]]</f>
        <v>1790816869269</v>
      </c>
      <c r="U1889" s="61">
        <f>(tblJTL[[#This Row],[timeStamp]]-'17_分析サンプル'!$E$18)/1000</f>
        <v>468.733</v>
      </c>
      <c r="V1889" s="57">
        <f>INT(tblJTL[[#This Row],[経過秒]]/60)</f>
        <v>7</v>
      </c>
      <c r="W1889" s="57">
        <f>IF(OR(tblJTL[[#This Row],[success]]=FALSE,tblJTL[[#This Row],[success]]="false"),1,0)</f>
        <v>0</v>
      </c>
      <c r="X1889" s="57">
        <f>IF(AND(tblJTL[[#This Row],[経過秒]]&gt;='17_分析サンプル'!$E$11,tblJTL[[#This Row],[経過秒]]&lt;'17_分析サンプル'!$E$12),1,0)</f>
        <v>1</v>
      </c>
    </row>
    <row r="1890" spans="2:24" ht="14.4" x14ac:dyDescent="0.3">
      <c r="B1890" s="57">
        <v>1790816869489</v>
      </c>
      <c r="C1890" s="58">
        <v>118</v>
      </c>
      <c r="D1890" s="59" t="s">
        <v>1658</v>
      </c>
      <c r="E1890" s="59" t="s">
        <v>1577</v>
      </c>
      <c r="F1890" s="59" t="s">
        <v>2275</v>
      </c>
      <c r="G1890" s="59" t="s">
        <v>3584</v>
      </c>
      <c r="H1890" s="59" t="s">
        <v>2281</v>
      </c>
      <c r="I1890" s="59" t="b">
        <v>1</v>
      </c>
      <c r="J1890" s="59"/>
      <c r="K1890" s="58">
        <v>1834</v>
      </c>
      <c r="L1890" s="58">
        <v>1342</v>
      </c>
      <c r="M1890" s="59">
        <v>10</v>
      </c>
      <c r="N1890" s="59">
        <v>10</v>
      </c>
      <c r="O1890" s="59" t="s">
        <v>3578</v>
      </c>
      <c r="P1890" s="58">
        <v>115</v>
      </c>
      <c r="Q1890" s="59">
        <v>0</v>
      </c>
      <c r="R1890" s="59">
        <v>0</v>
      </c>
      <c r="S1890" s="60">
        <f>tblJTL[[#This Row],[timeStamp]]/86400000+DATE(1970,1,1)+TIME(9,0,0)</f>
        <v>46296.422100567128</v>
      </c>
      <c r="T1890" s="57">
        <f>tblJTL[[#This Row],[timeStamp]]+tblJTL[[#This Row],[elapsed]]</f>
        <v>1790816869607</v>
      </c>
      <c r="U1890" s="61">
        <f>(tblJTL[[#This Row],[timeStamp]]-'17_分析サンプル'!$E$18)/1000</f>
        <v>469.30900000000003</v>
      </c>
      <c r="V1890" s="57">
        <f>INT(tblJTL[[#This Row],[経過秒]]/60)</f>
        <v>7</v>
      </c>
      <c r="W1890" s="57">
        <f>IF(OR(tblJTL[[#This Row],[success]]=FALSE,tblJTL[[#This Row],[success]]="false"),1,0)</f>
        <v>0</v>
      </c>
      <c r="X1890" s="57">
        <f>IF(AND(tblJTL[[#This Row],[経過秒]]&gt;='17_分析サンプル'!$E$11,tblJTL[[#This Row],[経過秒]]&lt;'17_分析サンプル'!$E$12),1,0)</f>
        <v>1</v>
      </c>
    </row>
    <row r="1891" spans="2:24" ht="14.4" x14ac:dyDescent="0.3">
      <c r="B1891" s="57">
        <v>1790816869586</v>
      </c>
      <c r="C1891" s="58">
        <v>104</v>
      </c>
      <c r="D1891" s="59" t="s">
        <v>1658</v>
      </c>
      <c r="E1891" s="59" t="s">
        <v>1577</v>
      </c>
      <c r="F1891" s="59" t="s">
        <v>2275</v>
      </c>
      <c r="G1891" s="59" t="s">
        <v>3585</v>
      </c>
      <c r="H1891" s="59" t="s">
        <v>2281</v>
      </c>
      <c r="I1891" s="59" t="b">
        <v>1</v>
      </c>
      <c r="J1891" s="59"/>
      <c r="K1891" s="58">
        <v>1869</v>
      </c>
      <c r="L1891" s="58">
        <v>1342</v>
      </c>
      <c r="M1891" s="59">
        <v>10</v>
      </c>
      <c r="N1891" s="59">
        <v>10</v>
      </c>
      <c r="O1891" s="59" t="s">
        <v>3578</v>
      </c>
      <c r="P1891" s="58">
        <v>99</v>
      </c>
      <c r="Q1891" s="59">
        <v>0</v>
      </c>
      <c r="R1891" s="59">
        <v>0</v>
      </c>
      <c r="S1891" s="60">
        <f>tblJTL[[#This Row],[timeStamp]]/86400000+DATE(1970,1,1)+TIME(9,0,0)</f>
        <v>46296.422101689815</v>
      </c>
      <c r="T1891" s="57">
        <f>tblJTL[[#This Row],[timeStamp]]+tblJTL[[#This Row],[elapsed]]</f>
        <v>1790816869690</v>
      </c>
      <c r="U1891" s="61">
        <f>(tblJTL[[#This Row],[timeStamp]]-'17_分析サンプル'!$E$18)/1000</f>
        <v>469.40600000000001</v>
      </c>
      <c r="V1891" s="57">
        <f>INT(tblJTL[[#This Row],[経過秒]]/60)</f>
        <v>7</v>
      </c>
      <c r="W1891" s="57">
        <f>IF(OR(tblJTL[[#This Row],[success]]=FALSE,tblJTL[[#This Row],[success]]="false"),1,0)</f>
        <v>0</v>
      </c>
      <c r="X1891" s="57">
        <f>IF(AND(tblJTL[[#This Row],[経過秒]]&gt;='17_分析サンプル'!$E$11,tblJTL[[#This Row],[経過秒]]&lt;'17_分析サンプル'!$E$12),1,0)</f>
        <v>1</v>
      </c>
    </row>
    <row r="1892" spans="2:24" ht="14.4" x14ac:dyDescent="0.3">
      <c r="B1892" s="57">
        <v>1790816869528</v>
      </c>
      <c r="C1892" s="58">
        <v>191</v>
      </c>
      <c r="D1892" s="59" t="s">
        <v>1677</v>
      </c>
      <c r="E1892" s="59" t="s">
        <v>3579</v>
      </c>
      <c r="F1892" s="59" t="s">
        <v>3580</v>
      </c>
      <c r="G1892" s="59" t="s">
        <v>3587</v>
      </c>
      <c r="H1892" s="59" t="s">
        <v>2281</v>
      </c>
      <c r="I1892" s="59" t="b">
        <v>1</v>
      </c>
      <c r="J1892" s="59"/>
      <c r="K1892" s="58">
        <v>419</v>
      </c>
      <c r="L1892" s="58">
        <v>1478</v>
      </c>
      <c r="M1892" s="59">
        <v>10</v>
      </c>
      <c r="N1892" s="59">
        <v>10</v>
      </c>
      <c r="O1892" s="59" t="s">
        <v>3581</v>
      </c>
      <c r="P1892" s="58">
        <v>185</v>
      </c>
      <c r="Q1892" s="59">
        <v>0</v>
      </c>
      <c r="R1892" s="59">
        <v>0</v>
      </c>
      <c r="S1892" s="60">
        <f>tblJTL[[#This Row],[timeStamp]]/86400000+DATE(1970,1,1)+TIME(9,0,0)</f>
        <v>46296.422101018514</v>
      </c>
      <c r="T1892" s="57">
        <f>tblJTL[[#This Row],[timeStamp]]+tblJTL[[#This Row],[elapsed]]</f>
        <v>1790816869719</v>
      </c>
      <c r="U1892" s="61">
        <f>(tblJTL[[#This Row],[timeStamp]]-'17_分析サンプル'!$E$18)/1000</f>
        <v>469.34800000000001</v>
      </c>
      <c r="V1892" s="57">
        <f>INT(tblJTL[[#This Row],[経過秒]]/60)</f>
        <v>7</v>
      </c>
      <c r="W1892" s="57">
        <f>IF(OR(tblJTL[[#This Row],[success]]=FALSE,tblJTL[[#This Row],[success]]="false"),1,0)</f>
        <v>0</v>
      </c>
      <c r="X1892" s="57">
        <f>IF(AND(tblJTL[[#This Row],[経過秒]]&gt;='17_分析サンプル'!$E$11,tblJTL[[#This Row],[経過秒]]&lt;'17_分析サンプル'!$E$12),1,0)</f>
        <v>1</v>
      </c>
    </row>
    <row r="1893" spans="2:24" ht="14.4" x14ac:dyDescent="0.3">
      <c r="B1893" s="57">
        <v>1790816869983</v>
      </c>
      <c r="C1893" s="58">
        <v>77</v>
      </c>
      <c r="D1893" s="59" t="s">
        <v>1658</v>
      </c>
      <c r="E1893" s="59" t="s">
        <v>1577</v>
      </c>
      <c r="F1893" s="59" t="s">
        <v>2275</v>
      </c>
      <c r="G1893" s="59" t="s">
        <v>3577</v>
      </c>
      <c r="H1893" s="59" t="s">
        <v>2281</v>
      </c>
      <c r="I1893" s="59" t="b">
        <v>1</v>
      </c>
      <c r="J1893" s="59"/>
      <c r="K1893" s="58">
        <v>1859</v>
      </c>
      <c r="L1893" s="58">
        <v>1342</v>
      </c>
      <c r="M1893" s="59">
        <v>10</v>
      </c>
      <c r="N1893" s="59">
        <v>10</v>
      </c>
      <c r="O1893" s="59" t="s">
        <v>3578</v>
      </c>
      <c r="P1893" s="58">
        <v>71</v>
      </c>
      <c r="Q1893" s="59">
        <v>0</v>
      </c>
      <c r="R1893" s="59">
        <v>0</v>
      </c>
      <c r="S1893" s="60">
        <f>tblJTL[[#This Row],[timeStamp]]/86400000+DATE(1970,1,1)+TIME(9,0,0)</f>
        <v>46296.422106284721</v>
      </c>
      <c r="T1893" s="57">
        <f>tblJTL[[#This Row],[timeStamp]]+tblJTL[[#This Row],[elapsed]]</f>
        <v>1790816870060</v>
      </c>
      <c r="U1893" s="61">
        <f>(tblJTL[[#This Row],[timeStamp]]-'17_分析サンプル'!$E$18)/1000</f>
        <v>469.803</v>
      </c>
      <c r="V1893" s="57">
        <f>INT(tblJTL[[#This Row],[経過秒]]/60)</f>
        <v>7</v>
      </c>
      <c r="W1893" s="57">
        <f>IF(OR(tblJTL[[#This Row],[success]]=FALSE,tblJTL[[#This Row],[success]]="false"),1,0)</f>
        <v>0</v>
      </c>
      <c r="X1893" s="57">
        <f>IF(AND(tblJTL[[#This Row],[経過秒]]&gt;='17_分析サンプル'!$E$11,tblJTL[[#This Row],[経過秒]]&lt;'17_分析サンプル'!$E$12),1,0)</f>
        <v>1</v>
      </c>
    </row>
    <row r="1894" spans="2:24" ht="14.4" x14ac:dyDescent="0.3">
      <c r="B1894" s="57">
        <v>1790816870736</v>
      </c>
      <c r="C1894" s="58">
        <v>198</v>
      </c>
      <c r="D1894" s="59" t="s">
        <v>1677</v>
      </c>
      <c r="E1894" s="59" t="s">
        <v>3579</v>
      </c>
      <c r="F1894" s="59" t="s">
        <v>3580</v>
      </c>
      <c r="G1894" s="59" t="s">
        <v>3589</v>
      </c>
      <c r="H1894" s="59" t="s">
        <v>2281</v>
      </c>
      <c r="I1894" s="59" t="b">
        <v>1</v>
      </c>
      <c r="J1894" s="59"/>
      <c r="K1894" s="58">
        <v>423</v>
      </c>
      <c r="L1894" s="58">
        <v>1478</v>
      </c>
      <c r="M1894" s="59">
        <v>10</v>
      </c>
      <c r="N1894" s="59">
        <v>10</v>
      </c>
      <c r="O1894" s="59" t="s">
        <v>3581</v>
      </c>
      <c r="P1894" s="58">
        <v>194</v>
      </c>
      <c r="Q1894" s="59">
        <v>0</v>
      </c>
      <c r="R1894" s="59">
        <v>0</v>
      </c>
      <c r="S1894" s="60">
        <f>tblJTL[[#This Row],[timeStamp]]/86400000+DATE(1970,1,1)+TIME(9,0,0)</f>
        <v>46296.422115000001</v>
      </c>
      <c r="T1894" s="57">
        <f>tblJTL[[#This Row],[timeStamp]]+tblJTL[[#This Row],[elapsed]]</f>
        <v>1790816870934</v>
      </c>
      <c r="U1894" s="61">
        <f>(tblJTL[[#This Row],[timeStamp]]-'17_分析サンプル'!$E$18)/1000</f>
        <v>470.55599999999998</v>
      </c>
      <c r="V1894" s="57">
        <f>INT(tblJTL[[#This Row],[経過秒]]/60)</f>
        <v>7</v>
      </c>
      <c r="W1894" s="57">
        <f>IF(OR(tblJTL[[#This Row],[success]]=FALSE,tblJTL[[#This Row],[success]]="false"),1,0)</f>
        <v>0</v>
      </c>
      <c r="X1894" s="57">
        <f>IF(AND(tblJTL[[#This Row],[経過秒]]&gt;='17_分析サンプル'!$E$11,tblJTL[[#This Row],[経過秒]]&lt;'17_分析サンプル'!$E$12),1,0)</f>
        <v>1</v>
      </c>
    </row>
    <row r="1895" spans="2:24" ht="14.4" x14ac:dyDescent="0.3">
      <c r="B1895" s="57">
        <v>1790816870900</v>
      </c>
      <c r="C1895" s="58">
        <v>104</v>
      </c>
      <c r="D1895" s="59" t="s">
        <v>1658</v>
      </c>
      <c r="E1895" s="59" t="s">
        <v>1577</v>
      </c>
      <c r="F1895" s="59" t="s">
        <v>2275</v>
      </c>
      <c r="G1895" s="59" t="s">
        <v>3586</v>
      </c>
      <c r="H1895" s="59" t="s">
        <v>2281</v>
      </c>
      <c r="I1895" s="59" t="b">
        <v>1</v>
      </c>
      <c r="J1895" s="59"/>
      <c r="K1895" s="58">
        <v>1824</v>
      </c>
      <c r="L1895" s="58">
        <v>1342</v>
      </c>
      <c r="M1895" s="59">
        <v>10</v>
      </c>
      <c r="N1895" s="59">
        <v>10</v>
      </c>
      <c r="O1895" s="59" t="s">
        <v>3578</v>
      </c>
      <c r="P1895" s="58">
        <v>102</v>
      </c>
      <c r="Q1895" s="59">
        <v>0</v>
      </c>
      <c r="R1895" s="59">
        <v>0</v>
      </c>
      <c r="S1895" s="60">
        <f>tblJTL[[#This Row],[timeStamp]]/86400000+DATE(1970,1,1)+TIME(9,0,0)</f>
        <v>46296.422116898146</v>
      </c>
      <c r="T1895" s="57">
        <f>tblJTL[[#This Row],[timeStamp]]+tblJTL[[#This Row],[elapsed]]</f>
        <v>1790816871004</v>
      </c>
      <c r="U1895" s="61">
        <f>(tblJTL[[#This Row],[timeStamp]]-'17_分析サンプル'!$E$18)/1000</f>
        <v>470.72</v>
      </c>
      <c r="V1895" s="57">
        <f>INT(tblJTL[[#This Row],[経過秒]]/60)</f>
        <v>7</v>
      </c>
      <c r="W1895" s="57">
        <f>IF(OR(tblJTL[[#This Row],[success]]=FALSE,tblJTL[[#This Row],[success]]="false"),1,0)</f>
        <v>0</v>
      </c>
      <c r="X1895" s="57">
        <f>IF(AND(tblJTL[[#This Row],[経過秒]]&gt;='17_分析サンプル'!$E$11,tblJTL[[#This Row],[経過秒]]&lt;'17_分析サンプル'!$E$12),1,0)</f>
        <v>1</v>
      </c>
    </row>
    <row r="1896" spans="2:24" ht="14.4" x14ac:dyDescent="0.3">
      <c r="B1896" s="57">
        <v>1790816870942</v>
      </c>
      <c r="C1896" s="58">
        <v>65</v>
      </c>
      <c r="D1896" s="59" t="s">
        <v>1658</v>
      </c>
      <c r="E1896" s="59" t="s">
        <v>1577</v>
      </c>
      <c r="F1896" s="59" t="s">
        <v>2275</v>
      </c>
      <c r="G1896" s="59" t="s">
        <v>3588</v>
      </c>
      <c r="H1896" s="59" t="s">
        <v>2281</v>
      </c>
      <c r="I1896" s="59" t="b">
        <v>1</v>
      </c>
      <c r="J1896" s="59"/>
      <c r="K1896" s="58">
        <v>1871</v>
      </c>
      <c r="L1896" s="58">
        <v>1342</v>
      </c>
      <c r="M1896" s="59">
        <v>10</v>
      </c>
      <c r="N1896" s="59">
        <v>10</v>
      </c>
      <c r="O1896" s="59" t="s">
        <v>3578</v>
      </c>
      <c r="P1896" s="58">
        <v>62</v>
      </c>
      <c r="Q1896" s="59">
        <v>0</v>
      </c>
      <c r="R1896" s="59">
        <v>0</v>
      </c>
      <c r="S1896" s="60">
        <f>tblJTL[[#This Row],[timeStamp]]/86400000+DATE(1970,1,1)+TIME(9,0,0)</f>
        <v>46296.42211738426</v>
      </c>
      <c r="T1896" s="57">
        <f>tblJTL[[#This Row],[timeStamp]]+tblJTL[[#This Row],[elapsed]]</f>
        <v>1790816871007</v>
      </c>
      <c r="U1896" s="61">
        <f>(tblJTL[[#This Row],[timeStamp]]-'17_分析サンプル'!$E$18)/1000</f>
        <v>470.762</v>
      </c>
      <c r="V1896" s="57">
        <f>INT(tblJTL[[#This Row],[経過秒]]/60)</f>
        <v>7</v>
      </c>
      <c r="W1896" s="57">
        <f>IF(OR(tblJTL[[#This Row],[success]]=FALSE,tblJTL[[#This Row],[success]]="false"),1,0)</f>
        <v>0</v>
      </c>
      <c r="X1896" s="57">
        <f>IF(AND(tblJTL[[#This Row],[経過秒]]&gt;='17_分析サンプル'!$E$11,tblJTL[[#This Row],[経過秒]]&lt;'17_分析サンプル'!$E$12),1,0)</f>
        <v>1</v>
      </c>
    </row>
    <row r="1897" spans="2:24" ht="14.4" x14ac:dyDescent="0.3">
      <c r="B1897" s="57">
        <v>1790816870740</v>
      </c>
      <c r="C1897" s="58">
        <v>285</v>
      </c>
      <c r="D1897" s="59" t="s">
        <v>1677</v>
      </c>
      <c r="E1897" s="59" t="s">
        <v>3579</v>
      </c>
      <c r="F1897" s="59" t="s">
        <v>3580</v>
      </c>
      <c r="G1897" s="59" t="s">
        <v>3582</v>
      </c>
      <c r="H1897" s="59" t="s">
        <v>2281</v>
      </c>
      <c r="I1897" s="59" t="b">
        <v>1</v>
      </c>
      <c r="J1897" s="59"/>
      <c r="K1897" s="58">
        <v>423</v>
      </c>
      <c r="L1897" s="58">
        <v>1478</v>
      </c>
      <c r="M1897" s="59">
        <v>10</v>
      </c>
      <c r="N1897" s="59">
        <v>10</v>
      </c>
      <c r="O1897" s="59" t="s">
        <v>3581</v>
      </c>
      <c r="P1897" s="58">
        <v>281</v>
      </c>
      <c r="Q1897" s="59">
        <v>0</v>
      </c>
      <c r="R1897" s="59">
        <v>0</v>
      </c>
      <c r="S1897" s="60">
        <f>tblJTL[[#This Row],[timeStamp]]/86400000+DATE(1970,1,1)+TIME(9,0,0)</f>
        <v>46296.422115046298</v>
      </c>
      <c r="T1897" s="57">
        <f>tblJTL[[#This Row],[timeStamp]]+tblJTL[[#This Row],[elapsed]]</f>
        <v>1790816871025</v>
      </c>
      <c r="U1897" s="61">
        <f>(tblJTL[[#This Row],[timeStamp]]-'17_分析サンプル'!$E$18)/1000</f>
        <v>470.56</v>
      </c>
      <c r="V1897" s="57">
        <f>INT(tblJTL[[#This Row],[経過秒]]/60)</f>
        <v>7</v>
      </c>
      <c r="W1897" s="57">
        <f>IF(OR(tblJTL[[#This Row],[success]]=FALSE,tblJTL[[#This Row],[success]]="false"),1,0)</f>
        <v>0</v>
      </c>
      <c r="X1897" s="57">
        <f>IF(AND(tblJTL[[#This Row],[経過秒]]&gt;='17_分析サンプル'!$E$11,tblJTL[[#This Row],[経過秒]]&lt;'17_分析サンプル'!$E$12),1,0)</f>
        <v>1</v>
      </c>
    </row>
    <row r="1898" spans="2:24" ht="14.4" x14ac:dyDescent="0.3">
      <c r="B1898" s="57">
        <v>1790816870860</v>
      </c>
      <c r="C1898" s="58">
        <v>206</v>
      </c>
      <c r="D1898" s="59" t="s">
        <v>1677</v>
      </c>
      <c r="E1898" s="59" t="s">
        <v>3579</v>
      </c>
      <c r="F1898" s="59" t="s">
        <v>3580</v>
      </c>
      <c r="G1898" s="59" t="s">
        <v>3584</v>
      </c>
      <c r="H1898" s="59" t="s">
        <v>2281</v>
      </c>
      <c r="I1898" s="59" t="b">
        <v>1</v>
      </c>
      <c r="J1898" s="59"/>
      <c r="K1898" s="58">
        <v>425</v>
      </c>
      <c r="L1898" s="58">
        <v>1478</v>
      </c>
      <c r="M1898" s="59">
        <v>10</v>
      </c>
      <c r="N1898" s="59">
        <v>10</v>
      </c>
      <c r="O1898" s="59" t="s">
        <v>3581</v>
      </c>
      <c r="P1898" s="58">
        <v>198</v>
      </c>
      <c r="Q1898" s="59">
        <v>0</v>
      </c>
      <c r="R1898" s="59">
        <v>0</v>
      </c>
      <c r="S1898" s="60">
        <f>tblJTL[[#This Row],[timeStamp]]/86400000+DATE(1970,1,1)+TIME(9,0,0)</f>
        <v>46296.422116435184</v>
      </c>
      <c r="T1898" s="57">
        <f>tblJTL[[#This Row],[timeStamp]]+tblJTL[[#This Row],[elapsed]]</f>
        <v>1790816871066</v>
      </c>
      <c r="U1898" s="61">
        <f>(tblJTL[[#This Row],[timeStamp]]-'17_分析サンプル'!$E$18)/1000</f>
        <v>470.68</v>
      </c>
      <c r="V1898" s="57">
        <f>INT(tblJTL[[#This Row],[経過秒]]/60)</f>
        <v>7</v>
      </c>
      <c r="W1898" s="57">
        <f>IF(OR(tblJTL[[#This Row],[success]]=FALSE,tblJTL[[#This Row],[success]]="false"),1,0)</f>
        <v>0</v>
      </c>
      <c r="X1898" s="57">
        <f>IF(AND(tblJTL[[#This Row],[経過秒]]&gt;='17_分析サンプル'!$E$11,tblJTL[[#This Row],[経過秒]]&lt;'17_分析サンプル'!$E$12),1,0)</f>
        <v>1</v>
      </c>
    </row>
    <row r="1899" spans="2:24" ht="14.4" x14ac:dyDescent="0.3">
      <c r="B1899" s="57">
        <v>1790816871218</v>
      </c>
      <c r="C1899" s="58">
        <v>187</v>
      </c>
      <c r="D1899" s="59" t="s">
        <v>1658</v>
      </c>
      <c r="E1899" s="59" t="s">
        <v>1577</v>
      </c>
      <c r="F1899" s="59" t="s">
        <v>2275</v>
      </c>
      <c r="G1899" s="59" t="s">
        <v>3583</v>
      </c>
      <c r="H1899" s="59" t="s">
        <v>2281</v>
      </c>
      <c r="I1899" s="59" t="b">
        <v>1</v>
      </c>
      <c r="J1899" s="59"/>
      <c r="K1899" s="58">
        <v>1871</v>
      </c>
      <c r="L1899" s="58">
        <v>1342</v>
      </c>
      <c r="M1899" s="59">
        <v>10</v>
      </c>
      <c r="N1899" s="59">
        <v>10</v>
      </c>
      <c r="O1899" s="59" t="s">
        <v>3578</v>
      </c>
      <c r="P1899" s="58">
        <v>181</v>
      </c>
      <c r="Q1899" s="59">
        <v>0</v>
      </c>
      <c r="R1899" s="59">
        <v>0</v>
      </c>
      <c r="S1899" s="60">
        <f>tblJTL[[#This Row],[timeStamp]]/86400000+DATE(1970,1,1)+TIME(9,0,0)</f>
        <v>46296.422120578703</v>
      </c>
      <c r="T1899" s="57">
        <f>tblJTL[[#This Row],[timeStamp]]+tblJTL[[#This Row],[elapsed]]</f>
        <v>1790816871405</v>
      </c>
      <c r="U1899" s="61">
        <f>(tblJTL[[#This Row],[timeStamp]]-'17_分析サンプル'!$E$18)/1000</f>
        <v>471.03800000000001</v>
      </c>
      <c r="V1899" s="57">
        <f>INT(tblJTL[[#This Row],[経過秒]]/60)</f>
        <v>7</v>
      </c>
      <c r="W1899" s="57">
        <f>IF(OR(tblJTL[[#This Row],[success]]=FALSE,tblJTL[[#This Row],[success]]="false"),1,0)</f>
        <v>0</v>
      </c>
      <c r="X1899" s="57">
        <f>IF(AND(tblJTL[[#This Row],[経過秒]]&gt;='17_分析サンプル'!$E$11,tblJTL[[#This Row],[経過秒]]&lt;'17_分析サンプル'!$E$12),1,0)</f>
        <v>1</v>
      </c>
    </row>
    <row r="1900" spans="2:24" ht="14.4" x14ac:dyDescent="0.3">
      <c r="B1900" s="57">
        <v>1790816871531</v>
      </c>
      <c r="C1900" s="58">
        <v>114</v>
      </c>
      <c r="D1900" s="59" t="s">
        <v>1658</v>
      </c>
      <c r="E1900" s="59" t="s">
        <v>1577</v>
      </c>
      <c r="F1900" s="59" t="s">
        <v>2275</v>
      </c>
      <c r="G1900" s="59" t="s">
        <v>2278</v>
      </c>
      <c r="H1900" s="59" t="s">
        <v>2281</v>
      </c>
      <c r="I1900" s="59" t="b">
        <v>1</v>
      </c>
      <c r="J1900" s="59"/>
      <c r="K1900" s="58">
        <v>1842</v>
      </c>
      <c r="L1900" s="58">
        <v>1342</v>
      </c>
      <c r="M1900" s="59">
        <v>10</v>
      </c>
      <c r="N1900" s="59">
        <v>10</v>
      </c>
      <c r="O1900" s="59" t="s">
        <v>3578</v>
      </c>
      <c r="P1900" s="58">
        <v>111</v>
      </c>
      <c r="Q1900" s="59">
        <v>0</v>
      </c>
      <c r="R1900" s="59">
        <v>0</v>
      </c>
      <c r="S1900" s="60">
        <f>tblJTL[[#This Row],[timeStamp]]/86400000+DATE(1970,1,1)+TIME(9,0,0)</f>
        <v>46296.422124201388</v>
      </c>
      <c r="T1900" s="57">
        <f>tblJTL[[#This Row],[timeStamp]]+tblJTL[[#This Row],[elapsed]]</f>
        <v>1790816871645</v>
      </c>
      <c r="U1900" s="61">
        <f>(tblJTL[[#This Row],[timeStamp]]-'17_分析サンプル'!$E$18)/1000</f>
        <v>471.351</v>
      </c>
      <c r="V1900" s="57">
        <f>INT(tblJTL[[#This Row],[経過秒]]/60)</f>
        <v>7</v>
      </c>
      <c r="W1900" s="57">
        <f>IF(OR(tblJTL[[#This Row],[success]]=FALSE,tblJTL[[#This Row],[success]]="false"),1,0)</f>
        <v>0</v>
      </c>
      <c r="X1900" s="57">
        <f>IF(AND(tblJTL[[#This Row],[経過秒]]&gt;='17_分析サンプル'!$E$11,tblJTL[[#This Row],[経過秒]]&lt;'17_分析サンプル'!$E$12),1,0)</f>
        <v>1</v>
      </c>
    </row>
    <row r="1901" spans="2:24" ht="14.4" x14ac:dyDescent="0.3">
      <c r="B1901" s="57">
        <v>1790816871803</v>
      </c>
      <c r="C1901" s="58">
        <v>111</v>
      </c>
      <c r="D1901" s="59" t="s">
        <v>1658</v>
      </c>
      <c r="E1901" s="59" t="s">
        <v>1577</v>
      </c>
      <c r="F1901" s="59" t="s">
        <v>2275</v>
      </c>
      <c r="G1901" s="59" t="s">
        <v>3587</v>
      </c>
      <c r="H1901" s="59" t="s">
        <v>2281</v>
      </c>
      <c r="I1901" s="59" t="b">
        <v>1</v>
      </c>
      <c r="J1901" s="59"/>
      <c r="K1901" s="58">
        <v>1869</v>
      </c>
      <c r="L1901" s="58">
        <v>1342</v>
      </c>
      <c r="M1901" s="59">
        <v>10</v>
      </c>
      <c r="N1901" s="59">
        <v>10</v>
      </c>
      <c r="O1901" s="59" t="s">
        <v>3578</v>
      </c>
      <c r="P1901" s="58">
        <v>103</v>
      </c>
      <c r="Q1901" s="59">
        <v>0</v>
      </c>
      <c r="R1901" s="59">
        <v>0</v>
      </c>
      <c r="S1901" s="60">
        <f>tblJTL[[#This Row],[timeStamp]]/86400000+DATE(1970,1,1)+TIME(9,0,0)</f>
        <v>46296.422127349535</v>
      </c>
      <c r="T1901" s="57">
        <f>tblJTL[[#This Row],[timeStamp]]+tblJTL[[#This Row],[elapsed]]</f>
        <v>1790816871914</v>
      </c>
      <c r="U1901" s="61">
        <f>(tblJTL[[#This Row],[timeStamp]]-'17_分析サンプル'!$E$18)/1000</f>
        <v>471.62299999999999</v>
      </c>
      <c r="V1901" s="57">
        <f>INT(tblJTL[[#This Row],[経過秒]]/60)</f>
        <v>7</v>
      </c>
      <c r="W1901" s="57">
        <f>IF(OR(tblJTL[[#This Row],[success]]=FALSE,tblJTL[[#This Row],[success]]="false"),1,0)</f>
        <v>0</v>
      </c>
      <c r="X1901" s="57">
        <f>IF(AND(tblJTL[[#This Row],[経過秒]]&gt;='17_分析サンプル'!$E$11,tblJTL[[#This Row],[経過秒]]&lt;'17_分析サンプル'!$E$12),1,0)</f>
        <v>1</v>
      </c>
    </row>
    <row r="1902" spans="2:24" ht="14.4" x14ac:dyDescent="0.3">
      <c r="B1902" s="57">
        <v>1790816871599</v>
      </c>
      <c r="C1902" s="58">
        <v>397</v>
      </c>
      <c r="D1902" s="59" t="s">
        <v>1677</v>
      </c>
      <c r="E1902" s="59" t="s">
        <v>3579</v>
      </c>
      <c r="F1902" s="59" t="s">
        <v>3580</v>
      </c>
      <c r="G1902" s="59" t="s">
        <v>3577</v>
      </c>
      <c r="H1902" s="59" t="s">
        <v>2281</v>
      </c>
      <c r="I1902" s="59" t="b">
        <v>1</v>
      </c>
      <c r="J1902" s="59"/>
      <c r="K1902" s="58">
        <v>411</v>
      </c>
      <c r="L1902" s="58">
        <v>1478</v>
      </c>
      <c r="M1902" s="59">
        <v>10</v>
      </c>
      <c r="N1902" s="59">
        <v>10</v>
      </c>
      <c r="O1902" s="59" t="s">
        <v>3581</v>
      </c>
      <c r="P1902" s="58">
        <v>390</v>
      </c>
      <c r="Q1902" s="59">
        <v>0</v>
      </c>
      <c r="R1902" s="59">
        <v>0</v>
      </c>
      <c r="S1902" s="60">
        <f>tblJTL[[#This Row],[timeStamp]]/86400000+DATE(1970,1,1)+TIME(9,0,0)</f>
        <v>46296.422124988429</v>
      </c>
      <c r="T1902" s="57">
        <f>tblJTL[[#This Row],[timeStamp]]+tblJTL[[#This Row],[elapsed]]</f>
        <v>1790816871996</v>
      </c>
      <c r="U1902" s="61">
        <f>(tblJTL[[#This Row],[timeStamp]]-'17_分析サンプル'!$E$18)/1000</f>
        <v>471.41899999999998</v>
      </c>
      <c r="V1902" s="57">
        <f>INT(tblJTL[[#This Row],[経過秒]]/60)</f>
        <v>7</v>
      </c>
      <c r="W1902" s="57">
        <f>IF(OR(tblJTL[[#This Row],[success]]=FALSE,tblJTL[[#This Row],[success]]="false"),1,0)</f>
        <v>0</v>
      </c>
      <c r="X1902" s="57">
        <f>IF(AND(tblJTL[[#This Row],[経過秒]]&gt;='17_分析サンプル'!$E$11,tblJTL[[#This Row],[経過秒]]&lt;'17_分析サンプル'!$E$12),1,0)</f>
        <v>1</v>
      </c>
    </row>
    <row r="1903" spans="2:24" ht="14.4" x14ac:dyDescent="0.3">
      <c r="B1903" s="57">
        <v>1790816872229</v>
      </c>
      <c r="C1903" s="58">
        <v>180</v>
      </c>
      <c r="D1903" s="59" t="s">
        <v>1677</v>
      </c>
      <c r="E1903" s="59" t="s">
        <v>3579</v>
      </c>
      <c r="F1903" s="59" t="s">
        <v>3580</v>
      </c>
      <c r="G1903" s="59" t="s">
        <v>3585</v>
      </c>
      <c r="H1903" s="59" t="s">
        <v>2281</v>
      </c>
      <c r="I1903" s="59" t="b">
        <v>1</v>
      </c>
      <c r="J1903" s="59"/>
      <c r="K1903" s="58">
        <v>413</v>
      </c>
      <c r="L1903" s="58">
        <v>1478</v>
      </c>
      <c r="M1903" s="59">
        <v>10</v>
      </c>
      <c r="N1903" s="59">
        <v>10</v>
      </c>
      <c r="O1903" s="59" t="s">
        <v>3581</v>
      </c>
      <c r="P1903" s="58">
        <v>174</v>
      </c>
      <c r="Q1903" s="59">
        <v>0</v>
      </c>
      <c r="R1903" s="59">
        <v>0</v>
      </c>
      <c r="S1903" s="60">
        <f>tblJTL[[#This Row],[timeStamp]]/86400000+DATE(1970,1,1)+TIME(9,0,0)</f>
        <v>46296.422132280088</v>
      </c>
      <c r="T1903" s="57">
        <f>tblJTL[[#This Row],[timeStamp]]+tblJTL[[#This Row],[elapsed]]</f>
        <v>1790816872409</v>
      </c>
      <c r="U1903" s="61">
        <f>(tblJTL[[#This Row],[timeStamp]]-'17_分析サンプル'!$E$18)/1000</f>
        <v>472.04899999999998</v>
      </c>
      <c r="V1903" s="57">
        <f>INT(tblJTL[[#This Row],[経過秒]]/60)</f>
        <v>7</v>
      </c>
      <c r="W1903" s="57">
        <f>IF(OR(tblJTL[[#This Row],[success]]=FALSE,tblJTL[[#This Row],[success]]="false"),1,0)</f>
        <v>0</v>
      </c>
      <c r="X1903" s="57">
        <f>IF(AND(tblJTL[[#This Row],[経過秒]]&gt;='17_分析サンプル'!$E$11,tblJTL[[#This Row],[経過秒]]&lt;'17_分析サンプル'!$E$12),1,0)</f>
        <v>1</v>
      </c>
    </row>
    <row r="1904" spans="2:24" ht="14.4" x14ac:dyDescent="0.3">
      <c r="B1904" s="57">
        <v>1790816872927</v>
      </c>
      <c r="C1904" s="58">
        <v>150</v>
      </c>
      <c r="D1904" s="59" t="s">
        <v>1658</v>
      </c>
      <c r="E1904" s="59" t="s">
        <v>1577</v>
      </c>
      <c r="F1904" s="59" t="s">
        <v>2275</v>
      </c>
      <c r="G1904" s="59" t="s">
        <v>3584</v>
      </c>
      <c r="H1904" s="59" t="s">
        <v>2281</v>
      </c>
      <c r="I1904" s="59" t="b">
        <v>1</v>
      </c>
      <c r="J1904" s="59"/>
      <c r="K1904" s="58">
        <v>1884</v>
      </c>
      <c r="L1904" s="58">
        <v>1342</v>
      </c>
      <c r="M1904" s="59">
        <v>10</v>
      </c>
      <c r="N1904" s="59">
        <v>10</v>
      </c>
      <c r="O1904" s="59" t="s">
        <v>3578</v>
      </c>
      <c r="P1904" s="58">
        <v>144</v>
      </c>
      <c r="Q1904" s="59">
        <v>0</v>
      </c>
      <c r="R1904" s="59">
        <v>0</v>
      </c>
      <c r="S1904" s="60">
        <f>tblJTL[[#This Row],[timeStamp]]/86400000+DATE(1970,1,1)+TIME(9,0,0)</f>
        <v>46296.422140358802</v>
      </c>
      <c r="T1904" s="57">
        <f>tblJTL[[#This Row],[timeStamp]]+tblJTL[[#This Row],[elapsed]]</f>
        <v>1790816873077</v>
      </c>
      <c r="U1904" s="61">
        <f>(tblJTL[[#This Row],[timeStamp]]-'17_分析サンプル'!$E$18)/1000</f>
        <v>472.74700000000001</v>
      </c>
      <c r="V1904" s="57">
        <f>INT(tblJTL[[#This Row],[経過秒]]/60)</f>
        <v>7</v>
      </c>
      <c r="W1904" s="57">
        <f>IF(OR(tblJTL[[#This Row],[success]]=FALSE,tblJTL[[#This Row],[success]]="false"),1,0)</f>
        <v>0</v>
      </c>
      <c r="X1904" s="57">
        <f>IF(AND(tblJTL[[#This Row],[経過秒]]&gt;='17_分析サンプル'!$E$11,tblJTL[[#This Row],[経過秒]]&lt;'17_分析サンプル'!$E$12),1,0)</f>
        <v>1</v>
      </c>
    </row>
    <row r="1905" spans="2:24" ht="14.4" x14ac:dyDescent="0.3">
      <c r="B1905" s="57">
        <v>1790816872905</v>
      </c>
      <c r="C1905" s="58">
        <v>195</v>
      </c>
      <c r="D1905" s="59" t="s">
        <v>1677</v>
      </c>
      <c r="E1905" s="59" t="s">
        <v>3579</v>
      </c>
      <c r="F1905" s="59" t="s">
        <v>3580</v>
      </c>
      <c r="G1905" s="59" t="s">
        <v>3583</v>
      </c>
      <c r="H1905" s="59" t="s">
        <v>2281</v>
      </c>
      <c r="I1905" s="59" t="b">
        <v>1</v>
      </c>
      <c r="J1905" s="59"/>
      <c r="K1905" s="58">
        <v>413</v>
      </c>
      <c r="L1905" s="58">
        <v>1478</v>
      </c>
      <c r="M1905" s="59">
        <v>10</v>
      </c>
      <c r="N1905" s="59">
        <v>10</v>
      </c>
      <c r="O1905" s="59" t="s">
        <v>3581</v>
      </c>
      <c r="P1905" s="58">
        <v>191</v>
      </c>
      <c r="Q1905" s="59">
        <v>0</v>
      </c>
      <c r="R1905" s="59">
        <v>0</v>
      </c>
      <c r="S1905" s="60">
        <f>tblJTL[[#This Row],[timeStamp]]/86400000+DATE(1970,1,1)+TIME(9,0,0)</f>
        <v>46296.422140104165</v>
      </c>
      <c r="T1905" s="57">
        <f>tblJTL[[#This Row],[timeStamp]]+tblJTL[[#This Row],[elapsed]]</f>
        <v>1790816873100</v>
      </c>
      <c r="U1905" s="61">
        <f>(tblJTL[[#This Row],[timeStamp]]-'17_分析サンプル'!$E$18)/1000</f>
        <v>472.72500000000002</v>
      </c>
      <c r="V1905" s="57">
        <f>INT(tblJTL[[#This Row],[経過秒]]/60)</f>
        <v>7</v>
      </c>
      <c r="W1905" s="57">
        <f>IF(OR(tblJTL[[#This Row],[success]]=FALSE,tblJTL[[#This Row],[success]]="false"),1,0)</f>
        <v>0</v>
      </c>
      <c r="X1905" s="57">
        <f>IF(AND(tblJTL[[#This Row],[経過秒]]&gt;='17_分析サンプル'!$E$11,tblJTL[[#This Row],[経過秒]]&lt;'17_分析サンプル'!$E$12),1,0)</f>
        <v>1</v>
      </c>
    </row>
    <row r="1906" spans="2:24" ht="14.4" x14ac:dyDescent="0.3">
      <c r="B1906" s="57">
        <v>1790816873163</v>
      </c>
      <c r="C1906" s="58">
        <v>75</v>
      </c>
      <c r="D1906" s="59" t="s">
        <v>1658</v>
      </c>
      <c r="E1906" s="59" t="s">
        <v>1577</v>
      </c>
      <c r="F1906" s="59" t="s">
        <v>2275</v>
      </c>
      <c r="G1906" s="59" t="s">
        <v>3589</v>
      </c>
      <c r="H1906" s="59" t="s">
        <v>2281</v>
      </c>
      <c r="I1906" s="59" t="b">
        <v>1</v>
      </c>
      <c r="J1906" s="59"/>
      <c r="K1906" s="58">
        <v>1834</v>
      </c>
      <c r="L1906" s="58">
        <v>1342</v>
      </c>
      <c r="M1906" s="59">
        <v>10</v>
      </c>
      <c r="N1906" s="59">
        <v>10</v>
      </c>
      <c r="O1906" s="59" t="s">
        <v>3578</v>
      </c>
      <c r="P1906" s="58">
        <v>68</v>
      </c>
      <c r="Q1906" s="59">
        <v>0</v>
      </c>
      <c r="R1906" s="59">
        <v>0</v>
      </c>
      <c r="S1906" s="60">
        <f>tblJTL[[#This Row],[timeStamp]]/86400000+DATE(1970,1,1)+TIME(9,0,0)</f>
        <v>46296.422143090276</v>
      </c>
      <c r="T1906" s="57">
        <f>tblJTL[[#This Row],[timeStamp]]+tblJTL[[#This Row],[elapsed]]</f>
        <v>1790816873238</v>
      </c>
      <c r="U1906" s="61">
        <f>(tblJTL[[#This Row],[timeStamp]]-'17_分析サンプル'!$E$18)/1000</f>
        <v>472.983</v>
      </c>
      <c r="V1906" s="57">
        <f>INT(tblJTL[[#This Row],[経過秒]]/60)</f>
        <v>7</v>
      </c>
      <c r="W1906" s="57">
        <f>IF(OR(tblJTL[[#This Row],[success]]=FALSE,tblJTL[[#This Row],[success]]="false"),1,0)</f>
        <v>0</v>
      </c>
      <c r="X1906" s="57">
        <f>IF(AND(tblJTL[[#This Row],[経過秒]]&gt;='17_分析サンプル'!$E$11,tblJTL[[#This Row],[経過秒]]&lt;'17_分析サンプル'!$E$12),1,0)</f>
        <v>1</v>
      </c>
    </row>
    <row r="1907" spans="2:24" ht="14.4" x14ac:dyDescent="0.3">
      <c r="B1907" s="57">
        <v>1790816872992</v>
      </c>
      <c r="C1907" s="58">
        <v>314</v>
      </c>
      <c r="D1907" s="59" t="s">
        <v>1677</v>
      </c>
      <c r="E1907" s="59" t="s">
        <v>3579</v>
      </c>
      <c r="F1907" s="59" t="s">
        <v>3580</v>
      </c>
      <c r="G1907" s="59" t="s">
        <v>3586</v>
      </c>
      <c r="H1907" s="59" t="s">
        <v>2281</v>
      </c>
      <c r="I1907" s="59" t="b">
        <v>1</v>
      </c>
      <c r="J1907" s="59"/>
      <c r="K1907" s="58">
        <v>414</v>
      </c>
      <c r="L1907" s="58">
        <v>1478</v>
      </c>
      <c r="M1907" s="59">
        <v>10</v>
      </c>
      <c r="N1907" s="59">
        <v>10</v>
      </c>
      <c r="O1907" s="59" t="s">
        <v>3581</v>
      </c>
      <c r="P1907" s="58">
        <v>312</v>
      </c>
      <c r="Q1907" s="59">
        <v>0</v>
      </c>
      <c r="R1907" s="59">
        <v>0</v>
      </c>
      <c r="S1907" s="60">
        <f>tblJTL[[#This Row],[timeStamp]]/86400000+DATE(1970,1,1)+TIME(9,0,0)</f>
        <v>46296.422141111107</v>
      </c>
      <c r="T1907" s="57">
        <f>tblJTL[[#This Row],[timeStamp]]+tblJTL[[#This Row],[elapsed]]</f>
        <v>1790816873306</v>
      </c>
      <c r="U1907" s="61">
        <f>(tblJTL[[#This Row],[timeStamp]]-'17_分析サンプル'!$E$18)/1000</f>
        <v>472.81200000000001</v>
      </c>
      <c r="V1907" s="57">
        <f>INT(tblJTL[[#This Row],[経過秒]]/60)</f>
        <v>7</v>
      </c>
      <c r="W1907" s="57">
        <f>IF(OR(tblJTL[[#This Row],[success]]=FALSE,tblJTL[[#This Row],[success]]="false"),1,0)</f>
        <v>0</v>
      </c>
      <c r="X1907" s="57">
        <f>IF(AND(tblJTL[[#This Row],[経過秒]]&gt;='17_分析サンプル'!$E$11,tblJTL[[#This Row],[経過秒]]&lt;'17_分析サンプル'!$E$12),1,0)</f>
        <v>1</v>
      </c>
    </row>
    <row r="1908" spans="2:24" ht="14.4" x14ac:dyDescent="0.3">
      <c r="B1908" s="57">
        <v>1790816873250</v>
      </c>
      <c r="C1908" s="58">
        <v>424</v>
      </c>
      <c r="D1908" s="59" t="s">
        <v>1677</v>
      </c>
      <c r="E1908" s="59" t="s">
        <v>3579</v>
      </c>
      <c r="F1908" s="59" t="s">
        <v>3580</v>
      </c>
      <c r="G1908" s="59" t="s">
        <v>3588</v>
      </c>
      <c r="H1908" s="59" t="s">
        <v>2281</v>
      </c>
      <c r="I1908" s="59" t="b">
        <v>1</v>
      </c>
      <c r="J1908" s="59"/>
      <c r="K1908" s="58">
        <v>437</v>
      </c>
      <c r="L1908" s="58">
        <v>1478</v>
      </c>
      <c r="M1908" s="59">
        <v>10</v>
      </c>
      <c r="N1908" s="59">
        <v>10</v>
      </c>
      <c r="O1908" s="59" t="s">
        <v>3581</v>
      </c>
      <c r="P1908" s="58">
        <v>422</v>
      </c>
      <c r="Q1908" s="59">
        <v>0</v>
      </c>
      <c r="R1908" s="59">
        <v>0</v>
      </c>
      <c r="S1908" s="60">
        <f>tblJTL[[#This Row],[timeStamp]]/86400000+DATE(1970,1,1)+TIME(9,0,0)</f>
        <v>46296.422144097218</v>
      </c>
      <c r="T1908" s="57">
        <f>tblJTL[[#This Row],[timeStamp]]+tblJTL[[#This Row],[elapsed]]</f>
        <v>1790816873674</v>
      </c>
      <c r="U1908" s="61">
        <f>(tblJTL[[#This Row],[timeStamp]]-'17_分析サンプル'!$E$18)/1000</f>
        <v>473.07</v>
      </c>
      <c r="V1908" s="57">
        <f>INT(tblJTL[[#This Row],[経過秒]]/60)</f>
        <v>7</v>
      </c>
      <c r="W1908" s="57">
        <f>IF(OR(tblJTL[[#This Row],[success]]=FALSE,tblJTL[[#This Row],[success]]="false"),1,0)</f>
        <v>0</v>
      </c>
      <c r="X1908" s="57">
        <f>IF(AND(tblJTL[[#This Row],[経過秒]]&gt;='17_分析サンプル'!$E$11,tblJTL[[#This Row],[経過秒]]&lt;'17_分析サンプル'!$E$12),1,0)</f>
        <v>1</v>
      </c>
    </row>
    <row r="1909" spans="2:24" ht="14.4" x14ac:dyDescent="0.3">
      <c r="B1909" s="57">
        <v>1790816873711</v>
      </c>
      <c r="C1909" s="58">
        <v>249</v>
      </c>
      <c r="D1909" s="59" t="s">
        <v>1677</v>
      </c>
      <c r="E1909" s="59" t="s">
        <v>3579</v>
      </c>
      <c r="F1909" s="59" t="s">
        <v>3580</v>
      </c>
      <c r="G1909" s="59" t="s">
        <v>2278</v>
      </c>
      <c r="H1909" s="59" t="s">
        <v>2281</v>
      </c>
      <c r="I1909" s="59" t="b">
        <v>1</v>
      </c>
      <c r="J1909" s="59"/>
      <c r="K1909" s="58">
        <v>435</v>
      </c>
      <c r="L1909" s="58">
        <v>1478</v>
      </c>
      <c r="M1909" s="59">
        <v>10</v>
      </c>
      <c r="N1909" s="59">
        <v>10</v>
      </c>
      <c r="O1909" s="59" t="s">
        <v>3581</v>
      </c>
      <c r="P1909" s="58">
        <v>241</v>
      </c>
      <c r="Q1909" s="59">
        <v>0</v>
      </c>
      <c r="R1909" s="59">
        <v>0</v>
      </c>
      <c r="S1909" s="60">
        <f>tblJTL[[#This Row],[timeStamp]]/86400000+DATE(1970,1,1)+TIME(9,0,0)</f>
        <v>46296.422149432867</v>
      </c>
      <c r="T1909" s="57">
        <f>tblJTL[[#This Row],[timeStamp]]+tblJTL[[#This Row],[elapsed]]</f>
        <v>1790816873960</v>
      </c>
      <c r="U1909" s="61">
        <f>(tblJTL[[#This Row],[timeStamp]]-'17_分析サンプル'!$E$18)/1000</f>
        <v>473.53100000000001</v>
      </c>
      <c r="V1909" s="57">
        <f>INT(tblJTL[[#This Row],[経過秒]]/60)</f>
        <v>7</v>
      </c>
      <c r="W1909" s="57">
        <f>IF(OR(tblJTL[[#This Row],[success]]=FALSE,tblJTL[[#This Row],[success]]="false"),1,0)</f>
        <v>0</v>
      </c>
      <c r="X1909" s="57">
        <f>IF(AND(tblJTL[[#This Row],[経過秒]]&gt;='17_分析サンプル'!$E$11,tblJTL[[#This Row],[経過秒]]&lt;'17_分析サンプル'!$E$12),1,0)</f>
        <v>1</v>
      </c>
    </row>
    <row r="1910" spans="2:24" ht="14.4" x14ac:dyDescent="0.3">
      <c r="B1910" s="57">
        <v>1790816873963</v>
      </c>
      <c r="C1910" s="58">
        <v>139</v>
      </c>
      <c r="D1910" s="59" t="s">
        <v>1658</v>
      </c>
      <c r="E1910" s="59" t="s">
        <v>1577</v>
      </c>
      <c r="F1910" s="59" t="s">
        <v>2275</v>
      </c>
      <c r="G1910" s="59" t="s">
        <v>3582</v>
      </c>
      <c r="H1910" s="59" t="s">
        <v>2281</v>
      </c>
      <c r="I1910" s="59" t="b">
        <v>1</v>
      </c>
      <c r="J1910" s="59"/>
      <c r="K1910" s="58">
        <v>1889</v>
      </c>
      <c r="L1910" s="58">
        <v>1342</v>
      </c>
      <c r="M1910" s="59">
        <v>10</v>
      </c>
      <c r="N1910" s="59">
        <v>10</v>
      </c>
      <c r="O1910" s="59" t="s">
        <v>3578</v>
      </c>
      <c r="P1910" s="58">
        <v>133</v>
      </c>
      <c r="Q1910" s="59">
        <v>0</v>
      </c>
      <c r="R1910" s="59">
        <v>0</v>
      </c>
      <c r="S1910" s="60">
        <f>tblJTL[[#This Row],[timeStamp]]/86400000+DATE(1970,1,1)+TIME(9,0,0)</f>
        <v>46296.422152349536</v>
      </c>
      <c r="T1910" s="57">
        <f>tblJTL[[#This Row],[timeStamp]]+tblJTL[[#This Row],[elapsed]]</f>
        <v>1790816874102</v>
      </c>
      <c r="U1910" s="61">
        <f>(tblJTL[[#This Row],[timeStamp]]-'17_分析サンプル'!$E$18)/1000</f>
        <v>473.78300000000002</v>
      </c>
      <c r="V1910" s="57">
        <f>INT(tblJTL[[#This Row],[経過秒]]/60)</f>
        <v>7</v>
      </c>
      <c r="W1910" s="57">
        <f>IF(OR(tblJTL[[#This Row],[success]]=FALSE,tblJTL[[#This Row],[success]]="false"),1,0)</f>
        <v>0</v>
      </c>
      <c r="X1910" s="57">
        <f>IF(AND(tblJTL[[#This Row],[経過秒]]&gt;='17_分析サンプル'!$E$11,tblJTL[[#This Row],[経過秒]]&lt;'17_分析サンプル'!$E$12),1,0)</f>
        <v>1</v>
      </c>
    </row>
    <row r="1911" spans="2:24" ht="14.4" x14ac:dyDescent="0.3">
      <c r="B1911" s="57">
        <v>1790816874018</v>
      </c>
      <c r="C1911" s="58">
        <v>84</v>
      </c>
      <c r="D1911" s="59" t="s">
        <v>1658</v>
      </c>
      <c r="E1911" s="59" t="s">
        <v>1577</v>
      </c>
      <c r="F1911" s="59" t="s">
        <v>2275</v>
      </c>
      <c r="G1911" s="59" t="s">
        <v>3585</v>
      </c>
      <c r="H1911" s="59" t="s">
        <v>2281</v>
      </c>
      <c r="I1911" s="59" t="b">
        <v>1</v>
      </c>
      <c r="J1911" s="59"/>
      <c r="K1911" s="58">
        <v>1852</v>
      </c>
      <c r="L1911" s="58">
        <v>1342</v>
      </c>
      <c r="M1911" s="59">
        <v>10</v>
      </c>
      <c r="N1911" s="59">
        <v>10</v>
      </c>
      <c r="O1911" s="59" t="s">
        <v>3578</v>
      </c>
      <c r="P1911" s="58">
        <v>81</v>
      </c>
      <c r="Q1911" s="59">
        <v>0</v>
      </c>
      <c r="R1911" s="59">
        <v>0</v>
      </c>
      <c r="S1911" s="60">
        <f>tblJTL[[#This Row],[timeStamp]]/86400000+DATE(1970,1,1)+TIME(9,0,0)</f>
        <v>46296.42215298611</v>
      </c>
      <c r="T1911" s="57">
        <f>tblJTL[[#This Row],[timeStamp]]+tblJTL[[#This Row],[elapsed]]</f>
        <v>1790816874102</v>
      </c>
      <c r="U1911" s="61">
        <f>(tblJTL[[#This Row],[timeStamp]]-'17_分析サンプル'!$E$18)/1000</f>
        <v>473.83800000000002</v>
      </c>
      <c r="V1911" s="57">
        <f>INT(tblJTL[[#This Row],[経過秒]]/60)</f>
        <v>7</v>
      </c>
      <c r="W1911" s="57">
        <f>IF(OR(tblJTL[[#This Row],[success]]=FALSE,tblJTL[[#This Row],[success]]="false"),1,0)</f>
        <v>0</v>
      </c>
      <c r="X1911" s="57">
        <f>IF(AND(tblJTL[[#This Row],[経過秒]]&gt;='17_分析サンプル'!$E$11,tblJTL[[#This Row],[経過秒]]&lt;'17_分析サンプル'!$E$12),1,0)</f>
        <v>1</v>
      </c>
    </row>
    <row r="1912" spans="2:24" ht="14.4" x14ac:dyDescent="0.3">
      <c r="B1912" s="57">
        <v>1790816874075</v>
      </c>
      <c r="C1912" s="58">
        <v>122</v>
      </c>
      <c r="D1912" s="59" t="s">
        <v>1658</v>
      </c>
      <c r="E1912" s="59" t="s">
        <v>1577</v>
      </c>
      <c r="F1912" s="59" t="s">
        <v>2275</v>
      </c>
      <c r="G1912" s="59" t="s">
        <v>3577</v>
      </c>
      <c r="H1912" s="59" t="s">
        <v>2281</v>
      </c>
      <c r="I1912" s="59" t="b">
        <v>1</v>
      </c>
      <c r="J1912" s="59"/>
      <c r="K1912" s="58">
        <v>1878</v>
      </c>
      <c r="L1912" s="58">
        <v>1342</v>
      </c>
      <c r="M1912" s="59">
        <v>10</v>
      </c>
      <c r="N1912" s="59">
        <v>10</v>
      </c>
      <c r="O1912" s="59" t="s">
        <v>3578</v>
      </c>
      <c r="P1912" s="58">
        <v>120</v>
      </c>
      <c r="Q1912" s="59">
        <v>0</v>
      </c>
      <c r="R1912" s="59">
        <v>0</v>
      </c>
      <c r="S1912" s="60">
        <f>tblJTL[[#This Row],[timeStamp]]/86400000+DATE(1970,1,1)+TIME(9,0,0)</f>
        <v>46296.422153645835</v>
      </c>
      <c r="T1912" s="57">
        <f>tblJTL[[#This Row],[timeStamp]]+tblJTL[[#This Row],[elapsed]]</f>
        <v>1790816874197</v>
      </c>
      <c r="U1912" s="61">
        <f>(tblJTL[[#This Row],[timeStamp]]-'17_分析サンプル'!$E$18)/1000</f>
        <v>473.89499999999998</v>
      </c>
      <c r="V1912" s="57">
        <f>INT(tblJTL[[#This Row],[経過秒]]/60)</f>
        <v>7</v>
      </c>
      <c r="W1912" s="57">
        <f>IF(OR(tblJTL[[#This Row],[success]]=FALSE,tblJTL[[#This Row],[success]]="false"),1,0)</f>
        <v>0</v>
      </c>
      <c r="X1912" s="57">
        <f>IF(AND(tblJTL[[#This Row],[経過秒]]&gt;='17_分析サンプル'!$E$11,tblJTL[[#This Row],[経過秒]]&lt;'17_分析サンプル'!$E$12),1,0)</f>
        <v>1</v>
      </c>
    </row>
    <row r="1913" spans="2:24" ht="14.4" x14ac:dyDescent="0.3">
      <c r="B1913" s="57">
        <v>1790816874621</v>
      </c>
      <c r="C1913" s="58">
        <v>238</v>
      </c>
      <c r="D1913" s="59" t="s">
        <v>1677</v>
      </c>
      <c r="E1913" s="59" t="s">
        <v>3579</v>
      </c>
      <c r="F1913" s="59" t="s">
        <v>3580</v>
      </c>
      <c r="G1913" s="59" t="s">
        <v>3589</v>
      </c>
      <c r="H1913" s="59" t="s">
        <v>2281</v>
      </c>
      <c r="I1913" s="59" t="b">
        <v>1</v>
      </c>
      <c r="J1913" s="59"/>
      <c r="K1913" s="58">
        <v>417</v>
      </c>
      <c r="L1913" s="58">
        <v>1478</v>
      </c>
      <c r="M1913" s="59">
        <v>10</v>
      </c>
      <c r="N1913" s="59">
        <v>10</v>
      </c>
      <c r="O1913" s="59" t="s">
        <v>3581</v>
      </c>
      <c r="P1913" s="58">
        <v>232</v>
      </c>
      <c r="Q1913" s="59">
        <v>0</v>
      </c>
      <c r="R1913" s="59">
        <v>0</v>
      </c>
      <c r="S1913" s="60">
        <f>tblJTL[[#This Row],[timeStamp]]/86400000+DATE(1970,1,1)+TIME(9,0,0)</f>
        <v>46296.422159965281</v>
      </c>
      <c r="T1913" s="57">
        <f>tblJTL[[#This Row],[timeStamp]]+tblJTL[[#This Row],[elapsed]]</f>
        <v>1790816874859</v>
      </c>
      <c r="U1913" s="61">
        <f>(tblJTL[[#This Row],[timeStamp]]-'17_分析サンプル'!$E$18)/1000</f>
        <v>474.44099999999997</v>
      </c>
      <c r="V1913" s="57">
        <f>INT(tblJTL[[#This Row],[経過秒]]/60)</f>
        <v>7</v>
      </c>
      <c r="W1913" s="57">
        <f>IF(OR(tblJTL[[#This Row],[success]]=FALSE,tblJTL[[#This Row],[success]]="false"),1,0)</f>
        <v>0</v>
      </c>
      <c r="X1913" s="57">
        <f>IF(AND(tblJTL[[#This Row],[経過秒]]&gt;='17_分析サンプル'!$E$11,tblJTL[[#This Row],[経過秒]]&lt;'17_分析サンプル'!$E$12),1,0)</f>
        <v>1</v>
      </c>
    </row>
    <row r="1914" spans="2:24" ht="14.4" x14ac:dyDescent="0.3">
      <c r="B1914" s="57">
        <v>1790816874632</v>
      </c>
      <c r="C1914" s="58">
        <v>322</v>
      </c>
      <c r="D1914" s="59" t="s">
        <v>1677</v>
      </c>
      <c r="E1914" s="59" t="s">
        <v>3579</v>
      </c>
      <c r="F1914" s="59" t="s">
        <v>3580</v>
      </c>
      <c r="G1914" s="59" t="s">
        <v>3587</v>
      </c>
      <c r="H1914" s="59" t="s">
        <v>2281</v>
      </c>
      <c r="I1914" s="59" t="b">
        <v>1</v>
      </c>
      <c r="J1914" s="59"/>
      <c r="K1914" s="58">
        <v>420</v>
      </c>
      <c r="L1914" s="58">
        <v>1478</v>
      </c>
      <c r="M1914" s="59">
        <v>10</v>
      </c>
      <c r="N1914" s="59">
        <v>10</v>
      </c>
      <c r="O1914" s="59" t="s">
        <v>3581</v>
      </c>
      <c r="P1914" s="58">
        <v>316</v>
      </c>
      <c r="Q1914" s="59">
        <v>0</v>
      </c>
      <c r="R1914" s="59">
        <v>67</v>
      </c>
      <c r="S1914" s="60">
        <f>tblJTL[[#This Row],[timeStamp]]/86400000+DATE(1970,1,1)+TIME(9,0,0)</f>
        <v>46296.422160092596</v>
      </c>
      <c r="T1914" s="57">
        <f>tblJTL[[#This Row],[timeStamp]]+tblJTL[[#This Row],[elapsed]]</f>
        <v>1790816874954</v>
      </c>
      <c r="U1914" s="61">
        <f>(tblJTL[[#This Row],[timeStamp]]-'17_分析サンプル'!$E$18)/1000</f>
        <v>474.452</v>
      </c>
      <c r="V1914" s="57">
        <f>INT(tblJTL[[#This Row],[経過秒]]/60)</f>
        <v>7</v>
      </c>
      <c r="W1914" s="57">
        <f>IF(OR(tblJTL[[#This Row],[success]]=FALSE,tblJTL[[#This Row],[success]]="false"),1,0)</f>
        <v>0</v>
      </c>
      <c r="X1914" s="57">
        <f>IF(AND(tblJTL[[#This Row],[経過秒]]&gt;='17_分析サンプル'!$E$11,tblJTL[[#This Row],[経過秒]]&lt;'17_分析サンプル'!$E$12),1,0)</f>
        <v>1</v>
      </c>
    </row>
    <row r="1915" spans="2:24" ht="14.4" x14ac:dyDescent="0.3">
      <c r="B1915" s="57">
        <v>1790816874751</v>
      </c>
      <c r="C1915" s="58">
        <v>275</v>
      </c>
      <c r="D1915" s="59" t="s">
        <v>1677</v>
      </c>
      <c r="E1915" s="59" t="s">
        <v>3579</v>
      </c>
      <c r="F1915" s="59" t="s">
        <v>3580</v>
      </c>
      <c r="G1915" s="59" t="s">
        <v>3584</v>
      </c>
      <c r="H1915" s="59" t="s">
        <v>2281</v>
      </c>
      <c r="I1915" s="59" t="b">
        <v>1</v>
      </c>
      <c r="J1915" s="59"/>
      <c r="K1915" s="58">
        <v>428</v>
      </c>
      <c r="L1915" s="58">
        <v>1478</v>
      </c>
      <c r="M1915" s="59">
        <v>10</v>
      </c>
      <c r="N1915" s="59">
        <v>10</v>
      </c>
      <c r="O1915" s="59" t="s">
        <v>3581</v>
      </c>
      <c r="P1915" s="58">
        <v>269</v>
      </c>
      <c r="Q1915" s="59">
        <v>0</v>
      </c>
      <c r="R1915" s="59">
        <v>0</v>
      </c>
      <c r="S1915" s="60">
        <f>tblJTL[[#This Row],[timeStamp]]/86400000+DATE(1970,1,1)+TIME(9,0,0)</f>
        <v>46296.422161469905</v>
      </c>
      <c r="T1915" s="57">
        <f>tblJTL[[#This Row],[timeStamp]]+tblJTL[[#This Row],[elapsed]]</f>
        <v>1790816875026</v>
      </c>
      <c r="U1915" s="61">
        <f>(tblJTL[[#This Row],[timeStamp]]-'17_分析サンプル'!$E$18)/1000</f>
        <v>474.57100000000003</v>
      </c>
      <c r="V1915" s="57">
        <f>INT(tblJTL[[#This Row],[経過秒]]/60)</f>
        <v>7</v>
      </c>
      <c r="W1915" s="57">
        <f>IF(OR(tblJTL[[#This Row],[success]]=FALSE,tblJTL[[#This Row],[success]]="false"),1,0)</f>
        <v>0</v>
      </c>
      <c r="X1915" s="57">
        <f>IF(AND(tblJTL[[#This Row],[経過秒]]&gt;='17_分析サンプル'!$E$11,tblJTL[[#This Row],[経過秒]]&lt;'17_分析サンプル'!$E$12),1,0)</f>
        <v>1</v>
      </c>
    </row>
    <row r="1916" spans="2:24" ht="14.4" x14ac:dyDescent="0.3">
      <c r="B1916" s="57">
        <v>1790816874993</v>
      </c>
      <c r="C1916" s="58">
        <v>150</v>
      </c>
      <c r="D1916" s="59" t="s">
        <v>1658</v>
      </c>
      <c r="E1916" s="59" t="s">
        <v>1577</v>
      </c>
      <c r="F1916" s="59" t="s">
        <v>2275</v>
      </c>
      <c r="G1916" s="59" t="s">
        <v>3583</v>
      </c>
      <c r="H1916" s="59" t="s">
        <v>2281</v>
      </c>
      <c r="I1916" s="59" t="b">
        <v>1</v>
      </c>
      <c r="J1916" s="59"/>
      <c r="K1916" s="58">
        <v>1880</v>
      </c>
      <c r="L1916" s="58">
        <v>1342</v>
      </c>
      <c r="M1916" s="59">
        <v>10</v>
      </c>
      <c r="N1916" s="59">
        <v>10</v>
      </c>
      <c r="O1916" s="59" t="s">
        <v>3578</v>
      </c>
      <c r="P1916" s="58">
        <v>144</v>
      </c>
      <c r="Q1916" s="59">
        <v>0</v>
      </c>
      <c r="R1916" s="59">
        <v>0</v>
      </c>
      <c r="S1916" s="60">
        <f>tblJTL[[#This Row],[timeStamp]]/86400000+DATE(1970,1,1)+TIME(9,0,0)</f>
        <v>46296.422164270829</v>
      </c>
      <c r="T1916" s="57">
        <f>tblJTL[[#This Row],[timeStamp]]+tblJTL[[#This Row],[elapsed]]</f>
        <v>1790816875143</v>
      </c>
      <c r="U1916" s="61">
        <f>(tblJTL[[#This Row],[timeStamp]]-'17_分析サンプル'!$E$18)/1000</f>
        <v>474.81299999999999</v>
      </c>
      <c r="V1916" s="57">
        <f>INT(tblJTL[[#This Row],[経過秒]]/60)</f>
        <v>7</v>
      </c>
      <c r="W1916" s="57">
        <f>IF(OR(tblJTL[[#This Row],[success]]=FALSE,tblJTL[[#This Row],[success]]="false"),1,0)</f>
        <v>0</v>
      </c>
      <c r="X1916" s="57">
        <f>IF(AND(tblJTL[[#This Row],[経過秒]]&gt;='17_分析サンプル'!$E$11,tblJTL[[#This Row],[経過秒]]&lt;'17_分析サンプル'!$E$12),1,0)</f>
        <v>1</v>
      </c>
    </row>
    <row r="1917" spans="2:24" ht="14.4" x14ac:dyDescent="0.3">
      <c r="B1917" s="57">
        <v>1790816875580</v>
      </c>
      <c r="C1917" s="58">
        <v>104</v>
      </c>
      <c r="D1917" s="59" t="s">
        <v>1658</v>
      </c>
      <c r="E1917" s="59" t="s">
        <v>1577</v>
      </c>
      <c r="F1917" s="59" t="s">
        <v>2275</v>
      </c>
      <c r="G1917" s="59" t="s">
        <v>3586</v>
      </c>
      <c r="H1917" s="59" t="s">
        <v>2281</v>
      </c>
      <c r="I1917" s="59" t="b">
        <v>1</v>
      </c>
      <c r="J1917" s="59"/>
      <c r="K1917" s="58">
        <v>1877</v>
      </c>
      <c r="L1917" s="58">
        <v>1342</v>
      </c>
      <c r="M1917" s="59">
        <v>10</v>
      </c>
      <c r="N1917" s="59">
        <v>10</v>
      </c>
      <c r="O1917" s="59" t="s">
        <v>3578</v>
      </c>
      <c r="P1917" s="58">
        <v>98</v>
      </c>
      <c r="Q1917" s="59">
        <v>0</v>
      </c>
      <c r="R1917" s="59">
        <v>0</v>
      </c>
      <c r="S1917" s="60">
        <f>tblJTL[[#This Row],[timeStamp]]/86400000+DATE(1970,1,1)+TIME(9,0,0)</f>
        <v>46296.422171064813</v>
      </c>
      <c r="T1917" s="57">
        <f>tblJTL[[#This Row],[timeStamp]]+tblJTL[[#This Row],[elapsed]]</f>
        <v>1790816875684</v>
      </c>
      <c r="U1917" s="61">
        <f>(tblJTL[[#This Row],[timeStamp]]-'17_分析サンプル'!$E$18)/1000</f>
        <v>475.4</v>
      </c>
      <c r="V1917" s="57">
        <f>INT(tblJTL[[#This Row],[経過秒]]/60)</f>
        <v>7</v>
      </c>
      <c r="W1917" s="57">
        <f>IF(OR(tblJTL[[#This Row],[success]]=FALSE,tblJTL[[#This Row],[success]]="false"),1,0)</f>
        <v>0</v>
      </c>
      <c r="X1917" s="57">
        <f>IF(AND(tblJTL[[#This Row],[経過秒]]&gt;='17_分析サンプル'!$E$11,tblJTL[[#This Row],[経過秒]]&lt;'17_分析サンプル'!$E$12),1,0)</f>
        <v>1</v>
      </c>
    </row>
    <row r="1918" spans="2:24" ht="14.4" x14ac:dyDescent="0.3">
      <c r="B1918" s="57">
        <v>1790816875628</v>
      </c>
      <c r="C1918" s="58">
        <v>297</v>
      </c>
      <c r="D1918" s="59" t="s">
        <v>1677</v>
      </c>
      <c r="E1918" s="59" t="s">
        <v>3579</v>
      </c>
      <c r="F1918" s="59" t="s">
        <v>3580</v>
      </c>
      <c r="G1918" s="59" t="s">
        <v>3585</v>
      </c>
      <c r="H1918" s="59" t="s">
        <v>2281</v>
      </c>
      <c r="I1918" s="59" t="b">
        <v>1</v>
      </c>
      <c r="J1918" s="59"/>
      <c r="K1918" s="58">
        <v>434</v>
      </c>
      <c r="L1918" s="58">
        <v>1478</v>
      </c>
      <c r="M1918" s="59">
        <v>10</v>
      </c>
      <c r="N1918" s="59">
        <v>10</v>
      </c>
      <c r="O1918" s="59" t="s">
        <v>3581</v>
      </c>
      <c r="P1918" s="58">
        <v>293</v>
      </c>
      <c r="Q1918" s="59">
        <v>0</v>
      </c>
      <c r="R1918" s="59">
        <v>0</v>
      </c>
      <c r="S1918" s="60">
        <f>tblJTL[[#This Row],[timeStamp]]/86400000+DATE(1970,1,1)+TIME(9,0,0)</f>
        <v>46296.422171620376</v>
      </c>
      <c r="T1918" s="57">
        <f>tblJTL[[#This Row],[timeStamp]]+tblJTL[[#This Row],[elapsed]]</f>
        <v>1790816875925</v>
      </c>
      <c r="U1918" s="61">
        <f>(tblJTL[[#This Row],[timeStamp]]-'17_分析サンプル'!$E$18)/1000</f>
        <v>475.44799999999998</v>
      </c>
      <c r="V1918" s="57">
        <f>INT(tblJTL[[#This Row],[経過秒]]/60)</f>
        <v>7</v>
      </c>
      <c r="W1918" s="57">
        <f>IF(OR(tblJTL[[#This Row],[success]]=FALSE,tblJTL[[#This Row],[success]]="false"),1,0)</f>
        <v>0</v>
      </c>
      <c r="X1918" s="57">
        <f>IF(AND(tblJTL[[#This Row],[経過秒]]&gt;='17_分析サンプル'!$E$11,tblJTL[[#This Row],[経過秒]]&lt;'17_分析サンプル'!$E$12),1,0)</f>
        <v>1</v>
      </c>
    </row>
    <row r="1919" spans="2:24" ht="14.4" x14ac:dyDescent="0.3">
      <c r="B1919" s="57">
        <v>1790816876092</v>
      </c>
      <c r="C1919" s="58">
        <v>67</v>
      </c>
      <c r="D1919" s="59" t="s">
        <v>1658</v>
      </c>
      <c r="E1919" s="59" t="s">
        <v>1577</v>
      </c>
      <c r="F1919" s="59" t="s">
        <v>2275</v>
      </c>
      <c r="G1919" s="59" t="s">
        <v>3588</v>
      </c>
      <c r="H1919" s="59" t="s">
        <v>2281</v>
      </c>
      <c r="I1919" s="59" t="b">
        <v>1</v>
      </c>
      <c r="J1919" s="59"/>
      <c r="K1919" s="58">
        <v>1890</v>
      </c>
      <c r="L1919" s="58">
        <v>1342</v>
      </c>
      <c r="M1919" s="59">
        <v>10</v>
      </c>
      <c r="N1919" s="59">
        <v>10</v>
      </c>
      <c r="O1919" s="59" t="s">
        <v>3578</v>
      </c>
      <c r="P1919" s="58">
        <v>63</v>
      </c>
      <c r="Q1919" s="59">
        <v>0</v>
      </c>
      <c r="R1919" s="59">
        <v>0</v>
      </c>
      <c r="S1919" s="60">
        <f>tblJTL[[#This Row],[timeStamp]]/86400000+DATE(1970,1,1)+TIME(9,0,0)</f>
        <v>46296.422176990745</v>
      </c>
      <c r="T1919" s="57">
        <f>tblJTL[[#This Row],[timeStamp]]+tblJTL[[#This Row],[elapsed]]</f>
        <v>1790816876159</v>
      </c>
      <c r="U1919" s="61">
        <f>(tblJTL[[#This Row],[timeStamp]]-'17_分析サンプル'!$E$18)/1000</f>
        <v>475.91199999999998</v>
      </c>
      <c r="V1919" s="57">
        <f>INT(tblJTL[[#This Row],[経過秒]]/60)</f>
        <v>7</v>
      </c>
      <c r="W1919" s="57">
        <f>IF(OR(tblJTL[[#This Row],[success]]=FALSE,tblJTL[[#This Row],[success]]="false"),1,0)</f>
        <v>0</v>
      </c>
      <c r="X1919" s="57">
        <f>IF(AND(tblJTL[[#This Row],[経過秒]]&gt;='17_分析サンプル'!$E$11,tblJTL[[#This Row],[経過秒]]&lt;'17_分析サンプル'!$E$12),1,0)</f>
        <v>1</v>
      </c>
    </row>
    <row r="1920" spans="2:24" ht="14.4" x14ac:dyDescent="0.3">
      <c r="B1920" s="57">
        <v>1790816876208</v>
      </c>
      <c r="C1920" s="58">
        <v>88</v>
      </c>
      <c r="D1920" s="59" t="s">
        <v>1658</v>
      </c>
      <c r="E1920" s="59" t="s">
        <v>1577</v>
      </c>
      <c r="F1920" s="59" t="s">
        <v>2275</v>
      </c>
      <c r="G1920" s="59" t="s">
        <v>2278</v>
      </c>
      <c r="H1920" s="59" t="s">
        <v>2281</v>
      </c>
      <c r="I1920" s="59" t="b">
        <v>1</v>
      </c>
      <c r="J1920" s="59"/>
      <c r="K1920" s="58">
        <v>1821</v>
      </c>
      <c r="L1920" s="58">
        <v>1342</v>
      </c>
      <c r="M1920" s="59">
        <v>10</v>
      </c>
      <c r="N1920" s="59">
        <v>10</v>
      </c>
      <c r="O1920" s="59" t="s">
        <v>3578</v>
      </c>
      <c r="P1920" s="58">
        <v>81</v>
      </c>
      <c r="Q1920" s="59">
        <v>0</v>
      </c>
      <c r="R1920" s="59">
        <v>0</v>
      </c>
      <c r="S1920" s="60">
        <f>tblJTL[[#This Row],[timeStamp]]/86400000+DATE(1970,1,1)+TIME(9,0,0)</f>
        <v>46296.422178333334</v>
      </c>
      <c r="T1920" s="57">
        <f>tblJTL[[#This Row],[timeStamp]]+tblJTL[[#This Row],[elapsed]]</f>
        <v>1790816876296</v>
      </c>
      <c r="U1920" s="61">
        <f>(tblJTL[[#This Row],[timeStamp]]-'17_分析サンプル'!$E$18)/1000</f>
        <v>476.02800000000002</v>
      </c>
      <c r="V1920" s="57">
        <f>INT(tblJTL[[#This Row],[経過秒]]/60)</f>
        <v>7</v>
      </c>
      <c r="W1920" s="57">
        <f>IF(OR(tblJTL[[#This Row],[success]]=FALSE,tblJTL[[#This Row],[success]]="false"),1,0)</f>
        <v>0</v>
      </c>
      <c r="X1920" s="57">
        <f>IF(AND(tblJTL[[#This Row],[経過秒]]&gt;='17_分析サンプル'!$E$11,tblJTL[[#This Row],[経過秒]]&lt;'17_分析サンプル'!$E$12),1,0)</f>
        <v>1</v>
      </c>
    </row>
    <row r="1921" spans="2:24" ht="14.4" x14ac:dyDescent="0.3">
      <c r="B1921" s="57">
        <v>1790816876219</v>
      </c>
      <c r="C1921" s="58">
        <v>173</v>
      </c>
      <c r="D1921" s="59" t="s">
        <v>1677</v>
      </c>
      <c r="E1921" s="59" t="s">
        <v>3579</v>
      </c>
      <c r="F1921" s="59" t="s">
        <v>3580</v>
      </c>
      <c r="G1921" s="59" t="s">
        <v>3583</v>
      </c>
      <c r="H1921" s="59" t="s">
        <v>2281</v>
      </c>
      <c r="I1921" s="59" t="b">
        <v>1</v>
      </c>
      <c r="J1921" s="59"/>
      <c r="K1921" s="58">
        <v>433</v>
      </c>
      <c r="L1921" s="58">
        <v>1478</v>
      </c>
      <c r="M1921" s="59">
        <v>10</v>
      </c>
      <c r="N1921" s="59">
        <v>10</v>
      </c>
      <c r="O1921" s="59" t="s">
        <v>3581</v>
      </c>
      <c r="P1921" s="58">
        <v>166</v>
      </c>
      <c r="Q1921" s="59">
        <v>0</v>
      </c>
      <c r="R1921" s="59">
        <v>0</v>
      </c>
      <c r="S1921" s="60">
        <f>tblJTL[[#This Row],[timeStamp]]/86400000+DATE(1970,1,1)+TIME(9,0,0)</f>
        <v>46296.422178460649</v>
      </c>
      <c r="T1921" s="57">
        <f>tblJTL[[#This Row],[timeStamp]]+tblJTL[[#This Row],[elapsed]]</f>
        <v>1790816876392</v>
      </c>
      <c r="U1921" s="61">
        <f>(tblJTL[[#This Row],[timeStamp]]-'17_分析サンプル'!$E$18)/1000</f>
        <v>476.03899999999999</v>
      </c>
      <c r="V1921" s="57">
        <f>INT(tblJTL[[#This Row],[経過秒]]/60)</f>
        <v>7</v>
      </c>
      <c r="W1921" s="57">
        <f>IF(OR(tblJTL[[#This Row],[success]]=FALSE,tblJTL[[#This Row],[success]]="false"),1,0)</f>
        <v>0</v>
      </c>
      <c r="X1921" s="57">
        <f>IF(AND(tblJTL[[#This Row],[経過秒]]&gt;='17_分析サンプル'!$E$11,tblJTL[[#This Row],[経過秒]]&lt;'17_分析サンプル'!$E$12),1,0)</f>
        <v>1</v>
      </c>
    </row>
    <row r="1922" spans="2:24" ht="14.4" x14ac:dyDescent="0.3">
      <c r="B1922" s="57">
        <v>1790816876490</v>
      </c>
      <c r="C1922" s="58">
        <v>117</v>
      </c>
      <c r="D1922" s="59" t="s">
        <v>1658</v>
      </c>
      <c r="E1922" s="59" t="s">
        <v>1577</v>
      </c>
      <c r="F1922" s="59" t="s">
        <v>2275</v>
      </c>
      <c r="G1922" s="59" t="s">
        <v>3589</v>
      </c>
      <c r="H1922" s="59" t="s">
        <v>2281</v>
      </c>
      <c r="I1922" s="59" t="b">
        <v>1</v>
      </c>
      <c r="J1922" s="59"/>
      <c r="K1922" s="58">
        <v>1873</v>
      </c>
      <c r="L1922" s="58">
        <v>1342</v>
      </c>
      <c r="M1922" s="59">
        <v>10</v>
      </c>
      <c r="N1922" s="59">
        <v>10</v>
      </c>
      <c r="O1922" s="59" t="s">
        <v>3578</v>
      </c>
      <c r="P1922" s="58">
        <v>114</v>
      </c>
      <c r="Q1922" s="59">
        <v>0</v>
      </c>
      <c r="R1922" s="59">
        <v>0</v>
      </c>
      <c r="S1922" s="60">
        <f>tblJTL[[#This Row],[timeStamp]]/86400000+DATE(1970,1,1)+TIME(9,0,0)</f>
        <v>46296.422181597227</v>
      </c>
      <c r="T1922" s="57">
        <f>tblJTL[[#This Row],[timeStamp]]+tblJTL[[#This Row],[elapsed]]</f>
        <v>1790816876607</v>
      </c>
      <c r="U1922" s="61">
        <f>(tblJTL[[#This Row],[timeStamp]]-'17_分析サンプル'!$E$18)/1000</f>
        <v>476.31</v>
      </c>
      <c r="V1922" s="57">
        <f>INT(tblJTL[[#This Row],[経過秒]]/60)</f>
        <v>7</v>
      </c>
      <c r="W1922" s="57">
        <f>IF(OR(tblJTL[[#This Row],[success]]=FALSE,tblJTL[[#This Row],[success]]="false"),1,0)</f>
        <v>0</v>
      </c>
      <c r="X1922" s="57">
        <f>IF(AND(tblJTL[[#This Row],[経過秒]]&gt;='17_分析サンプル'!$E$11,tblJTL[[#This Row],[経過秒]]&lt;'17_分析サンプル'!$E$12),1,0)</f>
        <v>1</v>
      </c>
    </row>
    <row r="1923" spans="2:24" ht="14.4" x14ac:dyDescent="0.3">
      <c r="B1923" s="57">
        <v>1790816876955</v>
      </c>
      <c r="C1923" s="58">
        <v>230</v>
      </c>
      <c r="D1923" s="59" t="s">
        <v>1677</v>
      </c>
      <c r="E1923" s="59" t="s">
        <v>3579</v>
      </c>
      <c r="F1923" s="59" t="s">
        <v>3580</v>
      </c>
      <c r="G1923" s="59" t="s">
        <v>3577</v>
      </c>
      <c r="H1923" s="59" t="s">
        <v>2281</v>
      </c>
      <c r="I1923" s="59" t="b">
        <v>1</v>
      </c>
      <c r="J1923" s="59"/>
      <c r="K1923" s="58">
        <v>424</v>
      </c>
      <c r="L1923" s="58">
        <v>1478</v>
      </c>
      <c r="M1923" s="59">
        <v>10</v>
      </c>
      <c r="N1923" s="59">
        <v>10</v>
      </c>
      <c r="O1923" s="59" t="s">
        <v>3581</v>
      </c>
      <c r="P1923" s="58">
        <v>223</v>
      </c>
      <c r="Q1923" s="59">
        <v>0</v>
      </c>
      <c r="R1923" s="59">
        <v>0</v>
      </c>
      <c r="S1923" s="60">
        <f>tblJTL[[#This Row],[timeStamp]]/86400000+DATE(1970,1,1)+TIME(9,0,0)</f>
        <v>46296.422186979165</v>
      </c>
      <c r="T1923" s="57">
        <f>tblJTL[[#This Row],[timeStamp]]+tblJTL[[#This Row],[elapsed]]</f>
        <v>1790816877185</v>
      </c>
      <c r="U1923" s="61">
        <f>(tblJTL[[#This Row],[timeStamp]]-'17_分析サンプル'!$E$18)/1000</f>
        <v>476.77499999999998</v>
      </c>
      <c r="V1923" s="57">
        <f>INT(tblJTL[[#This Row],[経過秒]]/60)</f>
        <v>7</v>
      </c>
      <c r="W1923" s="57">
        <f>IF(OR(tblJTL[[#This Row],[success]]=FALSE,tblJTL[[#This Row],[success]]="false"),1,0)</f>
        <v>0</v>
      </c>
      <c r="X1923" s="57">
        <f>IF(AND(tblJTL[[#This Row],[経過秒]]&gt;='17_分析サンプル'!$E$11,tblJTL[[#This Row],[経過秒]]&lt;'17_分析サンプル'!$E$12),1,0)</f>
        <v>1</v>
      </c>
    </row>
    <row r="1924" spans="2:24" ht="14.4" x14ac:dyDescent="0.3">
      <c r="B1924" s="57">
        <v>1790816877090</v>
      </c>
      <c r="C1924" s="58">
        <v>268</v>
      </c>
      <c r="D1924" s="59" t="s">
        <v>1677</v>
      </c>
      <c r="E1924" s="59" t="s">
        <v>3579</v>
      </c>
      <c r="F1924" s="59" t="s">
        <v>3580</v>
      </c>
      <c r="G1924" s="59" t="s">
        <v>3582</v>
      </c>
      <c r="H1924" s="59" t="s">
        <v>2281</v>
      </c>
      <c r="I1924" s="59" t="b">
        <v>1</v>
      </c>
      <c r="J1924" s="59"/>
      <c r="K1924" s="58">
        <v>435</v>
      </c>
      <c r="L1924" s="58">
        <v>1478</v>
      </c>
      <c r="M1924" s="59">
        <v>10</v>
      </c>
      <c r="N1924" s="59">
        <v>10</v>
      </c>
      <c r="O1924" s="59" t="s">
        <v>3581</v>
      </c>
      <c r="P1924" s="58">
        <v>266</v>
      </c>
      <c r="Q1924" s="59">
        <v>0</v>
      </c>
      <c r="R1924" s="59">
        <v>0</v>
      </c>
      <c r="S1924" s="60">
        <f>tblJTL[[#This Row],[timeStamp]]/86400000+DATE(1970,1,1)+TIME(9,0,0)</f>
        <v>46296.422188541663</v>
      </c>
      <c r="T1924" s="57">
        <f>tblJTL[[#This Row],[timeStamp]]+tblJTL[[#This Row],[elapsed]]</f>
        <v>1790816877358</v>
      </c>
      <c r="U1924" s="61">
        <f>(tblJTL[[#This Row],[timeStamp]]-'17_分析サンプル'!$E$18)/1000</f>
        <v>476.91</v>
      </c>
      <c r="V1924" s="57">
        <f>INT(tblJTL[[#This Row],[経過秒]]/60)</f>
        <v>7</v>
      </c>
      <c r="W1924" s="57">
        <f>IF(OR(tblJTL[[#This Row],[success]]=FALSE,tblJTL[[#This Row],[success]]="false"),1,0)</f>
        <v>0</v>
      </c>
      <c r="X1924" s="57">
        <f>IF(AND(tblJTL[[#This Row],[経過秒]]&gt;='17_分析サンプル'!$E$11,tblJTL[[#This Row],[経過秒]]&lt;'17_分析サンプル'!$E$12),1,0)</f>
        <v>1</v>
      </c>
    </row>
    <row r="1925" spans="2:24" ht="14.4" x14ac:dyDescent="0.3">
      <c r="B1925" s="57">
        <v>1790816877352</v>
      </c>
      <c r="C1925" s="58">
        <v>94</v>
      </c>
      <c r="D1925" s="59" t="s">
        <v>1658</v>
      </c>
      <c r="E1925" s="59" t="s">
        <v>1577</v>
      </c>
      <c r="F1925" s="59" t="s">
        <v>2275</v>
      </c>
      <c r="G1925" s="59" t="s">
        <v>3584</v>
      </c>
      <c r="H1925" s="59" t="s">
        <v>2281</v>
      </c>
      <c r="I1925" s="59" t="b">
        <v>1</v>
      </c>
      <c r="J1925" s="59"/>
      <c r="K1925" s="58">
        <v>1866</v>
      </c>
      <c r="L1925" s="58">
        <v>1342</v>
      </c>
      <c r="M1925" s="59">
        <v>10</v>
      </c>
      <c r="N1925" s="59">
        <v>10</v>
      </c>
      <c r="O1925" s="59" t="s">
        <v>3578</v>
      </c>
      <c r="P1925" s="58">
        <v>90</v>
      </c>
      <c r="Q1925" s="59">
        <v>0</v>
      </c>
      <c r="R1925" s="59">
        <v>0</v>
      </c>
      <c r="S1925" s="60">
        <f>tblJTL[[#This Row],[timeStamp]]/86400000+DATE(1970,1,1)+TIME(9,0,0)</f>
        <v>46296.422191574078</v>
      </c>
      <c r="T1925" s="57">
        <f>tblJTL[[#This Row],[timeStamp]]+tblJTL[[#This Row],[elapsed]]</f>
        <v>1790816877446</v>
      </c>
      <c r="U1925" s="61">
        <f>(tblJTL[[#This Row],[timeStamp]]-'17_分析サンプル'!$E$18)/1000</f>
        <v>477.17200000000003</v>
      </c>
      <c r="V1925" s="57">
        <f>INT(tblJTL[[#This Row],[経過秒]]/60)</f>
        <v>7</v>
      </c>
      <c r="W1925" s="57">
        <f>IF(OR(tblJTL[[#This Row],[success]]=FALSE,tblJTL[[#This Row],[success]]="false"),1,0)</f>
        <v>0</v>
      </c>
      <c r="X1925" s="57">
        <f>IF(AND(tblJTL[[#This Row],[経過秒]]&gt;='17_分析サンプル'!$E$11,tblJTL[[#This Row],[経過秒]]&lt;'17_分析サンプル'!$E$12),1,0)</f>
        <v>1</v>
      </c>
    </row>
    <row r="1926" spans="2:24" ht="14.4" x14ac:dyDescent="0.3">
      <c r="B1926" s="57">
        <v>1790816877485</v>
      </c>
      <c r="C1926" s="58">
        <v>141</v>
      </c>
      <c r="D1926" s="59" t="s">
        <v>1677</v>
      </c>
      <c r="E1926" s="59" t="s">
        <v>3579</v>
      </c>
      <c r="F1926" s="59" t="s">
        <v>3580</v>
      </c>
      <c r="G1926" s="59" t="s">
        <v>2278</v>
      </c>
      <c r="H1926" s="59" t="s">
        <v>2281</v>
      </c>
      <c r="I1926" s="59" t="b">
        <v>1</v>
      </c>
      <c r="J1926" s="59"/>
      <c r="K1926" s="58">
        <v>429</v>
      </c>
      <c r="L1926" s="58">
        <v>1478</v>
      </c>
      <c r="M1926" s="59">
        <v>10</v>
      </c>
      <c r="N1926" s="59">
        <v>10</v>
      </c>
      <c r="O1926" s="59" t="s">
        <v>3581</v>
      </c>
      <c r="P1926" s="58">
        <v>134</v>
      </c>
      <c r="Q1926" s="59">
        <v>0</v>
      </c>
      <c r="R1926" s="59">
        <v>0</v>
      </c>
      <c r="S1926" s="60">
        <f>tblJTL[[#This Row],[timeStamp]]/86400000+DATE(1970,1,1)+TIME(9,0,0)</f>
        <v>46296.422193113423</v>
      </c>
      <c r="T1926" s="57">
        <f>tblJTL[[#This Row],[timeStamp]]+tblJTL[[#This Row],[elapsed]]</f>
        <v>1790816877626</v>
      </c>
      <c r="U1926" s="61">
        <f>(tblJTL[[#This Row],[timeStamp]]-'17_分析サンプル'!$E$18)/1000</f>
        <v>477.30500000000001</v>
      </c>
      <c r="V1926" s="57">
        <f>INT(tblJTL[[#This Row],[経過秒]]/60)</f>
        <v>7</v>
      </c>
      <c r="W1926" s="57">
        <f>IF(OR(tblJTL[[#This Row],[success]]=FALSE,tblJTL[[#This Row],[success]]="false"),1,0)</f>
        <v>0</v>
      </c>
      <c r="X1926" s="57">
        <f>IF(AND(tblJTL[[#This Row],[経過秒]]&gt;='17_分析サンプル'!$E$11,tblJTL[[#This Row],[経過秒]]&lt;'17_分析サンプル'!$E$12),1,0)</f>
        <v>1</v>
      </c>
    </row>
    <row r="1927" spans="2:24" ht="14.4" x14ac:dyDescent="0.3">
      <c r="B1927" s="57">
        <v>1790816877505</v>
      </c>
      <c r="C1927" s="58">
        <v>256</v>
      </c>
      <c r="D1927" s="59" t="s">
        <v>1677</v>
      </c>
      <c r="E1927" s="59" t="s">
        <v>3579</v>
      </c>
      <c r="F1927" s="59" t="s">
        <v>3580</v>
      </c>
      <c r="G1927" s="59" t="s">
        <v>3588</v>
      </c>
      <c r="H1927" s="59" t="s">
        <v>2281</v>
      </c>
      <c r="I1927" s="59" t="b">
        <v>1</v>
      </c>
      <c r="J1927" s="59"/>
      <c r="K1927" s="58">
        <v>413</v>
      </c>
      <c r="L1927" s="58">
        <v>1478</v>
      </c>
      <c r="M1927" s="59">
        <v>10</v>
      </c>
      <c r="N1927" s="59">
        <v>10</v>
      </c>
      <c r="O1927" s="59" t="s">
        <v>3581</v>
      </c>
      <c r="P1927" s="58">
        <v>253</v>
      </c>
      <c r="Q1927" s="59">
        <v>0</v>
      </c>
      <c r="R1927" s="59">
        <v>0</v>
      </c>
      <c r="S1927" s="60">
        <f>tblJTL[[#This Row],[timeStamp]]/86400000+DATE(1970,1,1)+TIME(9,0,0)</f>
        <v>46296.422193344908</v>
      </c>
      <c r="T1927" s="57">
        <f>tblJTL[[#This Row],[timeStamp]]+tblJTL[[#This Row],[elapsed]]</f>
        <v>1790816877761</v>
      </c>
      <c r="U1927" s="61">
        <f>(tblJTL[[#This Row],[timeStamp]]-'17_分析サンプル'!$E$18)/1000</f>
        <v>477.32499999999999</v>
      </c>
      <c r="V1927" s="57">
        <f>INT(tblJTL[[#This Row],[経過秒]]/60)</f>
        <v>7</v>
      </c>
      <c r="W1927" s="57">
        <f>IF(OR(tblJTL[[#This Row],[success]]=FALSE,tblJTL[[#This Row],[success]]="false"),1,0)</f>
        <v>0</v>
      </c>
      <c r="X1927" s="57">
        <f>IF(AND(tblJTL[[#This Row],[経過秒]]&gt;='17_分析サンプル'!$E$11,tblJTL[[#This Row],[経過秒]]&lt;'17_分析サンプル'!$E$12),1,0)</f>
        <v>1</v>
      </c>
    </row>
    <row r="1928" spans="2:24" ht="14.4" x14ac:dyDescent="0.3">
      <c r="B1928" s="57">
        <v>1790816877636</v>
      </c>
      <c r="C1928" s="58">
        <v>148</v>
      </c>
      <c r="D1928" s="59" t="s">
        <v>1658</v>
      </c>
      <c r="E1928" s="59" t="s">
        <v>1577</v>
      </c>
      <c r="F1928" s="59" t="s">
        <v>2275</v>
      </c>
      <c r="G1928" s="59" t="s">
        <v>3587</v>
      </c>
      <c r="H1928" s="59" t="s">
        <v>2281</v>
      </c>
      <c r="I1928" s="59" t="b">
        <v>1</v>
      </c>
      <c r="J1928" s="59"/>
      <c r="K1928" s="58">
        <v>1855</v>
      </c>
      <c r="L1928" s="58">
        <v>1342</v>
      </c>
      <c r="M1928" s="59">
        <v>10</v>
      </c>
      <c r="N1928" s="59">
        <v>10</v>
      </c>
      <c r="O1928" s="59" t="s">
        <v>3578</v>
      </c>
      <c r="P1928" s="58">
        <v>143</v>
      </c>
      <c r="Q1928" s="59">
        <v>0</v>
      </c>
      <c r="R1928" s="59">
        <v>0</v>
      </c>
      <c r="S1928" s="60">
        <f>tblJTL[[#This Row],[timeStamp]]/86400000+DATE(1970,1,1)+TIME(9,0,0)</f>
        <v>46296.422194861108</v>
      </c>
      <c r="T1928" s="57">
        <f>tblJTL[[#This Row],[timeStamp]]+tblJTL[[#This Row],[elapsed]]</f>
        <v>1790816877784</v>
      </c>
      <c r="U1928" s="61">
        <f>(tblJTL[[#This Row],[timeStamp]]-'17_分析サンプル'!$E$18)/1000</f>
        <v>477.45600000000002</v>
      </c>
      <c r="V1928" s="57">
        <f>INT(tblJTL[[#This Row],[経過秒]]/60)</f>
        <v>7</v>
      </c>
      <c r="W1928" s="57">
        <f>IF(OR(tblJTL[[#This Row],[success]]=FALSE,tblJTL[[#This Row],[success]]="false"),1,0)</f>
        <v>0</v>
      </c>
      <c r="X1928" s="57">
        <f>IF(AND(tblJTL[[#This Row],[経過秒]]&gt;='17_分析サンプル'!$E$11,tblJTL[[#This Row],[経過秒]]&lt;'17_分析サンプル'!$E$12),1,0)</f>
        <v>1</v>
      </c>
    </row>
    <row r="1929" spans="2:24" ht="14.4" x14ac:dyDescent="0.3">
      <c r="B1929" s="57">
        <v>1790816877769</v>
      </c>
      <c r="C1929" s="58">
        <v>66</v>
      </c>
      <c r="D1929" s="59" t="s">
        <v>1658</v>
      </c>
      <c r="E1929" s="59" t="s">
        <v>1577</v>
      </c>
      <c r="F1929" s="59" t="s">
        <v>2275</v>
      </c>
      <c r="G1929" s="59" t="s">
        <v>3583</v>
      </c>
      <c r="H1929" s="59" t="s">
        <v>2281</v>
      </c>
      <c r="I1929" s="59" t="b">
        <v>1</v>
      </c>
      <c r="J1929" s="59"/>
      <c r="K1929" s="58">
        <v>1882</v>
      </c>
      <c r="L1929" s="58">
        <v>1342</v>
      </c>
      <c r="M1929" s="59">
        <v>10</v>
      </c>
      <c r="N1929" s="59">
        <v>10</v>
      </c>
      <c r="O1929" s="59" t="s">
        <v>3578</v>
      </c>
      <c r="P1929" s="58">
        <v>58</v>
      </c>
      <c r="Q1929" s="59">
        <v>0</v>
      </c>
      <c r="R1929" s="59">
        <v>0</v>
      </c>
      <c r="S1929" s="60">
        <f>tblJTL[[#This Row],[timeStamp]]/86400000+DATE(1970,1,1)+TIME(9,0,0)</f>
        <v>46296.422196400468</v>
      </c>
      <c r="T1929" s="57">
        <f>tblJTL[[#This Row],[timeStamp]]+tblJTL[[#This Row],[elapsed]]</f>
        <v>1790816877835</v>
      </c>
      <c r="U1929" s="61">
        <f>(tblJTL[[#This Row],[timeStamp]]-'17_分析サンプル'!$E$18)/1000</f>
        <v>477.589</v>
      </c>
      <c r="V1929" s="57">
        <f>INT(tblJTL[[#This Row],[経過秒]]/60)</f>
        <v>7</v>
      </c>
      <c r="W1929" s="57">
        <f>IF(OR(tblJTL[[#This Row],[success]]=FALSE,tblJTL[[#This Row],[success]]="false"),1,0)</f>
        <v>0</v>
      </c>
      <c r="X1929" s="57">
        <f>IF(AND(tblJTL[[#This Row],[経過秒]]&gt;='17_分析サンプル'!$E$11,tblJTL[[#This Row],[経過秒]]&lt;'17_分析サンプル'!$E$12),1,0)</f>
        <v>1</v>
      </c>
    </row>
    <row r="1930" spans="2:24" ht="14.4" x14ac:dyDescent="0.3">
      <c r="B1930" s="57">
        <v>1790816877615</v>
      </c>
      <c r="C1930" s="58">
        <v>340</v>
      </c>
      <c r="D1930" s="59" t="s">
        <v>1677</v>
      </c>
      <c r="E1930" s="59" t="s">
        <v>3579</v>
      </c>
      <c r="F1930" s="59" t="s">
        <v>3580</v>
      </c>
      <c r="G1930" s="59" t="s">
        <v>3586</v>
      </c>
      <c r="H1930" s="59" t="s">
        <v>2281</v>
      </c>
      <c r="I1930" s="59" t="b">
        <v>1</v>
      </c>
      <c r="J1930" s="59"/>
      <c r="K1930" s="58">
        <v>427</v>
      </c>
      <c r="L1930" s="58">
        <v>1478</v>
      </c>
      <c r="M1930" s="59">
        <v>10</v>
      </c>
      <c r="N1930" s="59">
        <v>10</v>
      </c>
      <c r="O1930" s="59" t="s">
        <v>3581</v>
      </c>
      <c r="P1930" s="58">
        <v>333</v>
      </c>
      <c r="Q1930" s="59">
        <v>0</v>
      </c>
      <c r="R1930" s="59">
        <v>0</v>
      </c>
      <c r="S1930" s="60">
        <f>tblJTL[[#This Row],[timeStamp]]/86400000+DATE(1970,1,1)+TIME(9,0,0)</f>
        <v>46296.422194618055</v>
      </c>
      <c r="T1930" s="57">
        <f>tblJTL[[#This Row],[timeStamp]]+tblJTL[[#This Row],[elapsed]]</f>
        <v>1790816877955</v>
      </c>
      <c r="U1930" s="61">
        <f>(tblJTL[[#This Row],[timeStamp]]-'17_分析サンプル'!$E$18)/1000</f>
        <v>477.435</v>
      </c>
      <c r="V1930" s="57">
        <f>INT(tblJTL[[#This Row],[経過秒]]/60)</f>
        <v>7</v>
      </c>
      <c r="W1930" s="57">
        <f>IF(OR(tblJTL[[#This Row],[success]]=FALSE,tblJTL[[#This Row],[success]]="false"),1,0)</f>
        <v>0</v>
      </c>
      <c r="X1930" s="57">
        <f>IF(AND(tblJTL[[#This Row],[経過秒]]&gt;='17_分析サンプル'!$E$11,tblJTL[[#This Row],[経過秒]]&lt;'17_分析サンプル'!$E$12),1,0)</f>
        <v>1</v>
      </c>
    </row>
    <row r="1931" spans="2:24" ht="14.4" x14ac:dyDescent="0.3">
      <c r="B1931" s="57">
        <v>1790816877891</v>
      </c>
      <c r="C1931" s="58">
        <v>94</v>
      </c>
      <c r="D1931" s="59" t="s">
        <v>1658</v>
      </c>
      <c r="E1931" s="59" t="s">
        <v>1577</v>
      </c>
      <c r="F1931" s="59" t="s">
        <v>2275</v>
      </c>
      <c r="G1931" s="59" t="s">
        <v>3585</v>
      </c>
      <c r="H1931" s="59" t="s">
        <v>2281</v>
      </c>
      <c r="I1931" s="59" t="b">
        <v>1</v>
      </c>
      <c r="J1931" s="59"/>
      <c r="K1931" s="58">
        <v>1855</v>
      </c>
      <c r="L1931" s="58">
        <v>1342</v>
      </c>
      <c r="M1931" s="59">
        <v>10</v>
      </c>
      <c r="N1931" s="59">
        <v>10</v>
      </c>
      <c r="O1931" s="59" t="s">
        <v>3578</v>
      </c>
      <c r="P1931" s="58">
        <v>91</v>
      </c>
      <c r="Q1931" s="59">
        <v>0</v>
      </c>
      <c r="R1931" s="59">
        <v>0</v>
      </c>
      <c r="S1931" s="60">
        <f>tblJTL[[#This Row],[timeStamp]]/86400000+DATE(1970,1,1)+TIME(9,0,0)</f>
        <v>46296.422197812499</v>
      </c>
      <c r="T1931" s="57">
        <f>tblJTL[[#This Row],[timeStamp]]+tblJTL[[#This Row],[elapsed]]</f>
        <v>1790816877985</v>
      </c>
      <c r="U1931" s="61">
        <f>(tblJTL[[#This Row],[timeStamp]]-'17_分析サンプル'!$E$18)/1000</f>
        <v>477.71100000000001</v>
      </c>
      <c r="V1931" s="57">
        <f>INT(tblJTL[[#This Row],[経過秒]]/60)</f>
        <v>7</v>
      </c>
      <c r="W1931" s="57">
        <f>IF(OR(tblJTL[[#This Row],[success]]=FALSE,tblJTL[[#This Row],[success]]="false"),1,0)</f>
        <v>0</v>
      </c>
      <c r="X1931" s="57">
        <f>IF(AND(tblJTL[[#This Row],[経過秒]]&gt;='17_分析サンプル'!$E$11,tblJTL[[#This Row],[経過秒]]&lt;'17_分析サンプル'!$E$12),1,0)</f>
        <v>1</v>
      </c>
    </row>
    <row r="1932" spans="2:24" ht="14.4" x14ac:dyDescent="0.3">
      <c r="B1932" s="57">
        <v>1790816878534</v>
      </c>
      <c r="C1932" s="58">
        <v>111</v>
      </c>
      <c r="D1932" s="59" t="s">
        <v>1658</v>
      </c>
      <c r="E1932" s="59" t="s">
        <v>1577</v>
      </c>
      <c r="F1932" s="59" t="s">
        <v>2275</v>
      </c>
      <c r="G1932" s="59" t="s">
        <v>3577</v>
      </c>
      <c r="H1932" s="59" t="s">
        <v>2281</v>
      </c>
      <c r="I1932" s="59" t="b">
        <v>1</v>
      </c>
      <c r="J1932" s="59"/>
      <c r="K1932" s="58">
        <v>1886</v>
      </c>
      <c r="L1932" s="58">
        <v>1342</v>
      </c>
      <c r="M1932" s="59">
        <v>10</v>
      </c>
      <c r="N1932" s="59">
        <v>10</v>
      </c>
      <c r="O1932" s="59" t="s">
        <v>3578</v>
      </c>
      <c r="P1932" s="58">
        <v>106</v>
      </c>
      <c r="Q1932" s="59">
        <v>0</v>
      </c>
      <c r="R1932" s="59">
        <v>0</v>
      </c>
      <c r="S1932" s="60">
        <f>tblJTL[[#This Row],[timeStamp]]/86400000+DATE(1970,1,1)+TIME(9,0,0)</f>
        <v>46296.422205254625</v>
      </c>
      <c r="T1932" s="57">
        <f>tblJTL[[#This Row],[timeStamp]]+tblJTL[[#This Row],[elapsed]]</f>
        <v>1790816878645</v>
      </c>
      <c r="U1932" s="61">
        <f>(tblJTL[[#This Row],[timeStamp]]-'17_分析サンプル'!$E$18)/1000</f>
        <v>478.35399999999998</v>
      </c>
      <c r="V1932" s="57">
        <f>INT(tblJTL[[#This Row],[経過秒]]/60)</f>
        <v>7</v>
      </c>
      <c r="W1932" s="57">
        <f>IF(OR(tblJTL[[#This Row],[success]]=FALSE,tblJTL[[#This Row],[success]]="false"),1,0)</f>
        <v>0</v>
      </c>
      <c r="X1932" s="57">
        <f>IF(AND(tblJTL[[#This Row],[経過秒]]&gt;='17_分析サンプル'!$E$11,tblJTL[[#This Row],[経過秒]]&lt;'17_分析サンプル'!$E$12),1,0)</f>
        <v>1</v>
      </c>
    </row>
    <row r="1933" spans="2:24" ht="14.4" x14ac:dyDescent="0.3">
      <c r="B1933" s="57">
        <v>1790816878604</v>
      </c>
      <c r="C1933" s="58">
        <v>146</v>
      </c>
      <c r="D1933" s="59" t="s">
        <v>1677</v>
      </c>
      <c r="E1933" s="59" t="s">
        <v>3579</v>
      </c>
      <c r="F1933" s="59" t="s">
        <v>3580</v>
      </c>
      <c r="G1933" s="59" t="s">
        <v>3589</v>
      </c>
      <c r="H1933" s="59" t="s">
        <v>2281</v>
      </c>
      <c r="I1933" s="59" t="b">
        <v>1</v>
      </c>
      <c r="J1933" s="59"/>
      <c r="K1933" s="58">
        <v>417</v>
      </c>
      <c r="L1933" s="58">
        <v>1478</v>
      </c>
      <c r="M1933" s="59">
        <v>10</v>
      </c>
      <c r="N1933" s="59">
        <v>10</v>
      </c>
      <c r="O1933" s="59" t="s">
        <v>3581</v>
      </c>
      <c r="P1933" s="58">
        <v>143</v>
      </c>
      <c r="Q1933" s="59">
        <v>0</v>
      </c>
      <c r="R1933" s="59">
        <v>0</v>
      </c>
      <c r="S1933" s="60">
        <f>tblJTL[[#This Row],[timeStamp]]/86400000+DATE(1970,1,1)+TIME(9,0,0)</f>
        <v>46296.422206064817</v>
      </c>
      <c r="T1933" s="57">
        <f>tblJTL[[#This Row],[timeStamp]]+tblJTL[[#This Row],[elapsed]]</f>
        <v>1790816878750</v>
      </c>
      <c r="U1933" s="61">
        <f>(tblJTL[[#This Row],[timeStamp]]-'17_分析サンプル'!$E$18)/1000</f>
        <v>478.42399999999998</v>
      </c>
      <c r="V1933" s="57">
        <f>INT(tblJTL[[#This Row],[経過秒]]/60)</f>
        <v>7</v>
      </c>
      <c r="W1933" s="57">
        <f>IF(OR(tblJTL[[#This Row],[success]]=FALSE,tblJTL[[#This Row],[success]]="false"),1,0)</f>
        <v>0</v>
      </c>
      <c r="X1933" s="57">
        <f>IF(AND(tblJTL[[#This Row],[経過秒]]&gt;='17_分析サンプル'!$E$11,tblJTL[[#This Row],[経過秒]]&lt;'17_分析サンプル'!$E$12),1,0)</f>
        <v>1</v>
      </c>
    </row>
    <row r="1934" spans="2:24" ht="14.4" x14ac:dyDescent="0.3">
      <c r="B1934" s="57">
        <v>1790816878451</v>
      </c>
      <c r="C1934" s="58">
        <v>310</v>
      </c>
      <c r="D1934" s="59" t="s">
        <v>1677</v>
      </c>
      <c r="E1934" s="59" t="s">
        <v>3579</v>
      </c>
      <c r="F1934" s="59" t="s">
        <v>3580</v>
      </c>
      <c r="G1934" s="59" t="s">
        <v>3584</v>
      </c>
      <c r="H1934" s="59" t="s">
        <v>2281</v>
      </c>
      <c r="I1934" s="59" t="b">
        <v>1</v>
      </c>
      <c r="J1934" s="59"/>
      <c r="K1934" s="58">
        <v>425</v>
      </c>
      <c r="L1934" s="58">
        <v>1478</v>
      </c>
      <c r="M1934" s="59">
        <v>10</v>
      </c>
      <c r="N1934" s="59">
        <v>10</v>
      </c>
      <c r="O1934" s="59" t="s">
        <v>3581</v>
      </c>
      <c r="P1934" s="58">
        <v>308</v>
      </c>
      <c r="Q1934" s="59">
        <v>0</v>
      </c>
      <c r="R1934" s="59">
        <v>0</v>
      </c>
      <c r="S1934" s="60">
        <f>tblJTL[[#This Row],[timeStamp]]/86400000+DATE(1970,1,1)+TIME(9,0,0)</f>
        <v>46296.42220429398</v>
      </c>
      <c r="T1934" s="57">
        <f>tblJTL[[#This Row],[timeStamp]]+tblJTL[[#This Row],[elapsed]]</f>
        <v>1790816878761</v>
      </c>
      <c r="U1934" s="61">
        <f>(tblJTL[[#This Row],[timeStamp]]-'17_分析サンプル'!$E$18)/1000</f>
        <v>478.27100000000002</v>
      </c>
      <c r="V1934" s="57">
        <f>INT(tblJTL[[#This Row],[経過秒]]/60)</f>
        <v>7</v>
      </c>
      <c r="W1934" s="57">
        <f>IF(OR(tblJTL[[#This Row],[success]]=FALSE,tblJTL[[#This Row],[success]]="false"),1,0)</f>
        <v>0</v>
      </c>
      <c r="X1934" s="57">
        <f>IF(AND(tblJTL[[#This Row],[経過秒]]&gt;='17_分析サンプル'!$E$11,tblJTL[[#This Row],[経過秒]]&lt;'17_分析サンプル'!$E$12),1,0)</f>
        <v>1</v>
      </c>
    </row>
    <row r="1935" spans="2:24" ht="14.4" x14ac:dyDescent="0.3">
      <c r="B1935" s="57">
        <v>1790816878822</v>
      </c>
      <c r="C1935" s="58">
        <v>128</v>
      </c>
      <c r="D1935" s="59" t="s">
        <v>1658</v>
      </c>
      <c r="E1935" s="59" t="s">
        <v>1577</v>
      </c>
      <c r="F1935" s="59" t="s">
        <v>2275</v>
      </c>
      <c r="G1935" s="59" t="s">
        <v>3588</v>
      </c>
      <c r="H1935" s="59" t="s">
        <v>2281</v>
      </c>
      <c r="I1935" s="59" t="b">
        <v>1</v>
      </c>
      <c r="J1935" s="59"/>
      <c r="K1935" s="58">
        <v>1885</v>
      </c>
      <c r="L1935" s="58">
        <v>1342</v>
      </c>
      <c r="M1935" s="59">
        <v>10</v>
      </c>
      <c r="N1935" s="59">
        <v>10</v>
      </c>
      <c r="O1935" s="59" t="s">
        <v>3578</v>
      </c>
      <c r="P1935" s="58">
        <v>120</v>
      </c>
      <c r="Q1935" s="59">
        <v>0</v>
      </c>
      <c r="R1935" s="59">
        <v>0</v>
      </c>
      <c r="S1935" s="60">
        <f>tblJTL[[#This Row],[timeStamp]]/86400000+DATE(1970,1,1)+TIME(9,0,0)</f>
        <v>46296.422208587959</v>
      </c>
      <c r="T1935" s="57">
        <f>tblJTL[[#This Row],[timeStamp]]+tblJTL[[#This Row],[elapsed]]</f>
        <v>1790816878950</v>
      </c>
      <c r="U1935" s="61">
        <f>(tblJTL[[#This Row],[timeStamp]]-'17_分析サンプル'!$E$18)/1000</f>
        <v>478.642</v>
      </c>
      <c r="V1935" s="57">
        <f>INT(tblJTL[[#This Row],[経過秒]]/60)</f>
        <v>7</v>
      </c>
      <c r="W1935" s="57">
        <f>IF(OR(tblJTL[[#This Row],[success]]=FALSE,tblJTL[[#This Row],[success]]="false"),1,0)</f>
        <v>0</v>
      </c>
      <c r="X1935" s="57">
        <f>IF(AND(tblJTL[[#This Row],[経過秒]]&gt;='17_分析サンプル'!$E$11,tblJTL[[#This Row],[経過秒]]&lt;'17_分析サンプル'!$E$12),1,0)</f>
        <v>1</v>
      </c>
    </row>
    <row r="1936" spans="2:24" ht="14.4" x14ac:dyDescent="0.3">
      <c r="B1936" s="57">
        <v>1790816878872</v>
      </c>
      <c r="C1936" s="58">
        <v>209</v>
      </c>
      <c r="D1936" s="59" t="s">
        <v>1677</v>
      </c>
      <c r="E1936" s="59" t="s">
        <v>3579</v>
      </c>
      <c r="F1936" s="59" t="s">
        <v>3580</v>
      </c>
      <c r="G1936" s="59" t="s">
        <v>3587</v>
      </c>
      <c r="H1936" s="59" t="s">
        <v>2281</v>
      </c>
      <c r="I1936" s="59" t="b">
        <v>1</v>
      </c>
      <c r="J1936" s="59"/>
      <c r="K1936" s="58">
        <v>431</v>
      </c>
      <c r="L1936" s="58">
        <v>1478</v>
      </c>
      <c r="M1936" s="59">
        <v>10</v>
      </c>
      <c r="N1936" s="59">
        <v>10</v>
      </c>
      <c r="O1936" s="59" t="s">
        <v>3581</v>
      </c>
      <c r="P1936" s="58">
        <v>206</v>
      </c>
      <c r="Q1936" s="59">
        <v>0</v>
      </c>
      <c r="R1936" s="59">
        <v>0</v>
      </c>
      <c r="S1936" s="60">
        <f>tblJTL[[#This Row],[timeStamp]]/86400000+DATE(1970,1,1)+TIME(9,0,0)</f>
        <v>46296.422209166667</v>
      </c>
      <c r="T1936" s="57">
        <f>tblJTL[[#This Row],[timeStamp]]+tblJTL[[#This Row],[elapsed]]</f>
        <v>1790816879081</v>
      </c>
      <c r="U1936" s="61">
        <f>(tblJTL[[#This Row],[timeStamp]]-'17_分析サンプル'!$E$18)/1000</f>
        <v>478.69200000000001</v>
      </c>
      <c r="V1936" s="57">
        <f>INT(tblJTL[[#This Row],[経過秒]]/60)</f>
        <v>7</v>
      </c>
      <c r="W1936" s="57">
        <f>IF(OR(tblJTL[[#This Row],[success]]=FALSE,tblJTL[[#This Row],[success]]="false"),1,0)</f>
        <v>0</v>
      </c>
      <c r="X1936" s="57">
        <f>IF(AND(tblJTL[[#This Row],[経過秒]]&gt;='17_分析サンプル'!$E$11,tblJTL[[#This Row],[経過秒]]&lt;'17_分析サンプル'!$E$12),1,0)</f>
        <v>1</v>
      </c>
    </row>
    <row r="1937" spans="2:24" ht="14.4" x14ac:dyDescent="0.3">
      <c r="B1937" s="57">
        <v>1790816878971</v>
      </c>
      <c r="C1937" s="58">
        <v>192</v>
      </c>
      <c r="D1937" s="59" t="s">
        <v>1677</v>
      </c>
      <c r="E1937" s="59" t="s">
        <v>3579</v>
      </c>
      <c r="F1937" s="59" t="s">
        <v>3580</v>
      </c>
      <c r="G1937" s="59" t="s">
        <v>3583</v>
      </c>
      <c r="H1937" s="59" t="s">
        <v>2281</v>
      </c>
      <c r="I1937" s="59" t="b">
        <v>1</v>
      </c>
      <c r="J1937" s="59"/>
      <c r="K1937" s="58">
        <v>410</v>
      </c>
      <c r="L1937" s="58">
        <v>1478</v>
      </c>
      <c r="M1937" s="59">
        <v>10</v>
      </c>
      <c r="N1937" s="59">
        <v>10</v>
      </c>
      <c r="O1937" s="59" t="s">
        <v>3581</v>
      </c>
      <c r="P1937" s="58">
        <v>188</v>
      </c>
      <c r="Q1937" s="59">
        <v>0</v>
      </c>
      <c r="R1937" s="59">
        <v>0</v>
      </c>
      <c r="S1937" s="60">
        <f>tblJTL[[#This Row],[timeStamp]]/86400000+DATE(1970,1,1)+TIME(9,0,0)</f>
        <v>46296.422210312499</v>
      </c>
      <c r="T1937" s="57">
        <f>tblJTL[[#This Row],[timeStamp]]+tblJTL[[#This Row],[elapsed]]</f>
        <v>1790816879163</v>
      </c>
      <c r="U1937" s="61">
        <f>(tblJTL[[#This Row],[timeStamp]]-'17_分析サンプル'!$E$18)/1000</f>
        <v>478.791</v>
      </c>
      <c r="V1937" s="57">
        <f>INT(tblJTL[[#This Row],[経過秒]]/60)</f>
        <v>7</v>
      </c>
      <c r="W1937" s="57">
        <f>IF(OR(tblJTL[[#This Row],[success]]=FALSE,tblJTL[[#This Row],[success]]="false"),1,0)</f>
        <v>0</v>
      </c>
      <c r="X1937" s="57">
        <f>IF(AND(tblJTL[[#This Row],[経過秒]]&gt;='17_分析サンプル'!$E$11,tblJTL[[#This Row],[経過秒]]&lt;'17_分析サンプル'!$E$12),1,0)</f>
        <v>1</v>
      </c>
    </row>
    <row r="1938" spans="2:24" ht="14.4" x14ac:dyDescent="0.3">
      <c r="B1938" s="57">
        <v>1790816879451</v>
      </c>
      <c r="C1938" s="58">
        <v>111</v>
      </c>
      <c r="D1938" s="59" t="s">
        <v>1658</v>
      </c>
      <c r="E1938" s="59" t="s">
        <v>1577</v>
      </c>
      <c r="F1938" s="59" t="s">
        <v>2275</v>
      </c>
      <c r="G1938" s="59" t="s">
        <v>2278</v>
      </c>
      <c r="H1938" s="59" t="s">
        <v>2281</v>
      </c>
      <c r="I1938" s="59" t="b">
        <v>1</v>
      </c>
      <c r="J1938" s="59"/>
      <c r="K1938" s="58">
        <v>1842</v>
      </c>
      <c r="L1938" s="58">
        <v>1342</v>
      </c>
      <c r="M1938" s="59">
        <v>10</v>
      </c>
      <c r="N1938" s="59">
        <v>10</v>
      </c>
      <c r="O1938" s="59" t="s">
        <v>3578</v>
      </c>
      <c r="P1938" s="58">
        <v>107</v>
      </c>
      <c r="Q1938" s="59">
        <v>0</v>
      </c>
      <c r="R1938" s="59">
        <v>0</v>
      </c>
      <c r="S1938" s="60">
        <f>tblJTL[[#This Row],[timeStamp]]/86400000+DATE(1970,1,1)+TIME(9,0,0)</f>
        <v>46296.422215868057</v>
      </c>
      <c r="T1938" s="57">
        <f>tblJTL[[#This Row],[timeStamp]]+tblJTL[[#This Row],[elapsed]]</f>
        <v>1790816879562</v>
      </c>
      <c r="U1938" s="61">
        <f>(tblJTL[[#This Row],[timeStamp]]-'17_分析サンプル'!$E$18)/1000</f>
        <v>479.27100000000002</v>
      </c>
      <c r="V1938" s="57">
        <f>INT(tblJTL[[#This Row],[経過秒]]/60)</f>
        <v>7</v>
      </c>
      <c r="W1938" s="57">
        <f>IF(OR(tblJTL[[#This Row],[success]]=FALSE,tblJTL[[#This Row],[success]]="false"),1,0)</f>
        <v>0</v>
      </c>
      <c r="X1938" s="57">
        <f>IF(AND(tblJTL[[#This Row],[経過秒]]&gt;='17_分析サンプル'!$E$11,tblJTL[[#This Row],[経過秒]]&lt;'17_分析サンプル'!$E$12),1,0)</f>
        <v>1</v>
      </c>
    </row>
    <row r="1939" spans="2:24" ht="14.4" x14ac:dyDescent="0.3">
      <c r="B1939" s="57">
        <v>1790816879988</v>
      </c>
      <c r="C1939" s="58">
        <v>291</v>
      </c>
      <c r="D1939" s="59" t="s">
        <v>1658</v>
      </c>
      <c r="E1939" s="59" t="s">
        <v>1577</v>
      </c>
      <c r="F1939" s="59" t="s">
        <v>2275</v>
      </c>
      <c r="G1939" s="59" t="s">
        <v>3582</v>
      </c>
      <c r="H1939" s="59" t="s">
        <v>2281</v>
      </c>
      <c r="I1939" s="59" t="b">
        <v>1</v>
      </c>
      <c r="J1939" s="59"/>
      <c r="K1939" s="58">
        <v>1843</v>
      </c>
      <c r="L1939" s="58">
        <v>1342</v>
      </c>
      <c r="M1939" s="59">
        <v>10</v>
      </c>
      <c r="N1939" s="59">
        <v>10</v>
      </c>
      <c r="O1939" s="59" t="s">
        <v>3578</v>
      </c>
      <c r="P1939" s="58">
        <v>287</v>
      </c>
      <c r="Q1939" s="59">
        <v>0</v>
      </c>
      <c r="R1939" s="59">
        <v>0</v>
      </c>
      <c r="S1939" s="60">
        <f>tblJTL[[#This Row],[timeStamp]]/86400000+DATE(1970,1,1)+TIME(9,0,0)</f>
        <v>46296.422222083333</v>
      </c>
      <c r="T1939" s="57">
        <f>tblJTL[[#This Row],[timeStamp]]+tblJTL[[#This Row],[elapsed]]</f>
        <v>1790816880279</v>
      </c>
      <c r="U1939" s="61">
        <f>(tblJTL[[#This Row],[timeStamp]]-'17_分析サンプル'!$E$18)/1000</f>
        <v>479.80799999999999</v>
      </c>
      <c r="V1939" s="57">
        <f>INT(tblJTL[[#This Row],[経過秒]]/60)</f>
        <v>7</v>
      </c>
      <c r="W1939" s="57">
        <f>IF(OR(tblJTL[[#This Row],[success]]=FALSE,tblJTL[[#This Row],[success]]="false"),1,0)</f>
        <v>0</v>
      </c>
      <c r="X1939" s="57">
        <f>IF(AND(tblJTL[[#This Row],[経過秒]]&gt;='17_分析サンプル'!$E$11,tblJTL[[#This Row],[経過秒]]&lt;'17_分析サンプル'!$E$12),1,0)</f>
        <v>1</v>
      </c>
    </row>
    <row r="1940" spans="2:24" ht="14.4" x14ac:dyDescent="0.3">
      <c r="B1940" s="57">
        <v>1790816880042</v>
      </c>
      <c r="C1940" s="58">
        <v>351</v>
      </c>
      <c r="D1940" s="59" t="s">
        <v>1677</v>
      </c>
      <c r="E1940" s="59" t="s">
        <v>3579</v>
      </c>
      <c r="F1940" s="59" t="s">
        <v>3580</v>
      </c>
      <c r="G1940" s="59" t="s">
        <v>3588</v>
      </c>
      <c r="H1940" s="59" t="s">
        <v>2281</v>
      </c>
      <c r="I1940" s="59" t="b">
        <v>1</v>
      </c>
      <c r="J1940" s="59"/>
      <c r="K1940" s="58">
        <v>422</v>
      </c>
      <c r="L1940" s="58">
        <v>1478</v>
      </c>
      <c r="M1940" s="59">
        <v>10</v>
      </c>
      <c r="N1940" s="59">
        <v>10</v>
      </c>
      <c r="O1940" s="59" t="s">
        <v>3581</v>
      </c>
      <c r="P1940" s="58">
        <v>343</v>
      </c>
      <c r="Q1940" s="59">
        <v>0</v>
      </c>
      <c r="R1940" s="59">
        <v>59</v>
      </c>
      <c r="S1940" s="60">
        <f>tblJTL[[#This Row],[timeStamp]]/86400000+DATE(1970,1,1)+TIME(9,0,0)</f>
        <v>46296.422222708337</v>
      </c>
      <c r="T1940" s="57">
        <f>tblJTL[[#This Row],[timeStamp]]+tblJTL[[#This Row],[elapsed]]</f>
        <v>1790816880393</v>
      </c>
      <c r="U1940" s="61">
        <f>(tblJTL[[#This Row],[timeStamp]]-'17_分析サンプル'!$E$18)/1000</f>
        <v>479.86200000000002</v>
      </c>
      <c r="V1940" s="57">
        <f>INT(tblJTL[[#This Row],[経過秒]]/60)</f>
        <v>7</v>
      </c>
      <c r="W1940" s="57">
        <f>IF(OR(tblJTL[[#This Row],[success]]=FALSE,tblJTL[[#This Row],[success]]="false"),1,0)</f>
        <v>0</v>
      </c>
      <c r="X1940" s="57">
        <f>IF(AND(tblJTL[[#This Row],[経過秒]]&gt;='17_分析サンプル'!$E$11,tblJTL[[#This Row],[経過秒]]&lt;'17_分析サンプル'!$E$12),1,0)</f>
        <v>1</v>
      </c>
    </row>
    <row r="1941" spans="2:24" ht="14.4" x14ac:dyDescent="0.3">
      <c r="B1941" s="57">
        <v>1790816880233</v>
      </c>
      <c r="C1941" s="58">
        <v>190</v>
      </c>
      <c r="D1941" s="59" t="s">
        <v>1677</v>
      </c>
      <c r="E1941" s="59" t="s">
        <v>3579</v>
      </c>
      <c r="F1941" s="59" t="s">
        <v>3580</v>
      </c>
      <c r="G1941" s="59" t="s">
        <v>3585</v>
      </c>
      <c r="H1941" s="59" t="s">
        <v>2281</v>
      </c>
      <c r="I1941" s="59" t="b">
        <v>1</v>
      </c>
      <c r="J1941" s="59"/>
      <c r="K1941" s="58">
        <v>428</v>
      </c>
      <c r="L1941" s="58">
        <v>1478</v>
      </c>
      <c r="M1941" s="59">
        <v>10</v>
      </c>
      <c r="N1941" s="59">
        <v>10</v>
      </c>
      <c r="O1941" s="59" t="s">
        <v>3581</v>
      </c>
      <c r="P1941" s="58">
        <v>187</v>
      </c>
      <c r="Q1941" s="59">
        <v>0</v>
      </c>
      <c r="R1941" s="59">
        <v>0</v>
      </c>
      <c r="S1941" s="60">
        <f>tblJTL[[#This Row],[timeStamp]]/86400000+DATE(1970,1,1)+TIME(9,0,0)</f>
        <v>46296.422224918977</v>
      </c>
      <c r="T1941" s="57">
        <f>tblJTL[[#This Row],[timeStamp]]+tblJTL[[#This Row],[elapsed]]</f>
        <v>1790816880423</v>
      </c>
      <c r="U1941" s="61">
        <f>(tblJTL[[#This Row],[timeStamp]]-'17_分析サンプル'!$E$18)/1000</f>
        <v>480.053</v>
      </c>
      <c r="V1941" s="57">
        <f>INT(tblJTL[[#This Row],[経過秒]]/60)</f>
        <v>8</v>
      </c>
      <c r="W1941" s="57">
        <f>IF(OR(tblJTL[[#This Row],[success]]=FALSE,tblJTL[[#This Row],[success]]="false"),1,0)</f>
        <v>0</v>
      </c>
      <c r="X1941" s="57">
        <f>IF(AND(tblJTL[[#This Row],[経過秒]]&gt;='17_分析サンプル'!$E$11,tblJTL[[#This Row],[経過秒]]&lt;'17_分析サンプル'!$E$12),1,0)</f>
        <v>1</v>
      </c>
    </row>
    <row r="1942" spans="2:24" ht="14.4" x14ac:dyDescent="0.3">
      <c r="B1942" s="57">
        <v>1790816880416</v>
      </c>
      <c r="C1942" s="58">
        <v>115</v>
      </c>
      <c r="D1942" s="59" t="s">
        <v>1658</v>
      </c>
      <c r="E1942" s="59" t="s">
        <v>1577</v>
      </c>
      <c r="F1942" s="59" t="s">
        <v>2275</v>
      </c>
      <c r="G1942" s="59" t="s">
        <v>3584</v>
      </c>
      <c r="H1942" s="59" t="s">
        <v>2281</v>
      </c>
      <c r="I1942" s="59" t="b">
        <v>1</v>
      </c>
      <c r="J1942" s="59"/>
      <c r="K1942" s="58">
        <v>1842</v>
      </c>
      <c r="L1942" s="58">
        <v>1342</v>
      </c>
      <c r="M1942" s="59">
        <v>10</v>
      </c>
      <c r="N1942" s="59">
        <v>10</v>
      </c>
      <c r="O1942" s="59" t="s">
        <v>3578</v>
      </c>
      <c r="P1942" s="58">
        <v>111</v>
      </c>
      <c r="Q1942" s="59">
        <v>0</v>
      </c>
      <c r="R1942" s="59">
        <v>0</v>
      </c>
      <c r="S1942" s="60">
        <f>tblJTL[[#This Row],[timeStamp]]/86400000+DATE(1970,1,1)+TIME(9,0,0)</f>
        <v>46296.422227037037</v>
      </c>
      <c r="T1942" s="57">
        <f>tblJTL[[#This Row],[timeStamp]]+tblJTL[[#This Row],[elapsed]]</f>
        <v>1790816880531</v>
      </c>
      <c r="U1942" s="61">
        <f>(tblJTL[[#This Row],[timeStamp]]-'17_分析サンプル'!$E$18)/1000</f>
        <v>480.23599999999999</v>
      </c>
      <c r="V1942" s="57">
        <f>INT(tblJTL[[#This Row],[経過秒]]/60)</f>
        <v>8</v>
      </c>
      <c r="W1942" s="57">
        <f>IF(OR(tblJTL[[#This Row],[success]]=FALSE,tblJTL[[#This Row],[success]]="false"),1,0)</f>
        <v>0</v>
      </c>
      <c r="X1942" s="57">
        <f>IF(AND(tblJTL[[#This Row],[経過秒]]&gt;='17_分析サンプル'!$E$11,tblJTL[[#This Row],[経過秒]]&lt;'17_分析サンプル'!$E$12),1,0)</f>
        <v>1</v>
      </c>
    </row>
    <row r="1943" spans="2:24" ht="14.4" x14ac:dyDescent="0.3">
      <c r="B1943" s="57">
        <v>1790816880828</v>
      </c>
      <c r="C1943" s="58">
        <v>130</v>
      </c>
      <c r="D1943" s="59" t="s">
        <v>1658</v>
      </c>
      <c r="E1943" s="59" t="s">
        <v>1577</v>
      </c>
      <c r="F1943" s="59" t="s">
        <v>2275</v>
      </c>
      <c r="G1943" s="59" t="s">
        <v>3586</v>
      </c>
      <c r="H1943" s="59" t="s">
        <v>2281</v>
      </c>
      <c r="I1943" s="59" t="b">
        <v>1</v>
      </c>
      <c r="J1943" s="59"/>
      <c r="K1943" s="58">
        <v>1883</v>
      </c>
      <c r="L1943" s="58">
        <v>1342</v>
      </c>
      <c r="M1943" s="59">
        <v>10</v>
      </c>
      <c r="N1943" s="59">
        <v>10</v>
      </c>
      <c r="O1943" s="59" t="s">
        <v>3578</v>
      </c>
      <c r="P1943" s="58">
        <v>128</v>
      </c>
      <c r="Q1943" s="59">
        <v>0</v>
      </c>
      <c r="R1943" s="59">
        <v>0</v>
      </c>
      <c r="S1943" s="60">
        <f>tblJTL[[#This Row],[timeStamp]]/86400000+DATE(1970,1,1)+TIME(9,0,0)</f>
        <v>46296.422231805554</v>
      </c>
      <c r="T1943" s="57">
        <f>tblJTL[[#This Row],[timeStamp]]+tblJTL[[#This Row],[elapsed]]</f>
        <v>1790816880958</v>
      </c>
      <c r="U1943" s="61">
        <f>(tblJTL[[#This Row],[timeStamp]]-'17_分析サンプル'!$E$18)/1000</f>
        <v>480.64800000000002</v>
      </c>
      <c r="V1943" s="57">
        <f>INT(tblJTL[[#This Row],[経過秒]]/60)</f>
        <v>8</v>
      </c>
      <c r="W1943" s="57">
        <f>IF(OR(tblJTL[[#This Row],[success]]=FALSE,tblJTL[[#This Row],[success]]="false"),1,0)</f>
        <v>0</v>
      </c>
      <c r="X1943" s="57">
        <f>IF(AND(tblJTL[[#This Row],[経過秒]]&gt;='17_分析サンプル'!$E$11,tblJTL[[#This Row],[経過秒]]&lt;'17_分析サンプル'!$E$12),1,0)</f>
        <v>1</v>
      </c>
    </row>
    <row r="1944" spans="2:24" ht="14.4" x14ac:dyDescent="0.3">
      <c r="B1944" s="57">
        <v>1790816880662</v>
      </c>
      <c r="C1944" s="58">
        <v>359</v>
      </c>
      <c r="D1944" s="59" t="s">
        <v>1677</v>
      </c>
      <c r="E1944" s="59" t="s">
        <v>3579</v>
      </c>
      <c r="F1944" s="59" t="s">
        <v>3580</v>
      </c>
      <c r="G1944" s="59" t="s">
        <v>2278</v>
      </c>
      <c r="H1944" s="59" t="s">
        <v>2281</v>
      </c>
      <c r="I1944" s="59" t="b">
        <v>1</v>
      </c>
      <c r="J1944" s="59"/>
      <c r="K1944" s="58">
        <v>436</v>
      </c>
      <c r="L1944" s="58">
        <v>1478</v>
      </c>
      <c r="M1944" s="59">
        <v>10</v>
      </c>
      <c r="N1944" s="59">
        <v>10</v>
      </c>
      <c r="O1944" s="59" t="s">
        <v>3581</v>
      </c>
      <c r="P1944" s="58">
        <v>354</v>
      </c>
      <c r="Q1944" s="59">
        <v>0</v>
      </c>
      <c r="R1944" s="59">
        <v>0</v>
      </c>
      <c r="S1944" s="60">
        <f>tblJTL[[#This Row],[timeStamp]]/86400000+DATE(1970,1,1)+TIME(9,0,0)</f>
        <v>46296.422229884258</v>
      </c>
      <c r="T1944" s="57">
        <f>tblJTL[[#This Row],[timeStamp]]+tblJTL[[#This Row],[elapsed]]</f>
        <v>1790816881021</v>
      </c>
      <c r="U1944" s="61">
        <f>(tblJTL[[#This Row],[timeStamp]]-'17_分析サンプル'!$E$18)/1000</f>
        <v>480.48200000000003</v>
      </c>
      <c r="V1944" s="57">
        <f>INT(tblJTL[[#This Row],[経過秒]]/60)</f>
        <v>8</v>
      </c>
      <c r="W1944" s="57">
        <f>IF(OR(tblJTL[[#This Row],[success]]=FALSE,tblJTL[[#This Row],[success]]="false"),1,0)</f>
        <v>0</v>
      </c>
      <c r="X1944" s="57">
        <f>IF(AND(tblJTL[[#This Row],[経過秒]]&gt;='17_分析サンプル'!$E$11,tblJTL[[#This Row],[経過秒]]&lt;'17_分析サンプル'!$E$12),1,0)</f>
        <v>1</v>
      </c>
    </row>
    <row r="1945" spans="2:24" ht="14.4" x14ac:dyDescent="0.3">
      <c r="B1945" s="57">
        <v>1790816880868</v>
      </c>
      <c r="C1945" s="58">
        <v>187</v>
      </c>
      <c r="D1945" s="59" t="s">
        <v>1677</v>
      </c>
      <c r="E1945" s="59" t="s">
        <v>3579</v>
      </c>
      <c r="F1945" s="59" t="s">
        <v>3580</v>
      </c>
      <c r="G1945" s="59" t="s">
        <v>3577</v>
      </c>
      <c r="H1945" s="59" t="s">
        <v>2281</v>
      </c>
      <c r="I1945" s="59" t="b">
        <v>1</v>
      </c>
      <c r="J1945" s="59"/>
      <c r="K1945" s="58">
        <v>430</v>
      </c>
      <c r="L1945" s="58">
        <v>1478</v>
      </c>
      <c r="M1945" s="59">
        <v>10</v>
      </c>
      <c r="N1945" s="59">
        <v>10</v>
      </c>
      <c r="O1945" s="59" t="s">
        <v>3581</v>
      </c>
      <c r="P1945" s="58">
        <v>185</v>
      </c>
      <c r="Q1945" s="59">
        <v>0</v>
      </c>
      <c r="R1945" s="59">
        <v>0</v>
      </c>
      <c r="S1945" s="60">
        <f>tblJTL[[#This Row],[timeStamp]]/86400000+DATE(1970,1,1)+TIME(9,0,0)</f>
        <v>46296.422232268524</v>
      </c>
      <c r="T1945" s="57">
        <f>tblJTL[[#This Row],[timeStamp]]+tblJTL[[#This Row],[elapsed]]</f>
        <v>1790816881055</v>
      </c>
      <c r="U1945" s="61">
        <f>(tblJTL[[#This Row],[timeStamp]]-'17_分析サンプル'!$E$18)/1000</f>
        <v>480.68799999999999</v>
      </c>
      <c r="V1945" s="57">
        <f>INT(tblJTL[[#This Row],[経過秒]]/60)</f>
        <v>8</v>
      </c>
      <c r="W1945" s="57">
        <f>IF(OR(tblJTL[[#This Row],[success]]=FALSE,tblJTL[[#This Row],[success]]="false"),1,0)</f>
        <v>0</v>
      </c>
      <c r="X1945" s="57">
        <f>IF(AND(tblJTL[[#This Row],[経過秒]]&gt;='17_分析サンプル'!$E$11,tblJTL[[#This Row],[経過秒]]&lt;'17_分析サンプル'!$E$12),1,0)</f>
        <v>1</v>
      </c>
    </row>
    <row r="1946" spans="2:24" ht="14.4" x14ac:dyDescent="0.3">
      <c r="B1946" s="57">
        <v>1790816881423</v>
      </c>
      <c r="C1946" s="58">
        <v>97</v>
      </c>
      <c r="D1946" s="59" t="s">
        <v>1658</v>
      </c>
      <c r="E1946" s="59" t="s">
        <v>1577</v>
      </c>
      <c r="F1946" s="59" t="s">
        <v>2275</v>
      </c>
      <c r="G1946" s="59" t="s">
        <v>3583</v>
      </c>
      <c r="H1946" s="59" t="s">
        <v>2281</v>
      </c>
      <c r="I1946" s="59" t="b">
        <v>1</v>
      </c>
      <c r="J1946" s="59"/>
      <c r="K1946" s="58">
        <v>1883</v>
      </c>
      <c r="L1946" s="58">
        <v>1342</v>
      </c>
      <c r="M1946" s="59">
        <v>10</v>
      </c>
      <c r="N1946" s="59">
        <v>10</v>
      </c>
      <c r="O1946" s="59" t="s">
        <v>3578</v>
      </c>
      <c r="P1946" s="58">
        <v>91</v>
      </c>
      <c r="Q1946" s="59">
        <v>0</v>
      </c>
      <c r="R1946" s="59">
        <v>0</v>
      </c>
      <c r="S1946" s="60">
        <f>tblJTL[[#This Row],[timeStamp]]/86400000+DATE(1970,1,1)+TIME(9,0,0)</f>
        <v>46296.422238692132</v>
      </c>
      <c r="T1946" s="57">
        <f>tblJTL[[#This Row],[timeStamp]]+tblJTL[[#This Row],[elapsed]]</f>
        <v>1790816881520</v>
      </c>
      <c r="U1946" s="61">
        <f>(tblJTL[[#This Row],[timeStamp]]-'17_分析サンプル'!$E$18)/1000</f>
        <v>481.24299999999999</v>
      </c>
      <c r="V1946" s="57">
        <f>INT(tblJTL[[#This Row],[経過秒]]/60)</f>
        <v>8</v>
      </c>
      <c r="W1946" s="57">
        <f>IF(OR(tblJTL[[#This Row],[success]]=FALSE,tblJTL[[#This Row],[success]]="false"),1,0)</f>
        <v>0</v>
      </c>
      <c r="X1946" s="57">
        <f>IF(AND(tblJTL[[#This Row],[経過秒]]&gt;='17_分析サンプル'!$E$11,tblJTL[[#This Row],[経過秒]]&lt;'17_分析サンプル'!$E$12),1,0)</f>
        <v>1</v>
      </c>
    </row>
    <row r="1947" spans="2:24" ht="14.4" x14ac:dyDescent="0.3">
      <c r="B1947" s="57">
        <v>1790816881474</v>
      </c>
      <c r="C1947" s="58">
        <v>124</v>
      </c>
      <c r="D1947" s="59" t="s">
        <v>1658</v>
      </c>
      <c r="E1947" s="59" t="s">
        <v>1577</v>
      </c>
      <c r="F1947" s="59" t="s">
        <v>2275</v>
      </c>
      <c r="G1947" s="59" t="s">
        <v>3585</v>
      </c>
      <c r="H1947" s="59" t="s">
        <v>2281</v>
      </c>
      <c r="I1947" s="59" t="b">
        <v>1</v>
      </c>
      <c r="J1947" s="59"/>
      <c r="K1947" s="58">
        <v>1839</v>
      </c>
      <c r="L1947" s="58">
        <v>1342</v>
      </c>
      <c r="M1947" s="59">
        <v>10</v>
      </c>
      <c r="N1947" s="59">
        <v>10</v>
      </c>
      <c r="O1947" s="59" t="s">
        <v>3578</v>
      </c>
      <c r="P1947" s="58">
        <v>121</v>
      </c>
      <c r="Q1947" s="59">
        <v>0</v>
      </c>
      <c r="R1947" s="59">
        <v>0</v>
      </c>
      <c r="S1947" s="60">
        <f>tblJTL[[#This Row],[timeStamp]]/86400000+DATE(1970,1,1)+TIME(9,0,0)</f>
        <v>46296.422239282409</v>
      </c>
      <c r="T1947" s="57">
        <f>tblJTL[[#This Row],[timeStamp]]+tblJTL[[#This Row],[elapsed]]</f>
        <v>1790816881598</v>
      </c>
      <c r="U1947" s="61">
        <f>(tblJTL[[#This Row],[timeStamp]]-'17_分析サンプル'!$E$18)/1000</f>
        <v>481.29399999999998</v>
      </c>
      <c r="V1947" s="57">
        <f>INT(tblJTL[[#This Row],[経過秒]]/60)</f>
        <v>8</v>
      </c>
      <c r="W1947" s="57">
        <f>IF(OR(tblJTL[[#This Row],[success]]=FALSE,tblJTL[[#This Row],[success]]="false"),1,0)</f>
        <v>0</v>
      </c>
      <c r="X1947" s="57">
        <f>IF(AND(tblJTL[[#This Row],[経過秒]]&gt;='17_分析サンプル'!$E$11,tblJTL[[#This Row],[経過秒]]&lt;'17_分析サンプル'!$E$12),1,0)</f>
        <v>1</v>
      </c>
    </row>
    <row r="1948" spans="2:24" ht="14.4" x14ac:dyDescent="0.3">
      <c r="B1948" s="57">
        <v>1790816881437</v>
      </c>
      <c r="C1948" s="58">
        <v>260</v>
      </c>
      <c r="D1948" s="59" t="s">
        <v>1677</v>
      </c>
      <c r="E1948" s="59" t="s">
        <v>3579</v>
      </c>
      <c r="F1948" s="59" t="s">
        <v>3580</v>
      </c>
      <c r="G1948" s="59" t="s">
        <v>3582</v>
      </c>
      <c r="H1948" s="59" t="s">
        <v>2281</v>
      </c>
      <c r="I1948" s="59" t="b">
        <v>1</v>
      </c>
      <c r="J1948" s="59"/>
      <c r="K1948" s="58">
        <v>433</v>
      </c>
      <c r="L1948" s="58">
        <v>1478</v>
      </c>
      <c r="M1948" s="59">
        <v>10</v>
      </c>
      <c r="N1948" s="59">
        <v>10</v>
      </c>
      <c r="O1948" s="59" t="s">
        <v>3581</v>
      </c>
      <c r="P1948" s="58">
        <v>253</v>
      </c>
      <c r="Q1948" s="59">
        <v>0</v>
      </c>
      <c r="R1948" s="59">
        <v>0</v>
      </c>
      <c r="S1948" s="60">
        <f>tblJTL[[#This Row],[timeStamp]]/86400000+DATE(1970,1,1)+TIME(9,0,0)</f>
        <v>46296.422238854168</v>
      </c>
      <c r="T1948" s="57">
        <f>tblJTL[[#This Row],[timeStamp]]+tblJTL[[#This Row],[elapsed]]</f>
        <v>1790816881697</v>
      </c>
      <c r="U1948" s="61">
        <f>(tblJTL[[#This Row],[timeStamp]]-'17_分析サンプル'!$E$18)/1000</f>
        <v>481.25700000000001</v>
      </c>
      <c r="V1948" s="57">
        <f>INT(tblJTL[[#This Row],[経過秒]]/60)</f>
        <v>8</v>
      </c>
      <c r="W1948" s="57">
        <f>IF(OR(tblJTL[[#This Row],[success]]=FALSE,tblJTL[[#This Row],[success]]="false"),1,0)</f>
        <v>0</v>
      </c>
      <c r="X1948" s="57">
        <f>IF(AND(tblJTL[[#This Row],[経過秒]]&gt;='17_分析サンプル'!$E$11,tblJTL[[#This Row],[経過秒]]&lt;'17_分析サンプル'!$E$12),1,0)</f>
        <v>1</v>
      </c>
    </row>
    <row r="1949" spans="2:24" ht="14.4" x14ac:dyDescent="0.3">
      <c r="B1949" s="57">
        <v>1790816881670</v>
      </c>
      <c r="C1949" s="58">
        <v>71</v>
      </c>
      <c r="D1949" s="59" t="s">
        <v>1658</v>
      </c>
      <c r="E1949" s="59" t="s">
        <v>1577</v>
      </c>
      <c r="F1949" s="59" t="s">
        <v>2275</v>
      </c>
      <c r="G1949" s="59" t="s">
        <v>3587</v>
      </c>
      <c r="H1949" s="59" t="s">
        <v>2281</v>
      </c>
      <c r="I1949" s="59" t="b">
        <v>1</v>
      </c>
      <c r="J1949" s="59"/>
      <c r="K1949" s="58">
        <v>1857</v>
      </c>
      <c r="L1949" s="58">
        <v>1342</v>
      </c>
      <c r="M1949" s="59">
        <v>10</v>
      </c>
      <c r="N1949" s="59">
        <v>10</v>
      </c>
      <c r="O1949" s="59" t="s">
        <v>3578</v>
      </c>
      <c r="P1949" s="58">
        <v>67</v>
      </c>
      <c r="Q1949" s="59">
        <v>0</v>
      </c>
      <c r="R1949" s="59">
        <v>0</v>
      </c>
      <c r="S1949" s="60">
        <f>tblJTL[[#This Row],[timeStamp]]/86400000+DATE(1970,1,1)+TIME(9,0,0)</f>
        <v>46296.422241550928</v>
      </c>
      <c r="T1949" s="57">
        <f>tblJTL[[#This Row],[timeStamp]]+tblJTL[[#This Row],[elapsed]]</f>
        <v>1790816881741</v>
      </c>
      <c r="U1949" s="61">
        <f>(tblJTL[[#This Row],[timeStamp]]-'17_分析サンプル'!$E$18)/1000</f>
        <v>481.49</v>
      </c>
      <c r="V1949" s="57">
        <f>INT(tblJTL[[#This Row],[経過秒]]/60)</f>
        <v>8</v>
      </c>
      <c r="W1949" s="57">
        <f>IF(OR(tblJTL[[#This Row],[success]]=FALSE,tblJTL[[#This Row],[success]]="false"),1,0)</f>
        <v>0</v>
      </c>
      <c r="X1949" s="57">
        <f>IF(AND(tblJTL[[#This Row],[経過秒]]&gt;='17_分析サンプル'!$E$11,tblJTL[[#This Row],[経過秒]]&lt;'17_分析サンプル'!$E$12),1,0)</f>
        <v>1</v>
      </c>
    </row>
    <row r="1950" spans="2:24" ht="14.4" x14ac:dyDescent="0.3">
      <c r="B1950" s="57">
        <v>1790816881745</v>
      </c>
      <c r="C1950" s="58">
        <v>90</v>
      </c>
      <c r="D1950" s="59" t="s">
        <v>1658</v>
      </c>
      <c r="E1950" s="59" t="s">
        <v>1577</v>
      </c>
      <c r="F1950" s="59" t="s">
        <v>2275</v>
      </c>
      <c r="G1950" s="59" t="s">
        <v>3589</v>
      </c>
      <c r="H1950" s="59" t="s">
        <v>2281</v>
      </c>
      <c r="I1950" s="59" t="b">
        <v>1</v>
      </c>
      <c r="J1950" s="59"/>
      <c r="K1950" s="58">
        <v>1828</v>
      </c>
      <c r="L1950" s="58">
        <v>1342</v>
      </c>
      <c r="M1950" s="59">
        <v>10</v>
      </c>
      <c r="N1950" s="59">
        <v>10</v>
      </c>
      <c r="O1950" s="59" t="s">
        <v>3578</v>
      </c>
      <c r="P1950" s="58">
        <v>83</v>
      </c>
      <c r="Q1950" s="59">
        <v>0</v>
      </c>
      <c r="R1950" s="59">
        <v>0</v>
      </c>
      <c r="S1950" s="60">
        <f>tblJTL[[#This Row],[timeStamp]]/86400000+DATE(1970,1,1)+TIME(9,0,0)</f>
        <v>46296.422242418979</v>
      </c>
      <c r="T1950" s="57">
        <f>tblJTL[[#This Row],[timeStamp]]+tblJTL[[#This Row],[elapsed]]</f>
        <v>1790816881835</v>
      </c>
      <c r="U1950" s="61">
        <f>(tblJTL[[#This Row],[timeStamp]]-'17_分析サンプル'!$E$18)/1000</f>
        <v>481.565</v>
      </c>
      <c r="V1950" s="57">
        <f>INT(tblJTL[[#This Row],[経過秒]]/60)</f>
        <v>8</v>
      </c>
      <c r="W1950" s="57">
        <f>IF(OR(tblJTL[[#This Row],[success]]=FALSE,tblJTL[[#This Row],[success]]="false"),1,0)</f>
        <v>0</v>
      </c>
      <c r="X1950" s="57">
        <f>IF(AND(tblJTL[[#This Row],[経過秒]]&gt;='17_分析サンプル'!$E$11,tblJTL[[#This Row],[経過秒]]&lt;'17_分析サンプル'!$E$12),1,0)</f>
        <v>1</v>
      </c>
    </row>
    <row r="1951" spans="2:24" ht="14.4" x14ac:dyDescent="0.3">
      <c r="B1951" s="57">
        <v>1790816881537</v>
      </c>
      <c r="C1951" s="58">
        <v>345</v>
      </c>
      <c r="D1951" s="59" t="s">
        <v>1677</v>
      </c>
      <c r="E1951" s="59" t="s">
        <v>3579</v>
      </c>
      <c r="F1951" s="59" t="s">
        <v>3580</v>
      </c>
      <c r="G1951" s="59" t="s">
        <v>3584</v>
      </c>
      <c r="H1951" s="59" t="s">
        <v>2281</v>
      </c>
      <c r="I1951" s="59" t="b">
        <v>1</v>
      </c>
      <c r="J1951" s="59"/>
      <c r="K1951" s="58">
        <v>426</v>
      </c>
      <c r="L1951" s="58">
        <v>1478</v>
      </c>
      <c r="M1951" s="59">
        <v>10</v>
      </c>
      <c r="N1951" s="59">
        <v>10</v>
      </c>
      <c r="O1951" s="59" t="s">
        <v>3581</v>
      </c>
      <c r="P1951" s="58">
        <v>339</v>
      </c>
      <c r="Q1951" s="59">
        <v>0</v>
      </c>
      <c r="R1951" s="59">
        <v>0</v>
      </c>
      <c r="S1951" s="60">
        <f>tblJTL[[#This Row],[timeStamp]]/86400000+DATE(1970,1,1)+TIME(9,0,0)</f>
        <v>46296.422240011569</v>
      </c>
      <c r="T1951" s="57">
        <f>tblJTL[[#This Row],[timeStamp]]+tblJTL[[#This Row],[elapsed]]</f>
        <v>1790816881882</v>
      </c>
      <c r="U1951" s="61">
        <f>(tblJTL[[#This Row],[timeStamp]]-'17_分析サンプル'!$E$18)/1000</f>
        <v>481.35700000000003</v>
      </c>
      <c r="V1951" s="57">
        <f>INT(tblJTL[[#This Row],[経過秒]]/60)</f>
        <v>8</v>
      </c>
      <c r="W1951" s="57">
        <f>IF(OR(tblJTL[[#This Row],[success]]=FALSE,tblJTL[[#This Row],[success]]="false"),1,0)</f>
        <v>0</v>
      </c>
      <c r="X1951" s="57">
        <f>IF(AND(tblJTL[[#This Row],[経過秒]]&gt;='17_分析サンプル'!$E$11,tblJTL[[#This Row],[経過秒]]&lt;'17_分析サンプル'!$E$12),1,0)</f>
        <v>1</v>
      </c>
    </row>
    <row r="1952" spans="2:24" ht="14.4" x14ac:dyDescent="0.3">
      <c r="B1952" s="57">
        <v>1790816881971</v>
      </c>
      <c r="C1952" s="58">
        <v>314</v>
      </c>
      <c r="D1952" s="59" t="s">
        <v>1677</v>
      </c>
      <c r="E1952" s="59" t="s">
        <v>3579</v>
      </c>
      <c r="F1952" s="59" t="s">
        <v>3580</v>
      </c>
      <c r="G1952" s="59" t="s">
        <v>3586</v>
      </c>
      <c r="H1952" s="59" t="s">
        <v>2281</v>
      </c>
      <c r="I1952" s="59" t="b">
        <v>1</v>
      </c>
      <c r="J1952" s="59"/>
      <c r="K1952" s="58">
        <v>410</v>
      </c>
      <c r="L1952" s="58">
        <v>1478</v>
      </c>
      <c r="M1952" s="59">
        <v>10</v>
      </c>
      <c r="N1952" s="59">
        <v>10</v>
      </c>
      <c r="O1952" s="59" t="s">
        <v>3581</v>
      </c>
      <c r="P1952" s="58">
        <v>310</v>
      </c>
      <c r="Q1952" s="59">
        <v>0</v>
      </c>
      <c r="R1952" s="59">
        <v>0</v>
      </c>
      <c r="S1952" s="60">
        <f>tblJTL[[#This Row],[timeStamp]]/86400000+DATE(1970,1,1)+TIME(9,0,0)</f>
        <v>46296.422245034722</v>
      </c>
      <c r="T1952" s="57">
        <f>tblJTL[[#This Row],[timeStamp]]+tblJTL[[#This Row],[elapsed]]</f>
        <v>1790816882285</v>
      </c>
      <c r="U1952" s="61">
        <f>(tblJTL[[#This Row],[timeStamp]]-'17_分析サンプル'!$E$18)/1000</f>
        <v>481.791</v>
      </c>
      <c r="V1952" s="57">
        <f>INT(tblJTL[[#This Row],[経過秒]]/60)</f>
        <v>8</v>
      </c>
      <c r="W1952" s="57">
        <f>IF(OR(tblJTL[[#This Row],[success]]=FALSE,tblJTL[[#This Row],[success]]="false"),1,0)</f>
        <v>0</v>
      </c>
      <c r="X1952" s="57">
        <f>IF(AND(tblJTL[[#This Row],[経過秒]]&gt;='17_分析サンプル'!$E$11,tblJTL[[#This Row],[経過秒]]&lt;'17_分析サンプル'!$E$12),1,0)</f>
        <v>1</v>
      </c>
    </row>
    <row r="1953" spans="2:24" ht="14.4" x14ac:dyDescent="0.3">
      <c r="B1953" s="57">
        <v>1790816882283</v>
      </c>
      <c r="C1953" s="58">
        <v>117</v>
      </c>
      <c r="D1953" s="59" t="s">
        <v>1658</v>
      </c>
      <c r="E1953" s="59" t="s">
        <v>1577</v>
      </c>
      <c r="F1953" s="59" t="s">
        <v>2275</v>
      </c>
      <c r="G1953" s="59" t="s">
        <v>2278</v>
      </c>
      <c r="H1953" s="59" t="s">
        <v>2281</v>
      </c>
      <c r="I1953" s="59" t="b">
        <v>1</v>
      </c>
      <c r="J1953" s="59"/>
      <c r="K1953" s="58">
        <v>1869</v>
      </c>
      <c r="L1953" s="58">
        <v>1342</v>
      </c>
      <c r="M1953" s="59">
        <v>10</v>
      </c>
      <c r="N1953" s="59">
        <v>10</v>
      </c>
      <c r="O1953" s="59" t="s">
        <v>3578</v>
      </c>
      <c r="P1953" s="58">
        <v>113</v>
      </c>
      <c r="Q1953" s="59">
        <v>0</v>
      </c>
      <c r="R1953" s="59">
        <v>0</v>
      </c>
      <c r="S1953" s="60">
        <f>tblJTL[[#This Row],[timeStamp]]/86400000+DATE(1970,1,1)+TIME(9,0,0)</f>
        <v>46296.422248645831</v>
      </c>
      <c r="T1953" s="57">
        <f>tblJTL[[#This Row],[timeStamp]]+tblJTL[[#This Row],[elapsed]]</f>
        <v>1790816882400</v>
      </c>
      <c r="U1953" s="61">
        <f>(tblJTL[[#This Row],[timeStamp]]-'17_分析サンプル'!$E$18)/1000</f>
        <v>482.10300000000001</v>
      </c>
      <c r="V1953" s="57">
        <f>INT(tblJTL[[#This Row],[経過秒]]/60)</f>
        <v>8</v>
      </c>
      <c r="W1953" s="57">
        <f>IF(OR(tblJTL[[#This Row],[success]]=FALSE,tblJTL[[#This Row],[success]]="false"),1,0)</f>
        <v>0</v>
      </c>
      <c r="X1953" s="57">
        <f>IF(AND(tblJTL[[#This Row],[経過秒]]&gt;='17_分析サンプル'!$E$11,tblJTL[[#This Row],[経過秒]]&lt;'17_分析サンプル'!$E$12),1,0)</f>
        <v>1</v>
      </c>
    </row>
    <row r="1954" spans="2:24" ht="14.4" x14ac:dyDescent="0.3">
      <c r="B1954" s="57">
        <v>1790816882920</v>
      </c>
      <c r="C1954" s="58">
        <v>55</v>
      </c>
      <c r="D1954" s="59" t="s">
        <v>1658</v>
      </c>
      <c r="E1954" s="59" t="s">
        <v>1577</v>
      </c>
      <c r="F1954" s="59" t="s">
        <v>2275</v>
      </c>
      <c r="G1954" s="59" t="s">
        <v>3584</v>
      </c>
      <c r="H1954" s="59" t="s">
        <v>2281</v>
      </c>
      <c r="I1954" s="59" t="b">
        <v>1</v>
      </c>
      <c r="J1954" s="59"/>
      <c r="K1954" s="58">
        <v>1870</v>
      </c>
      <c r="L1954" s="58">
        <v>1342</v>
      </c>
      <c r="M1954" s="59">
        <v>10</v>
      </c>
      <c r="N1954" s="59">
        <v>10</v>
      </c>
      <c r="O1954" s="59" t="s">
        <v>3578</v>
      </c>
      <c r="P1954" s="58">
        <v>47</v>
      </c>
      <c r="Q1954" s="59">
        <v>0</v>
      </c>
      <c r="R1954" s="59">
        <v>0</v>
      </c>
      <c r="S1954" s="60">
        <f>tblJTL[[#This Row],[timeStamp]]/86400000+DATE(1970,1,1)+TIME(9,0,0)</f>
        <v>46296.422256018515</v>
      </c>
      <c r="T1954" s="57">
        <f>tblJTL[[#This Row],[timeStamp]]+tblJTL[[#This Row],[elapsed]]</f>
        <v>1790816882975</v>
      </c>
      <c r="U1954" s="61">
        <f>(tblJTL[[#This Row],[timeStamp]]-'17_分析サンプル'!$E$18)/1000</f>
        <v>482.74</v>
      </c>
      <c r="V1954" s="57">
        <f>INT(tblJTL[[#This Row],[経過秒]]/60)</f>
        <v>8</v>
      </c>
      <c r="W1954" s="57">
        <f>IF(OR(tblJTL[[#This Row],[success]]=FALSE,tblJTL[[#This Row],[success]]="false"),1,0)</f>
        <v>0</v>
      </c>
      <c r="X1954" s="57">
        <f>IF(AND(tblJTL[[#This Row],[経過秒]]&gt;='17_分析サンプル'!$E$11,tblJTL[[#This Row],[経過秒]]&lt;'17_分析サンプル'!$E$12),1,0)</f>
        <v>1</v>
      </c>
    </row>
    <row r="1955" spans="2:24" ht="14.4" x14ac:dyDescent="0.3">
      <c r="B1955" s="57">
        <v>1790816882810</v>
      </c>
      <c r="C1955" s="58">
        <v>387</v>
      </c>
      <c r="D1955" s="59" t="s">
        <v>1677</v>
      </c>
      <c r="E1955" s="59" t="s">
        <v>3579</v>
      </c>
      <c r="F1955" s="59" t="s">
        <v>3580</v>
      </c>
      <c r="G1955" s="59" t="s">
        <v>3587</v>
      </c>
      <c r="H1955" s="59" t="s">
        <v>2281</v>
      </c>
      <c r="I1955" s="59" t="b">
        <v>1</v>
      </c>
      <c r="J1955" s="59"/>
      <c r="K1955" s="58">
        <v>415</v>
      </c>
      <c r="L1955" s="58">
        <v>1478</v>
      </c>
      <c r="M1955" s="59">
        <v>10</v>
      </c>
      <c r="N1955" s="59">
        <v>10</v>
      </c>
      <c r="O1955" s="59" t="s">
        <v>3581</v>
      </c>
      <c r="P1955" s="58">
        <v>382</v>
      </c>
      <c r="Q1955" s="59">
        <v>0</v>
      </c>
      <c r="R1955" s="59">
        <v>0</v>
      </c>
      <c r="S1955" s="60">
        <f>tblJTL[[#This Row],[timeStamp]]/86400000+DATE(1970,1,1)+TIME(9,0,0)</f>
        <v>46296.422254745368</v>
      </c>
      <c r="T1955" s="57">
        <f>tblJTL[[#This Row],[timeStamp]]+tblJTL[[#This Row],[elapsed]]</f>
        <v>1790816883197</v>
      </c>
      <c r="U1955" s="61">
        <f>(tblJTL[[#This Row],[timeStamp]]-'17_分析サンプル'!$E$18)/1000</f>
        <v>482.63</v>
      </c>
      <c r="V1955" s="57">
        <f>INT(tblJTL[[#This Row],[経過秒]]/60)</f>
        <v>8</v>
      </c>
      <c r="W1955" s="57">
        <f>IF(OR(tblJTL[[#This Row],[success]]=FALSE,tblJTL[[#This Row],[success]]="false"),1,0)</f>
        <v>0</v>
      </c>
      <c r="X1955" s="57">
        <f>IF(AND(tblJTL[[#This Row],[経過秒]]&gt;='17_分析サンプル'!$E$11,tblJTL[[#This Row],[経過秒]]&lt;'17_分析サンプル'!$E$12),1,0)</f>
        <v>1</v>
      </c>
    </row>
    <row r="1956" spans="2:24" ht="14.4" x14ac:dyDescent="0.3">
      <c r="B1956" s="57">
        <v>1790816883263</v>
      </c>
      <c r="C1956" s="58">
        <v>65</v>
      </c>
      <c r="D1956" s="59" t="s">
        <v>1658</v>
      </c>
      <c r="E1956" s="59" t="s">
        <v>1577</v>
      </c>
      <c r="F1956" s="59" t="s">
        <v>2275</v>
      </c>
      <c r="G1956" s="59" t="s">
        <v>3588</v>
      </c>
      <c r="H1956" s="59" t="s">
        <v>2281</v>
      </c>
      <c r="I1956" s="59" t="b">
        <v>1</v>
      </c>
      <c r="J1956" s="59"/>
      <c r="K1956" s="58">
        <v>1891</v>
      </c>
      <c r="L1956" s="58">
        <v>1342</v>
      </c>
      <c r="M1956" s="59">
        <v>10</v>
      </c>
      <c r="N1956" s="59">
        <v>10</v>
      </c>
      <c r="O1956" s="59" t="s">
        <v>3578</v>
      </c>
      <c r="P1956" s="58">
        <v>62</v>
      </c>
      <c r="Q1956" s="59">
        <v>0</v>
      </c>
      <c r="R1956" s="59">
        <v>0</v>
      </c>
      <c r="S1956" s="60">
        <f>tblJTL[[#This Row],[timeStamp]]/86400000+DATE(1970,1,1)+TIME(9,0,0)</f>
        <v>46296.422259988423</v>
      </c>
      <c r="T1956" s="57">
        <f>tblJTL[[#This Row],[timeStamp]]+tblJTL[[#This Row],[elapsed]]</f>
        <v>1790816883328</v>
      </c>
      <c r="U1956" s="61">
        <f>(tblJTL[[#This Row],[timeStamp]]-'17_分析サンプル'!$E$18)/1000</f>
        <v>483.08300000000003</v>
      </c>
      <c r="V1956" s="57">
        <f>INT(tblJTL[[#This Row],[経過秒]]/60)</f>
        <v>8</v>
      </c>
      <c r="W1956" s="57">
        <f>IF(OR(tblJTL[[#This Row],[success]]=FALSE,tblJTL[[#This Row],[success]]="false"),1,0)</f>
        <v>0</v>
      </c>
      <c r="X1956" s="57">
        <f>IF(AND(tblJTL[[#This Row],[経過秒]]&gt;='17_分析サンプル'!$E$11,tblJTL[[#This Row],[経過秒]]&lt;'17_分析サンプル'!$E$12),1,0)</f>
        <v>1</v>
      </c>
    </row>
    <row r="1957" spans="2:24" ht="14.4" x14ac:dyDescent="0.3">
      <c r="B1957" s="57">
        <v>1790816883213</v>
      </c>
      <c r="C1957" s="58">
        <v>136</v>
      </c>
      <c r="D1957" s="59" t="s">
        <v>1658</v>
      </c>
      <c r="E1957" s="59" t="s">
        <v>1577</v>
      </c>
      <c r="F1957" s="59" t="s">
        <v>2275</v>
      </c>
      <c r="G1957" s="59" t="s">
        <v>3577</v>
      </c>
      <c r="H1957" s="59" t="s">
        <v>2281</v>
      </c>
      <c r="I1957" s="59" t="b">
        <v>1</v>
      </c>
      <c r="J1957" s="59"/>
      <c r="K1957" s="58">
        <v>1847</v>
      </c>
      <c r="L1957" s="58">
        <v>1342</v>
      </c>
      <c r="M1957" s="59">
        <v>10</v>
      </c>
      <c r="N1957" s="59">
        <v>10</v>
      </c>
      <c r="O1957" s="59" t="s">
        <v>3578</v>
      </c>
      <c r="P1957" s="58">
        <v>133</v>
      </c>
      <c r="Q1957" s="59">
        <v>0</v>
      </c>
      <c r="R1957" s="59">
        <v>0</v>
      </c>
      <c r="S1957" s="60">
        <f>tblJTL[[#This Row],[timeStamp]]/86400000+DATE(1970,1,1)+TIME(9,0,0)</f>
        <v>46296.422259409723</v>
      </c>
      <c r="T1957" s="57">
        <f>tblJTL[[#This Row],[timeStamp]]+tblJTL[[#This Row],[elapsed]]</f>
        <v>1790816883349</v>
      </c>
      <c r="U1957" s="61">
        <f>(tblJTL[[#This Row],[timeStamp]]-'17_分析サンプル'!$E$18)/1000</f>
        <v>483.03300000000002</v>
      </c>
      <c r="V1957" s="57">
        <f>INT(tblJTL[[#This Row],[経過秒]]/60)</f>
        <v>8</v>
      </c>
      <c r="W1957" s="57">
        <f>IF(OR(tblJTL[[#This Row],[success]]=FALSE,tblJTL[[#This Row],[success]]="false"),1,0)</f>
        <v>0</v>
      </c>
      <c r="X1957" s="57">
        <f>IF(AND(tblJTL[[#This Row],[経過秒]]&gt;='17_分析サンプル'!$E$11,tblJTL[[#This Row],[経過秒]]&lt;'17_分析サンプル'!$E$12),1,0)</f>
        <v>1</v>
      </c>
    </row>
    <row r="1958" spans="2:24" ht="14.4" x14ac:dyDescent="0.3">
      <c r="B1958" s="57">
        <v>1790816883372</v>
      </c>
      <c r="C1958" s="58">
        <v>99</v>
      </c>
      <c r="D1958" s="59" t="s">
        <v>1658</v>
      </c>
      <c r="E1958" s="59" t="s">
        <v>1577</v>
      </c>
      <c r="F1958" s="59" t="s">
        <v>2275</v>
      </c>
      <c r="G1958" s="59" t="s">
        <v>3582</v>
      </c>
      <c r="H1958" s="59" t="s">
        <v>2281</v>
      </c>
      <c r="I1958" s="59" t="b">
        <v>1</v>
      </c>
      <c r="J1958" s="59"/>
      <c r="K1958" s="58">
        <v>1882</v>
      </c>
      <c r="L1958" s="58">
        <v>1342</v>
      </c>
      <c r="M1958" s="59">
        <v>10</v>
      </c>
      <c r="N1958" s="59">
        <v>10</v>
      </c>
      <c r="O1958" s="59" t="s">
        <v>3578</v>
      </c>
      <c r="P1958" s="58">
        <v>95</v>
      </c>
      <c r="Q1958" s="59">
        <v>0</v>
      </c>
      <c r="R1958" s="59">
        <v>0</v>
      </c>
      <c r="S1958" s="60">
        <f>tblJTL[[#This Row],[timeStamp]]/86400000+DATE(1970,1,1)+TIME(9,0,0)</f>
        <v>46296.422261250002</v>
      </c>
      <c r="T1958" s="57">
        <f>tblJTL[[#This Row],[timeStamp]]+tblJTL[[#This Row],[elapsed]]</f>
        <v>1790816883471</v>
      </c>
      <c r="U1958" s="61">
        <f>(tblJTL[[#This Row],[timeStamp]]-'17_分析サンプル'!$E$18)/1000</f>
        <v>483.19200000000001</v>
      </c>
      <c r="V1958" s="57">
        <f>INT(tblJTL[[#This Row],[経過秒]]/60)</f>
        <v>8</v>
      </c>
      <c r="W1958" s="57">
        <f>IF(OR(tblJTL[[#This Row],[success]]=FALSE,tblJTL[[#This Row],[success]]="false"),1,0)</f>
        <v>0</v>
      </c>
      <c r="X1958" s="57">
        <f>IF(AND(tblJTL[[#This Row],[経過秒]]&gt;='17_分析サンプル'!$E$11,tblJTL[[#This Row],[経過秒]]&lt;'17_分析サンプル'!$E$12),1,0)</f>
        <v>1</v>
      </c>
    </row>
    <row r="1959" spans="2:24" ht="14.4" x14ac:dyDescent="0.3">
      <c r="B1959" s="57">
        <v>1790816883149</v>
      </c>
      <c r="C1959" s="58">
        <v>401</v>
      </c>
      <c r="D1959" s="59" t="s">
        <v>1677</v>
      </c>
      <c r="E1959" s="59" t="s">
        <v>3579</v>
      </c>
      <c r="F1959" s="59" t="s">
        <v>3580</v>
      </c>
      <c r="G1959" s="59" t="s">
        <v>3585</v>
      </c>
      <c r="H1959" s="59" t="s">
        <v>2281</v>
      </c>
      <c r="I1959" s="59" t="b">
        <v>1</v>
      </c>
      <c r="J1959" s="59"/>
      <c r="K1959" s="58">
        <v>419</v>
      </c>
      <c r="L1959" s="58">
        <v>1478</v>
      </c>
      <c r="M1959" s="59">
        <v>10</v>
      </c>
      <c r="N1959" s="59">
        <v>10</v>
      </c>
      <c r="O1959" s="59" t="s">
        <v>3581</v>
      </c>
      <c r="P1959" s="58">
        <v>396</v>
      </c>
      <c r="Q1959" s="59">
        <v>0</v>
      </c>
      <c r="R1959" s="59">
        <v>0</v>
      </c>
      <c r="S1959" s="60">
        <f>tblJTL[[#This Row],[timeStamp]]/86400000+DATE(1970,1,1)+TIME(9,0,0)</f>
        <v>46296.422258668987</v>
      </c>
      <c r="T1959" s="57">
        <f>tblJTL[[#This Row],[timeStamp]]+tblJTL[[#This Row],[elapsed]]</f>
        <v>1790816883550</v>
      </c>
      <c r="U1959" s="61">
        <f>(tblJTL[[#This Row],[timeStamp]]-'17_分析サンプル'!$E$18)/1000</f>
        <v>482.96899999999999</v>
      </c>
      <c r="V1959" s="57">
        <f>INT(tblJTL[[#This Row],[経過秒]]/60)</f>
        <v>8</v>
      </c>
      <c r="W1959" s="57">
        <f>IF(OR(tblJTL[[#This Row],[success]]=FALSE,tblJTL[[#This Row],[success]]="false"),1,0)</f>
        <v>0</v>
      </c>
      <c r="X1959" s="57">
        <f>IF(AND(tblJTL[[#This Row],[経過秒]]&gt;='17_分析サンプル'!$E$11,tblJTL[[#This Row],[経過秒]]&lt;'17_分析サンプル'!$E$12),1,0)</f>
        <v>1</v>
      </c>
    </row>
    <row r="1960" spans="2:24" ht="14.4" x14ac:dyDescent="0.3">
      <c r="B1960" s="57">
        <v>1790816883843</v>
      </c>
      <c r="C1960" s="58">
        <v>155</v>
      </c>
      <c r="D1960" s="59" t="s">
        <v>1677</v>
      </c>
      <c r="E1960" s="59" t="s">
        <v>3579</v>
      </c>
      <c r="F1960" s="59" t="s">
        <v>3580</v>
      </c>
      <c r="G1960" s="59" t="s">
        <v>3583</v>
      </c>
      <c r="H1960" s="59" t="s">
        <v>2281</v>
      </c>
      <c r="I1960" s="59" t="b">
        <v>1</v>
      </c>
      <c r="J1960" s="59"/>
      <c r="K1960" s="58">
        <v>423</v>
      </c>
      <c r="L1960" s="58">
        <v>1478</v>
      </c>
      <c r="M1960" s="59">
        <v>10</v>
      </c>
      <c r="N1960" s="59">
        <v>10</v>
      </c>
      <c r="O1960" s="59" t="s">
        <v>3581</v>
      </c>
      <c r="P1960" s="58">
        <v>153</v>
      </c>
      <c r="Q1960" s="59">
        <v>0</v>
      </c>
      <c r="R1960" s="59">
        <v>0</v>
      </c>
      <c r="S1960" s="60">
        <f>tblJTL[[#This Row],[timeStamp]]/86400000+DATE(1970,1,1)+TIME(9,0,0)</f>
        <v>46296.422266701389</v>
      </c>
      <c r="T1960" s="57">
        <f>tblJTL[[#This Row],[timeStamp]]+tblJTL[[#This Row],[elapsed]]</f>
        <v>1790816883998</v>
      </c>
      <c r="U1960" s="61">
        <f>(tblJTL[[#This Row],[timeStamp]]-'17_分析サンプル'!$E$18)/1000</f>
        <v>483.66300000000001</v>
      </c>
      <c r="V1960" s="57">
        <f>INT(tblJTL[[#This Row],[経過秒]]/60)</f>
        <v>8</v>
      </c>
      <c r="W1960" s="57">
        <f>IF(OR(tblJTL[[#This Row],[success]]=FALSE,tblJTL[[#This Row],[success]]="false"),1,0)</f>
        <v>0</v>
      </c>
      <c r="X1960" s="57">
        <f>IF(AND(tblJTL[[#This Row],[経過秒]]&gt;='17_分析サンプル'!$E$11,tblJTL[[#This Row],[経過秒]]&lt;'17_分析サンプル'!$E$12),1,0)</f>
        <v>1</v>
      </c>
    </row>
    <row r="1961" spans="2:24" ht="14.4" x14ac:dyDescent="0.3">
      <c r="B1961" s="57">
        <v>1790816883776</v>
      </c>
      <c r="C1961" s="58">
        <v>241</v>
      </c>
      <c r="D1961" s="59" t="s">
        <v>1677</v>
      </c>
      <c r="E1961" s="59" t="s">
        <v>3579</v>
      </c>
      <c r="F1961" s="59" t="s">
        <v>3580</v>
      </c>
      <c r="G1961" s="59" t="s">
        <v>3589</v>
      </c>
      <c r="H1961" s="59" t="s">
        <v>2281</v>
      </c>
      <c r="I1961" s="59" t="b">
        <v>1</v>
      </c>
      <c r="J1961" s="59"/>
      <c r="K1961" s="58">
        <v>411</v>
      </c>
      <c r="L1961" s="58">
        <v>1478</v>
      </c>
      <c r="M1961" s="59">
        <v>10</v>
      </c>
      <c r="N1961" s="59">
        <v>10</v>
      </c>
      <c r="O1961" s="59" t="s">
        <v>3581</v>
      </c>
      <c r="P1961" s="58">
        <v>234</v>
      </c>
      <c r="Q1961" s="59">
        <v>0</v>
      </c>
      <c r="R1961" s="59">
        <v>0</v>
      </c>
      <c r="S1961" s="60">
        <f>tblJTL[[#This Row],[timeStamp]]/86400000+DATE(1970,1,1)+TIME(9,0,0)</f>
        <v>46296.422265925925</v>
      </c>
      <c r="T1961" s="57">
        <f>tblJTL[[#This Row],[timeStamp]]+tblJTL[[#This Row],[elapsed]]</f>
        <v>1790816884017</v>
      </c>
      <c r="U1961" s="61">
        <f>(tblJTL[[#This Row],[timeStamp]]-'17_分析サンプル'!$E$18)/1000</f>
        <v>483.596</v>
      </c>
      <c r="V1961" s="57">
        <f>INT(tblJTL[[#This Row],[経過秒]]/60)</f>
        <v>8</v>
      </c>
      <c r="W1961" s="57">
        <f>IF(OR(tblJTL[[#This Row],[success]]=FALSE,tblJTL[[#This Row],[success]]="false"),1,0)</f>
        <v>0</v>
      </c>
      <c r="X1961" s="57">
        <f>IF(AND(tblJTL[[#This Row],[経過秒]]&gt;='17_分析サンプル'!$E$11,tblJTL[[#This Row],[経過秒]]&lt;'17_分析サンプル'!$E$12),1,0)</f>
        <v>1</v>
      </c>
    </row>
    <row r="1962" spans="2:24" ht="14.4" x14ac:dyDescent="0.3">
      <c r="B1962" s="57">
        <v>1790816884197</v>
      </c>
      <c r="C1962" s="58">
        <v>157</v>
      </c>
      <c r="D1962" s="59" t="s">
        <v>1658</v>
      </c>
      <c r="E1962" s="59" t="s">
        <v>1577</v>
      </c>
      <c r="F1962" s="59" t="s">
        <v>2275</v>
      </c>
      <c r="G1962" s="59" t="s">
        <v>3586</v>
      </c>
      <c r="H1962" s="59" t="s">
        <v>2281</v>
      </c>
      <c r="I1962" s="59" t="b">
        <v>1</v>
      </c>
      <c r="J1962" s="59"/>
      <c r="K1962" s="58">
        <v>1861</v>
      </c>
      <c r="L1962" s="58">
        <v>1342</v>
      </c>
      <c r="M1962" s="59">
        <v>10</v>
      </c>
      <c r="N1962" s="59">
        <v>10</v>
      </c>
      <c r="O1962" s="59" t="s">
        <v>3578</v>
      </c>
      <c r="P1962" s="58">
        <v>149</v>
      </c>
      <c r="Q1962" s="59">
        <v>0</v>
      </c>
      <c r="R1962" s="59">
        <v>0</v>
      </c>
      <c r="S1962" s="60">
        <f>tblJTL[[#This Row],[timeStamp]]/86400000+DATE(1970,1,1)+TIME(9,0,0)</f>
        <v>46296.422270798612</v>
      </c>
      <c r="T1962" s="57">
        <f>tblJTL[[#This Row],[timeStamp]]+tblJTL[[#This Row],[elapsed]]</f>
        <v>1790816884354</v>
      </c>
      <c r="U1962" s="61">
        <f>(tblJTL[[#This Row],[timeStamp]]-'17_分析サンプル'!$E$18)/1000</f>
        <v>484.017</v>
      </c>
      <c r="V1962" s="57">
        <f>INT(tblJTL[[#This Row],[経過秒]]/60)</f>
        <v>8</v>
      </c>
      <c r="W1962" s="57">
        <f>IF(OR(tblJTL[[#This Row],[success]]=FALSE,tblJTL[[#This Row],[success]]="false"),1,0)</f>
        <v>0</v>
      </c>
      <c r="X1962" s="57">
        <f>IF(AND(tblJTL[[#This Row],[経過秒]]&gt;='17_分析サンプル'!$E$11,tblJTL[[#This Row],[経過秒]]&lt;'17_分析サンプル'!$E$12),1,0)</f>
        <v>1</v>
      </c>
    </row>
    <row r="1963" spans="2:24" ht="14.4" x14ac:dyDescent="0.3">
      <c r="B1963" s="57">
        <v>1790816884223</v>
      </c>
      <c r="C1963" s="58">
        <v>164</v>
      </c>
      <c r="D1963" s="59" t="s">
        <v>1658</v>
      </c>
      <c r="E1963" s="59" t="s">
        <v>1577</v>
      </c>
      <c r="F1963" s="59" t="s">
        <v>2275</v>
      </c>
      <c r="G1963" s="59" t="s">
        <v>3587</v>
      </c>
      <c r="H1963" s="59" t="s">
        <v>2281</v>
      </c>
      <c r="I1963" s="59" t="b">
        <v>1</v>
      </c>
      <c r="J1963" s="59"/>
      <c r="K1963" s="58">
        <v>1868</v>
      </c>
      <c r="L1963" s="58">
        <v>1342</v>
      </c>
      <c r="M1963" s="59">
        <v>10</v>
      </c>
      <c r="N1963" s="59">
        <v>10</v>
      </c>
      <c r="O1963" s="59" t="s">
        <v>3578</v>
      </c>
      <c r="P1963" s="58">
        <v>162</v>
      </c>
      <c r="Q1963" s="59">
        <v>0</v>
      </c>
      <c r="R1963" s="59">
        <v>0</v>
      </c>
      <c r="S1963" s="60">
        <f>tblJTL[[#This Row],[timeStamp]]/86400000+DATE(1970,1,1)+TIME(9,0,0)</f>
        <v>46296.422271099538</v>
      </c>
      <c r="T1963" s="57">
        <f>tblJTL[[#This Row],[timeStamp]]+tblJTL[[#This Row],[elapsed]]</f>
        <v>1790816884387</v>
      </c>
      <c r="U1963" s="61">
        <f>(tblJTL[[#This Row],[timeStamp]]-'17_分析サンプル'!$E$18)/1000</f>
        <v>484.04300000000001</v>
      </c>
      <c r="V1963" s="57">
        <f>INT(tblJTL[[#This Row],[経過秒]]/60)</f>
        <v>8</v>
      </c>
      <c r="W1963" s="57">
        <f>IF(OR(tblJTL[[#This Row],[success]]=FALSE,tblJTL[[#This Row],[success]]="false"),1,0)</f>
        <v>0</v>
      </c>
      <c r="X1963" s="57">
        <f>IF(AND(tblJTL[[#This Row],[経過秒]]&gt;='17_分析サンプル'!$E$11,tblJTL[[#This Row],[経過秒]]&lt;'17_分析サンプル'!$E$12),1,0)</f>
        <v>1</v>
      </c>
    </row>
    <row r="1964" spans="2:24" ht="14.4" x14ac:dyDescent="0.3">
      <c r="B1964" s="57">
        <v>1790816884426</v>
      </c>
      <c r="C1964" s="58">
        <v>450</v>
      </c>
      <c r="D1964" s="59" t="s">
        <v>1677</v>
      </c>
      <c r="E1964" s="59" t="s">
        <v>3579</v>
      </c>
      <c r="F1964" s="59" t="s">
        <v>3580</v>
      </c>
      <c r="G1964" s="59" t="s">
        <v>3577</v>
      </c>
      <c r="H1964" s="59" t="s">
        <v>2281</v>
      </c>
      <c r="I1964" s="59" t="b">
        <v>1</v>
      </c>
      <c r="J1964" s="59"/>
      <c r="K1964" s="58">
        <v>428</v>
      </c>
      <c r="L1964" s="58">
        <v>1478</v>
      </c>
      <c r="M1964" s="59">
        <v>10</v>
      </c>
      <c r="N1964" s="59">
        <v>10</v>
      </c>
      <c r="O1964" s="59" t="s">
        <v>3581</v>
      </c>
      <c r="P1964" s="58">
        <v>448</v>
      </c>
      <c r="Q1964" s="59">
        <v>0</v>
      </c>
      <c r="R1964" s="59">
        <v>0</v>
      </c>
      <c r="S1964" s="60">
        <f>tblJTL[[#This Row],[timeStamp]]/86400000+DATE(1970,1,1)+TIME(9,0,0)</f>
        <v>46296.422273449076</v>
      </c>
      <c r="T1964" s="57">
        <f>tblJTL[[#This Row],[timeStamp]]+tblJTL[[#This Row],[elapsed]]</f>
        <v>1790816884876</v>
      </c>
      <c r="U1964" s="61">
        <f>(tblJTL[[#This Row],[timeStamp]]-'17_分析サンプル'!$E$18)/1000</f>
        <v>484.24599999999998</v>
      </c>
      <c r="V1964" s="57">
        <f>INT(tblJTL[[#This Row],[経過秒]]/60)</f>
        <v>8</v>
      </c>
      <c r="W1964" s="57">
        <f>IF(OR(tblJTL[[#This Row],[success]]=FALSE,tblJTL[[#This Row],[success]]="false"),1,0)</f>
        <v>0</v>
      </c>
      <c r="X1964" s="57">
        <f>IF(AND(tblJTL[[#This Row],[経過秒]]&gt;='17_分析サンプル'!$E$11,tblJTL[[#This Row],[経過秒]]&lt;'17_分析サンプル'!$E$12),1,0)</f>
        <v>1</v>
      </c>
    </row>
    <row r="1965" spans="2:24" ht="14.4" x14ac:dyDescent="0.3">
      <c r="B1965" s="57">
        <v>1790816885024</v>
      </c>
      <c r="C1965" s="58">
        <v>148</v>
      </c>
      <c r="D1965" s="59" t="s">
        <v>1677</v>
      </c>
      <c r="E1965" s="59" t="s">
        <v>3579</v>
      </c>
      <c r="F1965" s="59" t="s">
        <v>3580</v>
      </c>
      <c r="G1965" s="59" t="s">
        <v>3582</v>
      </c>
      <c r="H1965" s="59" t="s">
        <v>2281</v>
      </c>
      <c r="I1965" s="59" t="b">
        <v>1</v>
      </c>
      <c r="J1965" s="59"/>
      <c r="K1965" s="58">
        <v>438</v>
      </c>
      <c r="L1965" s="58">
        <v>1478</v>
      </c>
      <c r="M1965" s="59">
        <v>10</v>
      </c>
      <c r="N1965" s="59">
        <v>10</v>
      </c>
      <c r="O1965" s="59" t="s">
        <v>3581</v>
      </c>
      <c r="P1965" s="58">
        <v>142</v>
      </c>
      <c r="Q1965" s="59">
        <v>0</v>
      </c>
      <c r="R1965" s="59">
        <v>0</v>
      </c>
      <c r="S1965" s="60">
        <f>tblJTL[[#This Row],[timeStamp]]/86400000+DATE(1970,1,1)+TIME(9,0,0)</f>
        <v>46296.422280370374</v>
      </c>
      <c r="T1965" s="57">
        <f>tblJTL[[#This Row],[timeStamp]]+tblJTL[[#This Row],[elapsed]]</f>
        <v>1790816885172</v>
      </c>
      <c r="U1965" s="61">
        <f>(tblJTL[[#This Row],[timeStamp]]-'17_分析サンプル'!$E$18)/1000</f>
        <v>484.84399999999999</v>
      </c>
      <c r="V1965" s="57">
        <f>INT(tblJTL[[#This Row],[経過秒]]/60)</f>
        <v>8</v>
      </c>
      <c r="W1965" s="57">
        <f>IF(OR(tblJTL[[#This Row],[success]]=FALSE,tblJTL[[#This Row],[success]]="false"),1,0)</f>
        <v>0</v>
      </c>
      <c r="X1965" s="57">
        <f>IF(AND(tblJTL[[#This Row],[経過秒]]&gt;='17_分析サンプル'!$E$11,tblJTL[[#This Row],[経過秒]]&lt;'17_分析サンプル'!$E$12),1,0)</f>
        <v>1</v>
      </c>
    </row>
    <row r="1966" spans="2:24" ht="14.4" x14ac:dyDescent="0.3">
      <c r="B1966" s="57">
        <v>1790816885312</v>
      </c>
      <c r="C1966" s="58">
        <v>280</v>
      </c>
      <c r="D1966" s="59" t="s">
        <v>1677</v>
      </c>
      <c r="E1966" s="59" t="s">
        <v>3579</v>
      </c>
      <c r="F1966" s="59" t="s">
        <v>3580</v>
      </c>
      <c r="G1966" s="59" t="s">
        <v>2278</v>
      </c>
      <c r="H1966" s="59" t="s">
        <v>2281</v>
      </c>
      <c r="I1966" s="59" t="b">
        <v>1</v>
      </c>
      <c r="J1966" s="59"/>
      <c r="K1966" s="58">
        <v>414</v>
      </c>
      <c r="L1966" s="58">
        <v>1478</v>
      </c>
      <c r="M1966" s="59">
        <v>10</v>
      </c>
      <c r="N1966" s="59">
        <v>10</v>
      </c>
      <c r="O1966" s="59" t="s">
        <v>3581</v>
      </c>
      <c r="P1966" s="58">
        <v>272</v>
      </c>
      <c r="Q1966" s="59">
        <v>0</v>
      </c>
      <c r="R1966" s="59">
        <v>0</v>
      </c>
      <c r="S1966" s="60">
        <f>tblJTL[[#This Row],[timeStamp]]/86400000+DATE(1970,1,1)+TIME(9,0,0)</f>
        <v>46296.422283703709</v>
      </c>
      <c r="T1966" s="57">
        <f>tblJTL[[#This Row],[timeStamp]]+tblJTL[[#This Row],[elapsed]]</f>
        <v>1790816885592</v>
      </c>
      <c r="U1966" s="61">
        <f>(tblJTL[[#This Row],[timeStamp]]-'17_分析サンプル'!$E$18)/1000</f>
        <v>485.13200000000001</v>
      </c>
      <c r="V1966" s="57">
        <f>INT(tblJTL[[#This Row],[経過秒]]/60)</f>
        <v>8</v>
      </c>
      <c r="W1966" s="57">
        <f>IF(OR(tblJTL[[#This Row],[success]]=FALSE,tblJTL[[#This Row],[success]]="false"),1,0)</f>
        <v>0</v>
      </c>
      <c r="X1966" s="57">
        <f>IF(AND(tblJTL[[#This Row],[経過秒]]&gt;='17_分析サンプル'!$E$11,tblJTL[[#This Row],[経過秒]]&lt;'17_分析サンプル'!$E$12),1,0)</f>
        <v>1</v>
      </c>
    </row>
    <row r="1967" spans="2:24" ht="14.4" x14ac:dyDescent="0.3">
      <c r="B1967" s="57">
        <v>1790816885505</v>
      </c>
      <c r="C1967" s="58">
        <v>240</v>
      </c>
      <c r="D1967" s="59" t="s">
        <v>1677</v>
      </c>
      <c r="E1967" s="59" t="s">
        <v>3579</v>
      </c>
      <c r="F1967" s="59" t="s">
        <v>3580</v>
      </c>
      <c r="G1967" s="59" t="s">
        <v>3587</v>
      </c>
      <c r="H1967" s="59" t="s">
        <v>2281</v>
      </c>
      <c r="I1967" s="59" t="b">
        <v>1</v>
      </c>
      <c r="J1967" s="59"/>
      <c r="K1967" s="58">
        <v>422</v>
      </c>
      <c r="L1967" s="58">
        <v>1478</v>
      </c>
      <c r="M1967" s="59">
        <v>10</v>
      </c>
      <c r="N1967" s="59">
        <v>10</v>
      </c>
      <c r="O1967" s="59" t="s">
        <v>3581</v>
      </c>
      <c r="P1967" s="58">
        <v>233</v>
      </c>
      <c r="Q1967" s="59">
        <v>0</v>
      </c>
      <c r="R1967" s="59">
        <v>0</v>
      </c>
      <c r="S1967" s="60">
        <f>tblJTL[[#This Row],[timeStamp]]/86400000+DATE(1970,1,1)+TIME(9,0,0)</f>
        <v>46296.4222859375</v>
      </c>
      <c r="T1967" s="57">
        <f>tblJTL[[#This Row],[timeStamp]]+tblJTL[[#This Row],[elapsed]]</f>
        <v>1790816885745</v>
      </c>
      <c r="U1967" s="61">
        <f>(tblJTL[[#This Row],[timeStamp]]-'17_分析サンプル'!$E$18)/1000</f>
        <v>485.32499999999999</v>
      </c>
      <c r="V1967" s="57">
        <f>INT(tblJTL[[#This Row],[経過秒]]/60)</f>
        <v>8</v>
      </c>
      <c r="W1967" s="57">
        <f>IF(OR(tblJTL[[#This Row],[success]]=FALSE,tblJTL[[#This Row],[success]]="false"),1,0)</f>
        <v>0</v>
      </c>
      <c r="X1967" s="57">
        <f>IF(AND(tblJTL[[#This Row],[経過秒]]&gt;='17_分析サンプル'!$E$11,tblJTL[[#This Row],[経過秒]]&lt;'17_分析サンプル'!$E$12),1,0)</f>
        <v>1</v>
      </c>
    </row>
    <row r="1968" spans="2:24" ht="14.4" x14ac:dyDescent="0.3">
      <c r="B1968" s="57">
        <v>1790816885689</v>
      </c>
      <c r="C1968" s="58">
        <v>202</v>
      </c>
      <c r="D1968" s="59" t="s">
        <v>1677</v>
      </c>
      <c r="E1968" s="59" t="s">
        <v>3579</v>
      </c>
      <c r="F1968" s="59" t="s">
        <v>3580</v>
      </c>
      <c r="G1968" s="59" t="s">
        <v>3584</v>
      </c>
      <c r="H1968" s="59" t="s">
        <v>2281</v>
      </c>
      <c r="I1968" s="59" t="b">
        <v>1</v>
      </c>
      <c r="J1968" s="59"/>
      <c r="K1968" s="58">
        <v>414</v>
      </c>
      <c r="L1968" s="58">
        <v>1478</v>
      </c>
      <c r="M1968" s="59">
        <v>10</v>
      </c>
      <c r="N1968" s="59">
        <v>10</v>
      </c>
      <c r="O1968" s="59" t="s">
        <v>3581</v>
      </c>
      <c r="P1968" s="58">
        <v>198</v>
      </c>
      <c r="Q1968" s="59">
        <v>0</v>
      </c>
      <c r="R1968" s="59">
        <v>0</v>
      </c>
      <c r="S1968" s="60">
        <f>tblJTL[[#This Row],[timeStamp]]/86400000+DATE(1970,1,1)+TIME(9,0,0)</f>
        <v>46296.42228806713</v>
      </c>
      <c r="T1968" s="57">
        <f>tblJTL[[#This Row],[timeStamp]]+tblJTL[[#This Row],[elapsed]]</f>
        <v>1790816885891</v>
      </c>
      <c r="U1968" s="61">
        <f>(tblJTL[[#This Row],[timeStamp]]-'17_分析サンプル'!$E$18)/1000</f>
        <v>485.50900000000001</v>
      </c>
      <c r="V1968" s="57">
        <f>INT(tblJTL[[#This Row],[経過秒]]/60)</f>
        <v>8</v>
      </c>
      <c r="W1968" s="57">
        <f>IF(OR(tblJTL[[#This Row],[success]]=FALSE,tblJTL[[#This Row],[success]]="false"),1,0)</f>
        <v>0</v>
      </c>
      <c r="X1968" s="57">
        <f>IF(AND(tblJTL[[#This Row],[経過秒]]&gt;='17_分析サンプル'!$E$11,tblJTL[[#This Row],[経過秒]]&lt;'17_分析サンプル'!$E$12),1,0)</f>
        <v>1</v>
      </c>
    </row>
    <row r="1969" spans="2:24" ht="14.4" x14ac:dyDescent="0.3">
      <c r="B1969" s="57">
        <v>1790816885739</v>
      </c>
      <c r="C1969" s="58">
        <v>342</v>
      </c>
      <c r="D1969" s="59" t="s">
        <v>1677</v>
      </c>
      <c r="E1969" s="59" t="s">
        <v>3579</v>
      </c>
      <c r="F1969" s="59" t="s">
        <v>3580</v>
      </c>
      <c r="G1969" s="59" t="s">
        <v>3588</v>
      </c>
      <c r="H1969" s="59" t="s">
        <v>2281</v>
      </c>
      <c r="I1969" s="59" t="b">
        <v>1</v>
      </c>
      <c r="J1969" s="59"/>
      <c r="K1969" s="58">
        <v>413</v>
      </c>
      <c r="L1969" s="58">
        <v>1478</v>
      </c>
      <c r="M1969" s="59">
        <v>10</v>
      </c>
      <c r="N1969" s="59">
        <v>10</v>
      </c>
      <c r="O1969" s="59" t="s">
        <v>3581</v>
      </c>
      <c r="P1969" s="58">
        <v>337</v>
      </c>
      <c r="Q1969" s="59">
        <v>0</v>
      </c>
      <c r="R1969" s="59">
        <v>0</v>
      </c>
      <c r="S1969" s="60">
        <f>tblJTL[[#This Row],[timeStamp]]/86400000+DATE(1970,1,1)+TIME(9,0,0)</f>
        <v>46296.42228864583</v>
      </c>
      <c r="T1969" s="57">
        <f>tblJTL[[#This Row],[timeStamp]]+tblJTL[[#This Row],[elapsed]]</f>
        <v>1790816886081</v>
      </c>
      <c r="U1969" s="61">
        <f>(tblJTL[[#This Row],[timeStamp]]-'17_分析サンプル'!$E$18)/1000</f>
        <v>485.55900000000003</v>
      </c>
      <c r="V1969" s="57">
        <f>INT(tblJTL[[#This Row],[経過秒]]/60)</f>
        <v>8</v>
      </c>
      <c r="W1969" s="57">
        <f>IF(OR(tblJTL[[#This Row],[success]]=FALSE,tblJTL[[#This Row],[success]]="false"),1,0)</f>
        <v>0</v>
      </c>
      <c r="X1969" s="57">
        <f>IF(AND(tblJTL[[#This Row],[経過秒]]&gt;='17_分析サンプル'!$E$11,tblJTL[[#This Row],[経過秒]]&lt;'17_分析サンプル'!$E$12),1,0)</f>
        <v>1</v>
      </c>
    </row>
    <row r="1970" spans="2:24" ht="14.4" x14ac:dyDescent="0.3">
      <c r="B1970" s="57">
        <v>1790816886145</v>
      </c>
      <c r="C1970" s="58">
        <v>142</v>
      </c>
      <c r="D1970" s="59" t="s">
        <v>1658</v>
      </c>
      <c r="E1970" s="59" t="s">
        <v>1577</v>
      </c>
      <c r="F1970" s="59" t="s">
        <v>2275</v>
      </c>
      <c r="G1970" s="59" t="s">
        <v>3585</v>
      </c>
      <c r="H1970" s="59" t="s">
        <v>2281</v>
      </c>
      <c r="I1970" s="59" t="b">
        <v>1</v>
      </c>
      <c r="J1970" s="59"/>
      <c r="K1970" s="58">
        <v>1849</v>
      </c>
      <c r="L1970" s="58">
        <v>1342</v>
      </c>
      <c r="M1970" s="59">
        <v>10</v>
      </c>
      <c r="N1970" s="59">
        <v>10</v>
      </c>
      <c r="O1970" s="59" t="s">
        <v>3578</v>
      </c>
      <c r="P1970" s="58">
        <v>140</v>
      </c>
      <c r="Q1970" s="59">
        <v>0</v>
      </c>
      <c r="R1970" s="59">
        <v>0</v>
      </c>
      <c r="S1970" s="60">
        <f>tblJTL[[#This Row],[timeStamp]]/86400000+DATE(1970,1,1)+TIME(9,0,0)</f>
        <v>46296.422293344905</v>
      </c>
      <c r="T1970" s="57">
        <f>tblJTL[[#This Row],[timeStamp]]+tblJTL[[#This Row],[elapsed]]</f>
        <v>1790816886287</v>
      </c>
      <c r="U1970" s="61">
        <f>(tblJTL[[#This Row],[timeStamp]]-'17_分析サンプル'!$E$18)/1000</f>
        <v>485.96499999999997</v>
      </c>
      <c r="V1970" s="57">
        <f>INT(tblJTL[[#This Row],[経過秒]]/60)</f>
        <v>8</v>
      </c>
      <c r="W1970" s="57">
        <f>IF(OR(tblJTL[[#This Row],[success]]=FALSE,tblJTL[[#This Row],[success]]="false"),1,0)</f>
        <v>0</v>
      </c>
      <c r="X1970" s="57">
        <f>IF(AND(tblJTL[[#This Row],[経過秒]]&gt;='17_分析サンプル'!$E$11,tblJTL[[#This Row],[経過秒]]&lt;'17_分析サンプル'!$E$12),1,0)</f>
        <v>1</v>
      </c>
    </row>
    <row r="1971" spans="2:24" ht="14.4" x14ac:dyDescent="0.3">
      <c r="B1971" s="57">
        <v>1790816886300</v>
      </c>
      <c r="C1971" s="58">
        <v>136</v>
      </c>
      <c r="D1971" s="59" t="s">
        <v>1658</v>
      </c>
      <c r="E1971" s="59" t="s">
        <v>1577</v>
      </c>
      <c r="F1971" s="59" t="s">
        <v>2275</v>
      </c>
      <c r="G1971" s="59" t="s">
        <v>3582</v>
      </c>
      <c r="H1971" s="59" t="s">
        <v>2281</v>
      </c>
      <c r="I1971" s="59" t="b">
        <v>1</v>
      </c>
      <c r="J1971" s="59"/>
      <c r="K1971" s="58">
        <v>1899</v>
      </c>
      <c r="L1971" s="58">
        <v>1342</v>
      </c>
      <c r="M1971" s="59">
        <v>10</v>
      </c>
      <c r="N1971" s="59">
        <v>10</v>
      </c>
      <c r="O1971" s="59" t="s">
        <v>3578</v>
      </c>
      <c r="P1971" s="58">
        <v>131</v>
      </c>
      <c r="Q1971" s="59">
        <v>0</v>
      </c>
      <c r="R1971" s="59">
        <v>0</v>
      </c>
      <c r="S1971" s="60">
        <f>tblJTL[[#This Row],[timeStamp]]/86400000+DATE(1970,1,1)+TIME(9,0,0)</f>
        <v>46296.422295138887</v>
      </c>
      <c r="T1971" s="57">
        <f>tblJTL[[#This Row],[timeStamp]]+tblJTL[[#This Row],[elapsed]]</f>
        <v>1790816886436</v>
      </c>
      <c r="U1971" s="61">
        <f>(tblJTL[[#This Row],[timeStamp]]-'17_分析サンプル'!$E$18)/1000</f>
        <v>486.12</v>
      </c>
      <c r="V1971" s="57">
        <f>INT(tblJTL[[#This Row],[経過秒]]/60)</f>
        <v>8</v>
      </c>
      <c r="W1971" s="57">
        <f>IF(OR(tblJTL[[#This Row],[success]]=FALSE,tblJTL[[#This Row],[success]]="false"),1,0)</f>
        <v>0</v>
      </c>
      <c r="X1971" s="57">
        <f>IF(AND(tblJTL[[#This Row],[経過秒]]&gt;='17_分析サンプル'!$E$11,tblJTL[[#This Row],[経過秒]]&lt;'17_分析サンプル'!$E$12),1,0)</f>
        <v>1</v>
      </c>
    </row>
    <row r="1972" spans="2:24" ht="14.4" x14ac:dyDescent="0.3">
      <c r="B1972" s="57">
        <v>1790816886388</v>
      </c>
      <c r="C1972" s="58">
        <v>113</v>
      </c>
      <c r="D1972" s="59" t="s">
        <v>1658</v>
      </c>
      <c r="E1972" s="59" t="s">
        <v>1577</v>
      </c>
      <c r="F1972" s="59" t="s">
        <v>2275</v>
      </c>
      <c r="G1972" s="59" t="s">
        <v>3583</v>
      </c>
      <c r="H1972" s="59" t="s">
        <v>2281</v>
      </c>
      <c r="I1972" s="59" t="b">
        <v>1</v>
      </c>
      <c r="J1972" s="59"/>
      <c r="K1972" s="58">
        <v>1839</v>
      </c>
      <c r="L1972" s="58">
        <v>1342</v>
      </c>
      <c r="M1972" s="59">
        <v>10</v>
      </c>
      <c r="N1972" s="59">
        <v>10</v>
      </c>
      <c r="O1972" s="59" t="s">
        <v>3578</v>
      </c>
      <c r="P1972" s="58">
        <v>106</v>
      </c>
      <c r="Q1972" s="59">
        <v>0</v>
      </c>
      <c r="R1972" s="59">
        <v>0</v>
      </c>
      <c r="S1972" s="60">
        <f>tblJTL[[#This Row],[timeStamp]]/86400000+DATE(1970,1,1)+TIME(9,0,0)</f>
        <v>46296.422296157412</v>
      </c>
      <c r="T1972" s="57">
        <f>tblJTL[[#This Row],[timeStamp]]+tblJTL[[#This Row],[elapsed]]</f>
        <v>1790816886501</v>
      </c>
      <c r="U1972" s="61">
        <f>(tblJTL[[#This Row],[timeStamp]]-'17_分析サンプル'!$E$18)/1000</f>
        <v>486.20800000000003</v>
      </c>
      <c r="V1972" s="57">
        <f>INT(tblJTL[[#This Row],[経過秒]]/60)</f>
        <v>8</v>
      </c>
      <c r="W1972" s="57">
        <f>IF(OR(tblJTL[[#This Row],[success]]=FALSE,tblJTL[[#This Row],[success]]="false"),1,0)</f>
        <v>0</v>
      </c>
      <c r="X1972" s="57">
        <f>IF(AND(tblJTL[[#This Row],[経過秒]]&gt;='17_分析サンプル'!$E$11,tblJTL[[#This Row],[経過秒]]&lt;'17_分析サンプル'!$E$12),1,0)</f>
        <v>1</v>
      </c>
    </row>
    <row r="1973" spans="2:24" ht="14.4" x14ac:dyDescent="0.3">
      <c r="B1973" s="57">
        <v>1790816886363</v>
      </c>
      <c r="C1973" s="58">
        <v>227</v>
      </c>
      <c r="D1973" s="59" t="s">
        <v>1677</v>
      </c>
      <c r="E1973" s="59" t="s">
        <v>3579</v>
      </c>
      <c r="F1973" s="59" t="s">
        <v>3580</v>
      </c>
      <c r="G1973" s="59" t="s">
        <v>3586</v>
      </c>
      <c r="H1973" s="59" t="s">
        <v>2281</v>
      </c>
      <c r="I1973" s="59" t="b">
        <v>1</v>
      </c>
      <c r="J1973" s="59"/>
      <c r="K1973" s="58">
        <v>419</v>
      </c>
      <c r="L1973" s="58">
        <v>1478</v>
      </c>
      <c r="M1973" s="59">
        <v>10</v>
      </c>
      <c r="N1973" s="59">
        <v>10</v>
      </c>
      <c r="O1973" s="59" t="s">
        <v>3581</v>
      </c>
      <c r="P1973" s="58">
        <v>220</v>
      </c>
      <c r="Q1973" s="59">
        <v>0</v>
      </c>
      <c r="R1973" s="59">
        <v>0</v>
      </c>
      <c r="S1973" s="60">
        <f>tblJTL[[#This Row],[timeStamp]]/86400000+DATE(1970,1,1)+TIME(9,0,0)</f>
        <v>46296.422295868055</v>
      </c>
      <c r="T1973" s="57">
        <f>tblJTL[[#This Row],[timeStamp]]+tblJTL[[#This Row],[elapsed]]</f>
        <v>1790816886590</v>
      </c>
      <c r="U1973" s="61">
        <f>(tblJTL[[#This Row],[timeStamp]]-'17_分析サンプル'!$E$18)/1000</f>
        <v>486.18299999999999</v>
      </c>
      <c r="V1973" s="57">
        <f>INT(tblJTL[[#This Row],[経過秒]]/60)</f>
        <v>8</v>
      </c>
      <c r="W1973" s="57">
        <f>IF(OR(tblJTL[[#This Row],[success]]=FALSE,tblJTL[[#This Row],[success]]="false"),1,0)</f>
        <v>0</v>
      </c>
      <c r="X1973" s="57">
        <f>IF(AND(tblJTL[[#This Row],[経過秒]]&gt;='17_分析サンプル'!$E$11,tblJTL[[#This Row],[経過秒]]&lt;'17_分析サンプル'!$E$12),1,0)</f>
        <v>1</v>
      </c>
    </row>
    <row r="1974" spans="2:24" ht="14.4" x14ac:dyDescent="0.3">
      <c r="B1974" s="57">
        <v>1790816886930</v>
      </c>
      <c r="C1974" s="58">
        <v>229</v>
      </c>
      <c r="D1974" s="59" t="s">
        <v>1658</v>
      </c>
      <c r="E1974" s="59" t="s">
        <v>1577</v>
      </c>
      <c r="F1974" s="59" t="s">
        <v>2275</v>
      </c>
      <c r="G1974" s="59" t="s">
        <v>3589</v>
      </c>
      <c r="H1974" s="59" t="s">
        <v>2281</v>
      </c>
      <c r="I1974" s="59" t="b">
        <v>1</v>
      </c>
      <c r="J1974" s="59"/>
      <c r="K1974" s="58">
        <v>1849</v>
      </c>
      <c r="L1974" s="58">
        <v>1342</v>
      </c>
      <c r="M1974" s="59">
        <v>10</v>
      </c>
      <c r="N1974" s="59">
        <v>10</v>
      </c>
      <c r="O1974" s="59" t="s">
        <v>3578</v>
      </c>
      <c r="P1974" s="58">
        <v>227</v>
      </c>
      <c r="Q1974" s="59">
        <v>0</v>
      </c>
      <c r="R1974" s="59">
        <v>64</v>
      </c>
      <c r="S1974" s="60">
        <f>tblJTL[[#This Row],[timeStamp]]/86400000+DATE(1970,1,1)+TIME(9,0,0)</f>
        <v>46296.422302430554</v>
      </c>
      <c r="T1974" s="57">
        <f>tblJTL[[#This Row],[timeStamp]]+tblJTL[[#This Row],[elapsed]]</f>
        <v>1790816887159</v>
      </c>
      <c r="U1974" s="61">
        <f>(tblJTL[[#This Row],[timeStamp]]-'17_分析サンプル'!$E$18)/1000</f>
        <v>486.75</v>
      </c>
      <c r="V1974" s="57">
        <f>INT(tblJTL[[#This Row],[経過秒]]/60)</f>
        <v>8</v>
      </c>
      <c r="W1974" s="57">
        <f>IF(OR(tblJTL[[#This Row],[success]]=FALSE,tblJTL[[#This Row],[success]]="false"),1,0)</f>
        <v>0</v>
      </c>
      <c r="X1974" s="57">
        <f>IF(AND(tblJTL[[#This Row],[経過秒]]&gt;='17_分析サンプル'!$E$11,tblJTL[[#This Row],[経過秒]]&lt;'17_分析サンプル'!$E$12),1,0)</f>
        <v>1</v>
      </c>
    </row>
    <row r="1975" spans="2:24" ht="14.4" x14ac:dyDescent="0.3">
      <c r="B1975" s="57">
        <v>1790816887092</v>
      </c>
      <c r="C1975" s="58">
        <v>135</v>
      </c>
      <c r="D1975" s="59" t="s">
        <v>1658</v>
      </c>
      <c r="E1975" s="59" t="s">
        <v>1577</v>
      </c>
      <c r="F1975" s="59" t="s">
        <v>2275</v>
      </c>
      <c r="G1975" s="59" t="s">
        <v>3577</v>
      </c>
      <c r="H1975" s="59" t="s">
        <v>2281</v>
      </c>
      <c r="I1975" s="59" t="b">
        <v>1</v>
      </c>
      <c r="J1975" s="59"/>
      <c r="K1975" s="58">
        <v>1877</v>
      </c>
      <c r="L1975" s="58">
        <v>1342</v>
      </c>
      <c r="M1975" s="59">
        <v>10</v>
      </c>
      <c r="N1975" s="59">
        <v>10</v>
      </c>
      <c r="O1975" s="59" t="s">
        <v>3578</v>
      </c>
      <c r="P1975" s="58">
        <v>133</v>
      </c>
      <c r="Q1975" s="59">
        <v>0</v>
      </c>
      <c r="R1975" s="59">
        <v>0</v>
      </c>
      <c r="S1975" s="60">
        <f>tblJTL[[#This Row],[timeStamp]]/86400000+DATE(1970,1,1)+TIME(9,0,0)</f>
        <v>46296.422304305554</v>
      </c>
      <c r="T1975" s="57">
        <f>tblJTL[[#This Row],[timeStamp]]+tblJTL[[#This Row],[elapsed]]</f>
        <v>1790816887227</v>
      </c>
      <c r="U1975" s="61">
        <f>(tblJTL[[#This Row],[timeStamp]]-'17_分析サンプル'!$E$18)/1000</f>
        <v>486.91199999999998</v>
      </c>
      <c r="V1975" s="57">
        <f>INT(tblJTL[[#This Row],[経過秒]]/60)</f>
        <v>8</v>
      </c>
      <c r="W1975" s="57">
        <f>IF(OR(tblJTL[[#This Row],[success]]=FALSE,tblJTL[[#This Row],[success]]="false"),1,0)</f>
        <v>0</v>
      </c>
      <c r="X1975" s="57">
        <f>IF(AND(tblJTL[[#This Row],[経過秒]]&gt;='17_分析サンプル'!$E$11,tblJTL[[#This Row],[経過秒]]&lt;'17_分析サンプル'!$E$12),1,0)</f>
        <v>1</v>
      </c>
    </row>
    <row r="1976" spans="2:24" ht="14.4" x14ac:dyDescent="0.3">
      <c r="B1976" s="57">
        <v>1790816887280</v>
      </c>
      <c r="C1976" s="58">
        <v>77</v>
      </c>
      <c r="D1976" s="59" t="s">
        <v>1658</v>
      </c>
      <c r="E1976" s="59" t="s">
        <v>1577</v>
      </c>
      <c r="F1976" s="59" t="s">
        <v>2275</v>
      </c>
      <c r="G1976" s="59" t="s">
        <v>3584</v>
      </c>
      <c r="H1976" s="59" t="s">
        <v>2281</v>
      </c>
      <c r="I1976" s="59" t="b">
        <v>1</v>
      </c>
      <c r="J1976" s="59"/>
      <c r="K1976" s="58">
        <v>1822</v>
      </c>
      <c r="L1976" s="58">
        <v>1342</v>
      </c>
      <c r="M1976" s="59">
        <v>10</v>
      </c>
      <c r="N1976" s="59">
        <v>10</v>
      </c>
      <c r="O1976" s="59" t="s">
        <v>3578</v>
      </c>
      <c r="P1976" s="58">
        <v>75</v>
      </c>
      <c r="Q1976" s="59">
        <v>0</v>
      </c>
      <c r="R1976" s="59">
        <v>0</v>
      </c>
      <c r="S1976" s="60">
        <f>tblJTL[[#This Row],[timeStamp]]/86400000+DATE(1970,1,1)+TIME(9,0,0)</f>
        <v>46296.422306481487</v>
      </c>
      <c r="T1976" s="57">
        <f>tblJTL[[#This Row],[timeStamp]]+tblJTL[[#This Row],[elapsed]]</f>
        <v>1790816887357</v>
      </c>
      <c r="U1976" s="61">
        <f>(tblJTL[[#This Row],[timeStamp]]-'17_分析サンプル'!$E$18)/1000</f>
        <v>487.1</v>
      </c>
      <c r="V1976" s="57">
        <f>INT(tblJTL[[#This Row],[経過秒]]/60)</f>
        <v>8</v>
      </c>
      <c r="W1976" s="57">
        <f>IF(OR(tblJTL[[#This Row],[success]]=FALSE,tblJTL[[#This Row],[success]]="false"),1,0)</f>
        <v>0</v>
      </c>
      <c r="X1976" s="57">
        <f>IF(AND(tblJTL[[#This Row],[経過秒]]&gt;='17_分析サンプル'!$E$11,tblJTL[[#This Row],[経過秒]]&lt;'17_分析サンプル'!$E$12),1,0)</f>
        <v>1</v>
      </c>
    </row>
    <row r="1977" spans="2:24" ht="14.4" x14ac:dyDescent="0.3">
      <c r="B1977" s="57">
        <v>1790816887503</v>
      </c>
      <c r="C1977" s="58">
        <v>74</v>
      </c>
      <c r="D1977" s="59" t="s">
        <v>1658</v>
      </c>
      <c r="E1977" s="59" t="s">
        <v>1577</v>
      </c>
      <c r="F1977" s="59" t="s">
        <v>2275</v>
      </c>
      <c r="G1977" s="59" t="s">
        <v>3588</v>
      </c>
      <c r="H1977" s="59" t="s">
        <v>2281</v>
      </c>
      <c r="I1977" s="59" t="b">
        <v>1</v>
      </c>
      <c r="J1977" s="59"/>
      <c r="K1977" s="58">
        <v>1827</v>
      </c>
      <c r="L1977" s="58">
        <v>1342</v>
      </c>
      <c r="M1977" s="59">
        <v>10</v>
      </c>
      <c r="N1977" s="59">
        <v>10</v>
      </c>
      <c r="O1977" s="59" t="s">
        <v>3578</v>
      </c>
      <c r="P1977" s="58">
        <v>66</v>
      </c>
      <c r="Q1977" s="59">
        <v>0</v>
      </c>
      <c r="R1977" s="59">
        <v>0</v>
      </c>
      <c r="S1977" s="60">
        <f>tblJTL[[#This Row],[timeStamp]]/86400000+DATE(1970,1,1)+TIME(9,0,0)</f>
        <v>46296.422309062502</v>
      </c>
      <c r="T1977" s="57">
        <f>tblJTL[[#This Row],[timeStamp]]+tblJTL[[#This Row],[elapsed]]</f>
        <v>1790816887577</v>
      </c>
      <c r="U1977" s="61">
        <f>(tblJTL[[#This Row],[timeStamp]]-'17_分析サンプル'!$E$18)/1000</f>
        <v>487.32299999999998</v>
      </c>
      <c r="V1977" s="57">
        <f>INT(tblJTL[[#This Row],[経過秒]]/60)</f>
        <v>8</v>
      </c>
      <c r="W1977" s="57">
        <f>IF(OR(tblJTL[[#This Row],[success]]=FALSE,tblJTL[[#This Row],[success]]="false"),1,0)</f>
        <v>0</v>
      </c>
      <c r="X1977" s="57">
        <f>IF(AND(tblJTL[[#This Row],[経過秒]]&gt;='17_分析サンプル'!$E$11,tblJTL[[#This Row],[経過秒]]&lt;'17_分析サンプル'!$E$12),1,0)</f>
        <v>1</v>
      </c>
    </row>
    <row r="1978" spans="2:24" ht="14.4" x14ac:dyDescent="0.3">
      <c r="B1978" s="57">
        <v>1790816887653</v>
      </c>
      <c r="C1978" s="58">
        <v>156</v>
      </c>
      <c r="D1978" s="59" t="s">
        <v>1658</v>
      </c>
      <c r="E1978" s="59" t="s">
        <v>1577</v>
      </c>
      <c r="F1978" s="59" t="s">
        <v>2275</v>
      </c>
      <c r="G1978" s="59" t="s">
        <v>3586</v>
      </c>
      <c r="H1978" s="59" t="s">
        <v>2281</v>
      </c>
      <c r="I1978" s="59" t="b">
        <v>1</v>
      </c>
      <c r="J1978" s="59"/>
      <c r="K1978" s="58">
        <v>1858</v>
      </c>
      <c r="L1978" s="58">
        <v>1342</v>
      </c>
      <c r="M1978" s="59">
        <v>10</v>
      </c>
      <c r="N1978" s="59">
        <v>10</v>
      </c>
      <c r="O1978" s="59" t="s">
        <v>3578</v>
      </c>
      <c r="P1978" s="58">
        <v>149</v>
      </c>
      <c r="Q1978" s="59">
        <v>0</v>
      </c>
      <c r="R1978" s="59">
        <v>0</v>
      </c>
      <c r="S1978" s="60">
        <f>tblJTL[[#This Row],[timeStamp]]/86400000+DATE(1970,1,1)+TIME(9,0,0)</f>
        <v>46296.422310798611</v>
      </c>
      <c r="T1978" s="57">
        <f>tblJTL[[#This Row],[timeStamp]]+tblJTL[[#This Row],[elapsed]]</f>
        <v>1790816887809</v>
      </c>
      <c r="U1978" s="61">
        <f>(tblJTL[[#This Row],[timeStamp]]-'17_分析サンプル'!$E$18)/1000</f>
        <v>487.47300000000001</v>
      </c>
      <c r="V1978" s="57">
        <f>INT(tblJTL[[#This Row],[経過秒]]/60)</f>
        <v>8</v>
      </c>
      <c r="W1978" s="57">
        <f>IF(OR(tblJTL[[#This Row],[success]]=FALSE,tblJTL[[#This Row],[success]]="false"),1,0)</f>
        <v>0</v>
      </c>
      <c r="X1978" s="57">
        <f>IF(AND(tblJTL[[#This Row],[経過秒]]&gt;='17_分析サンプル'!$E$11,tblJTL[[#This Row],[経過秒]]&lt;'17_分析サンプル'!$E$12),1,0)</f>
        <v>1</v>
      </c>
    </row>
    <row r="1979" spans="2:24" ht="14.4" x14ac:dyDescent="0.3">
      <c r="B1979" s="57">
        <v>1790816887756</v>
      </c>
      <c r="C1979" s="58">
        <v>109</v>
      </c>
      <c r="D1979" s="59" t="s">
        <v>1658</v>
      </c>
      <c r="E1979" s="59" t="s">
        <v>1577</v>
      </c>
      <c r="F1979" s="59" t="s">
        <v>2275</v>
      </c>
      <c r="G1979" s="59" t="s">
        <v>3587</v>
      </c>
      <c r="H1979" s="59" t="s">
        <v>2281</v>
      </c>
      <c r="I1979" s="59" t="b">
        <v>1</v>
      </c>
      <c r="J1979" s="59"/>
      <c r="K1979" s="58">
        <v>1862</v>
      </c>
      <c r="L1979" s="58">
        <v>1342</v>
      </c>
      <c r="M1979" s="59">
        <v>10</v>
      </c>
      <c r="N1979" s="59">
        <v>10</v>
      </c>
      <c r="O1979" s="59" t="s">
        <v>3578</v>
      </c>
      <c r="P1979" s="58">
        <v>104</v>
      </c>
      <c r="Q1979" s="59">
        <v>0</v>
      </c>
      <c r="R1979" s="59">
        <v>0</v>
      </c>
      <c r="S1979" s="60">
        <f>tblJTL[[#This Row],[timeStamp]]/86400000+DATE(1970,1,1)+TIME(9,0,0)</f>
        <v>46296.42231199074</v>
      </c>
      <c r="T1979" s="57">
        <f>tblJTL[[#This Row],[timeStamp]]+tblJTL[[#This Row],[elapsed]]</f>
        <v>1790816887865</v>
      </c>
      <c r="U1979" s="61">
        <f>(tblJTL[[#This Row],[timeStamp]]-'17_分析サンプル'!$E$18)/1000</f>
        <v>487.57600000000002</v>
      </c>
      <c r="V1979" s="57">
        <f>INT(tblJTL[[#This Row],[経過秒]]/60)</f>
        <v>8</v>
      </c>
      <c r="W1979" s="57">
        <f>IF(OR(tblJTL[[#This Row],[success]]=FALSE,tblJTL[[#This Row],[success]]="false"),1,0)</f>
        <v>0</v>
      </c>
      <c r="X1979" s="57">
        <f>IF(AND(tblJTL[[#This Row],[経過秒]]&gt;='17_分析サンプル'!$E$11,tblJTL[[#This Row],[経過秒]]&lt;'17_分析サンプル'!$E$12),1,0)</f>
        <v>1</v>
      </c>
    </row>
    <row r="1980" spans="2:24" ht="14.4" x14ac:dyDescent="0.3">
      <c r="B1980" s="57">
        <v>1790816887533</v>
      </c>
      <c r="C1980" s="58">
        <v>470</v>
      </c>
      <c r="D1980" s="59" t="s">
        <v>1677</v>
      </c>
      <c r="E1980" s="59" t="s">
        <v>3579</v>
      </c>
      <c r="F1980" s="59" t="s">
        <v>3580</v>
      </c>
      <c r="G1980" s="59" t="s">
        <v>3585</v>
      </c>
      <c r="H1980" s="59" t="s">
        <v>2281</v>
      </c>
      <c r="I1980" s="59" t="b">
        <v>1</v>
      </c>
      <c r="J1980" s="59"/>
      <c r="K1980" s="58">
        <v>427</v>
      </c>
      <c r="L1980" s="58">
        <v>1478</v>
      </c>
      <c r="M1980" s="59">
        <v>10</v>
      </c>
      <c r="N1980" s="59">
        <v>10</v>
      </c>
      <c r="O1980" s="59" t="s">
        <v>3581</v>
      </c>
      <c r="P1980" s="58">
        <v>464</v>
      </c>
      <c r="Q1980" s="59">
        <v>0</v>
      </c>
      <c r="R1980" s="59">
        <v>0</v>
      </c>
      <c r="S1980" s="60">
        <f>tblJTL[[#This Row],[timeStamp]]/86400000+DATE(1970,1,1)+TIME(9,0,0)</f>
        <v>46296.422309409725</v>
      </c>
      <c r="T1980" s="57">
        <f>tblJTL[[#This Row],[timeStamp]]+tblJTL[[#This Row],[elapsed]]</f>
        <v>1790816888003</v>
      </c>
      <c r="U1980" s="61">
        <f>(tblJTL[[#This Row],[timeStamp]]-'17_分析サンプル'!$E$18)/1000</f>
        <v>487.35300000000001</v>
      </c>
      <c r="V1980" s="57">
        <f>INT(tblJTL[[#This Row],[経過秒]]/60)</f>
        <v>8</v>
      </c>
      <c r="W1980" s="57">
        <f>IF(OR(tblJTL[[#This Row],[success]]=FALSE,tblJTL[[#This Row],[success]]="false"),1,0)</f>
        <v>0</v>
      </c>
      <c r="X1980" s="57">
        <f>IF(AND(tblJTL[[#This Row],[経過秒]]&gt;='17_分析サンプル'!$E$11,tblJTL[[#This Row],[経過秒]]&lt;'17_分析サンプル'!$E$12),1,0)</f>
        <v>1</v>
      </c>
    </row>
    <row r="1981" spans="2:24" ht="14.4" x14ac:dyDescent="0.3">
      <c r="B1981" s="57">
        <v>1790816888405</v>
      </c>
      <c r="C1981" s="58">
        <v>178</v>
      </c>
      <c r="D1981" s="59" t="s">
        <v>1658</v>
      </c>
      <c r="E1981" s="59" t="s">
        <v>1577</v>
      </c>
      <c r="F1981" s="59" t="s">
        <v>2275</v>
      </c>
      <c r="G1981" s="59" t="s">
        <v>2278</v>
      </c>
      <c r="H1981" s="59" t="s">
        <v>2281</v>
      </c>
      <c r="I1981" s="59" t="b">
        <v>1</v>
      </c>
      <c r="J1981" s="59"/>
      <c r="K1981" s="58">
        <v>1846</v>
      </c>
      <c r="L1981" s="58">
        <v>1342</v>
      </c>
      <c r="M1981" s="59">
        <v>10</v>
      </c>
      <c r="N1981" s="59">
        <v>10</v>
      </c>
      <c r="O1981" s="59" t="s">
        <v>3578</v>
      </c>
      <c r="P1981" s="58">
        <v>175</v>
      </c>
      <c r="Q1981" s="59">
        <v>0</v>
      </c>
      <c r="R1981" s="59">
        <v>0</v>
      </c>
      <c r="S1981" s="60">
        <f>tblJTL[[#This Row],[timeStamp]]/86400000+DATE(1970,1,1)+TIME(9,0,0)</f>
        <v>46296.422319502315</v>
      </c>
      <c r="T1981" s="57">
        <f>tblJTL[[#This Row],[timeStamp]]+tblJTL[[#This Row],[elapsed]]</f>
        <v>1790816888583</v>
      </c>
      <c r="U1981" s="61">
        <f>(tblJTL[[#This Row],[timeStamp]]-'17_分析サンプル'!$E$18)/1000</f>
        <v>488.22500000000002</v>
      </c>
      <c r="V1981" s="57">
        <f>INT(tblJTL[[#This Row],[経過秒]]/60)</f>
        <v>8</v>
      </c>
      <c r="W1981" s="57">
        <f>IF(OR(tblJTL[[#This Row],[success]]=FALSE,tblJTL[[#This Row],[success]]="false"),1,0)</f>
        <v>0</v>
      </c>
      <c r="X1981" s="57">
        <f>IF(AND(tblJTL[[#This Row],[経過秒]]&gt;='17_分析サンプル'!$E$11,tblJTL[[#This Row],[経過秒]]&lt;'17_分析サンプル'!$E$12),1,0)</f>
        <v>1</v>
      </c>
    </row>
    <row r="1982" spans="2:24" ht="14.4" x14ac:dyDescent="0.3">
      <c r="B1982" s="57">
        <v>1790816888621</v>
      </c>
      <c r="C1982" s="58">
        <v>221</v>
      </c>
      <c r="D1982" s="59" t="s">
        <v>1677</v>
      </c>
      <c r="E1982" s="59" t="s">
        <v>3579</v>
      </c>
      <c r="F1982" s="59" t="s">
        <v>3580</v>
      </c>
      <c r="G1982" s="59" t="s">
        <v>3589</v>
      </c>
      <c r="H1982" s="59" t="s">
        <v>2281</v>
      </c>
      <c r="I1982" s="59" t="b">
        <v>1</v>
      </c>
      <c r="J1982" s="59"/>
      <c r="K1982" s="58">
        <v>417</v>
      </c>
      <c r="L1982" s="58">
        <v>1478</v>
      </c>
      <c r="M1982" s="59">
        <v>10</v>
      </c>
      <c r="N1982" s="59">
        <v>10</v>
      </c>
      <c r="O1982" s="59" t="s">
        <v>3581</v>
      </c>
      <c r="P1982" s="58">
        <v>214</v>
      </c>
      <c r="Q1982" s="59">
        <v>0</v>
      </c>
      <c r="R1982" s="59">
        <v>0</v>
      </c>
      <c r="S1982" s="60">
        <f>tblJTL[[#This Row],[timeStamp]]/86400000+DATE(1970,1,1)+TIME(9,0,0)</f>
        <v>46296.422322002312</v>
      </c>
      <c r="T1982" s="57">
        <f>tblJTL[[#This Row],[timeStamp]]+tblJTL[[#This Row],[elapsed]]</f>
        <v>1790816888842</v>
      </c>
      <c r="U1982" s="61">
        <f>(tblJTL[[#This Row],[timeStamp]]-'17_分析サンプル'!$E$18)/1000</f>
        <v>488.44099999999997</v>
      </c>
      <c r="V1982" s="57">
        <f>INT(tblJTL[[#This Row],[経過秒]]/60)</f>
        <v>8</v>
      </c>
      <c r="W1982" s="57">
        <f>IF(OR(tblJTL[[#This Row],[success]]=FALSE,tblJTL[[#This Row],[success]]="false"),1,0)</f>
        <v>0</v>
      </c>
      <c r="X1982" s="57">
        <f>IF(AND(tblJTL[[#This Row],[経過秒]]&gt;='17_分析サンプル'!$E$11,tblJTL[[#This Row],[経過秒]]&lt;'17_分析サンプル'!$E$12),1,0)</f>
        <v>1</v>
      </c>
    </row>
    <row r="1983" spans="2:24" ht="14.4" x14ac:dyDescent="0.3">
      <c r="B1983" s="57">
        <v>1790816888773</v>
      </c>
      <c r="C1983" s="58">
        <v>142</v>
      </c>
      <c r="D1983" s="59" t="s">
        <v>1677</v>
      </c>
      <c r="E1983" s="59" t="s">
        <v>3579</v>
      </c>
      <c r="F1983" s="59" t="s">
        <v>3580</v>
      </c>
      <c r="G1983" s="59" t="s">
        <v>3582</v>
      </c>
      <c r="H1983" s="59" t="s">
        <v>2281</v>
      </c>
      <c r="I1983" s="59" t="b">
        <v>1</v>
      </c>
      <c r="J1983" s="59"/>
      <c r="K1983" s="58">
        <v>427</v>
      </c>
      <c r="L1983" s="58">
        <v>1478</v>
      </c>
      <c r="M1983" s="59">
        <v>10</v>
      </c>
      <c r="N1983" s="59">
        <v>10</v>
      </c>
      <c r="O1983" s="59" t="s">
        <v>3581</v>
      </c>
      <c r="P1983" s="58">
        <v>134</v>
      </c>
      <c r="Q1983" s="59">
        <v>0</v>
      </c>
      <c r="R1983" s="59">
        <v>0</v>
      </c>
      <c r="S1983" s="60">
        <f>tblJTL[[#This Row],[timeStamp]]/86400000+DATE(1970,1,1)+TIME(9,0,0)</f>
        <v>46296.422323761573</v>
      </c>
      <c r="T1983" s="57">
        <f>tblJTL[[#This Row],[timeStamp]]+tblJTL[[#This Row],[elapsed]]</f>
        <v>1790816888915</v>
      </c>
      <c r="U1983" s="61">
        <f>(tblJTL[[#This Row],[timeStamp]]-'17_分析サンプル'!$E$18)/1000</f>
        <v>488.59300000000002</v>
      </c>
      <c r="V1983" s="57">
        <f>INT(tblJTL[[#This Row],[経過秒]]/60)</f>
        <v>8</v>
      </c>
      <c r="W1983" s="57">
        <f>IF(OR(tblJTL[[#This Row],[success]]=FALSE,tblJTL[[#This Row],[success]]="false"),1,0)</f>
        <v>0</v>
      </c>
      <c r="X1983" s="57">
        <f>IF(AND(tblJTL[[#This Row],[経過秒]]&gt;='17_分析サンプル'!$E$11,tblJTL[[#This Row],[経過秒]]&lt;'17_分析サンプル'!$E$12),1,0)</f>
        <v>1</v>
      </c>
    </row>
    <row r="1984" spans="2:24" ht="14.4" x14ac:dyDescent="0.3">
      <c r="B1984" s="57">
        <v>1790816888725</v>
      </c>
      <c r="C1984" s="58">
        <v>265</v>
      </c>
      <c r="D1984" s="59" t="s">
        <v>1677</v>
      </c>
      <c r="E1984" s="59" t="s">
        <v>3579</v>
      </c>
      <c r="F1984" s="59" t="s">
        <v>3580</v>
      </c>
      <c r="G1984" s="59" t="s">
        <v>3583</v>
      </c>
      <c r="H1984" s="59" t="s">
        <v>2281</v>
      </c>
      <c r="I1984" s="59" t="b">
        <v>1</v>
      </c>
      <c r="J1984" s="59"/>
      <c r="K1984" s="58">
        <v>432</v>
      </c>
      <c r="L1984" s="58">
        <v>1478</v>
      </c>
      <c r="M1984" s="59">
        <v>10</v>
      </c>
      <c r="N1984" s="59">
        <v>10</v>
      </c>
      <c r="O1984" s="59" t="s">
        <v>3581</v>
      </c>
      <c r="P1984" s="58">
        <v>263</v>
      </c>
      <c r="Q1984" s="59">
        <v>0</v>
      </c>
      <c r="R1984" s="59">
        <v>0</v>
      </c>
      <c r="S1984" s="60">
        <f>tblJTL[[#This Row],[timeStamp]]/86400000+DATE(1970,1,1)+TIME(9,0,0)</f>
        <v>46296.422323206018</v>
      </c>
      <c r="T1984" s="57">
        <f>tblJTL[[#This Row],[timeStamp]]+tblJTL[[#This Row],[elapsed]]</f>
        <v>1790816888990</v>
      </c>
      <c r="U1984" s="61">
        <f>(tblJTL[[#This Row],[timeStamp]]-'17_分析サンプル'!$E$18)/1000</f>
        <v>488.54500000000002</v>
      </c>
      <c r="V1984" s="57">
        <f>INT(tblJTL[[#This Row],[経過秒]]/60)</f>
        <v>8</v>
      </c>
      <c r="W1984" s="57">
        <f>IF(OR(tblJTL[[#This Row],[success]]=FALSE,tblJTL[[#This Row],[success]]="false"),1,0)</f>
        <v>0</v>
      </c>
      <c r="X1984" s="57">
        <f>IF(AND(tblJTL[[#This Row],[経過秒]]&gt;='17_分析サンプル'!$E$11,tblJTL[[#This Row],[経過秒]]&lt;'17_分析サンプル'!$E$12),1,0)</f>
        <v>1</v>
      </c>
    </row>
    <row r="1985" spans="2:24" ht="14.4" x14ac:dyDescent="0.3">
      <c r="B1985" s="57">
        <v>1790816888891</v>
      </c>
      <c r="C1985" s="58">
        <v>214</v>
      </c>
      <c r="D1985" s="59" t="s">
        <v>1677</v>
      </c>
      <c r="E1985" s="59" t="s">
        <v>3579</v>
      </c>
      <c r="F1985" s="59" t="s">
        <v>3580</v>
      </c>
      <c r="G1985" s="59" t="s">
        <v>3586</v>
      </c>
      <c r="H1985" s="59" t="s">
        <v>2281</v>
      </c>
      <c r="I1985" s="59" t="b">
        <v>1</v>
      </c>
      <c r="J1985" s="59"/>
      <c r="K1985" s="58">
        <v>434</v>
      </c>
      <c r="L1985" s="58">
        <v>1478</v>
      </c>
      <c r="M1985" s="59">
        <v>10</v>
      </c>
      <c r="N1985" s="59">
        <v>10</v>
      </c>
      <c r="O1985" s="59" t="s">
        <v>3581</v>
      </c>
      <c r="P1985" s="58">
        <v>208</v>
      </c>
      <c r="Q1985" s="59">
        <v>0</v>
      </c>
      <c r="R1985" s="59">
        <v>0</v>
      </c>
      <c r="S1985" s="60">
        <f>tblJTL[[#This Row],[timeStamp]]/86400000+DATE(1970,1,1)+TIME(9,0,0)</f>
        <v>46296.422325127314</v>
      </c>
      <c r="T1985" s="57">
        <f>tblJTL[[#This Row],[timeStamp]]+tblJTL[[#This Row],[elapsed]]</f>
        <v>1790816889105</v>
      </c>
      <c r="U1985" s="61">
        <f>(tblJTL[[#This Row],[timeStamp]]-'17_分析サンプル'!$E$18)/1000</f>
        <v>488.71100000000001</v>
      </c>
      <c r="V1985" s="57">
        <f>INT(tblJTL[[#This Row],[経過秒]]/60)</f>
        <v>8</v>
      </c>
      <c r="W1985" s="57">
        <f>IF(OR(tblJTL[[#This Row],[success]]=FALSE,tblJTL[[#This Row],[success]]="false"),1,0)</f>
        <v>0</v>
      </c>
      <c r="X1985" s="57">
        <f>IF(AND(tblJTL[[#This Row],[経過秒]]&gt;='17_分析サンプル'!$E$11,tblJTL[[#This Row],[経過秒]]&lt;'17_分析サンプル'!$E$12),1,0)</f>
        <v>1</v>
      </c>
    </row>
    <row r="1986" spans="2:24" ht="14.4" x14ac:dyDescent="0.3">
      <c r="B1986" s="57">
        <v>1790816889271</v>
      </c>
      <c r="C1986" s="58">
        <v>288</v>
      </c>
      <c r="D1986" s="59" t="s">
        <v>1677</v>
      </c>
      <c r="E1986" s="59" t="s">
        <v>3579</v>
      </c>
      <c r="F1986" s="59" t="s">
        <v>3580</v>
      </c>
      <c r="G1986" s="59" t="s">
        <v>3587</v>
      </c>
      <c r="H1986" s="59" t="s">
        <v>2281</v>
      </c>
      <c r="I1986" s="59" t="b">
        <v>1</v>
      </c>
      <c r="J1986" s="59"/>
      <c r="K1986" s="58">
        <v>430</v>
      </c>
      <c r="L1986" s="58">
        <v>1478</v>
      </c>
      <c r="M1986" s="59">
        <v>10</v>
      </c>
      <c r="N1986" s="59">
        <v>10</v>
      </c>
      <c r="O1986" s="59" t="s">
        <v>3581</v>
      </c>
      <c r="P1986" s="58">
        <v>282</v>
      </c>
      <c r="Q1986" s="59">
        <v>0</v>
      </c>
      <c r="R1986" s="59">
        <v>0</v>
      </c>
      <c r="S1986" s="60">
        <f>tblJTL[[#This Row],[timeStamp]]/86400000+DATE(1970,1,1)+TIME(9,0,0)</f>
        <v>46296.422329525463</v>
      </c>
      <c r="T1986" s="57">
        <f>tblJTL[[#This Row],[timeStamp]]+tblJTL[[#This Row],[elapsed]]</f>
        <v>1790816889559</v>
      </c>
      <c r="U1986" s="61">
        <f>(tblJTL[[#This Row],[timeStamp]]-'17_分析サンプル'!$E$18)/1000</f>
        <v>489.09100000000001</v>
      </c>
      <c r="V1986" s="57">
        <f>INT(tblJTL[[#This Row],[経過秒]]/60)</f>
        <v>8</v>
      </c>
      <c r="W1986" s="57">
        <f>IF(OR(tblJTL[[#This Row],[success]]=FALSE,tblJTL[[#This Row],[success]]="false"),1,0)</f>
        <v>0</v>
      </c>
      <c r="X1986" s="57">
        <f>IF(AND(tblJTL[[#This Row],[経過秒]]&gt;='17_分析サンプル'!$E$11,tblJTL[[#This Row],[経過秒]]&lt;'17_分析サンプル'!$E$12),1,0)</f>
        <v>1</v>
      </c>
    </row>
    <row r="1987" spans="2:24" ht="14.4" x14ac:dyDescent="0.3">
      <c r="B1987" s="57">
        <v>1790816889289</v>
      </c>
      <c r="C1987" s="58">
        <v>335</v>
      </c>
      <c r="D1987" s="59" t="s">
        <v>1677</v>
      </c>
      <c r="E1987" s="59" t="s">
        <v>3579</v>
      </c>
      <c r="F1987" s="59" t="s">
        <v>3580</v>
      </c>
      <c r="G1987" s="59" t="s">
        <v>3577</v>
      </c>
      <c r="H1987" s="59" t="s">
        <v>2281</v>
      </c>
      <c r="I1987" s="59" t="b">
        <v>1</v>
      </c>
      <c r="J1987" s="59"/>
      <c r="K1987" s="58">
        <v>430</v>
      </c>
      <c r="L1987" s="58">
        <v>1478</v>
      </c>
      <c r="M1987" s="59">
        <v>10</v>
      </c>
      <c r="N1987" s="59">
        <v>10</v>
      </c>
      <c r="O1987" s="59" t="s">
        <v>3581</v>
      </c>
      <c r="P1987" s="58">
        <v>331</v>
      </c>
      <c r="Q1987" s="59">
        <v>0</v>
      </c>
      <c r="R1987" s="59">
        <v>41</v>
      </c>
      <c r="S1987" s="60">
        <f>tblJTL[[#This Row],[timeStamp]]/86400000+DATE(1970,1,1)+TIME(9,0,0)</f>
        <v>46296.422329733796</v>
      </c>
      <c r="T1987" s="57">
        <f>tblJTL[[#This Row],[timeStamp]]+tblJTL[[#This Row],[elapsed]]</f>
        <v>1790816889624</v>
      </c>
      <c r="U1987" s="61">
        <f>(tblJTL[[#This Row],[timeStamp]]-'17_分析サンプル'!$E$18)/1000</f>
        <v>489.10899999999998</v>
      </c>
      <c r="V1987" s="57">
        <f>INT(tblJTL[[#This Row],[経過秒]]/60)</f>
        <v>8</v>
      </c>
      <c r="W1987" s="57">
        <f>IF(OR(tblJTL[[#This Row],[success]]=FALSE,tblJTL[[#This Row],[success]]="false"),1,0)</f>
        <v>0</v>
      </c>
      <c r="X1987" s="57">
        <f>IF(AND(tblJTL[[#This Row],[経過秒]]&gt;='17_分析サンプル'!$E$11,tblJTL[[#This Row],[経過秒]]&lt;'17_分析サンプル'!$E$12),1,0)</f>
        <v>1</v>
      </c>
    </row>
    <row r="1988" spans="2:24" ht="14.4" x14ac:dyDescent="0.3">
      <c r="B1988" s="57">
        <v>1790816889743</v>
      </c>
      <c r="C1988" s="58">
        <v>197</v>
      </c>
      <c r="D1988" s="59" t="s">
        <v>1677</v>
      </c>
      <c r="E1988" s="59" t="s">
        <v>3579</v>
      </c>
      <c r="F1988" s="59" t="s">
        <v>3580</v>
      </c>
      <c r="G1988" s="59" t="s">
        <v>3584</v>
      </c>
      <c r="H1988" s="59" t="s">
        <v>2281</v>
      </c>
      <c r="I1988" s="59" t="b">
        <v>1</v>
      </c>
      <c r="J1988" s="59"/>
      <c r="K1988" s="58">
        <v>436</v>
      </c>
      <c r="L1988" s="58">
        <v>1478</v>
      </c>
      <c r="M1988" s="59">
        <v>10</v>
      </c>
      <c r="N1988" s="59">
        <v>10</v>
      </c>
      <c r="O1988" s="59" t="s">
        <v>3581</v>
      </c>
      <c r="P1988" s="58">
        <v>194</v>
      </c>
      <c r="Q1988" s="59">
        <v>0</v>
      </c>
      <c r="R1988" s="59">
        <v>0</v>
      </c>
      <c r="S1988" s="60">
        <f>tblJTL[[#This Row],[timeStamp]]/86400000+DATE(1970,1,1)+TIME(9,0,0)</f>
        <v>46296.422334988427</v>
      </c>
      <c r="T1988" s="57">
        <f>tblJTL[[#This Row],[timeStamp]]+tblJTL[[#This Row],[elapsed]]</f>
        <v>1790816889940</v>
      </c>
      <c r="U1988" s="61">
        <f>(tblJTL[[#This Row],[timeStamp]]-'17_分析サンプル'!$E$18)/1000</f>
        <v>489.56299999999999</v>
      </c>
      <c r="V1988" s="57">
        <f>INT(tblJTL[[#This Row],[経過秒]]/60)</f>
        <v>8</v>
      </c>
      <c r="W1988" s="57">
        <f>IF(OR(tblJTL[[#This Row],[success]]=FALSE,tblJTL[[#This Row],[success]]="false"),1,0)</f>
        <v>0</v>
      </c>
      <c r="X1988" s="57">
        <f>IF(AND(tblJTL[[#This Row],[経過秒]]&gt;='17_分析サンプル'!$E$11,tblJTL[[#This Row],[経過秒]]&lt;'17_分析サンプル'!$E$12),1,0)</f>
        <v>1</v>
      </c>
    </row>
    <row r="1989" spans="2:24" ht="14.4" x14ac:dyDescent="0.3">
      <c r="B1989" s="57">
        <v>1790816889925</v>
      </c>
      <c r="C1989" s="58">
        <v>88</v>
      </c>
      <c r="D1989" s="59" t="s">
        <v>1658</v>
      </c>
      <c r="E1989" s="59" t="s">
        <v>1577</v>
      </c>
      <c r="F1989" s="59" t="s">
        <v>2275</v>
      </c>
      <c r="G1989" s="59" t="s">
        <v>3582</v>
      </c>
      <c r="H1989" s="59" t="s">
        <v>2281</v>
      </c>
      <c r="I1989" s="59" t="b">
        <v>1</v>
      </c>
      <c r="J1989" s="59"/>
      <c r="K1989" s="58">
        <v>1870</v>
      </c>
      <c r="L1989" s="58">
        <v>1342</v>
      </c>
      <c r="M1989" s="59">
        <v>10</v>
      </c>
      <c r="N1989" s="59">
        <v>10</v>
      </c>
      <c r="O1989" s="59" t="s">
        <v>3578</v>
      </c>
      <c r="P1989" s="58">
        <v>84</v>
      </c>
      <c r="Q1989" s="59">
        <v>0</v>
      </c>
      <c r="R1989" s="59">
        <v>0</v>
      </c>
      <c r="S1989" s="60">
        <f>tblJTL[[#This Row],[timeStamp]]/86400000+DATE(1970,1,1)+TIME(9,0,0)</f>
        <v>46296.422337094904</v>
      </c>
      <c r="T1989" s="57">
        <f>tblJTL[[#This Row],[timeStamp]]+tblJTL[[#This Row],[elapsed]]</f>
        <v>1790816890013</v>
      </c>
      <c r="U1989" s="61">
        <f>(tblJTL[[#This Row],[timeStamp]]-'17_分析サンプル'!$E$18)/1000</f>
        <v>489.745</v>
      </c>
      <c r="V1989" s="57">
        <f>INT(tblJTL[[#This Row],[経過秒]]/60)</f>
        <v>8</v>
      </c>
      <c r="W1989" s="57">
        <f>IF(OR(tblJTL[[#This Row],[success]]=FALSE,tblJTL[[#This Row],[success]]="false"),1,0)</f>
        <v>0</v>
      </c>
      <c r="X1989" s="57">
        <f>IF(AND(tblJTL[[#This Row],[経過秒]]&gt;='17_分析サンプル'!$E$11,tblJTL[[#This Row],[経過秒]]&lt;'17_分析サンプル'!$E$12),1,0)</f>
        <v>1</v>
      </c>
    </row>
    <row r="1990" spans="2:24" ht="14.4" x14ac:dyDescent="0.3">
      <c r="B1990" s="57">
        <v>1790816889926</v>
      </c>
      <c r="C1990" s="58">
        <v>186</v>
      </c>
      <c r="D1990" s="59" t="s">
        <v>1677</v>
      </c>
      <c r="E1990" s="59" t="s">
        <v>3579</v>
      </c>
      <c r="F1990" s="59" t="s">
        <v>3580</v>
      </c>
      <c r="G1990" s="59" t="s">
        <v>3588</v>
      </c>
      <c r="H1990" s="59" t="s">
        <v>2281</v>
      </c>
      <c r="I1990" s="59" t="b">
        <v>1</v>
      </c>
      <c r="J1990" s="59"/>
      <c r="K1990" s="58">
        <v>435</v>
      </c>
      <c r="L1990" s="58">
        <v>1478</v>
      </c>
      <c r="M1990" s="59">
        <v>10</v>
      </c>
      <c r="N1990" s="59">
        <v>10</v>
      </c>
      <c r="O1990" s="59" t="s">
        <v>3581</v>
      </c>
      <c r="P1990" s="58">
        <v>181</v>
      </c>
      <c r="Q1990" s="59">
        <v>0</v>
      </c>
      <c r="R1990" s="59">
        <v>0</v>
      </c>
      <c r="S1990" s="60">
        <f>tblJTL[[#This Row],[timeStamp]]/86400000+DATE(1970,1,1)+TIME(9,0,0)</f>
        <v>46296.42233710648</v>
      </c>
      <c r="T1990" s="57">
        <f>tblJTL[[#This Row],[timeStamp]]+tblJTL[[#This Row],[elapsed]]</f>
        <v>1790816890112</v>
      </c>
      <c r="U1990" s="61">
        <f>(tblJTL[[#This Row],[timeStamp]]-'17_分析サンプル'!$E$18)/1000</f>
        <v>489.74599999999998</v>
      </c>
      <c r="V1990" s="57">
        <f>INT(tblJTL[[#This Row],[経過秒]]/60)</f>
        <v>8</v>
      </c>
      <c r="W1990" s="57">
        <f>IF(OR(tblJTL[[#This Row],[success]]=FALSE,tblJTL[[#This Row],[success]]="false"),1,0)</f>
        <v>0</v>
      </c>
      <c r="X1990" s="57">
        <f>IF(AND(tblJTL[[#This Row],[経過秒]]&gt;='17_分析サンプル'!$E$11,tblJTL[[#This Row],[経過秒]]&lt;'17_分析サンプル'!$E$12),1,0)</f>
        <v>1</v>
      </c>
    </row>
    <row r="1991" spans="2:24" ht="14.4" x14ac:dyDescent="0.3">
      <c r="B1991" s="57">
        <v>1790816890448</v>
      </c>
      <c r="C1991" s="58">
        <v>101</v>
      </c>
      <c r="D1991" s="59" t="s">
        <v>1658</v>
      </c>
      <c r="E1991" s="59" t="s">
        <v>1577</v>
      </c>
      <c r="F1991" s="59" t="s">
        <v>2275</v>
      </c>
      <c r="G1991" s="59" t="s">
        <v>3585</v>
      </c>
      <c r="H1991" s="59" t="s">
        <v>2281</v>
      </c>
      <c r="I1991" s="59" t="b">
        <v>1</v>
      </c>
      <c r="J1991" s="59"/>
      <c r="K1991" s="58">
        <v>1848</v>
      </c>
      <c r="L1991" s="58">
        <v>1342</v>
      </c>
      <c r="M1991" s="59">
        <v>10</v>
      </c>
      <c r="N1991" s="59">
        <v>10</v>
      </c>
      <c r="O1991" s="59" t="s">
        <v>3578</v>
      </c>
      <c r="P1991" s="58">
        <v>95</v>
      </c>
      <c r="Q1991" s="59">
        <v>0</v>
      </c>
      <c r="R1991" s="59">
        <v>0</v>
      </c>
      <c r="S1991" s="60">
        <f>tblJTL[[#This Row],[timeStamp]]/86400000+DATE(1970,1,1)+TIME(9,0,0)</f>
        <v>46296.422343148151</v>
      </c>
      <c r="T1991" s="57">
        <f>tblJTL[[#This Row],[timeStamp]]+tblJTL[[#This Row],[elapsed]]</f>
        <v>1790816890549</v>
      </c>
      <c r="U1991" s="61">
        <f>(tblJTL[[#This Row],[timeStamp]]-'17_分析サンプル'!$E$18)/1000</f>
        <v>490.26799999999997</v>
      </c>
      <c r="V1991" s="57">
        <f>INT(tblJTL[[#This Row],[経過秒]]/60)</f>
        <v>8</v>
      </c>
      <c r="W1991" s="57">
        <f>IF(OR(tblJTL[[#This Row],[success]]=FALSE,tblJTL[[#This Row],[success]]="false"),1,0)</f>
        <v>0</v>
      </c>
      <c r="X1991" s="57">
        <f>IF(AND(tblJTL[[#This Row],[経過秒]]&gt;='17_分析サンプル'!$E$11,tblJTL[[#This Row],[経過秒]]&lt;'17_分析サンプル'!$E$12),1,0)</f>
        <v>1</v>
      </c>
    </row>
    <row r="1992" spans="2:24" ht="14.4" x14ac:dyDescent="0.3">
      <c r="B1992" s="57">
        <v>1790816890945</v>
      </c>
      <c r="C1992" s="58">
        <v>131</v>
      </c>
      <c r="D1992" s="59" t="s">
        <v>1658</v>
      </c>
      <c r="E1992" s="59" t="s">
        <v>1577</v>
      </c>
      <c r="F1992" s="59" t="s">
        <v>2275</v>
      </c>
      <c r="G1992" s="59" t="s">
        <v>3586</v>
      </c>
      <c r="H1992" s="59" t="s">
        <v>2281</v>
      </c>
      <c r="I1992" s="59" t="b">
        <v>1</v>
      </c>
      <c r="J1992" s="59"/>
      <c r="K1992" s="58">
        <v>1852</v>
      </c>
      <c r="L1992" s="58">
        <v>1342</v>
      </c>
      <c r="M1992" s="59">
        <v>10</v>
      </c>
      <c r="N1992" s="59">
        <v>10</v>
      </c>
      <c r="O1992" s="59" t="s">
        <v>3578</v>
      </c>
      <c r="P1992" s="58">
        <v>128</v>
      </c>
      <c r="Q1992" s="59">
        <v>0</v>
      </c>
      <c r="R1992" s="59">
        <v>0</v>
      </c>
      <c r="S1992" s="60">
        <f>tblJTL[[#This Row],[timeStamp]]/86400000+DATE(1970,1,1)+TIME(9,0,0)</f>
        <v>46296.422348900465</v>
      </c>
      <c r="T1992" s="57">
        <f>tblJTL[[#This Row],[timeStamp]]+tblJTL[[#This Row],[elapsed]]</f>
        <v>1790816891076</v>
      </c>
      <c r="U1992" s="61">
        <f>(tblJTL[[#This Row],[timeStamp]]-'17_分析サンプル'!$E$18)/1000</f>
        <v>490.76499999999999</v>
      </c>
      <c r="V1992" s="57">
        <f>INT(tblJTL[[#This Row],[経過秒]]/60)</f>
        <v>8</v>
      </c>
      <c r="W1992" s="57">
        <f>IF(OR(tblJTL[[#This Row],[success]]=FALSE,tblJTL[[#This Row],[success]]="false"),1,0)</f>
        <v>0</v>
      </c>
      <c r="X1992" s="57">
        <f>IF(AND(tblJTL[[#This Row],[経過秒]]&gt;='17_分析サンプル'!$E$11,tblJTL[[#This Row],[経過秒]]&lt;'17_分析サンプル'!$E$12),1,0)</f>
        <v>1</v>
      </c>
    </row>
    <row r="1993" spans="2:24" ht="14.4" x14ac:dyDescent="0.3">
      <c r="B1993" s="57">
        <v>1790816891267</v>
      </c>
      <c r="C1993" s="58">
        <v>128</v>
      </c>
      <c r="D1993" s="59" t="s">
        <v>1677</v>
      </c>
      <c r="E1993" s="59" t="s">
        <v>3579</v>
      </c>
      <c r="F1993" s="59" t="s">
        <v>3580</v>
      </c>
      <c r="G1993" s="59" t="s">
        <v>2278</v>
      </c>
      <c r="H1993" s="59" t="s">
        <v>2281</v>
      </c>
      <c r="I1993" s="59" t="b">
        <v>1</v>
      </c>
      <c r="J1993" s="59"/>
      <c r="K1993" s="58">
        <v>440</v>
      </c>
      <c r="L1993" s="58">
        <v>1478</v>
      </c>
      <c r="M1993" s="59">
        <v>10</v>
      </c>
      <c r="N1993" s="59">
        <v>10</v>
      </c>
      <c r="O1993" s="59" t="s">
        <v>3581</v>
      </c>
      <c r="P1993" s="58">
        <v>121</v>
      </c>
      <c r="Q1993" s="59">
        <v>0</v>
      </c>
      <c r="R1993" s="59">
        <v>0</v>
      </c>
      <c r="S1993" s="60">
        <f>tblJTL[[#This Row],[timeStamp]]/86400000+DATE(1970,1,1)+TIME(9,0,0)</f>
        <v>46296.422352627313</v>
      </c>
      <c r="T1993" s="57">
        <f>tblJTL[[#This Row],[timeStamp]]+tblJTL[[#This Row],[elapsed]]</f>
        <v>1790816891395</v>
      </c>
      <c r="U1993" s="61">
        <f>(tblJTL[[#This Row],[timeStamp]]-'17_分析サンプル'!$E$18)/1000</f>
        <v>491.08699999999999</v>
      </c>
      <c r="V1993" s="57">
        <f>INT(tblJTL[[#This Row],[経過秒]]/60)</f>
        <v>8</v>
      </c>
      <c r="W1993" s="57">
        <f>IF(OR(tblJTL[[#This Row],[success]]=FALSE,tblJTL[[#This Row],[success]]="false"),1,0)</f>
        <v>0</v>
      </c>
      <c r="X1993" s="57">
        <f>IF(AND(tblJTL[[#This Row],[経過秒]]&gt;='17_分析サンプル'!$E$11,tblJTL[[#This Row],[経過秒]]&lt;'17_分析サンプル'!$E$12),1,0)</f>
        <v>1</v>
      </c>
    </row>
    <row r="1994" spans="2:24" ht="14.4" x14ac:dyDescent="0.3">
      <c r="B1994" s="57">
        <v>1790816891393</v>
      </c>
      <c r="C1994" s="58">
        <v>106</v>
      </c>
      <c r="D1994" s="59" t="s">
        <v>1658</v>
      </c>
      <c r="E1994" s="59" t="s">
        <v>1577</v>
      </c>
      <c r="F1994" s="59" t="s">
        <v>2275</v>
      </c>
      <c r="G1994" s="59" t="s">
        <v>3584</v>
      </c>
      <c r="H1994" s="59" t="s">
        <v>2281</v>
      </c>
      <c r="I1994" s="59" t="b">
        <v>1</v>
      </c>
      <c r="J1994" s="59"/>
      <c r="K1994" s="58">
        <v>1824</v>
      </c>
      <c r="L1994" s="58">
        <v>1342</v>
      </c>
      <c r="M1994" s="59">
        <v>10</v>
      </c>
      <c r="N1994" s="59">
        <v>10</v>
      </c>
      <c r="O1994" s="59" t="s">
        <v>3578</v>
      </c>
      <c r="P1994" s="58">
        <v>99</v>
      </c>
      <c r="Q1994" s="59">
        <v>0</v>
      </c>
      <c r="R1994" s="59">
        <v>0</v>
      </c>
      <c r="S1994" s="60">
        <f>tblJTL[[#This Row],[timeStamp]]/86400000+DATE(1970,1,1)+TIME(9,0,0)</f>
        <v>46296.422354085647</v>
      </c>
      <c r="T1994" s="57">
        <f>tblJTL[[#This Row],[timeStamp]]+tblJTL[[#This Row],[elapsed]]</f>
        <v>1790816891499</v>
      </c>
      <c r="U1994" s="61">
        <f>(tblJTL[[#This Row],[timeStamp]]-'17_分析サンプル'!$E$18)/1000</f>
        <v>491.21300000000002</v>
      </c>
      <c r="V1994" s="57">
        <f>INT(tblJTL[[#This Row],[経過秒]]/60)</f>
        <v>8</v>
      </c>
      <c r="W1994" s="57">
        <f>IF(OR(tblJTL[[#This Row],[success]]=FALSE,tblJTL[[#This Row],[success]]="false"),1,0)</f>
        <v>0</v>
      </c>
      <c r="X1994" s="57">
        <f>IF(AND(tblJTL[[#This Row],[経過秒]]&gt;='17_分析サンプル'!$E$11,tblJTL[[#This Row],[経過秒]]&lt;'17_分析サンプル'!$E$12),1,0)</f>
        <v>1</v>
      </c>
    </row>
    <row r="1995" spans="2:24" ht="14.4" x14ac:dyDescent="0.3">
      <c r="B1995" s="57">
        <v>1790816891381</v>
      </c>
      <c r="C1995" s="58">
        <v>131</v>
      </c>
      <c r="D1995" s="59" t="s">
        <v>1658</v>
      </c>
      <c r="E1995" s="59" t="s">
        <v>1577</v>
      </c>
      <c r="F1995" s="59" t="s">
        <v>2275</v>
      </c>
      <c r="G1995" s="59" t="s">
        <v>3589</v>
      </c>
      <c r="H1995" s="59" t="s">
        <v>2281</v>
      </c>
      <c r="I1995" s="59" t="b">
        <v>1</v>
      </c>
      <c r="J1995" s="59"/>
      <c r="K1995" s="58">
        <v>1874</v>
      </c>
      <c r="L1995" s="58">
        <v>1342</v>
      </c>
      <c r="M1995" s="59">
        <v>10</v>
      </c>
      <c r="N1995" s="59">
        <v>10</v>
      </c>
      <c r="O1995" s="59" t="s">
        <v>3578</v>
      </c>
      <c r="P1995" s="58">
        <v>124</v>
      </c>
      <c r="Q1995" s="59">
        <v>0</v>
      </c>
      <c r="R1995" s="59">
        <v>0</v>
      </c>
      <c r="S1995" s="60">
        <f>tblJTL[[#This Row],[timeStamp]]/86400000+DATE(1970,1,1)+TIME(9,0,0)</f>
        <v>46296.422353946764</v>
      </c>
      <c r="T1995" s="57">
        <f>tblJTL[[#This Row],[timeStamp]]+tblJTL[[#This Row],[elapsed]]</f>
        <v>1790816891512</v>
      </c>
      <c r="U1995" s="61">
        <f>(tblJTL[[#This Row],[timeStamp]]-'17_分析サンプル'!$E$18)/1000</f>
        <v>491.20100000000002</v>
      </c>
      <c r="V1995" s="57">
        <f>INT(tblJTL[[#This Row],[経過秒]]/60)</f>
        <v>8</v>
      </c>
      <c r="W1995" s="57">
        <f>IF(OR(tblJTL[[#This Row],[success]]=FALSE,tblJTL[[#This Row],[success]]="false"),1,0)</f>
        <v>0</v>
      </c>
      <c r="X1995" s="57">
        <f>IF(AND(tblJTL[[#This Row],[経過秒]]&gt;='17_分析サンプル'!$E$11,tblJTL[[#This Row],[経過秒]]&lt;'17_分析サンプル'!$E$12),1,0)</f>
        <v>1</v>
      </c>
    </row>
    <row r="1996" spans="2:24" ht="14.4" x14ac:dyDescent="0.3">
      <c r="B1996" s="57">
        <v>1790816891466</v>
      </c>
      <c r="C1996" s="58">
        <v>166</v>
      </c>
      <c r="D1996" s="59" t="s">
        <v>1658</v>
      </c>
      <c r="E1996" s="59" t="s">
        <v>1577</v>
      </c>
      <c r="F1996" s="59" t="s">
        <v>2275</v>
      </c>
      <c r="G1996" s="59" t="s">
        <v>3583</v>
      </c>
      <c r="H1996" s="59" t="s">
        <v>2281</v>
      </c>
      <c r="I1996" s="59" t="b">
        <v>1</v>
      </c>
      <c r="J1996" s="59"/>
      <c r="K1996" s="58">
        <v>1858</v>
      </c>
      <c r="L1996" s="58">
        <v>1342</v>
      </c>
      <c r="M1996" s="59">
        <v>10</v>
      </c>
      <c r="N1996" s="59">
        <v>10</v>
      </c>
      <c r="O1996" s="59" t="s">
        <v>3578</v>
      </c>
      <c r="P1996" s="58">
        <v>163</v>
      </c>
      <c r="Q1996" s="59">
        <v>0</v>
      </c>
      <c r="R1996" s="59">
        <v>0</v>
      </c>
      <c r="S1996" s="60">
        <f>tblJTL[[#This Row],[timeStamp]]/86400000+DATE(1970,1,1)+TIME(9,0,0)</f>
        <v>46296.422354930561</v>
      </c>
      <c r="T1996" s="57">
        <f>tblJTL[[#This Row],[timeStamp]]+tblJTL[[#This Row],[elapsed]]</f>
        <v>1790816891632</v>
      </c>
      <c r="U1996" s="61">
        <f>(tblJTL[[#This Row],[timeStamp]]-'17_分析サンプル'!$E$18)/1000</f>
        <v>491.286</v>
      </c>
      <c r="V1996" s="57">
        <f>INT(tblJTL[[#This Row],[経過秒]]/60)</f>
        <v>8</v>
      </c>
      <c r="W1996" s="57">
        <f>IF(OR(tblJTL[[#This Row],[success]]=FALSE,tblJTL[[#This Row],[success]]="false"),1,0)</f>
        <v>0</v>
      </c>
      <c r="X1996" s="57">
        <f>IF(AND(tblJTL[[#This Row],[経過秒]]&gt;='17_分析サンプル'!$E$11,tblJTL[[#This Row],[経過秒]]&lt;'17_分析サンプル'!$E$12),1,0)</f>
        <v>1</v>
      </c>
    </row>
    <row r="1997" spans="2:24" ht="14.4" x14ac:dyDescent="0.3">
      <c r="B1997" s="57">
        <v>1790816891603</v>
      </c>
      <c r="C1997" s="58">
        <v>84</v>
      </c>
      <c r="D1997" s="59" t="s">
        <v>1658</v>
      </c>
      <c r="E1997" s="59" t="s">
        <v>1577</v>
      </c>
      <c r="F1997" s="59" t="s">
        <v>2275</v>
      </c>
      <c r="G1997" s="59" t="s">
        <v>3588</v>
      </c>
      <c r="H1997" s="59" t="s">
        <v>2281</v>
      </c>
      <c r="I1997" s="59" t="b">
        <v>1</v>
      </c>
      <c r="J1997" s="59"/>
      <c r="K1997" s="58">
        <v>1850</v>
      </c>
      <c r="L1997" s="58">
        <v>1342</v>
      </c>
      <c r="M1997" s="59">
        <v>10</v>
      </c>
      <c r="N1997" s="59">
        <v>10</v>
      </c>
      <c r="O1997" s="59" t="s">
        <v>3578</v>
      </c>
      <c r="P1997" s="58">
        <v>80</v>
      </c>
      <c r="Q1997" s="59">
        <v>0</v>
      </c>
      <c r="R1997" s="59">
        <v>0</v>
      </c>
      <c r="S1997" s="60">
        <f>tblJTL[[#This Row],[timeStamp]]/86400000+DATE(1970,1,1)+TIME(9,0,0)</f>
        <v>46296.422356516203</v>
      </c>
      <c r="T1997" s="57">
        <f>tblJTL[[#This Row],[timeStamp]]+tblJTL[[#This Row],[elapsed]]</f>
        <v>1790816891687</v>
      </c>
      <c r="U1997" s="61">
        <f>(tblJTL[[#This Row],[timeStamp]]-'17_分析サンプル'!$E$18)/1000</f>
        <v>491.423</v>
      </c>
      <c r="V1997" s="57">
        <f>INT(tblJTL[[#This Row],[経過秒]]/60)</f>
        <v>8</v>
      </c>
      <c r="W1997" s="57">
        <f>IF(OR(tblJTL[[#This Row],[success]]=FALSE,tblJTL[[#This Row],[success]]="false"),1,0)</f>
        <v>0</v>
      </c>
      <c r="X1997" s="57">
        <f>IF(AND(tblJTL[[#This Row],[経過秒]]&gt;='17_分析サンプル'!$E$11,tblJTL[[#This Row],[経過秒]]&lt;'17_分析サンプル'!$E$12),1,0)</f>
        <v>1</v>
      </c>
    </row>
    <row r="1998" spans="2:24" ht="14.4" x14ac:dyDescent="0.3">
      <c r="B1998" s="57">
        <v>1790816891796</v>
      </c>
      <c r="C1998" s="58">
        <v>100</v>
      </c>
      <c r="D1998" s="59" t="s">
        <v>1658</v>
      </c>
      <c r="E1998" s="59" t="s">
        <v>1577</v>
      </c>
      <c r="F1998" s="59" t="s">
        <v>2275</v>
      </c>
      <c r="G1998" s="59" t="s">
        <v>3587</v>
      </c>
      <c r="H1998" s="59" t="s">
        <v>2281</v>
      </c>
      <c r="I1998" s="59" t="b">
        <v>1</v>
      </c>
      <c r="J1998" s="59"/>
      <c r="K1998" s="58">
        <v>1849</v>
      </c>
      <c r="L1998" s="58">
        <v>1342</v>
      </c>
      <c r="M1998" s="59">
        <v>10</v>
      </c>
      <c r="N1998" s="59">
        <v>10</v>
      </c>
      <c r="O1998" s="59" t="s">
        <v>3578</v>
      </c>
      <c r="P1998" s="58">
        <v>93</v>
      </c>
      <c r="Q1998" s="59">
        <v>0</v>
      </c>
      <c r="R1998" s="59">
        <v>0</v>
      </c>
      <c r="S1998" s="60">
        <f>tblJTL[[#This Row],[timeStamp]]/86400000+DATE(1970,1,1)+TIME(9,0,0)</f>
        <v>46296.422358750002</v>
      </c>
      <c r="T1998" s="57">
        <f>tblJTL[[#This Row],[timeStamp]]+tblJTL[[#This Row],[elapsed]]</f>
        <v>1790816891896</v>
      </c>
      <c r="U1998" s="61">
        <f>(tblJTL[[#This Row],[timeStamp]]-'17_分析サンプル'!$E$18)/1000</f>
        <v>491.61599999999999</v>
      </c>
      <c r="V1998" s="57">
        <f>INT(tblJTL[[#This Row],[経過秒]]/60)</f>
        <v>8</v>
      </c>
      <c r="W1998" s="57">
        <f>IF(OR(tblJTL[[#This Row],[success]]=FALSE,tblJTL[[#This Row],[success]]="false"),1,0)</f>
        <v>0</v>
      </c>
      <c r="X1998" s="57">
        <f>IF(AND(tblJTL[[#This Row],[経過秒]]&gt;='17_分析サンプル'!$E$11,tblJTL[[#This Row],[経過秒]]&lt;'17_分析サンプル'!$E$12),1,0)</f>
        <v>1</v>
      </c>
    </row>
    <row r="1999" spans="2:24" ht="14.4" x14ac:dyDescent="0.3">
      <c r="B1999" s="57">
        <v>1790816892207</v>
      </c>
      <c r="C1999" s="58">
        <v>283</v>
      </c>
      <c r="D1999" s="59" t="s">
        <v>1677</v>
      </c>
      <c r="E1999" s="59" t="s">
        <v>3579</v>
      </c>
      <c r="F1999" s="59" t="s">
        <v>3580</v>
      </c>
      <c r="G1999" s="59" t="s">
        <v>3582</v>
      </c>
      <c r="H1999" s="59" t="s">
        <v>2281</v>
      </c>
      <c r="I1999" s="59" t="b">
        <v>1</v>
      </c>
      <c r="J1999" s="59"/>
      <c r="K1999" s="58">
        <v>432</v>
      </c>
      <c r="L1999" s="58">
        <v>1478</v>
      </c>
      <c r="M1999" s="59">
        <v>10</v>
      </c>
      <c r="N1999" s="59">
        <v>10</v>
      </c>
      <c r="O1999" s="59" t="s">
        <v>3581</v>
      </c>
      <c r="P1999" s="58">
        <v>278</v>
      </c>
      <c r="Q1999" s="59">
        <v>0</v>
      </c>
      <c r="R1999" s="59">
        <v>0</v>
      </c>
      <c r="S1999" s="60">
        <f>tblJTL[[#This Row],[timeStamp]]/86400000+DATE(1970,1,1)+TIME(9,0,0)</f>
        <v>46296.422363506943</v>
      </c>
      <c r="T1999" s="57">
        <f>tblJTL[[#This Row],[timeStamp]]+tblJTL[[#This Row],[elapsed]]</f>
        <v>1790816892490</v>
      </c>
      <c r="U1999" s="61">
        <f>(tblJTL[[#This Row],[timeStamp]]-'17_分析サンプル'!$E$18)/1000</f>
        <v>492.02699999999999</v>
      </c>
      <c r="V1999" s="57">
        <f>INT(tblJTL[[#This Row],[経過秒]]/60)</f>
        <v>8</v>
      </c>
      <c r="W1999" s="57">
        <f>IF(OR(tblJTL[[#This Row],[success]]=FALSE,tblJTL[[#This Row],[success]]="false"),1,0)</f>
        <v>0</v>
      </c>
      <c r="X1999" s="57">
        <f>IF(AND(tblJTL[[#This Row],[経過秒]]&gt;='17_分析サンプル'!$E$11,tblJTL[[#This Row],[経過秒]]&lt;'17_分析サンプル'!$E$12),1,0)</f>
        <v>1</v>
      </c>
    </row>
    <row r="2000" spans="2:24" ht="14.4" x14ac:dyDescent="0.3">
      <c r="B2000" s="57">
        <v>1790816892136</v>
      </c>
      <c r="C2000" s="58">
        <v>525</v>
      </c>
      <c r="D2000" s="59" t="s">
        <v>1658</v>
      </c>
      <c r="E2000" s="59" t="s">
        <v>1577</v>
      </c>
      <c r="F2000" s="59" t="s">
        <v>2275</v>
      </c>
      <c r="G2000" s="59" t="s">
        <v>3577</v>
      </c>
      <c r="H2000" s="59" t="s">
        <v>2281</v>
      </c>
      <c r="I2000" s="59" t="b">
        <v>1</v>
      </c>
      <c r="J2000" s="59"/>
      <c r="K2000" s="58">
        <v>1851</v>
      </c>
      <c r="L2000" s="58">
        <v>1342</v>
      </c>
      <c r="M2000" s="59">
        <v>10</v>
      </c>
      <c r="N2000" s="59">
        <v>10</v>
      </c>
      <c r="O2000" s="59" t="s">
        <v>3578</v>
      </c>
      <c r="P2000" s="58">
        <v>522</v>
      </c>
      <c r="Q2000" s="59">
        <v>0</v>
      </c>
      <c r="R2000" s="59">
        <v>0</v>
      </c>
      <c r="S2000" s="60">
        <f>tblJTL[[#This Row],[timeStamp]]/86400000+DATE(1970,1,1)+TIME(9,0,0)</f>
        <v>46296.422362685189</v>
      </c>
      <c r="T2000" s="57">
        <f>tblJTL[[#This Row],[timeStamp]]+tblJTL[[#This Row],[elapsed]]</f>
        <v>1790816892661</v>
      </c>
      <c r="U2000" s="61">
        <f>(tblJTL[[#This Row],[timeStamp]]-'17_分析サンプル'!$E$18)/1000</f>
        <v>491.95600000000002</v>
      </c>
      <c r="V2000" s="57">
        <f>INT(tblJTL[[#This Row],[経過秒]]/60)</f>
        <v>8</v>
      </c>
      <c r="W2000" s="57">
        <f>IF(OR(tblJTL[[#This Row],[success]]=FALSE,tblJTL[[#This Row],[success]]="false"),1,0)</f>
        <v>0</v>
      </c>
      <c r="X2000" s="57">
        <f>IF(AND(tblJTL[[#This Row],[経過秒]]&gt;='17_分析サンプル'!$E$11,tblJTL[[#This Row],[経過秒]]&lt;'17_分析サンプル'!$E$12),1,0)</f>
        <v>1</v>
      </c>
    </row>
    <row r="2001" spans="2:24" ht="14.4" x14ac:dyDescent="0.3">
      <c r="B2001" s="57">
        <v>1790816892764</v>
      </c>
      <c r="C2001" s="58">
        <v>167</v>
      </c>
      <c r="D2001" s="59" t="s">
        <v>1677</v>
      </c>
      <c r="E2001" s="59" t="s">
        <v>3579</v>
      </c>
      <c r="F2001" s="59" t="s">
        <v>3580</v>
      </c>
      <c r="G2001" s="59" t="s">
        <v>3585</v>
      </c>
      <c r="H2001" s="59" t="s">
        <v>2281</v>
      </c>
      <c r="I2001" s="59" t="b">
        <v>1</v>
      </c>
      <c r="J2001" s="59"/>
      <c r="K2001" s="58">
        <v>422</v>
      </c>
      <c r="L2001" s="58">
        <v>1478</v>
      </c>
      <c r="M2001" s="59">
        <v>10</v>
      </c>
      <c r="N2001" s="59">
        <v>10</v>
      </c>
      <c r="O2001" s="59" t="s">
        <v>3581</v>
      </c>
      <c r="P2001" s="58">
        <v>164</v>
      </c>
      <c r="Q2001" s="59">
        <v>0</v>
      </c>
      <c r="R2001" s="59">
        <v>0</v>
      </c>
      <c r="S2001" s="60">
        <f>tblJTL[[#This Row],[timeStamp]]/86400000+DATE(1970,1,1)+TIME(9,0,0)</f>
        <v>46296.422369953703</v>
      </c>
      <c r="T2001" s="57">
        <f>tblJTL[[#This Row],[timeStamp]]+tblJTL[[#This Row],[elapsed]]</f>
        <v>1790816892931</v>
      </c>
      <c r="U2001" s="61">
        <f>(tblJTL[[#This Row],[timeStamp]]-'17_分析サンプル'!$E$18)/1000</f>
        <v>492.584</v>
      </c>
      <c r="V2001" s="57">
        <f>INT(tblJTL[[#This Row],[経過秒]]/60)</f>
        <v>8</v>
      </c>
      <c r="W2001" s="57">
        <f>IF(OR(tblJTL[[#This Row],[success]]=FALSE,tblJTL[[#This Row],[success]]="false"),1,0)</f>
        <v>0</v>
      </c>
      <c r="X2001" s="57">
        <f>IF(AND(tblJTL[[#This Row],[経過秒]]&gt;='17_分析サンプル'!$E$11,tblJTL[[#This Row],[経過秒]]&lt;'17_分析サンプル'!$E$12),1,0)</f>
        <v>1</v>
      </c>
    </row>
    <row r="2002" spans="2:24" ht="14.4" x14ac:dyDescent="0.3">
      <c r="B2002" s="57">
        <v>1790816893176</v>
      </c>
      <c r="C2002" s="58">
        <v>236</v>
      </c>
      <c r="D2002" s="59" t="s">
        <v>1677</v>
      </c>
      <c r="E2002" s="59" t="s">
        <v>3579</v>
      </c>
      <c r="F2002" s="59" t="s">
        <v>3580</v>
      </c>
      <c r="G2002" s="59" t="s">
        <v>3583</v>
      </c>
      <c r="H2002" s="59" t="s">
        <v>2281</v>
      </c>
      <c r="I2002" s="59" t="b">
        <v>1</v>
      </c>
      <c r="J2002" s="59"/>
      <c r="K2002" s="58">
        <v>416</v>
      </c>
      <c r="L2002" s="58">
        <v>1478</v>
      </c>
      <c r="M2002" s="59">
        <v>10</v>
      </c>
      <c r="N2002" s="59">
        <v>10</v>
      </c>
      <c r="O2002" s="59" t="s">
        <v>3581</v>
      </c>
      <c r="P2002" s="58">
        <v>229</v>
      </c>
      <c r="Q2002" s="59">
        <v>0</v>
      </c>
      <c r="R2002" s="59">
        <v>0</v>
      </c>
      <c r="S2002" s="60">
        <f>tblJTL[[#This Row],[timeStamp]]/86400000+DATE(1970,1,1)+TIME(9,0,0)</f>
        <v>46296.42237472222</v>
      </c>
      <c r="T2002" s="57">
        <f>tblJTL[[#This Row],[timeStamp]]+tblJTL[[#This Row],[elapsed]]</f>
        <v>1790816893412</v>
      </c>
      <c r="U2002" s="61">
        <f>(tblJTL[[#This Row],[timeStamp]]-'17_分析サンプル'!$E$18)/1000</f>
        <v>492.99599999999998</v>
      </c>
      <c r="V2002" s="57">
        <f>INT(tblJTL[[#This Row],[経過秒]]/60)</f>
        <v>8</v>
      </c>
      <c r="W2002" s="57">
        <f>IF(OR(tblJTL[[#This Row],[success]]=FALSE,tblJTL[[#This Row],[success]]="false"),1,0)</f>
        <v>0</v>
      </c>
      <c r="X2002" s="57">
        <f>IF(AND(tblJTL[[#This Row],[経過秒]]&gt;='17_分析サンプル'!$E$11,tblJTL[[#This Row],[経過秒]]&lt;'17_分析サンプル'!$E$12),1,0)</f>
        <v>1</v>
      </c>
    </row>
    <row r="2003" spans="2:24" ht="14.4" x14ac:dyDescent="0.3">
      <c r="B2003" s="57">
        <v>1790816893487</v>
      </c>
      <c r="C2003" s="58">
        <v>207</v>
      </c>
      <c r="D2003" s="59" t="s">
        <v>1677</v>
      </c>
      <c r="E2003" s="59" t="s">
        <v>3579</v>
      </c>
      <c r="F2003" s="59" t="s">
        <v>3580</v>
      </c>
      <c r="G2003" s="59" t="s">
        <v>3586</v>
      </c>
      <c r="H2003" s="59" t="s">
        <v>2281</v>
      </c>
      <c r="I2003" s="59" t="b">
        <v>1</v>
      </c>
      <c r="J2003" s="59"/>
      <c r="K2003" s="58">
        <v>432</v>
      </c>
      <c r="L2003" s="58">
        <v>1478</v>
      </c>
      <c r="M2003" s="59">
        <v>10</v>
      </c>
      <c r="N2003" s="59">
        <v>10</v>
      </c>
      <c r="O2003" s="59" t="s">
        <v>3581</v>
      </c>
      <c r="P2003" s="58">
        <v>199</v>
      </c>
      <c r="Q2003" s="59">
        <v>0</v>
      </c>
      <c r="R2003" s="59">
        <v>0</v>
      </c>
      <c r="S2003" s="60">
        <f>tblJTL[[#This Row],[timeStamp]]/86400000+DATE(1970,1,1)+TIME(9,0,0)</f>
        <v>46296.42237832176</v>
      </c>
      <c r="T2003" s="57">
        <f>tblJTL[[#This Row],[timeStamp]]+tblJTL[[#This Row],[elapsed]]</f>
        <v>1790816893694</v>
      </c>
      <c r="U2003" s="61">
        <f>(tblJTL[[#This Row],[timeStamp]]-'17_分析サンプル'!$E$18)/1000</f>
        <v>493.30700000000002</v>
      </c>
      <c r="V2003" s="57">
        <f>INT(tblJTL[[#This Row],[経過秒]]/60)</f>
        <v>8</v>
      </c>
      <c r="W2003" s="57">
        <f>IF(OR(tblJTL[[#This Row],[success]]=FALSE,tblJTL[[#This Row],[success]]="false"),1,0)</f>
        <v>0</v>
      </c>
      <c r="X2003" s="57">
        <f>IF(AND(tblJTL[[#This Row],[経過秒]]&gt;='17_分析サンプル'!$E$11,tblJTL[[#This Row],[経過秒]]&lt;'17_分析サンプル'!$E$12),1,0)</f>
        <v>1</v>
      </c>
    </row>
    <row r="2004" spans="2:24" ht="14.4" x14ac:dyDescent="0.3">
      <c r="B2004" s="57">
        <v>1790816893628</v>
      </c>
      <c r="C2004" s="58">
        <v>174</v>
      </c>
      <c r="D2004" s="59" t="s">
        <v>1677</v>
      </c>
      <c r="E2004" s="59" t="s">
        <v>3579</v>
      </c>
      <c r="F2004" s="59" t="s">
        <v>3580</v>
      </c>
      <c r="G2004" s="59" t="s">
        <v>3588</v>
      </c>
      <c r="H2004" s="59" t="s">
        <v>2281</v>
      </c>
      <c r="I2004" s="59" t="b">
        <v>1</v>
      </c>
      <c r="J2004" s="59"/>
      <c r="K2004" s="58">
        <v>439</v>
      </c>
      <c r="L2004" s="58">
        <v>1478</v>
      </c>
      <c r="M2004" s="59">
        <v>10</v>
      </c>
      <c r="N2004" s="59">
        <v>10</v>
      </c>
      <c r="O2004" s="59" t="s">
        <v>3581</v>
      </c>
      <c r="P2004" s="58">
        <v>167</v>
      </c>
      <c r="Q2004" s="59">
        <v>0</v>
      </c>
      <c r="R2004" s="59">
        <v>0</v>
      </c>
      <c r="S2004" s="60">
        <f>tblJTL[[#This Row],[timeStamp]]/86400000+DATE(1970,1,1)+TIME(9,0,0)</f>
        <v>46296.422379953699</v>
      </c>
      <c r="T2004" s="57">
        <f>tblJTL[[#This Row],[timeStamp]]+tblJTL[[#This Row],[elapsed]]</f>
        <v>1790816893802</v>
      </c>
      <c r="U2004" s="61">
        <f>(tblJTL[[#This Row],[timeStamp]]-'17_分析サンプル'!$E$18)/1000</f>
        <v>493.44799999999998</v>
      </c>
      <c r="V2004" s="57">
        <f>INT(tblJTL[[#This Row],[経過秒]]/60)</f>
        <v>8</v>
      </c>
      <c r="W2004" s="57">
        <f>IF(OR(tblJTL[[#This Row],[success]]=FALSE,tblJTL[[#This Row],[success]]="false"),1,0)</f>
        <v>0</v>
      </c>
      <c r="X2004" s="57">
        <f>IF(AND(tblJTL[[#This Row],[経過秒]]&gt;='17_分析サンプル'!$E$11,tblJTL[[#This Row],[経過秒]]&lt;'17_分析サンプル'!$E$12),1,0)</f>
        <v>1</v>
      </c>
    </row>
    <row r="2005" spans="2:24" ht="14.4" x14ac:dyDescent="0.3">
      <c r="B2005" s="57">
        <v>1790816893704</v>
      </c>
      <c r="C2005" s="58">
        <v>114</v>
      </c>
      <c r="D2005" s="59" t="s">
        <v>1658</v>
      </c>
      <c r="E2005" s="59" t="s">
        <v>1577</v>
      </c>
      <c r="F2005" s="59" t="s">
        <v>2275</v>
      </c>
      <c r="G2005" s="59" t="s">
        <v>2278</v>
      </c>
      <c r="H2005" s="59" t="s">
        <v>2281</v>
      </c>
      <c r="I2005" s="59" t="b">
        <v>1</v>
      </c>
      <c r="J2005" s="59"/>
      <c r="K2005" s="58">
        <v>1869</v>
      </c>
      <c r="L2005" s="58">
        <v>1342</v>
      </c>
      <c r="M2005" s="59">
        <v>10</v>
      </c>
      <c r="N2005" s="59">
        <v>10</v>
      </c>
      <c r="O2005" s="59" t="s">
        <v>3578</v>
      </c>
      <c r="P2005" s="58">
        <v>112</v>
      </c>
      <c r="Q2005" s="59">
        <v>0</v>
      </c>
      <c r="R2005" s="59">
        <v>0</v>
      </c>
      <c r="S2005" s="60">
        <f>tblJTL[[#This Row],[timeStamp]]/86400000+DATE(1970,1,1)+TIME(9,0,0)</f>
        <v>46296.422380833334</v>
      </c>
      <c r="T2005" s="57">
        <f>tblJTL[[#This Row],[timeStamp]]+tblJTL[[#This Row],[elapsed]]</f>
        <v>1790816893818</v>
      </c>
      <c r="U2005" s="61">
        <f>(tblJTL[[#This Row],[timeStamp]]-'17_分析サンプル'!$E$18)/1000</f>
        <v>493.524</v>
      </c>
      <c r="V2005" s="57">
        <f>INT(tblJTL[[#This Row],[経過秒]]/60)</f>
        <v>8</v>
      </c>
      <c r="W2005" s="57">
        <f>IF(OR(tblJTL[[#This Row],[success]]=FALSE,tblJTL[[#This Row],[success]]="false"),1,0)</f>
        <v>0</v>
      </c>
      <c r="X2005" s="57">
        <f>IF(AND(tblJTL[[#This Row],[経過秒]]&gt;='17_分析サンプル'!$E$11,tblJTL[[#This Row],[経過秒]]&lt;'17_分析サンプル'!$E$12),1,0)</f>
        <v>1</v>
      </c>
    </row>
    <row r="2006" spans="2:24" ht="14.4" x14ac:dyDescent="0.3">
      <c r="B2006" s="57">
        <v>1790816894203</v>
      </c>
      <c r="C2006" s="58">
        <v>240</v>
      </c>
      <c r="D2006" s="59" t="s">
        <v>1677</v>
      </c>
      <c r="E2006" s="59" t="s">
        <v>3579</v>
      </c>
      <c r="F2006" s="59" t="s">
        <v>3580</v>
      </c>
      <c r="G2006" s="59" t="s">
        <v>3584</v>
      </c>
      <c r="H2006" s="59" t="s">
        <v>2281</v>
      </c>
      <c r="I2006" s="59" t="b">
        <v>1</v>
      </c>
      <c r="J2006" s="59"/>
      <c r="K2006" s="58">
        <v>429</v>
      </c>
      <c r="L2006" s="58">
        <v>1478</v>
      </c>
      <c r="M2006" s="59">
        <v>10</v>
      </c>
      <c r="N2006" s="59">
        <v>10</v>
      </c>
      <c r="O2006" s="59" t="s">
        <v>3581</v>
      </c>
      <c r="P2006" s="58">
        <v>234</v>
      </c>
      <c r="Q2006" s="59">
        <v>0</v>
      </c>
      <c r="R2006" s="59">
        <v>0</v>
      </c>
      <c r="S2006" s="60">
        <f>tblJTL[[#This Row],[timeStamp]]/86400000+DATE(1970,1,1)+TIME(9,0,0)</f>
        <v>46296.4223866088</v>
      </c>
      <c r="T2006" s="57">
        <f>tblJTL[[#This Row],[timeStamp]]+tblJTL[[#This Row],[elapsed]]</f>
        <v>1790816894443</v>
      </c>
      <c r="U2006" s="61">
        <f>(tblJTL[[#This Row],[timeStamp]]-'17_分析サンプル'!$E$18)/1000</f>
        <v>494.02300000000002</v>
      </c>
      <c r="V2006" s="57">
        <f>INT(tblJTL[[#This Row],[経過秒]]/60)</f>
        <v>8</v>
      </c>
      <c r="W2006" s="57">
        <f>IF(OR(tblJTL[[#This Row],[success]]=FALSE,tblJTL[[#This Row],[success]]="false"),1,0)</f>
        <v>0</v>
      </c>
      <c r="X2006" s="57">
        <f>IF(AND(tblJTL[[#This Row],[経過秒]]&gt;='17_分析サンプル'!$E$11,tblJTL[[#This Row],[経過秒]]&lt;'17_分析サンプル'!$E$12),1,0)</f>
        <v>1</v>
      </c>
    </row>
    <row r="2007" spans="2:24" ht="14.4" x14ac:dyDescent="0.3">
      <c r="B2007" s="57">
        <v>1790816894248</v>
      </c>
      <c r="C2007" s="58">
        <v>277</v>
      </c>
      <c r="D2007" s="59" t="s">
        <v>1677</v>
      </c>
      <c r="E2007" s="59" t="s">
        <v>3579</v>
      </c>
      <c r="F2007" s="59" t="s">
        <v>3580</v>
      </c>
      <c r="G2007" s="59" t="s">
        <v>3577</v>
      </c>
      <c r="H2007" s="59" t="s">
        <v>2281</v>
      </c>
      <c r="I2007" s="59" t="b">
        <v>1</v>
      </c>
      <c r="J2007" s="59"/>
      <c r="K2007" s="58">
        <v>414</v>
      </c>
      <c r="L2007" s="58">
        <v>1478</v>
      </c>
      <c r="M2007" s="59">
        <v>10</v>
      </c>
      <c r="N2007" s="59">
        <v>10</v>
      </c>
      <c r="O2007" s="59" t="s">
        <v>3581</v>
      </c>
      <c r="P2007" s="58">
        <v>269</v>
      </c>
      <c r="Q2007" s="59">
        <v>0</v>
      </c>
      <c r="R2007" s="59">
        <v>0</v>
      </c>
      <c r="S2007" s="60">
        <f>tblJTL[[#This Row],[timeStamp]]/86400000+DATE(1970,1,1)+TIME(9,0,0)</f>
        <v>46296.422387129627</v>
      </c>
      <c r="T2007" s="57">
        <f>tblJTL[[#This Row],[timeStamp]]+tblJTL[[#This Row],[elapsed]]</f>
        <v>1790816894525</v>
      </c>
      <c r="U2007" s="61">
        <f>(tblJTL[[#This Row],[timeStamp]]-'17_分析サンプル'!$E$18)/1000</f>
        <v>494.06799999999998</v>
      </c>
      <c r="V2007" s="57">
        <f>INT(tblJTL[[#This Row],[経過秒]]/60)</f>
        <v>8</v>
      </c>
      <c r="W2007" s="57">
        <f>IF(OR(tblJTL[[#This Row],[success]]=FALSE,tblJTL[[#This Row],[success]]="false"),1,0)</f>
        <v>0</v>
      </c>
      <c r="X2007" s="57">
        <f>IF(AND(tblJTL[[#This Row],[経過秒]]&gt;='17_分析サンプル'!$E$11,tblJTL[[#This Row],[経過秒]]&lt;'17_分析サンプル'!$E$12),1,0)</f>
        <v>1</v>
      </c>
    </row>
    <row r="2008" spans="2:24" ht="14.4" x14ac:dyDescent="0.3">
      <c r="B2008" s="57">
        <v>1790816894169</v>
      </c>
      <c r="C2008" s="58">
        <v>503</v>
      </c>
      <c r="D2008" s="59" t="s">
        <v>1677</v>
      </c>
      <c r="E2008" s="59" t="s">
        <v>3579</v>
      </c>
      <c r="F2008" s="59" t="s">
        <v>3580</v>
      </c>
      <c r="G2008" s="59" t="s">
        <v>3589</v>
      </c>
      <c r="H2008" s="59" t="s">
        <v>2281</v>
      </c>
      <c r="I2008" s="59" t="b">
        <v>1</v>
      </c>
      <c r="J2008" s="59"/>
      <c r="K2008" s="58">
        <v>425</v>
      </c>
      <c r="L2008" s="58">
        <v>1478</v>
      </c>
      <c r="M2008" s="59">
        <v>10</v>
      </c>
      <c r="N2008" s="59">
        <v>10</v>
      </c>
      <c r="O2008" s="59" t="s">
        <v>3581</v>
      </c>
      <c r="P2008" s="58">
        <v>495</v>
      </c>
      <c r="Q2008" s="59">
        <v>0</v>
      </c>
      <c r="R2008" s="59">
        <v>0</v>
      </c>
      <c r="S2008" s="60">
        <f>tblJTL[[#This Row],[timeStamp]]/86400000+DATE(1970,1,1)+TIME(9,0,0)</f>
        <v>46296.422386215279</v>
      </c>
      <c r="T2008" s="57">
        <f>tblJTL[[#This Row],[timeStamp]]+tblJTL[[#This Row],[elapsed]]</f>
        <v>1790816894672</v>
      </c>
      <c r="U2008" s="61">
        <f>(tblJTL[[#This Row],[timeStamp]]-'17_分析サンプル'!$E$18)/1000</f>
        <v>493.98899999999998</v>
      </c>
      <c r="V2008" s="57">
        <f>INT(tblJTL[[#This Row],[経過秒]]/60)</f>
        <v>8</v>
      </c>
      <c r="W2008" s="57">
        <f>IF(OR(tblJTL[[#This Row],[success]]=FALSE,tblJTL[[#This Row],[success]]="false"),1,0)</f>
        <v>0</v>
      </c>
      <c r="X2008" s="57">
        <f>IF(AND(tblJTL[[#This Row],[経過秒]]&gt;='17_分析サンプル'!$E$11,tblJTL[[#This Row],[経過秒]]&lt;'17_分析サンプル'!$E$12),1,0)</f>
        <v>1</v>
      </c>
    </row>
    <row r="2009" spans="2:24" ht="14.4" x14ac:dyDescent="0.3">
      <c r="B2009" s="57">
        <v>1790816894659</v>
      </c>
      <c r="C2009" s="58">
        <v>260</v>
      </c>
      <c r="D2009" s="59" t="s">
        <v>1677</v>
      </c>
      <c r="E2009" s="59" t="s">
        <v>3579</v>
      </c>
      <c r="F2009" s="59" t="s">
        <v>3580</v>
      </c>
      <c r="G2009" s="59" t="s">
        <v>3587</v>
      </c>
      <c r="H2009" s="59" t="s">
        <v>2281</v>
      </c>
      <c r="I2009" s="59" t="b">
        <v>1</v>
      </c>
      <c r="J2009" s="59"/>
      <c r="K2009" s="58">
        <v>419</v>
      </c>
      <c r="L2009" s="58">
        <v>1478</v>
      </c>
      <c r="M2009" s="59">
        <v>10</v>
      </c>
      <c r="N2009" s="59">
        <v>10</v>
      </c>
      <c r="O2009" s="59" t="s">
        <v>3581</v>
      </c>
      <c r="P2009" s="58">
        <v>255</v>
      </c>
      <c r="Q2009" s="59">
        <v>0</v>
      </c>
      <c r="R2009" s="59">
        <v>0</v>
      </c>
      <c r="S2009" s="60">
        <f>tblJTL[[#This Row],[timeStamp]]/86400000+DATE(1970,1,1)+TIME(9,0,0)</f>
        <v>46296.422391886575</v>
      </c>
      <c r="T2009" s="57">
        <f>tblJTL[[#This Row],[timeStamp]]+tblJTL[[#This Row],[elapsed]]</f>
        <v>1790816894919</v>
      </c>
      <c r="U2009" s="61">
        <f>(tblJTL[[#This Row],[timeStamp]]-'17_分析サンプル'!$E$18)/1000</f>
        <v>494.47899999999998</v>
      </c>
      <c r="V2009" s="57">
        <f>INT(tblJTL[[#This Row],[経過秒]]/60)</f>
        <v>8</v>
      </c>
      <c r="W2009" s="57">
        <f>IF(OR(tblJTL[[#This Row],[success]]=FALSE,tblJTL[[#This Row],[success]]="false"),1,0)</f>
        <v>0</v>
      </c>
      <c r="X2009" s="57">
        <f>IF(AND(tblJTL[[#This Row],[経過秒]]&gt;='17_分析サンプル'!$E$11,tblJTL[[#This Row],[経過秒]]&lt;'17_分析サンプル'!$E$12),1,0)</f>
        <v>1</v>
      </c>
    </row>
    <row r="2010" spans="2:24" ht="14.4" x14ac:dyDescent="0.3">
      <c r="B2010" s="57">
        <v>1790816895089</v>
      </c>
      <c r="C2010" s="58">
        <v>99</v>
      </c>
      <c r="D2010" s="59" t="s">
        <v>1658</v>
      </c>
      <c r="E2010" s="59" t="s">
        <v>1577</v>
      </c>
      <c r="F2010" s="59" t="s">
        <v>2275</v>
      </c>
      <c r="G2010" s="59" t="s">
        <v>3585</v>
      </c>
      <c r="H2010" s="59" t="s">
        <v>2281</v>
      </c>
      <c r="I2010" s="59" t="b">
        <v>1</v>
      </c>
      <c r="J2010" s="59"/>
      <c r="K2010" s="58">
        <v>1874</v>
      </c>
      <c r="L2010" s="58">
        <v>1342</v>
      </c>
      <c r="M2010" s="59">
        <v>10</v>
      </c>
      <c r="N2010" s="59">
        <v>10</v>
      </c>
      <c r="O2010" s="59" t="s">
        <v>3578</v>
      </c>
      <c r="P2010" s="58">
        <v>91</v>
      </c>
      <c r="Q2010" s="59">
        <v>0</v>
      </c>
      <c r="R2010" s="59">
        <v>0</v>
      </c>
      <c r="S2010" s="60">
        <f>tblJTL[[#This Row],[timeStamp]]/86400000+DATE(1970,1,1)+TIME(9,0,0)</f>
        <v>46296.422396863425</v>
      </c>
      <c r="T2010" s="57">
        <f>tblJTL[[#This Row],[timeStamp]]+tblJTL[[#This Row],[elapsed]]</f>
        <v>1790816895188</v>
      </c>
      <c r="U2010" s="61">
        <f>(tblJTL[[#This Row],[timeStamp]]-'17_分析サンプル'!$E$18)/1000</f>
        <v>494.90899999999999</v>
      </c>
      <c r="V2010" s="57">
        <f>INT(tblJTL[[#This Row],[経過秒]]/60)</f>
        <v>8</v>
      </c>
      <c r="W2010" s="57">
        <f>IF(OR(tblJTL[[#This Row],[success]]=FALSE,tblJTL[[#This Row],[success]]="false"),1,0)</f>
        <v>0</v>
      </c>
      <c r="X2010" s="57">
        <f>IF(AND(tblJTL[[#This Row],[経過秒]]&gt;='17_分析サンプル'!$E$11,tblJTL[[#This Row],[経過秒]]&lt;'17_分析サンプル'!$E$12),1,0)</f>
        <v>1</v>
      </c>
    </row>
    <row r="2011" spans="2:24" ht="14.4" x14ac:dyDescent="0.3">
      <c r="B2011" s="57">
        <v>1790816895290</v>
      </c>
      <c r="C2011" s="58">
        <v>164</v>
      </c>
      <c r="D2011" s="59" t="s">
        <v>1658</v>
      </c>
      <c r="E2011" s="59" t="s">
        <v>1577</v>
      </c>
      <c r="F2011" s="59" t="s">
        <v>2275</v>
      </c>
      <c r="G2011" s="59" t="s">
        <v>3582</v>
      </c>
      <c r="H2011" s="59" t="s">
        <v>2281</v>
      </c>
      <c r="I2011" s="59" t="b">
        <v>1</v>
      </c>
      <c r="J2011" s="59"/>
      <c r="K2011" s="58">
        <v>1888</v>
      </c>
      <c r="L2011" s="58">
        <v>1342</v>
      </c>
      <c r="M2011" s="59">
        <v>10</v>
      </c>
      <c r="N2011" s="59">
        <v>10</v>
      </c>
      <c r="O2011" s="59" t="s">
        <v>3578</v>
      </c>
      <c r="P2011" s="58">
        <v>159</v>
      </c>
      <c r="Q2011" s="59">
        <v>0</v>
      </c>
      <c r="R2011" s="59">
        <v>0</v>
      </c>
      <c r="S2011" s="60">
        <f>tblJTL[[#This Row],[timeStamp]]/86400000+DATE(1970,1,1)+TIME(9,0,0)</f>
        <v>46296.422399189818</v>
      </c>
      <c r="T2011" s="57">
        <f>tblJTL[[#This Row],[timeStamp]]+tblJTL[[#This Row],[elapsed]]</f>
        <v>1790816895454</v>
      </c>
      <c r="U2011" s="61">
        <f>(tblJTL[[#This Row],[timeStamp]]-'17_分析サンプル'!$E$18)/1000</f>
        <v>495.11</v>
      </c>
      <c r="V2011" s="57">
        <f>INT(tblJTL[[#This Row],[経過秒]]/60)</f>
        <v>8</v>
      </c>
      <c r="W2011" s="57">
        <f>IF(OR(tblJTL[[#This Row],[success]]=FALSE,tblJTL[[#This Row],[success]]="false"),1,0)</f>
        <v>0</v>
      </c>
      <c r="X2011" s="57">
        <f>IF(AND(tblJTL[[#This Row],[経過秒]]&gt;='17_分析サンプル'!$E$11,tblJTL[[#This Row],[経過秒]]&lt;'17_分析サンプル'!$E$12),1,0)</f>
        <v>1</v>
      </c>
    </row>
    <row r="2012" spans="2:24" ht="14.4" x14ac:dyDescent="0.3">
      <c r="B2012" s="57">
        <v>1790816895701</v>
      </c>
      <c r="C2012" s="58">
        <v>254</v>
      </c>
      <c r="D2012" s="59" t="s">
        <v>1677</v>
      </c>
      <c r="E2012" s="59" t="s">
        <v>3579</v>
      </c>
      <c r="F2012" s="59" t="s">
        <v>3580</v>
      </c>
      <c r="G2012" s="59" t="s">
        <v>2278</v>
      </c>
      <c r="H2012" s="59" t="s">
        <v>2281</v>
      </c>
      <c r="I2012" s="59" t="b">
        <v>1</v>
      </c>
      <c r="J2012" s="59"/>
      <c r="K2012" s="58">
        <v>433</v>
      </c>
      <c r="L2012" s="58">
        <v>1478</v>
      </c>
      <c r="M2012" s="59">
        <v>10</v>
      </c>
      <c r="N2012" s="59">
        <v>10</v>
      </c>
      <c r="O2012" s="59" t="s">
        <v>3581</v>
      </c>
      <c r="P2012" s="58">
        <v>251</v>
      </c>
      <c r="Q2012" s="59">
        <v>0</v>
      </c>
      <c r="R2012" s="59">
        <v>0</v>
      </c>
      <c r="S2012" s="60">
        <f>tblJTL[[#This Row],[timeStamp]]/86400000+DATE(1970,1,1)+TIME(9,0,0)</f>
        <v>46296.422403946759</v>
      </c>
      <c r="T2012" s="57">
        <f>tblJTL[[#This Row],[timeStamp]]+tblJTL[[#This Row],[elapsed]]</f>
        <v>1790816895955</v>
      </c>
      <c r="U2012" s="61">
        <f>(tblJTL[[#This Row],[timeStamp]]-'17_分析サンプル'!$E$18)/1000</f>
        <v>495.52100000000002</v>
      </c>
      <c r="V2012" s="57">
        <f>INT(tblJTL[[#This Row],[経過秒]]/60)</f>
        <v>8</v>
      </c>
      <c r="W2012" s="57">
        <f>IF(OR(tblJTL[[#This Row],[success]]=FALSE,tblJTL[[#This Row],[success]]="false"),1,0)</f>
        <v>0</v>
      </c>
      <c r="X2012" s="57">
        <f>IF(AND(tblJTL[[#This Row],[経過秒]]&gt;='17_分析サンプル'!$E$11,tblJTL[[#This Row],[経過秒]]&lt;'17_分析サンプル'!$E$12),1,0)</f>
        <v>1</v>
      </c>
    </row>
    <row r="2013" spans="2:24" ht="14.4" x14ac:dyDescent="0.3">
      <c r="B2013" s="57">
        <v>1790816896294</v>
      </c>
      <c r="C2013" s="58">
        <v>100</v>
      </c>
      <c r="D2013" s="59" t="s">
        <v>1658</v>
      </c>
      <c r="E2013" s="59" t="s">
        <v>1577</v>
      </c>
      <c r="F2013" s="59" t="s">
        <v>2275</v>
      </c>
      <c r="G2013" s="59" t="s">
        <v>3583</v>
      </c>
      <c r="H2013" s="59" t="s">
        <v>2281</v>
      </c>
      <c r="I2013" s="59" t="b">
        <v>1</v>
      </c>
      <c r="J2013" s="59"/>
      <c r="K2013" s="58">
        <v>1897</v>
      </c>
      <c r="L2013" s="58">
        <v>1342</v>
      </c>
      <c r="M2013" s="59">
        <v>10</v>
      </c>
      <c r="N2013" s="59">
        <v>10</v>
      </c>
      <c r="O2013" s="59" t="s">
        <v>3578</v>
      </c>
      <c r="P2013" s="58">
        <v>92</v>
      </c>
      <c r="Q2013" s="59">
        <v>0</v>
      </c>
      <c r="R2013" s="59">
        <v>0</v>
      </c>
      <c r="S2013" s="60">
        <f>tblJTL[[#This Row],[timeStamp]]/86400000+DATE(1970,1,1)+TIME(9,0,0)</f>
        <v>46296.422410810184</v>
      </c>
      <c r="T2013" s="57">
        <f>tblJTL[[#This Row],[timeStamp]]+tblJTL[[#This Row],[elapsed]]</f>
        <v>1790816896394</v>
      </c>
      <c r="U2013" s="61">
        <f>(tblJTL[[#This Row],[timeStamp]]-'17_分析サンプル'!$E$18)/1000</f>
        <v>496.11399999999998</v>
      </c>
      <c r="V2013" s="57">
        <f>INT(tblJTL[[#This Row],[経過秒]]/60)</f>
        <v>8</v>
      </c>
      <c r="W2013" s="57">
        <f>IF(OR(tblJTL[[#This Row],[success]]=FALSE,tblJTL[[#This Row],[success]]="false"),1,0)</f>
        <v>0</v>
      </c>
      <c r="X2013" s="57">
        <f>IF(AND(tblJTL[[#This Row],[経過秒]]&gt;='17_分析サンプル'!$E$11,tblJTL[[#This Row],[経過秒]]&lt;'17_分析サンプル'!$E$12),1,0)</f>
        <v>1</v>
      </c>
    </row>
    <row r="2014" spans="2:24" ht="14.4" x14ac:dyDescent="0.3">
      <c r="B2014" s="57">
        <v>1790816896353</v>
      </c>
      <c r="C2014" s="58">
        <v>117</v>
      </c>
      <c r="D2014" s="59" t="s">
        <v>1658</v>
      </c>
      <c r="E2014" s="59" t="s">
        <v>1577</v>
      </c>
      <c r="F2014" s="59" t="s">
        <v>2275</v>
      </c>
      <c r="G2014" s="59" t="s">
        <v>3588</v>
      </c>
      <c r="H2014" s="59" t="s">
        <v>2281</v>
      </c>
      <c r="I2014" s="59" t="b">
        <v>1</v>
      </c>
      <c r="J2014" s="59"/>
      <c r="K2014" s="58">
        <v>1838</v>
      </c>
      <c r="L2014" s="58">
        <v>1342</v>
      </c>
      <c r="M2014" s="59">
        <v>10</v>
      </c>
      <c r="N2014" s="59">
        <v>10</v>
      </c>
      <c r="O2014" s="59" t="s">
        <v>3578</v>
      </c>
      <c r="P2014" s="58">
        <v>115</v>
      </c>
      <c r="Q2014" s="59">
        <v>0</v>
      </c>
      <c r="R2014" s="59">
        <v>0</v>
      </c>
      <c r="S2014" s="60">
        <f>tblJTL[[#This Row],[timeStamp]]/86400000+DATE(1970,1,1)+TIME(9,0,0)</f>
        <v>46296.422411493055</v>
      </c>
      <c r="T2014" s="57">
        <f>tblJTL[[#This Row],[timeStamp]]+tblJTL[[#This Row],[elapsed]]</f>
        <v>1790816896470</v>
      </c>
      <c r="U2014" s="61">
        <f>(tblJTL[[#This Row],[timeStamp]]-'17_分析サンプル'!$E$18)/1000</f>
        <v>496.173</v>
      </c>
      <c r="V2014" s="57">
        <f>INT(tblJTL[[#This Row],[経過秒]]/60)</f>
        <v>8</v>
      </c>
      <c r="W2014" s="57">
        <f>IF(OR(tblJTL[[#This Row],[success]]=FALSE,tblJTL[[#This Row],[success]]="false"),1,0)</f>
        <v>0</v>
      </c>
      <c r="X2014" s="57">
        <f>IF(AND(tblJTL[[#This Row],[経過秒]]&gt;='17_分析サンプル'!$E$11,tblJTL[[#This Row],[経過秒]]&lt;'17_分析サンプル'!$E$12),1,0)</f>
        <v>1</v>
      </c>
    </row>
    <row r="2015" spans="2:24" ht="14.4" x14ac:dyDescent="0.3">
      <c r="B2015" s="57">
        <v>1790816896544</v>
      </c>
      <c r="C2015" s="58">
        <v>105</v>
      </c>
      <c r="D2015" s="59" t="s">
        <v>1658</v>
      </c>
      <c r="E2015" s="59" t="s">
        <v>1577</v>
      </c>
      <c r="F2015" s="59" t="s">
        <v>2275</v>
      </c>
      <c r="G2015" s="59" t="s">
        <v>3584</v>
      </c>
      <c r="H2015" s="59" t="s">
        <v>2281</v>
      </c>
      <c r="I2015" s="59" t="b">
        <v>1</v>
      </c>
      <c r="J2015" s="59"/>
      <c r="K2015" s="58">
        <v>1832</v>
      </c>
      <c r="L2015" s="58">
        <v>1342</v>
      </c>
      <c r="M2015" s="59">
        <v>10</v>
      </c>
      <c r="N2015" s="59">
        <v>10</v>
      </c>
      <c r="O2015" s="59" t="s">
        <v>3578</v>
      </c>
      <c r="P2015" s="58">
        <v>102</v>
      </c>
      <c r="Q2015" s="59">
        <v>0</v>
      </c>
      <c r="R2015" s="59">
        <v>0</v>
      </c>
      <c r="S2015" s="60">
        <f>tblJTL[[#This Row],[timeStamp]]/86400000+DATE(1970,1,1)+TIME(9,0,0)</f>
        <v>46296.422413703709</v>
      </c>
      <c r="T2015" s="57">
        <f>tblJTL[[#This Row],[timeStamp]]+tblJTL[[#This Row],[elapsed]]</f>
        <v>1790816896649</v>
      </c>
      <c r="U2015" s="61">
        <f>(tblJTL[[#This Row],[timeStamp]]-'17_分析サンプル'!$E$18)/1000</f>
        <v>496.36399999999998</v>
      </c>
      <c r="V2015" s="57">
        <f>INT(tblJTL[[#This Row],[経過秒]]/60)</f>
        <v>8</v>
      </c>
      <c r="W2015" s="57">
        <f>IF(OR(tblJTL[[#This Row],[success]]=FALSE,tblJTL[[#This Row],[success]]="false"),1,0)</f>
        <v>0</v>
      </c>
      <c r="X2015" s="57">
        <f>IF(AND(tblJTL[[#This Row],[経過秒]]&gt;='17_分析サンプル'!$E$11,tblJTL[[#This Row],[経過秒]]&lt;'17_分析サンプル'!$E$12),1,0)</f>
        <v>1</v>
      </c>
    </row>
    <row r="2016" spans="2:24" ht="14.4" x14ac:dyDescent="0.3">
      <c r="B2016" s="57">
        <v>1790816896573</v>
      </c>
      <c r="C2016" s="58">
        <v>114</v>
      </c>
      <c r="D2016" s="59" t="s">
        <v>1658</v>
      </c>
      <c r="E2016" s="59" t="s">
        <v>1577</v>
      </c>
      <c r="F2016" s="59" t="s">
        <v>2275</v>
      </c>
      <c r="G2016" s="59" t="s">
        <v>3586</v>
      </c>
      <c r="H2016" s="59" t="s">
        <v>2281</v>
      </c>
      <c r="I2016" s="59" t="b">
        <v>1</v>
      </c>
      <c r="J2016" s="59"/>
      <c r="K2016" s="58">
        <v>1897</v>
      </c>
      <c r="L2016" s="58">
        <v>1342</v>
      </c>
      <c r="M2016" s="59">
        <v>10</v>
      </c>
      <c r="N2016" s="59">
        <v>10</v>
      </c>
      <c r="O2016" s="59" t="s">
        <v>3578</v>
      </c>
      <c r="P2016" s="58">
        <v>109</v>
      </c>
      <c r="Q2016" s="59">
        <v>0</v>
      </c>
      <c r="R2016" s="59">
        <v>0</v>
      </c>
      <c r="S2016" s="60">
        <f>tblJTL[[#This Row],[timeStamp]]/86400000+DATE(1970,1,1)+TIME(9,0,0)</f>
        <v>46296.422414039349</v>
      </c>
      <c r="T2016" s="57">
        <f>tblJTL[[#This Row],[timeStamp]]+tblJTL[[#This Row],[elapsed]]</f>
        <v>1790816896687</v>
      </c>
      <c r="U2016" s="61">
        <f>(tblJTL[[#This Row],[timeStamp]]-'17_分析サンプル'!$E$18)/1000</f>
        <v>496.39299999999997</v>
      </c>
      <c r="V2016" s="57">
        <f>INT(tblJTL[[#This Row],[経過秒]]/60)</f>
        <v>8</v>
      </c>
      <c r="W2016" s="57">
        <f>IF(OR(tblJTL[[#This Row],[success]]=FALSE,tblJTL[[#This Row],[success]]="false"),1,0)</f>
        <v>0</v>
      </c>
      <c r="X2016" s="57">
        <f>IF(AND(tblJTL[[#This Row],[経過秒]]&gt;='17_分析サンプル'!$E$11,tblJTL[[#This Row],[経過秒]]&lt;'17_分析サンプル'!$E$12),1,0)</f>
        <v>1</v>
      </c>
    </row>
    <row r="2017" spans="2:24" ht="14.4" x14ac:dyDescent="0.3">
      <c r="B2017" s="57">
        <v>1790816897061</v>
      </c>
      <c r="C2017" s="58">
        <v>102</v>
      </c>
      <c r="D2017" s="59" t="s">
        <v>1677</v>
      </c>
      <c r="E2017" s="59" t="s">
        <v>3579</v>
      </c>
      <c r="F2017" s="59" t="s">
        <v>3580</v>
      </c>
      <c r="G2017" s="59" t="s">
        <v>3585</v>
      </c>
      <c r="H2017" s="59" t="s">
        <v>2281</v>
      </c>
      <c r="I2017" s="59" t="b">
        <v>1</v>
      </c>
      <c r="J2017" s="59"/>
      <c r="K2017" s="58">
        <v>425</v>
      </c>
      <c r="L2017" s="58">
        <v>1478</v>
      </c>
      <c r="M2017" s="59">
        <v>10</v>
      </c>
      <c r="N2017" s="59">
        <v>10</v>
      </c>
      <c r="O2017" s="59" t="s">
        <v>3581</v>
      </c>
      <c r="P2017" s="58">
        <v>99</v>
      </c>
      <c r="Q2017" s="59">
        <v>0</v>
      </c>
      <c r="R2017" s="59">
        <v>0</v>
      </c>
      <c r="S2017" s="60">
        <f>tblJTL[[#This Row],[timeStamp]]/86400000+DATE(1970,1,1)+TIME(9,0,0)</f>
        <v>46296.4224196875</v>
      </c>
      <c r="T2017" s="57">
        <f>tblJTL[[#This Row],[timeStamp]]+tblJTL[[#This Row],[elapsed]]</f>
        <v>1790816897163</v>
      </c>
      <c r="U2017" s="61">
        <f>(tblJTL[[#This Row],[timeStamp]]-'17_分析サンプル'!$E$18)/1000</f>
        <v>496.88099999999997</v>
      </c>
      <c r="V2017" s="57">
        <f>INT(tblJTL[[#This Row],[経過秒]]/60)</f>
        <v>8</v>
      </c>
      <c r="W2017" s="57">
        <f>IF(OR(tblJTL[[#This Row],[success]]=FALSE,tblJTL[[#This Row],[success]]="false"),1,0)</f>
        <v>0</v>
      </c>
      <c r="X2017" s="57">
        <f>IF(AND(tblJTL[[#This Row],[経過秒]]&gt;='17_分析サンプル'!$E$11,tblJTL[[#This Row],[経過秒]]&lt;'17_分析サンプル'!$E$12),1,0)</f>
        <v>1</v>
      </c>
    </row>
    <row r="2018" spans="2:24" ht="14.4" x14ac:dyDescent="0.3">
      <c r="B2018" s="57">
        <v>1790816897059</v>
      </c>
      <c r="C2018" s="58">
        <v>111</v>
      </c>
      <c r="D2018" s="59" t="s">
        <v>1658</v>
      </c>
      <c r="E2018" s="59" t="s">
        <v>1577</v>
      </c>
      <c r="F2018" s="59" t="s">
        <v>2275</v>
      </c>
      <c r="G2018" s="59" t="s">
        <v>3577</v>
      </c>
      <c r="H2018" s="59" t="s">
        <v>2281</v>
      </c>
      <c r="I2018" s="59" t="b">
        <v>1</v>
      </c>
      <c r="J2018" s="59"/>
      <c r="K2018" s="58">
        <v>1860</v>
      </c>
      <c r="L2018" s="58">
        <v>1342</v>
      </c>
      <c r="M2018" s="59">
        <v>10</v>
      </c>
      <c r="N2018" s="59">
        <v>10</v>
      </c>
      <c r="O2018" s="59" t="s">
        <v>3578</v>
      </c>
      <c r="P2018" s="58">
        <v>104</v>
      </c>
      <c r="Q2018" s="59">
        <v>0</v>
      </c>
      <c r="R2018" s="59">
        <v>0</v>
      </c>
      <c r="S2018" s="60">
        <f>tblJTL[[#This Row],[timeStamp]]/86400000+DATE(1970,1,1)+TIME(9,0,0)</f>
        <v>46296.422419664348</v>
      </c>
      <c r="T2018" s="57">
        <f>tblJTL[[#This Row],[timeStamp]]+tblJTL[[#This Row],[elapsed]]</f>
        <v>1790816897170</v>
      </c>
      <c r="U2018" s="61">
        <f>(tblJTL[[#This Row],[timeStamp]]-'17_分析サンプル'!$E$18)/1000</f>
        <v>496.87900000000002</v>
      </c>
      <c r="V2018" s="57">
        <f>INT(tblJTL[[#This Row],[経過秒]]/60)</f>
        <v>8</v>
      </c>
      <c r="W2018" s="57">
        <f>IF(OR(tblJTL[[#This Row],[success]]=FALSE,tblJTL[[#This Row],[success]]="false"),1,0)</f>
        <v>0</v>
      </c>
      <c r="X2018" s="57">
        <f>IF(AND(tblJTL[[#This Row],[経過秒]]&gt;='17_分析サンプル'!$E$11,tblJTL[[#This Row],[経過秒]]&lt;'17_分析サンプル'!$E$12),1,0)</f>
        <v>1</v>
      </c>
    </row>
    <row r="2019" spans="2:24" ht="14.4" x14ac:dyDescent="0.3">
      <c r="B2019" s="57">
        <v>1790816897480</v>
      </c>
      <c r="C2019" s="58">
        <v>144</v>
      </c>
      <c r="D2019" s="59" t="s">
        <v>1658</v>
      </c>
      <c r="E2019" s="59" t="s">
        <v>1577</v>
      </c>
      <c r="F2019" s="59" t="s">
        <v>2275</v>
      </c>
      <c r="G2019" s="59" t="s">
        <v>3589</v>
      </c>
      <c r="H2019" s="59" t="s">
        <v>2281</v>
      </c>
      <c r="I2019" s="59" t="b">
        <v>1</v>
      </c>
      <c r="J2019" s="59"/>
      <c r="K2019" s="58">
        <v>1896</v>
      </c>
      <c r="L2019" s="58">
        <v>1342</v>
      </c>
      <c r="M2019" s="59">
        <v>10</v>
      </c>
      <c r="N2019" s="59">
        <v>10</v>
      </c>
      <c r="O2019" s="59" t="s">
        <v>3578</v>
      </c>
      <c r="P2019" s="58">
        <v>142</v>
      </c>
      <c r="Q2019" s="59">
        <v>0</v>
      </c>
      <c r="R2019" s="59">
        <v>0</v>
      </c>
      <c r="S2019" s="60">
        <f>tblJTL[[#This Row],[timeStamp]]/86400000+DATE(1970,1,1)+TIME(9,0,0)</f>
        <v>46296.422424537042</v>
      </c>
      <c r="T2019" s="57">
        <f>tblJTL[[#This Row],[timeStamp]]+tblJTL[[#This Row],[elapsed]]</f>
        <v>1790816897624</v>
      </c>
      <c r="U2019" s="61">
        <f>(tblJTL[[#This Row],[timeStamp]]-'17_分析サンプル'!$E$18)/1000</f>
        <v>497.3</v>
      </c>
      <c r="V2019" s="57">
        <f>INT(tblJTL[[#This Row],[経過秒]]/60)</f>
        <v>8</v>
      </c>
      <c r="W2019" s="57">
        <f>IF(OR(tblJTL[[#This Row],[success]]=FALSE,tblJTL[[#This Row],[success]]="false"),1,0)</f>
        <v>0</v>
      </c>
      <c r="X2019" s="57">
        <f>IF(AND(tblJTL[[#This Row],[経過秒]]&gt;='17_分析サンプル'!$E$11,tblJTL[[#This Row],[経過秒]]&lt;'17_分析サンプル'!$E$12),1,0)</f>
        <v>1</v>
      </c>
    </row>
    <row r="2020" spans="2:24" ht="14.4" x14ac:dyDescent="0.3">
      <c r="B2020" s="57">
        <v>1790816897456</v>
      </c>
      <c r="C2020" s="58">
        <v>253</v>
      </c>
      <c r="D2020" s="59" t="s">
        <v>1677</v>
      </c>
      <c r="E2020" s="59" t="s">
        <v>3579</v>
      </c>
      <c r="F2020" s="59" t="s">
        <v>3580</v>
      </c>
      <c r="G2020" s="59" t="s">
        <v>3582</v>
      </c>
      <c r="H2020" s="59" t="s">
        <v>2281</v>
      </c>
      <c r="I2020" s="59" t="b">
        <v>1</v>
      </c>
      <c r="J2020" s="59"/>
      <c r="K2020" s="58">
        <v>425</v>
      </c>
      <c r="L2020" s="58">
        <v>1478</v>
      </c>
      <c r="M2020" s="59">
        <v>10</v>
      </c>
      <c r="N2020" s="59">
        <v>10</v>
      </c>
      <c r="O2020" s="59" t="s">
        <v>3581</v>
      </c>
      <c r="P2020" s="58">
        <v>248</v>
      </c>
      <c r="Q2020" s="59">
        <v>0</v>
      </c>
      <c r="R2020" s="59">
        <v>0</v>
      </c>
      <c r="S2020" s="60">
        <f>tblJTL[[#This Row],[timeStamp]]/86400000+DATE(1970,1,1)+TIME(9,0,0)</f>
        <v>46296.422424259261</v>
      </c>
      <c r="T2020" s="57">
        <f>tblJTL[[#This Row],[timeStamp]]+tblJTL[[#This Row],[elapsed]]</f>
        <v>1790816897709</v>
      </c>
      <c r="U2020" s="61">
        <f>(tblJTL[[#This Row],[timeStamp]]-'17_分析サンプル'!$E$18)/1000</f>
        <v>497.27600000000001</v>
      </c>
      <c r="V2020" s="57">
        <f>INT(tblJTL[[#This Row],[経過秒]]/60)</f>
        <v>8</v>
      </c>
      <c r="W2020" s="57">
        <f>IF(OR(tblJTL[[#This Row],[success]]=FALSE,tblJTL[[#This Row],[success]]="false"),1,0)</f>
        <v>0</v>
      </c>
      <c r="X2020" s="57">
        <f>IF(AND(tblJTL[[#This Row],[経過秒]]&gt;='17_分析サンプル'!$E$11,tblJTL[[#This Row],[経過秒]]&lt;'17_分析サンプル'!$E$12),1,0)</f>
        <v>1</v>
      </c>
    </row>
    <row r="2021" spans="2:24" ht="14.4" x14ac:dyDescent="0.3">
      <c r="B2021" s="57">
        <v>1790816897814</v>
      </c>
      <c r="C2021" s="58">
        <v>127</v>
      </c>
      <c r="D2021" s="59" t="s">
        <v>1658</v>
      </c>
      <c r="E2021" s="59" t="s">
        <v>1577</v>
      </c>
      <c r="F2021" s="59" t="s">
        <v>2275</v>
      </c>
      <c r="G2021" s="59" t="s">
        <v>3587</v>
      </c>
      <c r="H2021" s="59" t="s">
        <v>2281</v>
      </c>
      <c r="I2021" s="59" t="b">
        <v>1</v>
      </c>
      <c r="J2021" s="59"/>
      <c r="K2021" s="58">
        <v>1863</v>
      </c>
      <c r="L2021" s="58">
        <v>1342</v>
      </c>
      <c r="M2021" s="59">
        <v>10</v>
      </c>
      <c r="N2021" s="59">
        <v>10</v>
      </c>
      <c r="O2021" s="59" t="s">
        <v>3578</v>
      </c>
      <c r="P2021" s="58">
        <v>125</v>
      </c>
      <c r="Q2021" s="59">
        <v>0</v>
      </c>
      <c r="R2021" s="59">
        <v>0</v>
      </c>
      <c r="S2021" s="60">
        <f>tblJTL[[#This Row],[timeStamp]]/86400000+DATE(1970,1,1)+TIME(9,0,0)</f>
        <v>46296.422428402773</v>
      </c>
      <c r="T2021" s="57">
        <f>tblJTL[[#This Row],[timeStamp]]+tblJTL[[#This Row],[elapsed]]</f>
        <v>1790816897941</v>
      </c>
      <c r="U2021" s="61">
        <f>(tblJTL[[#This Row],[timeStamp]]-'17_分析サンプル'!$E$18)/1000</f>
        <v>497.63400000000001</v>
      </c>
      <c r="V2021" s="57">
        <f>INT(tblJTL[[#This Row],[経過秒]]/60)</f>
        <v>8</v>
      </c>
      <c r="W2021" s="57">
        <f>IF(OR(tblJTL[[#This Row],[success]]=FALSE,tblJTL[[#This Row],[success]]="false"),1,0)</f>
        <v>0</v>
      </c>
      <c r="X2021" s="57">
        <f>IF(AND(tblJTL[[#This Row],[経過秒]]&gt;='17_分析サンプル'!$E$11,tblJTL[[#This Row],[経過秒]]&lt;'17_分析サンプル'!$E$12),1,0)</f>
        <v>1</v>
      </c>
    </row>
    <row r="2022" spans="2:24" ht="14.4" x14ac:dyDescent="0.3">
      <c r="B2022" s="57">
        <v>1790816898125</v>
      </c>
      <c r="C2022" s="58">
        <v>94</v>
      </c>
      <c r="D2022" s="59" t="s">
        <v>1658</v>
      </c>
      <c r="E2022" s="59" t="s">
        <v>1577</v>
      </c>
      <c r="F2022" s="59" t="s">
        <v>2275</v>
      </c>
      <c r="G2022" s="59" t="s">
        <v>2278</v>
      </c>
      <c r="H2022" s="59" t="s">
        <v>2281</v>
      </c>
      <c r="I2022" s="59" t="b">
        <v>1</v>
      </c>
      <c r="J2022" s="59"/>
      <c r="K2022" s="58">
        <v>1853</v>
      </c>
      <c r="L2022" s="58">
        <v>1342</v>
      </c>
      <c r="M2022" s="59">
        <v>10</v>
      </c>
      <c r="N2022" s="59">
        <v>10</v>
      </c>
      <c r="O2022" s="59" t="s">
        <v>3578</v>
      </c>
      <c r="P2022" s="58">
        <v>91</v>
      </c>
      <c r="Q2022" s="59">
        <v>0</v>
      </c>
      <c r="R2022" s="59">
        <v>0</v>
      </c>
      <c r="S2022" s="60">
        <f>tblJTL[[#This Row],[timeStamp]]/86400000+DATE(1970,1,1)+TIME(9,0,0)</f>
        <v>46296.422432002313</v>
      </c>
      <c r="T2022" s="57">
        <f>tblJTL[[#This Row],[timeStamp]]+tblJTL[[#This Row],[elapsed]]</f>
        <v>1790816898219</v>
      </c>
      <c r="U2022" s="61">
        <f>(tblJTL[[#This Row],[timeStamp]]-'17_分析サンプル'!$E$18)/1000</f>
        <v>497.94499999999999</v>
      </c>
      <c r="V2022" s="57">
        <f>INT(tblJTL[[#This Row],[経過秒]]/60)</f>
        <v>8</v>
      </c>
      <c r="W2022" s="57">
        <f>IF(OR(tblJTL[[#This Row],[success]]=FALSE,tblJTL[[#This Row],[success]]="false"),1,0)</f>
        <v>0</v>
      </c>
      <c r="X2022" s="57">
        <f>IF(AND(tblJTL[[#This Row],[経過秒]]&gt;='17_分析サンプル'!$E$11,tblJTL[[#This Row],[経過秒]]&lt;'17_分析サンプル'!$E$12),1,0)</f>
        <v>1</v>
      </c>
    </row>
    <row r="2023" spans="2:24" ht="14.4" x14ac:dyDescent="0.3">
      <c r="B2023" s="57">
        <v>1790816898648</v>
      </c>
      <c r="C2023" s="58">
        <v>225</v>
      </c>
      <c r="D2023" s="59" t="s">
        <v>1677</v>
      </c>
      <c r="E2023" s="59" t="s">
        <v>3579</v>
      </c>
      <c r="F2023" s="59" t="s">
        <v>3580</v>
      </c>
      <c r="G2023" s="59" t="s">
        <v>3584</v>
      </c>
      <c r="H2023" s="59" t="s">
        <v>2281</v>
      </c>
      <c r="I2023" s="59" t="b">
        <v>1</v>
      </c>
      <c r="J2023" s="59"/>
      <c r="K2023" s="58">
        <v>440</v>
      </c>
      <c r="L2023" s="58">
        <v>1478</v>
      </c>
      <c r="M2023" s="59">
        <v>10</v>
      </c>
      <c r="N2023" s="59">
        <v>10</v>
      </c>
      <c r="O2023" s="59" t="s">
        <v>3581</v>
      </c>
      <c r="P2023" s="58">
        <v>220</v>
      </c>
      <c r="Q2023" s="59">
        <v>0</v>
      </c>
      <c r="R2023" s="59">
        <v>0</v>
      </c>
      <c r="S2023" s="60">
        <f>tblJTL[[#This Row],[timeStamp]]/86400000+DATE(1970,1,1)+TIME(9,0,0)</f>
        <v>46296.422438055553</v>
      </c>
      <c r="T2023" s="57">
        <f>tblJTL[[#This Row],[timeStamp]]+tblJTL[[#This Row],[elapsed]]</f>
        <v>1790816898873</v>
      </c>
      <c r="U2023" s="61">
        <f>(tblJTL[[#This Row],[timeStamp]]-'17_分析サンプル'!$E$18)/1000</f>
        <v>498.46800000000002</v>
      </c>
      <c r="V2023" s="57">
        <f>INT(tblJTL[[#This Row],[経過秒]]/60)</f>
        <v>8</v>
      </c>
      <c r="W2023" s="57">
        <f>IF(OR(tblJTL[[#This Row],[success]]=FALSE,tblJTL[[#This Row],[success]]="false"),1,0)</f>
        <v>0</v>
      </c>
      <c r="X2023" s="57">
        <f>IF(AND(tblJTL[[#This Row],[経過秒]]&gt;='17_分析サンプル'!$E$11,tblJTL[[#This Row],[経過秒]]&lt;'17_分析サンプル'!$E$12),1,0)</f>
        <v>1</v>
      </c>
    </row>
    <row r="2024" spans="2:24" ht="14.4" x14ac:dyDescent="0.3">
      <c r="B2024" s="57">
        <v>1790816898794</v>
      </c>
      <c r="C2024" s="58">
        <v>155</v>
      </c>
      <c r="D2024" s="59" t="s">
        <v>1658</v>
      </c>
      <c r="E2024" s="59" t="s">
        <v>1577</v>
      </c>
      <c r="F2024" s="59" t="s">
        <v>2275</v>
      </c>
      <c r="G2024" s="59" t="s">
        <v>3585</v>
      </c>
      <c r="H2024" s="59" t="s">
        <v>2281</v>
      </c>
      <c r="I2024" s="59" t="b">
        <v>1</v>
      </c>
      <c r="J2024" s="59"/>
      <c r="K2024" s="58">
        <v>1860</v>
      </c>
      <c r="L2024" s="58">
        <v>1342</v>
      </c>
      <c r="M2024" s="59">
        <v>10</v>
      </c>
      <c r="N2024" s="59">
        <v>10</v>
      </c>
      <c r="O2024" s="59" t="s">
        <v>3578</v>
      </c>
      <c r="P2024" s="58">
        <v>147</v>
      </c>
      <c r="Q2024" s="59">
        <v>0</v>
      </c>
      <c r="R2024" s="59">
        <v>0</v>
      </c>
      <c r="S2024" s="60">
        <f>tblJTL[[#This Row],[timeStamp]]/86400000+DATE(1970,1,1)+TIME(9,0,0)</f>
        <v>46296.422439745365</v>
      </c>
      <c r="T2024" s="57">
        <f>tblJTL[[#This Row],[timeStamp]]+tblJTL[[#This Row],[elapsed]]</f>
        <v>1790816898949</v>
      </c>
      <c r="U2024" s="61">
        <f>(tblJTL[[#This Row],[timeStamp]]-'17_分析サンプル'!$E$18)/1000</f>
        <v>498.61399999999998</v>
      </c>
      <c r="V2024" s="57">
        <f>INT(tblJTL[[#This Row],[経過秒]]/60)</f>
        <v>8</v>
      </c>
      <c r="W2024" s="57">
        <f>IF(OR(tblJTL[[#This Row],[success]]=FALSE,tblJTL[[#This Row],[success]]="false"),1,0)</f>
        <v>0</v>
      </c>
      <c r="X2024" s="57">
        <f>IF(AND(tblJTL[[#This Row],[経過秒]]&gt;='17_分析サンプル'!$E$11,tblJTL[[#This Row],[経過秒]]&lt;'17_分析サンプル'!$E$12),1,0)</f>
        <v>1</v>
      </c>
    </row>
    <row r="2025" spans="2:24" ht="14.4" x14ac:dyDescent="0.3">
      <c r="B2025" s="57">
        <v>1790816898764</v>
      </c>
      <c r="C2025" s="58">
        <v>186</v>
      </c>
      <c r="D2025" s="59" t="s">
        <v>1677</v>
      </c>
      <c r="E2025" s="59" t="s">
        <v>3579</v>
      </c>
      <c r="F2025" s="59" t="s">
        <v>3580</v>
      </c>
      <c r="G2025" s="59" t="s">
        <v>3589</v>
      </c>
      <c r="H2025" s="59" t="s">
        <v>2281</v>
      </c>
      <c r="I2025" s="59" t="b">
        <v>1</v>
      </c>
      <c r="J2025" s="59"/>
      <c r="K2025" s="58">
        <v>417</v>
      </c>
      <c r="L2025" s="58">
        <v>1478</v>
      </c>
      <c r="M2025" s="59">
        <v>10</v>
      </c>
      <c r="N2025" s="59">
        <v>10</v>
      </c>
      <c r="O2025" s="59" t="s">
        <v>3581</v>
      </c>
      <c r="P2025" s="58">
        <v>179</v>
      </c>
      <c r="Q2025" s="59">
        <v>0</v>
      </c>
      <c r="R2025" s="59">
        <v>0</v>
      </c>
      <c r="S2025" s="60">
        <f>tblJTL[[#This Row],[timeStamp]]/86400000+DATE(1970,1,1)+TIME(9,0,0)</f>
        <v>46296.422439398149</v>
      </c>
      <c r="T2025" s="57">
        <f>tblJTL[[#This Row],[timeStamp]]+tblJTL[[#This Row],[elapsed]]</f>
        <v>1790816898950</v>
      </c>
      <c r="U2025" s="61">
        <f>(tblJTL[[#This Row],[timeStamp]]-'17_分析サンプル'!$E$18)/1000</f>
        <v>498.584</v>
      </c>
      <c r="V2025" s="57">
        <f>INT(tblJTL[[#This Row],[経過秒]]/60)</f>
        <v>8</v>
      </c>
      <c r="W2025" s="57">
        <f>IF(OR(tblJTL[[#This Row],[success]]=FALSE,tblJTL[[#This Row],[success]]="false"),1,0)</f>
        <v>0</v>
      </c>
      <c r="X2025" s="57">
        <f>IF(AND(tblJTL[[#This Row],[経過秒]]&gt;='17_分析サンプル'!$E$11,tblJTL[[#This Row],[経過秒]]&lt;'17_分析サンプル'!$E$12),1,0)</f>
        <v>1</v>
      </c>
    </row>
    <row r="2026" spans="2:24" ht="14.4" x14ac:dyDescent="0.3">
      <c r="B2026" s="57">
        <v>1790816898891</v>
      </c>
      <c r="C2026" s="58">
        <v>169</v>
      </c>
      <c r="D2026" s="59" t="s">
        <v>1677</v>
      </c>
      <c r="E2026" s="59" t="s">
        <v>3579</v>
      </c>
      <c r="F2026" s="59" t="s">
        <v>3580</v>
      </c>
      <c r="G2026" s="59" t="s">
        <v>3583</v>
      </c>
      <c r="H2026" s="59" t="s">
        <v>2281</v>
      </c>
      <c r="I2026" s="59" t="b">
        <v>1</v>
      </c>
      <c r="J2026" s="59"/>
      <c r="K2026" s="58">
        <v>410</v>
      </c>
      <c r="L2026" s="58">
        <v>1478</v>
      </c>
      <c r="M2026" s="59">
        <v>10</v>
      </c>
      <c r="N2026" s="59">
        <v>10</v>
      </c>
      <c r="O2026" s="59" t="s">
        <v>3581</v>
      </c>
      <c r="P2026" s="58">
        <v>162</v>
      </c>
      <c r="Q2026" s="59">
        <v>0</v>
      </c>
      <c r="R2026" s="59">
        <v>0</v>
      </c>
      <c r="S2026" s="60">
        <f>tblJTL[[#This Row],[timeStamp]]/86400000+DATE(1970,1,1)+TIME(9,0,0)</f>
        <v>46296.42244086806</v>
      </c>
      <c r="T2026" s="57">
        <f>tblJTL[[#This Row],[timeStamp]]+tblJTL[[#This Row],[elapsed]]</f>
        <v>1790816899060</v>
      </c>
      <c r="U2026" s="61">
        <f>(tblJTL[[#This Row],[timeStamp]]-'17_分析サンプル'!$E$18)/1000</f>
        <v>498.71100000000001</v>
      </c>
      <c r="V2026" s="57">
        <f>INT(tblJTL[[#This Row],[経過秒]]/60)</f>
        <v>8</v>
      </c>
      <c r="W2026" s="57">
        <f>IF(OR(tblJTL[[#This Row],[success]]=FALSE,tblJTL[[#This Row],[success]]="false"),1,0)</f>
        <v>0</v>
      </c>
      <c r="X2026" s="57">
        <f>IF(AND(tblJTL[[#This Row],[経過秒]]&gt;='17_分析サンプル'!$E$11,tblJTL[[#This Row],[経過秒]]&lt;'17_分析サンプル'!$E$12),1,0)</f>
        <v>1</v>
      </c>
    </row>
    <row r="2027" spans="2:24" ht="14.4" x14ac:dyDescent="0.3">
      <c r="B2027" s="57">
        <v>1790816898972</v>
      </c>
      <c r="C2027" s="58">
        <v>194</v>
      </c>
      <c r="D2027" s="59" t="s">
        <v>1677</v>
      </c>
      <c r="E2027" s="59" t="s">
        <v>3579</v>
      </c>
      <c r="F2027" s="59" t="s">
        <v>3580</v>
      </c>
      <c r="G2027" s="59" t="s">
        <v>3588</v>
      </c>
      <c r="H2027" s="59" t="s">
        <v>2281</v>
      </c>
      <c r="I2027" s="59" t="b">
        <v>1</v>
      </c>
      <c r="J2027" s="59"/>
      <c r="K2027" s="58">
        <v>434</v>
      </c>
      <c r="L2027" s="58">
        <v>1478</v>
      </c>
      <c r="M2027" s="59">
        <v>10</v>
      </c>
      <c r="N2027" s="59">
        <v>10</v>
      </c>
      <c r="O2027" s="59" t="s">
        <v>3581</v>
      </c>
      <c r="P2027" s="58">
        <v>187</v>
      </c>
      <c r="Q2027" s="59">
        <v>0</v>
      </c>
      <c r="R2027" s="59">
        <v>0</v>
      </c>
      <c r="S2027" s="60">
        <f>tblJTL[[#This Row],[timeStamp]]/86400000+DATE(1970,1,1)+TIME(9,0,0)</f>
        <v>46296.422441805553</v>
      </c>
      <c r="T2027" s="57">
        <f>tblJTL[[#This Row],[timeStamp]]+tblJTL[[#This Row],[elapsed]]</f>
        <v>1790816899166</v>
      </c>
      <c r="U2027" s="61">
        <f>(tblJTL[[#This Row],[timeStamp]]-'17_分析サンプル'!$E$18)/1000</f>
        <v>498.79199999999997</v>
      </c>
      <c r="V2027" s="57">
        <f>INT(tblJTL[[#This Row],[経過秒]]/60)</f>
        <v>8</v>
      </c>
      <c r="W2027" s="57">
        <f>IF(OR(tblJTL[[#This Row],[success]]=FALSE,tblJTL[[#This Row],[success]]="false"),1,0)</f>
        <v>0</v>
      </c>
      <c r="X2027" s="57">
        <f>IF(AND(tblJTL[[#This Row],[経過秒]]&gt;='17_分析サンプル'!$E$11,tblJTL[[#This Row],[経過秒]]&lt;'17_分析サンプル'!$E$12),1,0)</f>
        <v>1</v>
      </c>
    </row>
    <row r="2028" spans="2:24" ht="14.4" x14ac:dyDescent="0.3">
      <c r="B2028" s="57">
        <v>1790816899327</v>
      </c>
      <c r="C2028" s="58">
        <v>170</v>
      </c>
      <c r="D2028" s="59" t="s">
        <v>1677</v>
      </c>
      <c r="E2028" s="59" t="s">
        <v>3579</v>
      </c>
      <c r="F2028" s="59" t="s">
        <v>3580</v>
      </c>
      <c r="G2028" s="59" t="s">
        <v>3586</v>
      </c>
      <c r="H2028" s="59" t="s">
        <v>2281</v>
      </c>
      <c r="I2028" s="59" t="b">
        <v>1</v>
      </c>
      <c r="J2028" s="59"/>
      <c r="K2028" s="58">
        <v>429</v>
      </c>
      <c r="L2028" s="58">
        <v>1478</v>
      </c>
      <c r="M2028" s="59">
        <v>10</v>
      </c>
      <c r="N2028" s="59">
        <v>10</v>
      </c>
      <c r="O2028" s="59" t="s">
        <v>3581</v>
      </c>
      <c r="P2028" s="58">
        <v>163</v>
      </c>
      <c r="Q2028" s="59">
        <v>0</v>
      </c>
      <c r="R2028" s="59">
        <v>0</v>
      </c>
      <c r="S2028" s="60">
        <f>tblJTL[[#This Row],[timeStamp]]/86400000+DATE(1970,1,1)+TIME(9,0,0)</f>
        <v>46296.422445914352</v>
      </c>
      <c r="T2028" s="57">
        <f>tblJTL[[#This Row],[timeStamp]]+tblJTL[[#This Row],[elapsed]]</f>
        <v>1790816899497</v>
      </c>
      <c r="U2028" s="61">
        <f>(tblJTL[[#This Row],[timeStamp]]-'17_分析サンプル'!$E$18)/1000</f>
        <v>499.14699999999999</v>
      </c>
      <c r="V2028" s="57">
        <f>INT(tblJTL[[#This Row],[経過秒]]/60)</f>
        <v>8</v>
      </c>
      <c r="W2028" s="57">
        <f>IF(OR(tblJTL[[#This Row],[success]]=FALSE,tblJTL[[#This Row],[success]]="false"),1,0)</f>
        <v>0</v>
      </c>
      <c r="X2028" s="57">
        <f>IF(AND(tblJTL[[#This Row],[経過秒]]&gt;='17_分析サンプル'!$E$11,tblJTL[[#This Row],[経過秒]]&lt;'17_分析サンプル'!$E$12),1,0)</f>
        <v>1</v>
      </c>
    </row>
    <row r="2029" spans="2:24" ht="14.4" x14ac:dyDescent="0.3">
      <c r="B2029" s="57">
        <v>1790816899775</v>
      </c>
      <c r="C2029" s="58">
        <v>265</v>
      </c>
      <c r="D2029" s="59" t="s">
        <v>1677</v>
      </c>
      <c r="E2029" s="59" t="s">
        <v>3579</v>
      </c>
      <c r="F2029" s="59" t="s">
        <v>3580</v>
      </c>
      <c r="G2029" s="59" t="s">
        <v>3587</v>
      </c>
      <c r="H2029" s="59" t="s">
        <v>2281</v>
      </c>
      <c r="I2029" s="59" t="b">
        <v>1</v>
      </c>
      <c r="J2029" s="59"/>
      <c r="K2029" s="58">
        <v>416</v>
      </c>
      <c r="L2029" s="58">
        <v>1478</v>
      </c>
      <c r="M2029" s="59">
        <v>10</v>
      </c>
      <c r="N2029" s="59">
        <v>10</v>
      </c>
      <c r="O2029" s="59" t="s">
        <v>3581</v>
      </c>
      <c r="P2029" s="58">
        <v>260</v>
      </c>
      <c r="Q2029" s="59">
        <v>0</v>
      </c>
      <c r="R2029" s="59">
        <v>0</v>
      </c>
      <c r="S2029" s="60">
        <f>tblJTL[[#This Row],[timeStamp]]/86400000+DATE(1970,1,1)+TIME(9,0,0)</f>
        <v>46296.422451099541</v>
      </c>
      <c r="T2029" s="57">
        <f>tblJTL[[#This Row],[timeStamp]]+tblJTL[[#This Row],[elapsed]]</f>
        <v>1790816900040</v>
      </c>
      <c r="U2029" s="61">
        <f>(tblJTL[[#This Row],[timeStamp]]-'17_分析サンプル'!$E$18)/1000</f>
        <v>499.59500000000003</v>
      </c>
      <c r="V2029" s="57">
        <f>INT(tblJTL[[#This Row],[経過秒]]/60)</f>
        <v>8</v>
      </c>
      <c r="W2029" s="57">
        <f>IF(OR(tblJTL[[#This Row],[success]]=FALSE,tblJTL[[#This Row],[success]]="false"),1,0)</f>
        <v>0</v>
      </c>
      <c r="X2029" s="57">
        <f>IF(AND(tblJTL[[#This Row],[経過秒]]&gt;='17_分析サンプル'!$E$11,tblJTL[[#This Row],[経過秒]]&lt;'17_分析サンプル'!$E$12),1,0)</f>
        <v>1</v>
      </c>
    </row>
    <row r="2030" spans="2:24" ht="14.4" x14ac:dyDescent="0.3">
      <c r="B2030" s="57">
        <v>1790816900063</v>
      </c>
      <c r="C2030" s="58">
        <v>254</v>
      </c>
      <c r="D2030" s="59" t="s">
        <v>1677</v>
      </c>
      <c r="E2030" s="59" t="s">
        <v>3579</v>
      </c>
      <c r="F2030" s="59" t="s">
        <v>3580</v>
      </c>
      <c r="G2030" s="59" t="s">
        <v>3577</v>
      </c>
      <c r="H2030" s="59" t="s">
        <v>2281</v>
      </c>
      <c r="I2030" s="59" t="b">
        <v>1</v>
      </c>
      <c r="J2030" s="59"/>
      <c r="K2030" s="58">
        <v>417</v>
      </c>
      <c r="L2030" s="58">
        <v>1478</v>
      </c>
      <c r="M2030" s="59">
        <v>10</v>
      </c>
      <c r="N2030" s="59">
        <v>10</v>
      </c>
      <c r="O2030" s="59" t="s">
        <v>3581</v>
      </c>
      <c r="P2030" s="58">
        <v>247</v>
      </c>
      <c r="Q2030" s="59">
        <v>0</v>
      </c>
      <c r="R2030" s="59">
        <v>0</v>
      </c>
      <c r="S2030" s="60">
        <f>tblJTL[[#This Row],[timeStamp]]/86400000+DATE(1970,1,1)+TIME(9,0,0)</f>
        <v>46296.422454432875</v>
      </c>
      <c r="T2030" s="57">
        <f>tblJTL[[#This Row],[timeStamp]]+tblJTL[[#This Row],[elapsed]]</f>
        <v>1790816900317</v>
      </c>
      <c r="U2030" s="61">
        <f>(tblJTL[[#This Row],[timeStamp]]-'17_分析サンプル'!$E$18)/1000</f>
        <v>499.88299999999998</v>
      </c>
      <c r="V2030" s="57">
        <f>INT(tblJTL[[#This Row],[経過秒]]/60)</f>
        <v>8</v>
      </c>
      <c r="W2030" s="57">
        <f>IF(OR(tblJTL[[#This Row],[success]]=FALSE,tblJTL[[#This Row],[success]]="false"),1,0)</f>
        <v>0</v>
      </c>
      <c r="X2030" s="57">
        <f>IF(AND(tblJTL[[#This Row],[経過秒]]&gt;='17_分析サンプル'!$E$11,tblJTL[[#This Row],[経過秒]]&lt;'17_分析サンプル'!$E$12),1,0)</f>
        <v>1</v>
      </c>
    </row>
    <row r="2031" spans="2:24" ht="14.4" x14ac:dyDescent="0.3">
      <c r="B2031" s="57">
        <v>1790816900373</v>
      </c>
      <c r="C2031" s="58">
        <v>157</v>
      </c>
      <c r="D2031" s="59" t="s">
        <v>1658</v>
      </c>
      <c r="E2031" s="59" t="s">
        <v>1577</v>
      </c>
      <c r="F2031" s="59" t="s">
        <v>2275</v>
      </c>
      <c r="G2031" s="59" t="s">
        <v>3582</v>
      </c>
      <c r="H2031" s="59" t="s">
        <v>2281</v>
      </c>
      <c r="I2031" s="59" t="b">
        <v>1</v>
      </c>
      <c r="J2031" s="59"/>
      <c r="K2031" s="58">
        <v>1825</v>
      </c>
      <c r="L2031" s="58">
        <v>1342</v>
      </c>
      <c r="M2031" s="59">
        <v>10</v>
      </c>
      <c r="N2031" s="59">
        <v>10</v>
      </c>
      <c r="O2031" s="59" t="s">
        <v>3578</v>
      </c>
      <c r="P2031" s="58">
        <v>152</v>
      </c>
      <c r="Q2031" s="59">
        <v>0</v>
      </c>
      <c r="R2031" s="59">
        <v>68</v>
      </c>
      <c r="S2031" s="60">
        <f>tblJTL[[#This Row],[timeStamp]]/86400000+DATE(1970,1,1)+TIME(9,0,0)</f>
        <v>46296.422458020832</v>
      </c>
      <c r="T2031" s="57">
        <f>tblJTL[[#This Row],[timeStamp]]+tblJTL[[#This Row],[elapsed]]</f>
        <v>1790816900530</v>
      </c>
      <c r="U2031" s="61">
        <f>(tblJTL[[#This Row],[timeStamp]]-'17_分析サンプル'!$E$18)/1000</f>
        <v>500.19299999999998</v>
      </c>
      <c r="V2031" s="57">
        <f>INT(tblJTL[[#This Row],[経過秒]]/60)</f>
        <v>8</v>
      </c>
      <c r="W2031" s="57">
        <f>IF(OR(tblJTL[[#This Row],[success]]=FALSE,tblJTL[[#This Row],[success]]="false"),1,0)</f>
        <v>0</v>
      </c>
      <c r="X2031" s="57">
        <f>IF(AND(tblJTL[[#This Row],[経過秒]]&gt;='17_分析サンプル'!$E$11,tblJTL[[#This Row],[経過秒]]&lt;'17_分析サンプル'!$E$12),1,0)</f>
        <v>1</v>
      </c>
    </row>
    <row r="2032" spans="2:24" ht="14.4" x14ac:dyDescent="0.3">
      <c r="B2032" s="57">
        <v>1790816900310</v>
      </c>
      <c r="C2032" s="58">
        <v>318</v>
      </c>
      <c r="D2032" s="59" t="s">
        <v>1677</v>
      </c>
      <c r="E2032" s="59" t="s">
        <v>3579</v>
      </c>
      <c r="F2032" s="59" t="s">
        <v>3580</v>
      </c>
      <c r="G2032" s="59" t="s">
        <v>2278</v>
      </c>
      <c r="H2032" s="59" t="s">
        <v>2281</v>
      </c>
      <c r="I2032" s="59" t="b">
        <v>1</v>
      </c>
      <c r="J2032" s="59"/>
      <c r="K2032" s="58">
        <v>428</v>
      </c>
      <c r="L2032" s="58">
        <v>1478</v>
      </c>
      <c r="M2032" s="59">
        <v>10</v>
      </c>
      <c r="N2032" s="59">
        <v>10</v>
      </c>
      <c r="O2032" s="59" t="s">
        <v>3581</v>
      </c>
      <c r="P2032" s="58">
        <v>313</v>
      </c>
      <c r="Q2032" s="59">
        <v>0</v>
      </c>
      <c r="R2032" s="59">
        <v>0</v>
      </c>
      <c r="S2032" s="60">
        <f>tblJTL[[#This Row],[timeStamp]]/86400000+DATE(1970,1,1)+TIME(9,0,0)</f>
        <v>46296.422457291672</v>
      </c>
      <c r="T2032" s="57">
        <f>tblJTL[[#This Row],[timeStamp]]+tblJTL[[#This Row],[elapsed]]</f>
        <v>1790816900628</v>
      </c>
      <c r="U2032" s="61">
        <f>(tblJTL[[#This Row],[timeStamp]]-'17_分析サンプル'!$E$18)/1000</f>
        <v>500.13</v>
      </c>
      <c r="V2032" s="57">
        <f>INT(tblJTL[[#This Row],[経過秒]]/60)</f>
        <v>8</v>
      </c>
      <c r="W2032" s="57">
        <f>IF(OR(tblJTL[[#This Row],[success]]=FALSE,tblJTL[[#This Row],[success]]="false"),1,0)</f>
        <v>0</v>
      </c>
      <c r="X2032" s="57">
        <f>IF(AND(tblJTL[[#This Row],[経過秒]]&gt;='17_分析サンプル'!$E$11,tblJTL[[#This Row],[経過秒]]&lt;'17_分析サンプル'!$E$12),1,0)</f>
        <v>1</v>
      </c>
    </row>
    <row r="2033" spans="2:24" ht="14.4" x14ac:dyDescent="0.3">
      <c r="B2033" s="57">
        <v>1790816900609</v>
      </c>
      <c r="C2033" s="58">
        <v>54</v>
      </c>
      <c r="D2033" s="59" t="s">
        <v>1658</v>
      </c>
      <c r="E2033" s="59" t="s">
        <v>1577</v>
      </c>
      <c r="F2033" s="59" t="s">
        <v>2275</v>
      </c>
      <c r="G2033" s="59" t="s">
        <v>3586</v>
      </c>
      <c r="H2033" s="59" t="s">
        <v>2281</v>
      </c>
      <c r="I2033" s="59" t="b">
        <v>1</v>
      </c>
      <c r="J2033" s="59"/>
      <c r="K2033" s="58">
        <v>1896</v>
      </c>
      <c r="L2033" s="58">
        <v>1342</v>
      </c>
      <c r="M2033" s="59">
        <v>10</v>
      </c>
      <c r="N2033" s="59">
        <v>10</v>
      </c>
      <c r="O2033" s="59" t="s">
        <v>3578</v>
      </c>
      <c r="P2033" s="58">
        <v>52</v>
      </c>
      <c r="Q2033" s="59">
        <v>0</v>
      </c>
      <c r="R2033" s="59">
        <v>0</v>
      </c>
      <c r="S2033" s="60">
        <f>tblJTL[[#This Row],[timeStamp]]/86400000+DATE(1970,1,1)+TIME(9,0,0)</f>
        <v>46296.422460752314</v>
      </c>
      <c r="T2033" s="57">
        <f>tblJTL[[#This Row],[timeStamp]]+tblJTL[[#This Row],[elapsed]]</f>
        <v>1790816900663</v>
      </c>
      <c r="U2033" s="61">
        <f>(tblJTL[[#This Row],[timeStamp]]-'17_分析サンプル'!$E$18)/1000</f>
        <v>500.42899999999997</v>
      </c>
      <c r="V2033" s="57">
        <f>INT(tblJTL[[#This Row],[経過秒]]/60)</f>
        <v>8</v>
      </c>
      <c r="W2033" s="57">
        <f>IF(OR(tblJTL[[#This Row],[success]]=FALSE,tblJTL[[#This Row],[success]]="false"),1,0)</f>
        <v>0</v>
      </c>
      <c r="X2033" s="57">
        <f>IF(AND(tblJTL[[#This Row],[経過秒]]&gt;='17_分析サンプル'!$E$11,tblJTL[[#This Row],[経過秒]]&lt;'17_分析サンプル'!$E$12),1,0)</f>
        <v>1</v>
      </c>
    </row>
    <row r="2034" spans="2:24" ht="14.4" x14ac:dyDescent="0.3">
      <c r="B2034" s="57">
        <v>1790816900886</v>
      </c>
      <c r="C2034" s="58">
        <v>104</v>
      </c>
      <c r="D2034" s="59" t="s">
        <v>1658</v>
      </c>
      <c r="E2034" s="59" t="s">
        <v>1577</v>
      </c>
      <c r="F2034" s="59" t="s">
        <v>2275</v>
      </c>
      <c r="G2034" s="59" t="s">
        <v>3583</v>
      </c>
      <c r="H2034" s="59" t="s">
        <v>2281</v>
      </c>
      <c r="I2034" s="59" t="b">
        <v>1</v>
      </c>
      <c r="J2034" s="59"/>
      <c r="K2034" s="58">
        <v>1851</v>
      </c>
      <c r="L2034" s="58">
        <v>1342</v>
      </c>
      <c r="M2034" s="59">
        <v>10</v>
      </c>
      <c r="N2034" s="59">
        <v>10</v>
      </c>
      <c r="O2034" s="59" t="s">
        <v>3578</v>
      </c>
      <c r="P2034" s="58">
        <v>100</v>
      </c>
      <c r="Q2034" s="59">
        <v>0</v>
      </c>
      <c r="R2034" s="59">
        <v>0</v>
      </c>
      <c r="S2034" s="60">
        <f>tblJTL[[#This Row],[timeStamp]]/86400000+DATE(1970,1,1)+TIME(9,0,0)</f>
        <v>46296.422463958334</v>
      </c>
      <c r="T2034" s="57">
        <f>tblJTL[[#This Row],[timeStamp]]+tblJTL[[#This Row],[elapsed]]</f>
        <v>1790816900990</v>
      </c>
      <c r="U2034" s="61">
        <f>(tblJTL[[#This Row],[timeStamp]]-'17_分析サンプル'!$E$18)/1000</f>
        <v>500.70600000000002</v>
      </c>
      <c r="V2034" s="57">
        <f>INT(tblJTL[[#This Row],[経過秒]]/60)</f>
        <v>8</v>
      </c>
      <c r="W2034" s="57">
        <f>IF(OR(tblJTL[[#This Row],[success]]=FALSE,tblJTL[[#This Row],[success]]="false"),1,0)</f>
        <v>0</v>
      </c>
      <c r="X2034" s="57">
        <f>IF(AND(tblJTL[[#This Row],[経過秒]]&gt;='17_分析サンプル'!$E$11,tblJTL[[#This Row],[経過秒]]&lt;'17_分析サンプル'!$E$12),1,0)</f>
        <v>1</v>
      </c>
    </row>
    <row r="2035" spans="2:24" ht="14.4" x14ac:dyDescent="0.3">
      <c r="B2035" s="57">
        <v>1790816901212</v>
      </c>
      <c r="C2035" s="58">
        <v>105</v>
      </c>
      <c r="D2035" s="59" t="s">
        <v>1658</v>
      </c>
      <c r="E2035" s="59" t="s">
        <v>1577</v>
      </c>
      <c r="F2035" s="59" t="s">
        <v>2275</v>
      </c>
      <c r="G2035" s="59" t="s">
        <v>3584</v>
      </c>
      <c r="H2035" s="59" t="s">
        <v>2281</v>
      </c>
      <c r="I2035" s="59" t="b">
        <v>1</v>
      </c>
      <c r="J2035" s="59"/>
      <c r="K2035" s="58">
        <v>1855</v>
      </c>
      <c r="L2035" s="58">
        <v>1342</v>
      </c>
      <c r="M2035" s="59">
        <v>10</v>
      </c>
      <c r="N2035" s="59">
        <v>10</v>
      </c>
      <c r="O2035" s="59" t="s">
        <v>3578</v>
      </c>
      <c r="P2035" s="58">
        <v>103</v>
      </c>
      <c r="Q2035" s="59">
        <v>0</v>
      </c>
      <c r="R2035" s="59">
        <v>0</v>
      </c>
      <c r="S2035" s="60">
        <f>tblJTL[[#This Row],[timeStamp]]/86400000+DATE(1970,1,1)+TIME(9,0,0)</f>
        <v>46296.422467731478</v>
      </c>
      <c r="T2035" s="57">
        <f>tblJTL[[#This Row],[timeStamp]]+tblJTL[[#This Row],[elapsed]]</f>
        <v>1790816901317</v>
      </c>
      <c r="U2035" s="61">
        <f>(tblJTL[[#This Row],[timeStamp]]-'17_分析サンプル'!$E$18)/1000</f>
        <v>501.03199999999998</v>
      </c>
      <c r="V2035" s="57">
        <f>INT(tblJTL[[#This Row],[経過秒]]/60)</f>
        <v>8</v>
      </c>
      <c r="W2035" s="57">
        <f>IF(OR(tblJTL[[#This Row],[success]]=FALSE,tblJTL[[#This Row],[success]]="false"),1,0)</f>
        <v>0</v>
      </c>
      <c r="X2035" s="57">
        <f>IF(AND(tblJTL[[#This Row],[経過秒]]&gt;='17_分析サンプル'!$E$11,tblJTL[[#This Row],[経過秒]]&lt;'17_分析サンプル'!$E$12),1,0)</f>
        <v>1</v>
      </c>
    </row>
    <row r="2036" spans="2:24" ht="14.4" x14ac:dyDescent="0.3">
      <c r="B2036" s="57">
        <v>1790816901275</v>
      </c>
      <c r="C2036" s="58">
        <v>120</v>
      </c>
      <c r="D2036" s="59" t="s">
        <v>1658</v>
      </c>
      <c r="E2036" s="59" t="s">
        <v>1577</v>
      </c>
      <c r="F2036" s="59" t="s">
        <v>2275</v>
      </c>
      <c r="G2036" s="59" t="s">
        <v>3589</v>
      </c>
      <c r="H2036" s="59" t="s">
        <v>2281</v>
      </c>
      <c r="I2036" s="59" t="b">
        <v>1</v>
      </c>
      <c r="J2036" s="59"/>
      <c r="K2036" s="58">
        <v>1832</v>
      </c>
      <c r="L2036" s="58">
        <v>1342</v>
      </c>
      <c r="M2036" s="59">
        <v>10</v>
      </c>
      <c r="N2036" s="59">
        <v>10</v>
      </c>
      <c r="O2036" s="59" t="s">
        <v>3578</v>
      </c>
      <c r="P2036" s="58">
        <v>114</v>
      </c>
      <c r="Q2036" s="59">
        <v>0</v>
      </c>
      <c r="R2036" s="59">
        <v>0</v>
      </c>
      <c r="S2036" s="60">
        <f>tblJTL[[#This Row],[timeStamp]]/86400000+DATE(1970,1,1)+TIME(9,0,0)</f>
        <v>46296.422468460645</v>
      </c>
      <c r="T2036" s="57">
        <f>tblJTL[[#This Row],[timeStamp]]+tblJTL[[#This Row],[elapsed]]</f>
        <v>1790816901395</v>
      </c>
      <c r="U2036" s="61">
        <f>(tblJTL[[#This Row],[timeStamp]]-'17_分析サンプル'!$E$18)/1000</f>
        <v>501.09500000000003</v>
      </c>
      <c r="V2036" s="57">
        <f>INT(tblJTL[[#This Row],[経過秒]]/60)</f>
        <v>8</v>
      </c>
      <c r="W2036" s="57">
        <f>IF(OR(tblJTL[[#This Row],[success]]=FALSE,tblJTL[[#This Row],[success]]="false"),1,0)</f>
        <v>0</v>
      </c>
      <c r="X2036" s="57">
        <f>IF(AND(tblJTL[[#This Row],[経過秒]]&gt;='17_分析サンプル'!$E$11,tblJTL[[#This Row],[経過秒]]&lt;'17_分析サンプル'!$E$12),1,0)</f>
        <v>1</v>
      </c>
    </row>
    <row r="2037" spans="2:24" ht="14.4" x14ac:dyDescent="0.3">
      <c r="B2037" s="57">
        <v>1790816901204</v>
      </c>
      <c r="C2037" s="58">
        <v>306</v>
      </c>
      <c r="D2037" s="59" t="s">
        <v>1677</v>
      </c>
      <c r="E2037" s="59" t="s">
        <v>3579</v>
      </c>
      <c r="F2037" s="59" t="s">
        <v>3580</v>
      </c>
      <c r="G2037" s="59" t="s">
        <v>3585</v>
      </c>
      <c r="H2037" s="59" t="s">
        <v>2281</v>
      </c>
      <c r="I2037" s="59" t="b">
        <v>1</v>
      </c>
      <c r="J2037" s="59"/>
      <c r="K2037" s="58">
        <v>420</v>
      </c>
      <c r="L2037" s="58">
        <v>1478</v>
      </c>
      <c r="M2037" s="59">
        <v>10</v>
      </c>
      <c r="N2037" s="59">
        <v>10</v>
      </c>
      <c r="O2037" s="59" t="s">
        <v>3581</v>
      </c>
      <c r="P2037" s="58">
        <v>298</v>
      </c>
      <c r="Q2037" s="59">
        <v>0</v>
      </c>
      <c r="R2037" s="59">
        <v>0</v>
      </c>
      <c r="S2037" s="60">
        <f>tblJTL[[#This Row],[timeStamp]]/86400000+DATE(1970,1,1)+TIME(9,0,0)</f>
        <v>46296.422467638884</v>
      </c>
      <c r="T2037" s="57">
        <f>tblJTL[[#This Row],[timeStamp]]+tblJTL[[#This Row],[elapsed]]</f>
        <v>1790816901510</v>
      </c>
      <c r="U2037" s="61">
        <f>(tblJTL[[#This Row],[timeStamp]]-'17_分析サンプル'!$E$18)/1000</f>
        <v>501.024</v>
      </c>
      <c r="V2037" s="57">
        <f>INT(tblJTL[[#This Row],[経過秒]]/60)</f>
        <v>8</v>
      </c>
      <c r="W2037" s="57">
        <f>IF(OR(tblJTL[[#This Row],[success]]=FALSE,tblJTL[[#This Row],[success]]="false"),1,0)</f>
        <v>0</v>
      </c>
      <c r="X2037" s="57">
        <f>IF(AND(tblJTL[[#This Row],[経過秒]]&gt;='17_分析サンプル'!$E$11,tblJTL[[#This Row],[経過秒]]&lt;'17_分析サンプル'!$E$12),1,0)</f>
        <v>1</v>
      </c>
    </row>
    <row r="2038" spans="2:24" ht="14.4" x14ac:dyDescent="0.3">
      <c r="B2038" s="57">
        <v>1790816901556</v>
      </c>
      <c r="C2038" s="58">
        <v>109</v>
      </c>
      <c r="D2038" s="59" t="s">
        <v>1658</v>
      </c>
      <c r="E2038" s="59" t="s">
        <v>1577</v>
      </c>
      <c r="F2038" s="59" t="s">
        <v>2275</v>
      </c>
      <c r="G2038" s="59" t="s">
        <v>3577</v>
      </c>
      <c r="H2038" s="59" t="s">
        <v>2281</v>
      </c>
      <c r="I2038" s="59" t="b">
        <v>1</v>
      </c>
      <c r="J2038" s="59"/>
      <c r="K2038" s="58">
        <v>1862</v>
      </c>
      <c r="L2038" s="58">
        <v>1342</v>
      </c>
      <c r="M2038" s="59">
        <v>10</v>
      </c>
      <c r="N2038" s="59">
        <v>10</v>
      </c>
      <c r="O2038" s="59" t="s">
        <v>3578</v>
      </c>
      <c r="P2038" s="58">
        <v>101</v>
      </c>
      <c r="Q2038" s="59">
        <v>0</v>
      </c>
      <c r="R2038" s="59">
        <v>0</v>
      </c>
      <c r="S2038" s="60">
        <f>tblJTL[[#This Row],[timeStamp]]/86400000+DATE(1970,1,1)+TIME(9,0,0)</f>
        <v>46296.422471712962</v>
      </c>
      <c r="T2038" s="57">
        <f>tblJTL[[#This Row],[timeStamp]]+tblJTL[[#This Row],[elapsed]]</f>
        <v>1790816901665</v>
      </c>
      <c r="U2038" s="61">
        <f>(tblJTL[[#This Row],[timeStamp]]-'17_分析サンプル'!$E$18)/1000</f>
        <v>501.37599999999998</v>
      </c>
      <c r="V2038" s="57">
        <f>INT(tblJTL[[#This Row],[経過秒]]/60)</f>
        <v>8</v>
      </c>
      <c r="W2038" s="57">
        <f>IF(OR(tblJTL[[#This Row],[success]]=FALSE,tblJTL[[#This Row],[success]]="false"),1,0)</f>
        <v>0</v>
      </c>
      <c r="X2038" s="57">
        <f>IF(AND(tblJTL[[#This Row],[経過秒]]&gt;='17_分析サンプル'!$E$11,tblJTL[[#This Row],[経過秒]]&lt;'17_分析サンプル'!$E$12),1,0)</f>
        <v>1</v>
      </c>
    </row>
    <row r="2039" spans="2:24" ht="14.4" x14ac:dyDescent="0.3">
      <c r="B2039" s="57">
        <v>1790816902055</v>
      </c>
      <c r="C2039" s="58">
        <v>103</v>
      </c>
      <c r="D2039" s="59" t="s">
        <v>1658</v>
      </c>
      <c r="E2039" s="59" t="s">
        <v>1577</v>
      </c>
      <c r="F2039" s="59" t="s">
        <v>2275</v>
      </c>
      <c r="G2039" s="59" t="s">
        <v>3588</v>
      </c>
      <c r="H2039" s="59" t="s">
        <v>2281</v>
      </c>
      <c r="I2039" s="59" t="b">
        <v>1</v>
      </c>
      <c r="J2039" s="59"/>
      <c r="K2039" s="58">
        <v>1848</v>
      </c>
      <c r="L2039" s="58">
        <v>1342</v>
      </c>
      <c r="M2039" s="59">
        <v>10</v>
      </c>
      <c r="N2039" s="59">
        <v>10</v>
      </c>
      <c r="O2039" s="59" t="s">
        <v>3578</v>
      </c>
      <c r="P2039" s="58">
        <v>95</v>
      </c>
      <c r="Q2039" s="59">
        <v>0</v>
      </c>
      <c r="R2039" s="59">
        <v>0</v>
      </c>
      <c r="S2039" s="60">
        <f>tblJTL[[#This Row],[timeStamp]]/86400000+DATE(1970,1,1)+TIME(9,0,0)</f>
        <v>46296.422477488421</v>
      </c>
      <c r="T2039" s="57">
        <f>tblJTL[[#This Row],[timeStamp]]+tblJTL[[#This Row],[elapsed]]</f>
        <v>1790816902158</v>
      </c>
      <c r="U2039" s="61">
        <f>(tblJTL[[#This Row],[timeStamp]]-'17_分析サンプル'!$E$18)/1000</f>
        <v>501.875</v>
      </c>
      <c r="V2039" s="57">
        <f>INT(tblJTL[[#This Row],[経過秒]]/60)</f>
        <v>8</v>
      </c>
      <c r="W2039" s="57">
        <f>IF(OR(tblJTL[[#This Row],[success]]=FALSE,tblJTL[[#This Row],[success]]="false"),1,0)</f>
        <v>0</v>
      </c>
      <c r="X2039" s="57">
        <f>IF(AND(tblJTL[[#This Row],[経過秒]]&gt;='17_分析サンプル'!$E$11,tblJTL[[#This Row],[経過秒]]&lt;'17_分析サンプル'!$E$12),1,0)</f>
        <v>1</v>
      </c>
    </row>
    <row r="2040" spans="2:24" ht="14.4" x14ac:dyDescent="0.3">
      <c r="B2040" s="57">
        <v>1790816902034</v>
      </c>
      <c r="C2040" s="58">
        <v>214</v>
      </c>
      <c r="D2040" s="59" t="s">
        <v>1677</v>
      </c>
      <c r="E2040" s="59" t="s">
        <v>3579</v>
      </c>
      <c r="F2040" s="59" t="s">
        <v>3580</v>
      </c>
      <c r="G2040" s="59" t="s">
        <v>3583</v>
      </c>
      <c r="H2040" s="59" t="s">
        <v>2281</v>
      </c>
      <c r="I2040" s="59" t="b">
        <v>1</v>
      </c>
      <c r="J2040" s="59"/>
      <c r="K2040" s="58">
        <v>433</v>
      </c>
      <c r="L2040" s="58">
        <v>1478</v>
      </c>
      <c r="M2040" s="59">
        <v>10</v>
      </c>
      <c r="N2040" s="59">
        <v>10</v>
      </c>
      <c r="O2040" s="59" t="s">
        <v>3581</v>
      </c>
      <c r="P2040" s="58">
        <v>206</v>
      </c>
      <c r="Q2040" s="59">
        <v>0</v>
      </c>
      <c r="R2040" s="59">
        <v>0</v>
      </c>
      <c r="S2040" s="60">
        <f>tblJTL[[#This Row],[timeStamp]]/86400000+DATE(1970,1,1)+TIME(9,0,0)</f>
        <v>46296.422477245374</v>
      </c>
      <c r="T2040" s="57">
        <f>tblJTL[[#This Row],[timeStamp]]+tblJTL[[#This Row],[elapsed]]</f>
        <v>1790816902248</v>
      </c>
      <c r="U2040" s="61">
        <f>(tblJTL[[#This Row],[timeStamp]]-'17_分析サンプル'!$E$18)/1000</f>
        <v>501.85399999999998</v>
      </c>
      <c r="V2040" s="57">
        <f>INT(tblJTL[[#This Row],[経過秒]]/60)</f>
        <v>8</v>
      </c>
      <c r="W2040" s="57">
        <f>IF(OR(tblJTL[[#This Row],[success]]=FALSE,tblJTL[[#This Row],[success]]="false"),1,0)</f>
        <v>0</v>
      </c>
      <c r="X2040" s="57">
        <f>IF(AND(tblJTL[[#This Row],[経過秒]]&gt;='17_分析サンプル'!$E$11,tblJTL[[#This Row],[経過秒]]&lt;'17_分析サンプル'!$E$12),1,0)</f>
        <v>1</v>
      </c>
    </row>
    <row r="2041" spans="2:24" ht="14.4" x14ac:dyDescent="0.3">
      <c r="B2041" s="57">
        <v>1790816902364</v>
      </c>
      <c r="C2041" s="58">
        <v>193</v>
      </c>
      <c r="D2041" s="59" t="s">
        <v>1677</v>
      </c>
      <c r="E2041" s="59" t="s">
        <v>3579</v>
      </c>
      <c r="F2041" s="59" t="s">
        <v>3580</v>
      </c>
      <c r="G2041" s="59" t="s">
        <v>3586</v>
      </c>
      <c r="H2041" s="59" t="s">
        <v>2281</v>
      </c>
      <c r="I2041" s="59" t="b">
        <v>1</v>
      </c>
      <c r="J2041" s="59"/>
      <c r="K2041" s="58">
        <v>416</v>
      </c>
      <c r="L2041" s="58">
        <v>1478</v>
      </c>
      <c r="M2041" s="59">
        <v>10</v>
      </c>
      <c r="N2041" s="59">
        <v>10</v>
      </c>
      <c r="O2041" s="59" t="s">
        <v>3581</v>
      </c>
      <c r="P2041" s="58">
        <v>187</v>
      </c>
      <c r="Q2041" s="59">
        <v>0</v>
      </c>
      <c r="R2041" s="59">
        <v>0</v>
      </c>
      <c r="S2041" s="60">
        <f>tblJTL[[#This Row],[timeStamp]]/86400000+DATE(1970,1,1)+TIME(9,0,0)</f>
        <v>46296.422481064816</v>
      </c>
      <c r="T2041" s="57">
        <f>tblJTL[[#This Row],[timeStamp]]+tblJTL[[#This Row],[elapsed]]</f>
        <v>1790816902557</v>
      </c>
      <c r="U2041" s="61">
        <f>(tblJTL[[#This Row],[timeStamp]]-'17_分析サンプル'!$E$18)/1000</f>
        <v>502.18400000000003</v>
      </c>
      <c r="V2041" s="57">
        <f>INT(tblJTL[[#This Row],[経過秒]]/60)</f>
        <v>8</v>
      </c>
      <c r="W2041" s="57">
        <f>IF(OR(tblJTL[[#This Row],[success]]=FALSE,tblJTL[[#This Row],[success]]="false"),1,0)</f>
        <v>0</v>
      </c>
      <c r="X2041" s="57">
        <f>IF(AND(tblJTL[[#This Row],[経過秒]]&gt;='17_分析サンプル'!$E$11,tblJTL[[#This Row],[経過秒]]&lt;'17_分析サンプル'!$E$12),1,0)</f>
        <v>1</v>
      </c>
    </row>
    <row r="2042" spans="2:24" ht="14.4" x14ac:dyDescent="0.3">
      <c r="B2042" s="57">
        <v>1790816902661</v>
      </c>
      <c r="C2042" s="58">
        <v>113</v>
      </c>
      <c r="D2042" s="59" t="s">
        <v>1658</v>
      </c>
      <c r="E2042" s="59" t="s">
        <v>1577</v>
      </c>
      <c r="F2042" s="59" t="s">
        <v>2275</v>
      </c>
      <c r="G2042" s="59" t="s">
        <v>3587</v>
      </c>
      <c r="H2042" s="59" t="s">
        <v>2281</v>
      </c>
      <c r="I2042" s="59" t="b">
        <v>1</v>
      </c>
      <c r="J2042" s="59"/>
      <c r="K2042" s="58">
        <v>1895</v>
      </c>
      <c r="L2042" s="58">
        <v>1342</v>
      </c>
      <c r="M2042" s="59">
        <v>10</v>
      </c>
      <c r="N2042" s="59">
        <v>10</v>
      </c>
      <c r="O2042" s="59" t="s">
        <v>3578</v>
      </c>
      <c r="P2042" s="58">
        <v>106</v>
      </c>
      <c r="Q2042" s="59">
        <v>0</v>
      </c>
      <c r="R2042" s="59">
        <v>0</v>
      </c>
      <c r="S2042" s="60">
        <f>tblJTL[[#This Row],[timeStamp]]/86400000+DATE(1970,1,1)+TIME(9,0,0)</f>
        <v>46296.422484502313</v>
      </c>
      <c r="T2042" s="57">
        <f>tblJTL[[#This Row],[timeStamp]]+tblJTL[[#This Row],[elapsed]]</f>
        <v>1790816902774</v>
      </c>
      <c r="U2042" s="61">
        <f>(tblJTL[[#This Row],[timeStamp]]-'17_分析サンプル'!$E$18)/1000</f>
        <v>502.48099999999999</v>
      </c>
      <c r="V2042" s="57">
        <f>INT(tblJTL[[#This Row],[経過秒]]/60)</f>
        <v>8</v>
      </c>
      <c r="W2042" s="57">
        <f>IF(OR(tblJTL[[#This Row],[success]]=FALSE,tblJTL[[#This Row],[success]]="false"),1,0)</f>
        <v>0</v>
      </c>
      <c r="X2042" s="57">
        <f>IF(AND(tblJTL[[#This Row],[経過秒]]&gt;='17_分析サンプル'!$E$11,tblJTL[[#This Row],[経過秒]]&lt;'17_分析サンプル'!$E$12),1,0)</f>
        <v>1</v>
      </c>
    </row>
    <row r="2043" spans="2:24" ht="14.4" x14ac:dyDescent="0.3">
      <c r="B2043" s="57">
        <v>1790816902695</v>
      </c>
      <c r="C2043" s="58">
        <v>127</v>
      </c>
      <c r="D2043" s="59" t="s">
        <v>1658</v>
      </c>
      <c r="E2043" s="59" t="s">
        <v>1577</v>
      </c>
      <c r="F2043" s="59" t="s">
        <v>2275</v>
      </c>
      <c r="G2043" s="59" t="s">
        <v>2278</v>
      </c>
      <c r="H2043" s="59" t="s">
        <v>2281</v>
      </c>
      <c r="I2043" s="59" t="b">
        <v>1</v>
      </c>
      <c r="J2043" s="59"/>
      <c r="K2043" s="58">
        <v>1852</v>
      </c>
      <c r="L2043" s="58">
        <v>1342</v>
      </c>
      <c r="M2043" s="59">
        <v>10</v>
      </c>
      <c r="N2043" s="59">
        <v>10</v>
      </c>
      <c r="O2043" s="59" t="s">
        <v>3578</v>
      </c>
      <c r="P2043" s="58">
        <v>122</v>
      </c>
      <c r="Q2043" s="59">
        <v>0</v>
      </c>
      <c r="R2043" s="59">
        <v>0</v>
      </c>
      <c r="S2043" s="60">
        <f>tblJTL[[#This Row],[timeStamp]]/86400000+DATE(1970,1,1)+TIME(9,0,0)</f>
        <v>46296.422484895833</v>
      </c>
      <c r="T2043" s="57">
        <f>tblJTL[[#This Row],[timeStamp]]+tblJTL[[#This Row],[elapsed]]</f>
        <v>1790816902822</v>
      </c>
      <c r="U2043" s="61">
        <f>(tblJTL[[#This Row],[timeStamp]]-'17_分析サンプル'!$E$18)/1000</f>
        <v>502.51499999999999</v>
      </c>
      <c r="V2043" s="57">
        <f>INT(tblJTL[[#This Row],[経過秒]]/60)</f>
        <v>8</v>
      </c>
      <c r="W2043" s="57">
        <f>IF(OR(tblJTL[[#This Row],[success]]=FALSE,tblJTL[[#This Row],[success]]="false"),1,0)</f>
        <v>0</v>
      </c>
      <c r="X2043" s="57">
        <f>IF(AND(tblJTL[[#This Row],[経過秒]]&gt;='17_分析サンプル'!$E$11,tblJTL[[#This Row],[経過秒]]&lt;'17_分析サンプル'!$E$12),1,0)</f>
        <v>1</v>
      </c>
    </row>
    <row r="2044" spans="2:24" ht="14.4" x14ac:dyDescent="0.3">
      <c r="B2044" s="57">
        <v>1790816902832</v>
      </c>
      <c r="C2044" s="58">
        <v>184</v>
      </c>
      <c r="D2044" s="59" t="s">
        <v>1677</v>
      </c>
      <c r="E2044" s="59" t="s">
        <v>3579</v>
      </c>
      <c r="F2044" s="59" t="s">
        <v>3580</v>
      </c>
      <c r="G2044" s="59" t="s">
        <v>3589</v>
      </c>
      <c r="H2044" s="59" t="s">
        <v>2281</v>
      </c>
      <c r="I2044" s="59" t="b">
        <v>1</v>
      </c>
      <c r="J2044" s="59"/>
      <c r="K2044" s="58">
        <v>419</v>
      </c>
      <c r="L2044" s="58">
        <v>1478</v>
      </c>
      <c r="M2044" s="59">
        <v>10</v>
      </c>
      <c r="N2044" s="59">
        <v>10</v>
      </c>
      <c r="O2044" s="59" t="s">
        <v>3581</v>
      </c>
      <c r="P2044" s="58">
        <v>180</v>
      </c>
      <c r="Q2044" s="59">
        <v>0</v>
      </c>
      <c r="R2044" s="59">
        <v>0</v>
      </c>
      <c r="S2044" s="60">
        <f>tblJTL[[#This Row],[timeStamp]]/86400000+DATE(1970,1,1)+TIME(9,0,0)</f>
        <v>46296.422486481482</v>
      </c>
      <c r="T2044" s="57">
        <f>tblJTL[[#This Row],[timeStamp]]+tblJTL[[#This Row],[elapsed]]</f>
        <v>1790816903016</v>
      </c>
      <c r="U2044" s="61">
        <f>(tblJTL[[#This Row],[timeStamp]]-'17_分析サンプル'!$E$18)/1000</f>
        <v>502.65199999999999</v>
      </c>
      <c r="V2044" s="57">
        <f>INT(tblJTL[[#This Row],[経過秒]]/60)</f>
        <v>8</v>
      </c>
      <c r="W2044" s="57">
        <f>IF(OR(tblJTL[[#This Row],[success]]=FALSE,tblJTL[[#This Row],[success]]="false"),1,0)</f>
        <v>0</v>
      </c>
      <c r="X2044" s="57">
        <f>IF(AND(tblJTL[[#This Row],[経過秒]]&gt;='17_分析サンプル'!$E$11,tblJTL[[#This Row],[経過秒]]&lt;'17_分析サンプル'!$E$12),1,0)</f>
        <v>1</v>
      </c>
    </row>
    <row r="2045" spans="2:24" ht="14.4" x14ac:dyDescent="0.3">
      <c r="B2045" s="57">
        <v>1790816903409</v>
      </c>
      <c r="C2045" s="58">
        <v>263</v>
      </c>
      <c r="D2045" s="59" t="s">
        <v>1677</v>
      </c>
      <c r="E2045" s="59" t="s">
        <v>3579</v>
      </c>
      <c r="F2045" s="59" t="s">
        <v>3580</v>
      </c>
      <c r="G2045" s="59" t="s">
        <v>3582</v>
      </c>
      <c r="H2045" s="59" t="s">
        <v>2281</v>
      </c>
      <c r="I2045" s="59" t="b">
        <v>1</v>
      </c>
      <c r="J2045" s="59"/>
      <c r="K2045" s="58">
        <v>419</v>
      </c>
      <c r="L2045" s="58">
        <v>1478</v>
      </c>
      <c r="M2045" s="59">
        <v>10</v>
      </c>
      <c r="N2045" s="59">
        <v>10</v>
      </c>
      <c r="O2045" s="59" t="s">
        <v>3581</v>
      </c>
      <c r="P2045" s="58">
        <v>261</v>
      </c>
      <c r="Q2045" s="59">
        <v>0</v>
      </c>
      <c r="R2045" s="59">
        <v>0</v>
      </c>
      <c r="S2045" s="60">
        <f>tblJTL[[#This Row],[timeStamp]]/86400000+DATE(1970,1,1)+TIME(9,0,0)</f>
        <v>46296.422493159727</v>
      </c>
      <c r="T2045" s="57">
        <f>tblJTL[[#This Row],[timeStamp]]+tblJTL[[#This Row],[elapsed]]</f>
        <v>1790816903672</v>
      </c>
      <c r="U2045" s="61">
        <f>(tblJTL[[#This Row],[timeStamp]]-'17_分析サンプル'!$E$18)/1000</f>
        <v>503.22899999999998</v>
      </c>
      <c r="V2045" s="57">
        <f>INT(tblJTL[[#This Row],[経過秒]]/60)</f>
        <v>8</v>
      </c>
      <c r="W2045" s="57">
        <f>IF(OR(tblJTL[[#This Row],[success]]=FALSE,tblJTL[[#This Row],[success]]="false"),1,0)</f>
        <v>0</v>
      </c>
      <c r="X2045" s="57">
        <f>IF(AND(tblJTL[[#This Row],[経過秒]]&gt;='17_分析サンプル'!$E$11,tblJTL[[#This Row],[経過秒]]&lt;'17_分析サンプル'!$E$12),1,0)</f>
        <v>1</v>
      </c>
    </row>
    <row r="2046" spans="2:24" ht="14.4" x14ac:dyDescent="0.3">
      <c r="B2046" s="57">
        <v>1790816903571</v>
      </c>
      <c r="C2046" s="58">
        <v>174</v>
      </c>
      <c r="D2046" s="59" t="s">
        <v>1677</v>
      </c>
      <c r="E2046" s="59" t="s">
        <v>3579</v>
      </c>
      <c r="F2046" s="59" t="s">
        <v>3580</v>
      </c>
      <c r="G2046" s="59" t="s">
        <v>3584</v>
      </c>
      <c r="H2046" s="59" t="s">
        <v>2281</v>
      </c>
      <c r="I2046" s="59" t="b">
        <v>1</v>
      </c>
      <c r="J2046" s="59"/>
      <c r="K2046" s="58">
        <v>440</v>
      </c>
      <c r="L2046" s="58">
        <v>1478</v>
      </c>
      <c r="M2046" s="59">
        <v>10</v>
      </c>
      <c r="N2046" s="59">
        <v>10</v>
      </c>
      <c r="O2046" s="59" t="s">
        <v>3581</v>
      </c>
      <c r="P2046" s="58">
        <v>172</v>
      </c>
      <c r="Q2046" s="59">
        <v>0</v>
      </c>
      <c r="R2046" s="59">
        <v>0</v>
      </c>
      <c r="S2046" s="60">
        <f>tblJTL[[#This Row],[timeStamp]]/86400000+DATE(1970,1,1)+TIME(9,0,0)</f>
        <v>46296.422495034727</v>
      </c>
      <c r="T2046" s="57">
        <f>tblJTL[[#This Row],[timeStamp]]+tblJTL[[#This Row],[elapsed]]</f>
        <v>1790816903745</v>
      </c>
      <c r="U2046" s="61">
        <f>(tblJTL[[#This Row],[timeStamp]]-'17_分析サンプル'!$E$18)/1000</f>
        <v>503.39100000000002</v>
      </c>
      <c r="V2046" s="57">
        <f>INT(tblJTL[[#This Row],[経過秒]]/60)</f>
        <v>8</v>
      </c>
      <c r="W2046" s="57">
        <f>IF(OR(tblJTL[[#This Row],[success]]=FALSE,tblJTL[[#This Row],[success]]="false"),1,0)</f>
        <v>0</v>
      </c>
      <c r="X2046" s="57">
        <f>IF(AND(tblJTL[[#This Row],[経過秒]]&gt;='17_分析サンプル'!$E$11,tblJTL[[#This Row],[経過秒]]&lt;'17_分析サンプル'!$E$12),1,0)</f>
        <v>1</v>
      </c>
    </row>
    <row r="2047" spans="2:24" ht="14.4" x14ac:dyDescent="0.3">
      <c r="B2047" s="57">
        <v>1790816903822</v>
      </c>
      <c r="C2047" s="58">
        <v>152</v>
      </c>
      <c r="D2047" s="59" t="s">
        <v>1677</v>
      </c>
      <c r="E2047" s="59" t="s">
        <v>3579</v>
      </c>
      <c r="F2047" s="59" t="s">
        <v>3580</v>
      </c>
      <c r="G2047" s="59" t="s">
        <v>3587</v>
      </c>
      <c r="H2047" s="59" t="s">
        <v>2281</v>
      </c>
      <c r="I2047" s="59" t="b">
        <v>1</v>
      </c>
      <c r="J2047" s="59"/>
      <c r="K2047" s="58">
        <v>426</v>
      </c>
      <c r="L2047" s="58">
        <v>1478</v>
      </c>
      <c r="M2047" s="59">
        <v>10</v>
      </c>
      <c r="N2047" s="59">
        <v>10</v>
      </c>
      <c r="O2047" s="59" t="s">
        <v>3581</v>
      </c>
      <c r="P2047" s="58">
        <v>144</v>
      </c>
      <c r="Q2047" s="59">
        <v>0</v>
      </c>
      <c r="R2047" s="59">
        <v>0</v>
      </c>
      <c r="S2047" s="60">
        <f>tblJTL[[#This Row],[timeStamp]]/86400000+DATE(1970,1,1)+TIME(9,0,0)</f>
        <v>46296.422497939813</v>
      </c>
      <c r="T2047" s="57">
        <f>tblJTL[[#This Row],[timeStamp]]+tblJTL[[#This Row],[elapsed]]</f>
        <v>1790816903974</v>
      </c>
      <c r="U2047" s="61">
        <f>(tblJTL[[#This Row],[timeStamp]]-'17_分析サンプル'!$E$18)/1000</f>
        <v>503.642</v>
      </c>
      <c r="V2047" s="57">
        <f>INT(tblJTL[[#This Row],[経過秒]]/60)</f>
        <v>8</v>
      </c>
      <c r="W2047" s="57">
        <f>IF(OR(tblJTL[[#This Row],[success]]=FALSE,tblJTL[[#This Row],[success]]="false"),1,0)</f>
        <v>0</v>
      </c>
      <c r="X2047" s="57">
        <f>IF(AND(tblJTL[[#This Row],[経過秒]]&gt;='17_分析サンプル'!$E$11,tblJTL[[#This Row],[経過秒]]&lt;'17_分析サンプル'!$E$12),1,0)</f>
        <v>1</v>
      </c>
    </row>
    <row r="2048" spans="2:24" ht="14.4" x14ac:dyDescent="0.3">
      <c r="B2048" s="57">
        <v>1790816903658</v>
      </c>
      <c r="C2048" s="58">
        <v>346</v>
      </c>
      <c r="D2048" s="59" t="s">
        <v>1677</v>
      </c>
      <c r="E2048" s="59" t="s">
        <v>3579</v>
      </c>
      <c r="F2048" s="59" t="s">
        <v>3580</v>
      </c>
      <c r="G2048" s="59" t="s">
        <v>3577</v>
      </c>
      <c r="H2048" s="59" t="s">
        <v>2281</v>
      </c>
      <c r="I2048" s="59" t="b">
        <v>1</v>
      </c>
      <c r="J2048" s="59"/>
      <c r="K2048" s="58">
        <v>422</v>
      </c>
      <c r="L2048" s="58">
        <v>1478</v>
      </c>
      <c r="M2048" s="59">
        <v>10</v>
      </c>
      <c r="N2048" s="59">
        <v>10</v>
      </c>
      <c r="O2048" s="59" t="s">
        <v>3581</v>
      </c>
      <c r="P2048" s="58">
        <v>339</v>
      </c>
      <c r="Q2048" s="59">
        <v>0</v>
      </c>
      <c r="R2048" s="59">
        <v>0</v>
      </c>
      <c r="S2048" s="60">
        <f>tblJTL[[#This Row],[timeStamp]]/86400000+DATE(1970,1,1)+TIME(9,0,0)</f>
        <v>46296.422496041661</v>
      </c>
      <c r="T2048" s="57">
        <f>tblJTL[[#This Row],[timeStamp]]+tblJTL[[#This Row],[elapsed]]</f>
        <v>1790816904004</v>
      </c>
      <c r="U2048" s="61">
        <f>(tblJTL[[#This Row],[timeStamp]]-'17_分析サンプル'!$E$18)/1000</f>
        <v>503.47800000000001</v>
      </c>
      <c r="V2048" s="57">
        <f>INT(tblJTL[[#This Row],[経過秒]]/60)</f>
        <v>8</v>
      </c>
      <c r="W2048" s="57">
        <f>IF(OR(tblJTL[[#This Row],[success]]=FALSE,tblJTL[[#This Row],[success]]="false"),1,0)</f>
        <v>0</v>
      </c>
      <c r="X2048" s="57">
        <f>IF(AND(tblJTL[[#This Row],[経過秒]]&gt;='17_分析サンプル'!$E$11,tblJTL[[#This Row],[経過秒]]&lt;'17_分析サンプル'!$E$12),1,0)</f>
        <v>1</v>
      </c>
    </row>
    <row r="2049" spans="2:24" ht="14.4" x14ac:dyDescent="0.3">
      <c r="B2049" s="57">
        <v>1790816903874</v>
      </c>
      <c r="C2049" s="58">
        <v>179</v>
      </c>
      <c r="D2049" s="59" t="s">
        <v>1658</v>
      </c>
      <c r="E2049" s="59" t="s">
        <v>1577</v>
      </c>
      <c r="F2049" s="59" t="s">
        <v>2275</v>
      </c>
      <c r="G2049" s="59" t="s">
        <v>3585</v>
      </c>
      <c r="H2049" s="59" t="s">
        <v>2281</v>
      </c>
      <c r="I2049" s="59" t="b">
        <v>1</v>
      </c>
      <c r="J2049" s="59"/>
      <c r="K2049" s="58">
        <v>1837</v>
      </c>
      <c r="L2049" s="58">
        <v>1342</v>
      </c>
      <c r="M2049" s="59">
        <v>10</v>
      </c>
      <c r="N2049" s="59">
        <v>10</v>
      </c>
      <c r="O2049" s="59" t="s">
        <v>3578</v>
      </c>
      <c r="P2049" s="58">
        <v>172</v>
      </c>
      <c r="Q2049" s="59">
        <v>0</v>
      </c>
      <c r="R2049" s="59">
        <v>0</v>
      </c>
      <c r="S2049" s="60">
        <f>tblJTL[[#This Row],[timeStamp]]/86400000+DATE(1970,1,1)+TIME(9,0,0)</f>
        <v>46296.422498541666</v>
      </c>
      <c r="T2049" s="57">
        <f>tblJTL[[#This Row],[timeStamp]]+tblJTL[[#This Row],[elapsed]]</f>
        <v>1790816904053</v>
      </c>
      <c r="U2049" s="61">
        <f>(tblJTL[[#This Row],[timeStamp]]-'17_分析サンプル'!$E$18)/1000</f>
        <v>503.69400000000002</v>
      </c>
      <c r="V2049" s="57">
        <f>INT(tblJTL[[#This Row],[経過秒]]/60)</f>
        <v>8</v>
      </c>
      <c r="W2049" s="57">
        <f>IF(OR(tblJTL[[#This Row],[success]]=FALSE,tblJTL[[#This Row],[success]]="false"),1,0)</f>
        <v>0</v>
      </c>
      <c r="X2049" s="57">
        <f>IF(AND(tblJTL[[#This Row],[経過秒]]&gt;='17_分析サンプル'!$E$11,tblJTL[[#This Row],[経過秒]]&lt;'17_分析サンプル'!$E$12),1,0)</f>
        <v>1</v>
      </c>
    </row>
    <row r="2050" spans="2:24" ht="14.4" x14ac:dyDescent="0.3">
      <c r="B2050" s="57">
        <v>1790816903997</v>
      </c>
      <c r="C2050" s="58">
        <v>256</v>
      </c>
      <c r="D2050" s="59" t="s">
        <v>1677</v>
      </c>
      <c r="E2050" s="59" t="s">
        <v>3579</v>
      </c>
      <c r="F2050" s="59" t="s">
        <v>3580</v>
      </c>
      <c r="G2050" s="59" t="s">
        <v>3588</v>
      </c>
      <c r="H2050" s="59" t="s">
        <v>2281</v>
      </c>
      <c r="I2050" s="59" t="b">
        <v>1</v>
      </c>
      <c r="J2050" s="59"/>
      <c r="K2050" s="58">
        <v>415</v>
      </c>
      <c r="L2050" s="58">
        <v>1478</v>
      </c>
      <c r="M2050" s="59">
        <v>10</v>
      </c>
      <c r="N2050" s="59">
        <v>10</v>
      </c>
      <c r="O2050" s="59" t="s">
        <v>3581</v>
      </c>
      <c r="P2050" s="58">
        <v>250</v>
      </c>
      <c r="Q2050" s="59">
        <v>0</v>
      </c>
      <c r="R2050" s="59">
        <v>0</v>
      </c>
      <c r="S2050" s="60">
        <f>tblJTL[[#This Row],[timeStamp]]/86400000+DATE(1970,1,1)+TIME(9,0,0)</f>
        <v>46296.42249996528</v>
      </c>
      <c r="T2050" s="57">
        <f>tblJTL[[#This Row],[timeStamp]]+tblJTL[[#This Row],[elapsed]]</f>
        <v>1790816904253</v>
      </c>
      <c r="U2050" s="61">
        <f>(tblJTL[[#This Row],[timeStamp]]-'17_分析サンプル'!$E$18)/1000</f>
        <v>503.81700000000001</v>
      </c>
      <c r="V2050" s="57">
        <f>INT(tblJTL[[#This Row],[経過秒]]/60)</f>
        <v>8</v>
      </c>
      <c r="W2050" s="57">
        <f>IF(OR(tblJTL[[#This Row],[success]]=FALSE,tblJTL[[#This Row],[success]]="false"),1,0)</f>
        <v>0</v>
      </c>
      <c r="X2050" s="57">
        <f>IF(AND(tblJTL[[#This Row],[経過秒]]&gt;='17_分析サンプル'!$E$11,tblJTL[[#This Row],[経過秒]]&lt;'17_分析サンプル'!$E$12),1,0)</f>
        <v>1</v>
      </c>
    </row>
    <row r="2051" spans="2:24" ht="14.4" x14ac:dyDescent="0.3">
      <c r="B2051" s="57">
        <v>1790816905116</v>
      </c>
      <c r="C2051" s="58">
        <v>121</v>
      </c>
      <c r="D2051" s="59" t="s">
        <v>1658</v>
      </c>
      <c r="E2051" s="59" t="s">
        <v>1577</v>
      </c>
      <c r="F2051" s="59" t="s">
        <v>2275</v>
      </c>
      <c r="G2051" s="59" t="s">
        <v>3587</v>
      </c>
      <c r="H2051" s="59" t="s">
        <v>2281</v>
      </c>
      <c r="I2051" s="59" t="b">
        <v>1</v>
      </c>
      <c r="J2051" s="59"/>
      <c r="K2051" s="58">
        <v>1838</v>
      </c>
      <c r="L2051" s="58">
        <v>1342</v>
      </c>
      <c r="M2051" s="59">
        <v>10</v>
      </c>
      <c r="N2051" s="59">
        <v>10</v>
      </c>
      <c r="O2051" s="59" t="s">
        <v>3578</v>
      </c>
      <c r="P2051" s="58">
        <v>119</v>
      </c>
      <c r="Q2051" s="59">
        <v>0</v>
      </c>
      <c r="R2051" s="59">
        <v>0</v>
      </c>
      <c r="S2051" s="60">
        <f>tblJTL[[#This Row],[timeStamp]]/86400000+DATE(1970,1,1)+TIME(9,0,0)</f>
        <v>46296.422512916666</v>
      </c>
      <c r="T2051" s="57">
        <f>tblJTL[[#This Row],[timeStamp]]+tblJTL[[#This Row],[elapsed]]</f>
        <v>1790816905237</v>
      </c>
      <c r="U2051" s="61">
        <f>(tblJTL[[#This Row],[timeStamp]]-'17_分析サンプル'!$E$18)/1000</f>
        <v>504.93599999999998</v>
      </c>
      <c r="V2051" s="57">
        <f>INT(tblJTL[[#This Row],[経過秒]]/60)</f>
        <v>8</v>
      </c>
      <c r="W2051" s="57">
        <f>IF(OR(tblJTL[[#This Row],[success]]=FALSE,tblJTL[[#This Row],[success]]="false"),1,0)</f>
        <v>0</v>
      </c>
      <c r="X2051" s="57">
        <f>IF(AND(tblJTL[[#This Row],[経過秒]]&gt;='17_分析サンプル'!$E$11,tblJTL[[#This Row],[経過秒]]&lt;'17_分析サンプル'!$E$12),1,0)</f>
        <v>1</v>
      </c>
    </row>
    <row r="2052" spans="2:24" ht="14.4" x14ac:dyDescent="0.3">
      <c r="B2052" s="57">
        <v>1790816905163</v>
      </c>
      <c r="C2052" s="58">
        <v>93</v>
      </c>
      <c r="D2052" s="59" t="s">
        <v>1658</v>
      </c>
      <c r="E2052" s="59" t="s">
        <v>1577</v>
      </c>
      <c r="F2052" s="59" t="s">
        <v>2275</v>
      </c>
      <c r="G2052" s="59" t="s">
        <v>3589</v>
      </c>
      <c r="H2052" s="59" t="s">
        <v>2281</v>
      </c>
      <c r="I2052" s="59" t="b">
        <v>1</v>
      </c>
      <c r="J2052" s="59"/>
      <c r="K2052" s="58">
        <v>1840</v>
      </c>
      <c r="L2052" s="58">
        <v>1342</v>
      </c>
      <c r="M2052" s="59">
        <v>10</v>
      </c>
      <c r="N2052" s="59">
        <v>10</v>
      </c>
      <c r="O2052" s="59" t="s">
        <v>3578</v>
      </c>
      <c r="P2052" s="58">
        <v>91</v>
      </c>
      <c r="Q2052" s="59">
        <v>0</v>
      </c>
      <c r="R2052" s="59">
        <v>0</v>
      </c>
      <c r="S2052" s="60">
        <f>tblJTL[[#This Row],[timeStamp]]/86400000+DATE(1970,1,1)+TIME(9,0,0)</f>
        <v>46296.422513460653</v>
      </c>
      <c r="T2052" s="57">
        <f>tblJTL[[#This Row],[timeStamp]]+tblJTL[[#This Row],[elapsed]]</f>
        <v>1790816905256</v>
      </c>
      <c r="U2052" s="61">
        <f>(tblJTL[[#This Row],[timeStamp]]-'17_分析サンプル'!$E$18)/1000</f>
        <v>504.983</v>
      </c>
      <c r="V2052" s="57">
        <f>INT(tblJTL[[#This Row],[経過秒]]/60)</f>
        <v>8</v>
      </c>
      <c r="W2052" s="57">
        <f>IF(OR(tblJTL[[#This Row],[success]]=FALSE,tblJTL[[#This Row],[success]]="false"),1,0)</f>
        <v>0</v>
      </c>
      <c r="X2052" s="57">
        <f>IF(AND(tblJTL[[#This Row],[経過秒]]&gt;='17_分析サンプル'!$E$11,tblJTL[[#This Row],[経過秒]]&lt;'17_分析サンプル'!$E$12),1,0)</f>
        <v>1</v>
      </c>
    </row>
    <row r="2053" spans="2:24" ht="14.4" x14ac:dyDescent="0.3">
      <c r="B2053" s="57">
        <v>1790816905244</v>
      </c>
      <c r="C2053" s="58">
        <v>81</v>
      </c>
      <c r="D2053" s="59" t="s">
        <v>1658</v>
      </c>
      <c r="E2053" s="59" t="s">
        <v>1577</v>
      </c>
      <c r="F2053" s="59" t="s">
        <v>2275</v>
      </c>
      <c r="G2053" s="59" t="s">
        <v>3583</v>
      </c>
      <c r="H2053" s="59" t="s">
        <v>2281</v>
      </c>
      <c r="I2053" s="59" t="b">
        <v>1</v>
      </c>
      <c r="J2053" s="59"/>
      <c r="K2053" s="58">
        <v>1858</v>
      </c>
      <c r="L2053" s="58">
        <v>1342</v>
      </c>
      <c r="M2053" s="59">
        <v>10</v>
      </c>
      <c r="N2053" s="59">
        <v>10</v>
      </c>
      <c r="O2053" s="59" t="s">
        <v>3578</v>
      </c>
      <c r="P2053" s="58">
        <v>74</v>
      </c>
      <c r="Q2053" s="59">
        <v>0</v>
      </c>
      <c r="R2053" s="59">
        <v>0</v>
      </c>
      <c r="S2053" s="60">
        <f>tblJTL[[#This Row],[timeStamp]]/86400000+DATE(1970,1,1)+TIME(9,0,0)</f>
        <v>46296.422514398146</v>
      </c>
      <c r="T2053" s="57">
        <f>tblJTL[[#This Row],[timeStamp]]+tblJTL[[#This Row],[elapsed]]</f>
        <v>1790816905325</v>
      </c>
      <c r="U2053" s="61">
        <f>(tblJTL[[#This Row],[timeStamp]]-'17_分析サンプル'!$E$18)/1000</f>
        <v>505.06400000000002</v>
      </c>
      <c r="V2053" s="57">
        <f>INT(tblJTL[[#This Row],[経過秒]]/60)</f>
        <v>8</v>
      </c>
      <c r="W2053" s="57">
        <f>IF(OR(tblJTL[[#This Row],[success]]=FALSE,tblJTL[[#This Row],[success]]="false"),1,0)</f>
        <v>0</v>
      </c>
      <c r="X2053" s="57">
        <f>IF(AND(tblJTL[[#This Row],[経過秒]]&gt;='17_分析サンプル'!$E$11,tblJTL[[#This Row],[経過秒]]&lt;'17_分析サンプル'!$E$12),1,0)</f>
        <v>1</v>
      </c>
    </row>
    <row r="2054" spans="2:24" ht="14.4" x14ac:dyDescent="0.3">
      <c r="B2054" s="57">
        <v>1790816905099</v>
      </c>
      <c r="C2054" s="58">
        <v>324</v>
      </c>
      <c r="D2054" s="59" t="s">
        <v>1677</v>
      </c>
      <c r="E2054" s="59" t="s">
        <v>3579</v>
      </c>
      <c r="F2054" s="59" t="s">
        <v>3580</v>
      </c>
      <c r="G2054" s="59" t="s">
        <v>2278</v>
      </c>
      <c r="H2054" s="59" t="s">
        <v>2281</v>
      </c>
      <c r="I2054" s="59" t="b">
        <v>1</v>
      </c>
      <c r="J2054" s="59"/>
      <c r="K2054" s="58">
        <v>438</v>
      </c>
      <c r="L2054" s="58">
        <v>1478</v>
      </c>
      <c r="M2054" s="59">
        <v>10</v>
      </c>
      <c r="N2054" s="59">
        <v>10</v>
      </c>
      <c r="O2054" s="59" t="s">
        <v>3581</v>
      </c>
      <c r="P2054" s="58">
        <v>319</v>
      </c>
      <c r="Q2054" s="59">
        <v>0</v>
      </c>
      <c r="R2054" s="59">
        <v>0</v>
      </c>
      <c r="S2054" s="60">
        <f>tblJTL[[#This Row],[timeStamp]]/86400000+DATE(1970,1,1)+TIME(9,0,0)</f>
        <v>46296.422512719902</v>
      </c>
      <c r="T2054" s="57">
        <f>tblJTL[[#This Row],[timeStamp]]+tblJTL[[#This Row],[elapsed]]</f>
        <v>1790816905423</v>
      </c>
      <c r="U2054" s="61">
        <f>(tblJTL[[#This Row],[timeStamp]]-'17_分析サンプル'!$E$18)/1000</f>
        <v>504.91899999999998</v>
      </c>
      <c r="V2054" s="57">
        <f>INT(tblJTL[[#This Row],[経過秒]]/60)</f>
        <v>8</v>
      </c>
      <c r="W2054" s="57">
        <f>IF(OR(tblJTL[[#This Row],[success]]=FALSE,tblJTL[[#This Row],[success]]="false"),1,0)</f>
        <v>0</v>
      </c>
      <c r="X2054" s="57">
        <f>IF(AND(tblJTL[[#This Row],[経過秒]]&gt;='17_分析サンプル'!$E$11,tblJTL[[#This Row],[経過秒]]&lt;'17_分析サンプル'!$E$12),1,0)</f>
        <v>1</v>
      </c>
    </row>
    <row r="2055" spans="2:24" ht="14.4" x14ac:dyDescent="0.3">
      <c r="B2055" s="57">
        <v>1790816905304</v>
      </c>
      <c r="C2055" s="58">
        <v>144</v>
      </c>
      <c r="D2055" s="59" t="s">
        <v>1658</v>
      </c>
      <c r="E2055" s="59" t="s">
        <v>1577</v>
      </c>
      <c r="F2055" s="59" t="s">
        <v>2275</v>
      </c>
      <c r="G2055" s="59" t="s">
        <v>3586</v>
      </c>
      <c r="H2055" s="59" t="s">
        <v>2281</v>
      </c>
      <c r="I2055" s="59" t="b">
        <v>1</v>
      </c>
      <c r="J2055" s="59"/>
      <c r="K2055" s="58">
        <v>1881</v>
      </c>
      <c r="L2055" s="58">
        <v>1342</v>
      </c>
      <c r="M2055" s="59">
        <v>10</v>
      </c>
      <c r="N2055" s="59">
        <v>10</v>
      </c>
      <c r="O2055" s="59" t="s">
        <v>3578</v>
      </c>
      <c r="P2055" s="58">
        <v>142</v>
      </c>
      <c r="Q2055" s="59">
        <v>0</v>
      </c>
      <c r="R2055" s="59">
        <v>0</v>
      </c>
      <c r="S2055" s="60">
        <f>tblJTL[[#This Row],[timeStamp]]/86400000+DATE(1970,1,1)+TIME(9,0,0)</f>
        <v>46296.422515092592</v>
      </c>
      <c r="T2055" s="57">
        <f>tblJTL[[#This Row],[timeStamp]]+tblJTL[[#This Row],[elapsed]]</f>
        <v>1790816905448</v>
      </c>
      <c r="U2055" s="61">
        <f>(tblJTL[[#This Row],[timeStamp]]-'17_分析サンプル'!$E$18)/1000</f>
        <v>505.12400000000002</v>
      </c>
      <c r="V2055" s="57">
        <f>INT(tblJTL[[#This Row],[経過秒]]/60)</f>
        <v>8</v>
      </c>
      <c r="W2055" s="57">
        <f>IF(OR(tblJTL[[#This Row],[success]]=FALSE,tblJTL[[#This Row],[success]]="false"),1,0)</f>
        <v>0</v>
      </c>
      <c r="X2055" s="57">
        <f>IF(AND(tblJTL[[#This Row],[経過秒]]&gt;='17_分析サンプル'!$E$11,tblJTL[[#This Row],[経過秒]]&lt;'17_分析サンプル'!$E$12),1,0)</f>
        <v>1</v>
      </c>
    </row>
    <row r="2056" spans="2:24" ht="14.4" x14ac:dyDescent="0.3">
      <c r="B2056" s="57">
        <v>1790816905549</v>
      </c>
      <c r="C2056" s="58">
        <v>105</v>
      </c>
      <c r="D2056" s="59" t="s">
        <v>1658</v>
      </c>
      <c r="E2056" s="59" t="s">
        <v>1577</v>
      </c>
      <c r="F2056" s="59" t="s">
        <v>2275</v>
      </c>
      <c r="G2056" s="59" t="s">
        <v>3582</v>
      </c>
      <c r="H2056" s="59" t="s">
        <v>2281</v>
      </c>
      <c r="I2056" s="59" t="b">
        <v>1</v>
      </c>
      <c r="J2056" s="59"/>
      <c r="K2056" s="58">
        <v>1862</v>
      </c>
      <c r="L2056" s="58">
        <v>1342</v>
      </c>
      <c r="M2056" s="59">
        <v>10</v>
      </c>
      <c r="N2056" s="59">
        <v>10</v>
      </c>
      <c r="O2056" s="59" t="s">
        <v>3578</v>
      </c>
      <c r="P2056" s="58">
        <v>97</v>
      </c>
      <c r="Q2056" s="59">
        <v>0</v>
      </c>
      <c r="R2056" s="59">
        <v>0</v>
      </c>
      <c r="S2056" s="60">
        <f>tblJTL[[#This Row],[timeStamp]]/86400000+DATE(1970,1,1)+TIME(9,0,0)</f>
        <v>46296.422517928237</v>
      </c>
      <c r="T2056" s="57">
        <f>tblJTL[[#This Row],[timeStamp]]+tblJTL[[#This Row],[elapsed]]</f>
        <v>1790816905654</v>
      </c>
      <c r="U2056" s="61">
        <f>(tblJTL[[#This Row],[timeStamp]]-'17_分析サンプル'!$E$18)/1000</f>
        <v>505.36900000000003</v>
      </c>
      <c r="V2056" s="57">
        <f>INT(tblJTL[[#This Row],[経過秒]]/60)</f>
        <v>8</v>
      </c>
      <c r="W2056" s="57">
        <f>IF(OR(tblJTL[[#This Row],[success]]=FALSE,tblJTL[[#This Row],[success]]="false"),1,0)</f>
        <v>0</v>
      </c>
      <c r="X2056" s="57">
        <f>IF(AND(tblJTL[[#This Row],[経過秒]]&gt;='17_分析サンプル'!$E$11,tblJTL[[#This Row],[経過秒]]&lt;'17_分析サンプル'!$E$12),1,0)</f>
        <v>1</v>
      </c>
    </row>
    <row r="2057" spans="2:24" ht="14.4" x14ac:dyDescent="0.3">
      <c r="B2057" s="57">
        <v>1790816905592</v>
      </c>
      <c r="C2057" s="58">
        <v>250</v>
      </c>
      <c r="D2057" s="59" t="s">
        <v>1658</v>
      </c>
      <c r="E2057" s="59" t="s">
        <v>1577</v>
      </c>
      <c r="F2057" s="59" t="s">
        <v>2275</v>
      </c>
      <c r="G2057" s="59" t="s">
        <v>3588</v>
      </c>
      <c r="H2057" s="59" t="s">
        <v>2281</v>
      </c>
      <c r="I2057" s="59" t="b">
        <v>1</v>
      </c>
      <c r="J2057" s="59"/>
      <c r="K2057" s="58">
        <v>1842</v>
      </c>
      <c r="L2057" s="58">
        <v>1342</v>
      </c>
      <c r="M2057" s="59">
        <v>10</v>
      </c>
      <c r="N2057" s="59">
        <v>10</v>
      </c>
      <c r="O2057" s="59" t="s">
        <v>3578</v>
      </c>
      <c r="P2057" s="58">
        <v>245</v>
      </c>
      <c r="Q2057" s="59">
        <v>0</v>
      </c>
      <c r="R2057" s="59">
        <v>0</v>
      </c>
      <c r="S2057" s="60">
        <f>tblJTL[[#This Row],[timeStamp]]/86400000+DATE(1970,1,1)+TIME(9,0,0)</f>
        <v>46296.422518425927</v>
      </c>
      <c r="T2057" s="57">
        <f>tblJTL[[#This Row],[timeStamp]]+tblJTL[[#This Row],[elapsed]]</f>
        <v>1790816905842</v>
      </c>
      <c r="U2057" s="61">
        <f>(tblJTL[[#This Row],[timeStamp]]-'17_分析サンプル'!$E$18)/1000</f>
        <v>505.41199999999998</v>
      </c>
      <c r="V2057" s="57">
        <f>INT(tblJTL[[#This Row],[経過秒]]/60)</f>
        <v>8</v>
      </c>
      <c r="W2057" s="57">
        <f>IF(OR(tblJTL[[#This Row],[success]]=FALSE,tblJTL[[#This Row],[success]]="false"),1,0)</f>
        <v>0</v>
      </c>
      <c r="X2057" s="57">
        <f>IF(AND(tblJTL[[#This Row],[経過秒]]&gt;='17_分析サンプル'!$E$11,tblJTL[[#This Row],[経過秒]]&lt;'17_分析サンプル'!$E$12),1,0)</f>
        <v>1</v>
      </c>
    </row>
    <row r="2058" spans="2:24" ht="14.4" x14ac:dyDescent="0.3">
      <c r="B2058" s="57">
        <v>1790816906269</v>
      </c>
      <c r="C2058" s="58">
        <v>158</v>
      </c>
      <c r="D2058" s="59" t="s">
        <v>1658</v>
      </c>
      <c r="E2058" s="59" t="s">
        <v>1577</v>
      </c>
      <c r="F2058" s="59" t="s">
        <v>2275</v>
      </c>
      <c r="G2058" s="59" t="s">
        <v>3577</v>
      </c>
      <c r="H2058" s="59" t="s">
        <v>2281</v>
      </c>
      <c r="I2058" s="59" t="b">
        <v>1</v>
      </c>
      <c r="J2058" s="59"/>
      <c r="K2058" s="58">
        <v>1900</v>
      </c>
      <c r="L2058" s="58">
        <v>1342</v>
      </c>
      <c r="M2058" s="59">
        <v>10</v>
      </c>
      <c r="N2058" s="59">
        <v>10</v>
      </c>
      <c r="O2058" s="59" t="s">
        <v>3578</v>
      </c>
      <c r="P2058" s="58">
        <v>154</v>
      </c>
      <c r="Q2058" s="59">
        <v>0</v>
      </c>
      <c r="R2058" s="59">
        <v>0</v>
      </c>
      <c r="S2058" s="60">
        <f>tblJTL[[#This Row],[timeStamp]]/86400000+DATE(1970,1,1)+TIME(9,0,0)</f>
        <v>46296.422526261573</v>
      </c>
      <c r="T2058" s="57">
        <f>tblJTL[[#This Row],[timeStamp]]+tblJTL[[#This Row],[elapsed]]</f>
        <v>1790816906427</v>
      </c>
      <c r="U2058" s="61">
        <f>(tblJTL[[#This Row],[timeStamp]]-'17_分析サンプル'!$E$18)/1000</f>
        <v>506.089</v>
      </c>
      <c r="V2058" s="57">
        <f>INT(tblJTL[[#This Row],[経過秒]]/60)</f>
        <v>8</v>
      </c>
      <c r="W2058" s="57">
        <f>IF(OR(tblJTL[[#This Row],[success]]=FALSE,tblJTL[[#This Row],[success]]="false"),1,0)</f>
        <v>0</v>
      </c>
      <c r="X2058" s="57">
        <f>IF(AND(tblJTL[[#This Row],[経過秒]]&gt;='17_分析サンプル'!$E$11,tblJTL[[#This Row],[経過秒]]&lt;'17_分析サンプル'!$E$12),1,0)</f>
        <v>1</v>
      </c>
    </row>
    <row r="2059" spans="2:24" ht="14.4" x14ac:dyDescent="0.3">
      <c r="B2059" s="57">
        <v>1790816906335</v>
      </c>
      <c r="C2059" s="58">
        <v>337</v>
      </c>
      <c r="D2059" s="59" t="s">
        <v>1677</v>
      </c>
      <c r="E2059" s="59" t="s">
        <v>3579</v>
      </c>
      <c r="F2059" s="59" t="s">
        <v>3580</v>
      </c>
      <c r="G2059" s="59" t="s">
        <v>3589</v>
      </c>
      <c r="H2059" s="59" t="s">
        <v>2281</v>
      </c>
      <c r="I2059" s="59" t="b">
        <v>1</v>
      </c>
      <c r="J2059" s="59"/>
      <c r="K2059" s="58">
        <v>424</v>
      </c>
      <c r="L2059" s="58">
        <v>1478</v>
      </c>
      <c r="M2059" s="59">
        <v>10</v>
      </c>
      <c r="N2059" s="59">
        <v>10</v>
      </c>
      <c r="O2059" s="59" t="s">
        <v>3581</v>
      </c>
      <c r="P2059" s="58">
        <v>334</v>
      </c>
      <c r="Q2059" s="59">
        <v>0</v>
      </c>
      <c r="R2059" s="59">
        <v>0</v>
      </c>
      <c r="S2059" s="60">
        <f>tblJTL[[#This Row],[timeStamp]]/86400000+DATE(1970,1,1)+TIME(9,0,0)</f>
        <v>46296.422527025468</v>
      </c>
      <c r="T2059" s="57">
        <f>tblJTL[[#This Row],[timeStamp]]+tblJTL[[#This Row],[elapsed]]</f>
        <v>1790816906672</v>
      </c>
      <c r="U2059" s="61">
        <f>(tblJTL[[#This Row],[timeStamp]]-'17_分析サンプル'!$E$18)/1000</f>
        <v>506.15499999999997</v>
      </c>
      <c r="V2059" s="57">
        <f>INT(tblJTL[[#This Row],[経過秒]]/60)</f>
        <v>8</v>
      </c>
      <c r="W2059" s="57">
        <f>IF(OR(tblJTL[[#This Row],[success]]=FALSE,tblJTL[[#This Row],[success]]="false"),1,0)</f>
        <v>0</v>
      </c>
      <c r="X2059" s="57">
        <f>IF(AND(tblJTL[[#This Row],[経過秒]]&gt;='17_分析サンプル'!$E$11,tblJTL[[#This Row],[経過秒]]&lt;'17_分析サンプル'!$E$12),1,0)</f>
        <v>1</v>
      </c>
    </row>
    <row r="2060" spans="2:24" ht="14.4" x14ac:dyDescent="0.3">
      <c r="B2060" s="57">
        <v>1790816906447</v>
      </c>
      <c r="C2060" s="58">
        <v>340</v>
      </c>
      <c r="D2060" s="59" t="s">
        <v>1677</v>
      </c>
      <c r="E2060" s="59" t="s">
        <v>3579</v>
      </c>
      <c r="F2060" s="59" t="s">
        <v>3580</v>
      </c>
      <c r="G2060" s="59" t="s">
        <v>3587</v>
      </c>
      <c r="H2060" s="59" t="s">
        <v>2281</v>
      </c>
      <c r="I2060" s="59" t="b">
        <v>1</v>
      </c>
      <c r="J2060" s="59"/>
      <c r="K2060" s="58">
        <v>417</v>
      </c>
      <c r="L2060" s="58">
        <v>1478</v>
      </c>
      <c r="M2060" s="59">
        <v>10</v>
      </c>
      <c r="N2060" s="59">
        <v>10</v>
      </c>
      <c r="O2060" s="59" t="s">
        <v>3581</v>
      </c>
      <c r="P2060" s="58">
        <v>338</v>
      </c>
      <c r="Q2060" s="59">
        <v>0</v>
      </c>
      <c r="R2060" s="59">
        <v>0</v>
      </c>
      <c r="S2060" s="60">
        <f>tblJTL[[#This Row],[timeStamp]]/86400000+DATE(1970,1,1)+TIME(9,0,0)</f>
        <v>46296.42252832176</v>
      </c>
      <c r="T2060" s="57">
        <f>tblJTL[[#This Row],[timeStamp]]+tblJTL[[#This Row],[elapsed]]</f>
        <v>1790816906787</v>
      </c>
      <c r="U2060" s="61">
        <f>(tblJTL[[#This Row],[timeStamp]]-'17_分析サンプル'!$E$18)/1000</f>
        <v>506.267</v>
      </c>
      <c r="V2060" s="57">
        <f>INT(tblJTL[[#This Row],[経過秒]]/60)</f>
        <v>8</v>
      </c>
      <c r="W2060" s="57">
        <f>IF(OR(tblJTL[[#This Row],[success]]=FALSE,tblJTL[[#This Row],[success]]="false"),1,0)</f>
        <v>0</v>
      </c>
      <c r="X2060" s="57">
        <f>IF(AND(tblJTL[[#This Row],[経過秒]]&gt;='17_分析サンプル'!$E$11,tblJTL[[#This Row],[経過秒]]&lt;'17_分析サンプル'!$E$12),1,0)</f>
        <v>1</v>
      </c>
    </row>
    <row r="2061" spans="2:24" ht="14.4" x14ac:dyDescent="0.3">
      <c r="B2061" s="57">
        <v>1790816906700</v>
      </c>
      <c r="C2061" s="58">
        <v>106</v>
      </c>
      <c r="D2061" s="59" t="s">
        <v>1658</v>
      </c>
      <c r="E2061" s="59" t="s">
        <v>1577</v>
      </c>
      <c r="F2061" s="59" t="s">
        <v>2275</v>
      </c>
      <c r="G2061" s="59" t="s">
        <v>3584</v>
      </c>
      <c r="H2061" s="59" t="s">
        <v>2281</v>
      </c>
      <c r="I2061" s="59" t="b">
        <v>1</v>
      </c>
      <c r="J2061" s="59"/>
      <c r="K2061" s="58">
        <v>1843</v>
      </c>
      <c r="L2061" s="58">
        <v>1342</v>
      </c>
      <c r="M2061" s="59">
        <v>10</v>
      </c>
      <c r="N2061" s="59">
        <v>10</v>
      </c>
      <c r="O2061" s="59" t="s">
        <v>3578</v>
      </c>
      <c r="P2061" s="58">
        <v>100</v>
      </c>
      <c r="Q2061" s="59">
        <v>0</v>
      </c>
      <c r="R2061" s="59">
        <v>0</v>
      </c>
      <c r="S2061" s="60">
        <f>tblJTL[[#This Row],[timeStamp]]/86400000+DATE(1970,1,1)+TIME(9,0,0)</f>
        <v>46296.422531249998</v>
      </c>
      <c r="T2061" s="57">
        <f>tblJTL[[#This Row],[timeStamp]]+tblJTL[[#This Row],[elapsed]]</f>
        <v>1790816906806</v>
      </c>
      <c r="U2061" s="61">
        <f>(tblJTL[[#This Row],[timeStamp]]-'17_分析サンプル'!$E$18)/1000</f>
        <v>506.52</v>
      </c>
      <c r="V2061" s="57">
        <f>INT(tblJTL[[#This Row],[経過秒]]/60)</f>
        <v>8</v>
      </c>
      <c r="W2061" s="57">
        <f>IF(OR(tblJTL[[#This Row],[success]]=FALSE,tblJTL[[#This Row],[success]]="false"),1,0)</f>
        <v>0</v>
      </c>
      <c r="X2061" s="57">
        <f>IF(AND(tblJTL[[#This Row],[経過秒]]&gt;='17_分析サンプル'!$E$11,tblJTL[[#This Row],[経過秒]]&lt;'17_分析サンプル'!$E$12),1,0)</f>
        <v>1</v>
      </c>
    </row>
    <row r="2062" spans="2:24" ht="14.4" x14ac:dyDescent="0.3">
      <c r="B2062" s="57">
        <v>1790816906803</v>
      </c>
      <c r="C2062" s="58">
        <v>277</v>
      </c>
      <c r="D2062" s="59" t="s">
        <v>1677</v>
      </c>
      <c r="E2062" s="59" t="s">
        <v>3579</v>
      </c>
      <c r="F2062" s="59" t="s">
        <v>3580</v>
      </c>
      <c r="G2062" s="59" t="s">
        <v>3585</v>
      </c>
      <c r="H2062" s="59" t="s">
        <v>2281</v>
      </c>
      <c r="I2062" s="59" t="b">
        <v>1</v>
      </c>
      <c r="J2062" s="59"/>
      <c r="K2062" s="58">
        <v>437</v>
      </c>
      <c r="L2062" s="58">
        <v>1478</v>
      </c>
      <c r="M2062" s="59">
        <v>10</v>
      </c>
      <c r="N2062" s="59">
        <v>10</v>
      </c>
      <c r="O2062" s="59" t="s">
        <v>3581</v>
      </c>
      <c r="P2062" s="58">
        <v>274</v>
      </c>
      <c r="Q2062" s="59">
        <v>0</v>
      </c>
      <c r="R2062" s="59">
        <v>0</v>
      </c>
      <c r="S2062" s="60">
        <f>tblJTL[[#This Row],[timeStamp]]/86400000+DATE(1970,1,1)+TIME(9,0,0)</f>
        <v>46296.422532442128</v>
      </c>
      <c r="T2062" s="57">
        <f>tblJTL[[#This Row],[timeStamp]]+tblJTL[[#This Row],[elapsed]]</f>
        <v>1790816907080</v>
      </c>
      <c r="U2062" s="61">
        <f>(tblJTL[[#This Row],[timeStamp]]-'17_分析サンプル'!$E$18)/1000</f>
        <v>506.62299999999999</v>
      </c>
      <c r="V2062" s="57">
        <f>INT(tblJTL[[#This Row],[経過秒]]/60)</f>
        <v>8</v>
      </c>
      <c r="W2062" s="57">
        <f>IF(OR(tblJTL[[#This Row],[success]]=FALSE,tblJTL[[#This Row],[success]]="false"),1,0)</f>
        <v>0</v>
      </c>
      <c r="X2062" s="57">
        <f>IF(AND(tblJTL[[#This Row],[経過秒]]&gt;='17_分析サンプル'!$E$11,tblJTL[[#This Row],[経過秒]]&lt;'17_分析サンプル'!$E$12),1,0)</f>
        <v>1</v>
      </c>
    </row>
    <row r="2063" spans="2:24" ht="14.4" x14ac:dyDescent="0.3">
      <c r="B2063" s="57">
        <v>1790816907718</v>
      </c>
      <c r="C2063" s="58">
        <v>95</v>
      </c>
      <c r="D2063" s="59" t="s">
        <v>1658</v>
      </c>
      <c r="E2063" s="59" t="s">
        <v>1577</v>
      </c>
      <c r="F2063" s="59" t="s">
        <v>2275</v>
      </c>
      <c r="G2063" s="59" t="s">
        <v>2278</v>
      </c>
      <c r="H2063" s="59" t="s">
        <v>2281</v>
      </c>
      <c r="I2063" s="59" t="b">
        <v>1</v>
      </c>
      <c r="J2063" s="59"/>
      <c r="K2063" s="58">
        <v>1831</v>
      </c>
      <c r="L2063" s="58">
        <v>1342</v>
      </c>
      <c r="M2063" s="59">
        <v>10</v>
      </c>
      <c r="N2063" s="59">
        <v>10</v>
      </c>
      <c r="O2063" s="59" t="s">
        <v>3578</v>
      </c>
      <c r="P2063" s="58">
        <v>89</v>
      </c>
      <c r="Q2063" s="59">
        <v>0</v>
      </c>
      <c r="R2063" s="59">
        <v>0</v>
      </c>
      <c r="S2063" s="60">
        <f>tblJTL[[#This Row],[timeStamp]]/86400000+DATE(1970,1,1)+TIME(9,0,0)</f>
        <v>46296.422543032408</v>
      </c>
      <c r="T2063" s="57">
        <f>tblJTL[[#This Row],[timeStamp]]+tblJTL[[#This Row],[elapsed]]</f>
        <v>1790816907813</v>
      </c>
      <c r="U2063" s="61">
        <f>(tblJTL[[#This Row],[timeStamp]]-'17_分析サンプル'!$E$18)/1000</f>
        <v>507.53800000000001</v>
      </c>
      <c r="V2063" s="57">
        <f>INT(tblJTL[[#This Row],[経過秒]]/60)</f>
        <v>8</v>
      </c>
      <c r="W2063" s="57">
        <f>IF(OR(tblJTL[[#This Row],[success]]=FALSE,tblJTL[[#This Row],[success]]="false"),1,0)</f>
        <v>0</v>
      </c>
      <c r="X2063" s="57">
        <f>IF(AND(tblJTL[[#This Row],[経過秒]]&gt;='17_分析サンプル'!$E$11,tblJTL[[#This Row],[経過秒]]&lt;'17_分析サンプル'!$E$12),1,0)</f>
        <v>1</v>
      </c>
    </row>
    <row r="2064" spans="2:24" ht="14.4" x14ac:dyDescent="0.3">
      <c r="B2064" s="57">
        <v>1790816907816</v>
      </c>
      <c r="C2064" s="58">
        <v>235</v>
      </c>
      <c r="D2064" s="59" t="s">
        <v>1677</v>
      </c>
      <c r="E2064" s="59" t="s">
        <v>3579</v>
      </c>
      <c r="F2064" s="59" t="s">
        <v>3580</v>
      </c>
      <c r="G2064" s="59" t="s">
        <v>3582</v>
      </c>
      <c r="H2064" s="59" t="s">
        <v>2281</v>
      </c>
      <c r="I2064" s="59" t="b">
        <v>1</v>
      </c>
      <c r="J2064" s="59"/>
      <c r="K2064" s="58">
        <v>423</v>
      </c>
      <c r="L2064" s="58">
        <v>1478</v>
      </c>
      <c r="M2064" s="59">
        <v>10</v>
      </c>
      <c r="N2064" s="59">
        <v>10</v>
      </c>
      <c r="O2064" s="59" t="s">
        <v>3581</v>
      </c>
      <c r="P2064" s="58">
        <v>230</v>
      </c>
      <c r="Q2064" s="59">
        <v>0</v>
      </c>
      <c r="R2064" s="59">
        <v>0</v>
      </c>
      <c r="S2064" s="60">
        <f>tblJTL[[#This Row],[timeStamp]]/86400000+DATE(1970,1,1)+TIME(9,0,0)</f>
        <v>46296.422544166664</v>
      </c>
      <c r="T2064" s="57">
        <f>tblJTL[[#This Row],[timeStamp]]+tblJTL[[#This Row],[elapsed]]</f>
        <v>1790816908051</v>
      </c>
      <c r="U2064" s="61">
        <f>(tblJTL[[#This Row],[timeStamp]]-'17_分析サンプル'!$E$18)/1000</f>
        <v>507.63600000000002</v>
      </c>
      <c r="V2064" s="57">
        <f>INT(tblJTL[[#This Row],[経過秒]]/60)</f>
        <v>8</v>
      </c>
      <c r="W2064" s="57">
        <f>IF(OR(tblJTL[[#This Row],[success]]=FALSE,tblJTL[[#This Row],[success]]="false"),1,0)</f>
        <v>0</v>
      </c>
      <c r="X2064" s="57">
        <f>IF(AND(tblJTL[[#This Row],[経過秒]]&gt;='17_分析サンプル'!$E$11,tblJTL[[#This Row],[経過秒]]&lt;'17_分析サンプル'!$E$12),1,0)</f>
        <v>1</v>
      </c>
    </row>
    <row r="2065" spans="2:24" ht="14.4" x14ac:dyDescent="0.3">
      <c r="B2065" s="57">
        <v>1790816907917</v>
      </c>
      <c r="C2065" s="58">
        <v>260</v>
      </c>
      <c r="D2065" s="59" t="s">
        <v>1677</v>
      </c>
      <c r="E2065" s="59" t="s">
        <v>3579</v>
      </c>
      <c r="F2065" s="59" t="s">
        <v>3580</v>
      </c>
      <c r="G2065" s="59" t="s">
        <v>3586</v>
      </c>
      <c r="H2065" s="59" t="s">
        <v>2281</v>
      </c>
      <c r="I2065" s="59" t="b">
        <v>1</v>
      </c>
      <c r="J2065" s="59"/>
      <c r="K2065" s="58">
        <v>413</v>
      </c>
      <c r="L2065" s="58">
        <v>1478</v>
      </c>
      <c r="M2065" s="59">
        <v>10</v>
      </c>
      <c r="N2065" s="59">
        <v>10</v>
      </c>
      <c r="O2065" s="59" t="s">
        <v>3581</v>
      </c>
      <c r="P2065" s="58">
        <v>258</v>
      </c>
      <c r="Q2065" s="59">
        <v>0</v>
      </c>
      <c r="R2065" s="59">
        <v>0</v>
      </c>
      <c r="S2065" s="60">
        <f>tblJTL[[#This Row],[timeStamp]]/86400000+DATE(1970,1,1)+TIME(9,0,0)</f>
        <v>46296.422545335648</v>
      </c>
      <c r="T2065" s="57">
        <f>tblJTL[[#This Row],[timeStamp]]+tblJTL[[#This Row],[elapsed]]</f>
        <v>1790816908177</v>
      </c>
      <c r="U2065" s="61">
        <f>(tblJTL[[#This Row],[timeStamp]]-'17_分析サンプル'!$E$18)/1000</f>
        <v>507.73700000000002</v>
      </c>
      <c r="V2065" s="57">
        <f>INT(tblJTL[[#This Row],[経過秒]]/60)</f>
        <v>8</v>
      </c>
      <c r="W2065" s="57">
        <f>IF(OR(tblJTL[[#This Row],[success]]=FALSE,tblJTL[[#This Row],[success]]="false"),1,0)</f>
        <v>0</v>
      </c>
      <c r="X2065" s="57">
        <f>IF(AND(tblJTL[[#This Row],[経過秒]]&gt;='17_分析サンプル'!$E$11,tblJTL[[#This Row],[経過秒]]&lt;'17_分析サンプル'!$E$12),1,0)</f>
        <v>1</v>
      </c>
    </row>
    <row r="2066" spans="2:24" ht="14.4" x14ac:dyDescent="0.3">
      <c r="B2066" s="57">
        <v>1790816907831</v>
      </c>
      <c r="C2066" s="58">
        <v>363</v>
      </c>
      <c r="D2066" s="59" t="s">
        <v>1677</v>
      </c>
      <c r="E2066" s="59" t="s">
        <v>3579</v>
      </c>
      <c r="F2066" s="59" t="s">
        <v>3580</v>
      </c>
      <c r="G2066" s="59" t="s">
        <v>3588</v>
      </c>
      <c r="H2066" s="59" t="s">
        <v>2281</v>
      </c>
      <c r="I2066" s="59" t="b">
        <v>1</v>
      </c>
      <c r="J2066" s="59"/>
      <c r="K2066" s="58">
        <v>417</v>
      </c>
      <c r="L2066" s="58">
        <v>1478</v>
      </c>
      <c r="M2066" s="59">
        <v>10</v>
      </c>
      <c r="N2066" s="59">
        <v>10</v>
      </c>
      <c r="O2066" s="59" t="s">
        <v>3581</v>
      </c>
      <c r="P2066" s="58">
        <v>360</v>
      </c>
      <c r="Q2066" s="59">
        <v>0</v>
      </c>
      <c r="R2066" s="59">
        <v>0</v>
      </c>
      <c r="S2066" s="60">
        <f>tblJTL[[#This Row],[timeStamp]]/86400000+DATE(1970,1,1)+TIME(9,0,0)</f>
        <v>46296.422544340283</v>
      </c>
      <c r="T2066" s="57">
        <f>tblJTL[[#This Row],[timeStamp]]+tblJTL[[#This Row],[elapsed]]</f>
        <v>1790816908194</v>
      </c>
      <c r="U2066" s="61">
        <f>(tblJTL[[#This Row],[timeStamp]]-'17_分析サンプル'!$E$18)/1000</f>
        <v>507.65100000000001</v>
      </c>
      <c r="V2066" s="57">
        <f>INT(tblJTL[[#This Row],[経過秒]]/60)</f>
        <v>8</v>
      </c>
      <c r="W2066" s="57">
        <f>IF(OR(tblJTL[[#This Row],[success]]=FALSE,tblJTL[[#This Row],[success]]="false"),1,0)</f>
        <v>0</v>
      </c>
      <c r="X2066" s="57">
        <f>IF(AND(tblJTL[[#This Row],[経過秒]]&gt;='17_分析サンプル'!$E$11,tblJTL[[#This Row],[経過秒]]&lt;'17_分析サンプル'!$E$12),1,0)</f>
        <v>1</v>
      </c>
    </row>
    <row r="2067" spans="2:24" ht="14.4" x14ac:dyDescent="0.3">
      <c r="B2067" s="57">
        <v>1790816908042</v>
      </c>
      <c r="C2067" s="58">
        <v>154</v>
      </c>
      <c r="D2067" s="59" t="s">
        <v>1677</v>
      </c>
      <c r="E2067" s="59" t="s">
        <v>3579</v>
      </c>
      <c r="F2067" s="59" t="s">
        <v>3580</v>
      </c>
      <c r="G2067" s="59" t="s">
        <v>3583</v>
      </c>
      <c r="H2067" s="59" t="s">
        <v>2281</v>
      </c>
      <c r="I2067" s="59" t="b">
        <v>1</v>
      </c>
      <c r="J2067" s="59"/>
      <c r="K2067" s="58">
        <v>421</v>
      </c>
      <c r="L2067" s="58">
        <v>1478</v>
      </c>
      <c r="M2067" s="59">
        <v>10</v>
      </c>
      <c r="N2067" s="59">
        <v>10</v>
      </c>
      <c r="O2067" s="59" t="s">
        <v>3581</v>
      </c>
      <c r="P2067" s="58">
        <v>148</v>
      </c>
      <c r="Q2067" s="59">
        <v>0</v>
      </c>
      <c r="R2067" s="59">
        <v>0</v>
      </c>
      <c r="S2067" s="60">
        <f>tblJTL[[#This Row],[timeStamp]]/86400000+DATE(1970,1,1)+TIME(9,0,0)</f>
        <v>46296.422546782407</v>
      </c>
      <c r="T2067" s="57">
        <f>tblJTL[[#This Row],[timeStamp]]+tblJTL[[#This Row],[elapsed]]</f>
        <v>1790816908196</v>
      </c>
      <c r="U2067" s="61">
        <f>(tblJTL[[#This Row],[timeStamp]]-'17_分析サンプル'!$E$18)/1000</f>
        <v>507.86200000000002</v>
      </c>
      <c r="V2067" s="57">
        <f>INT(tblJTL[[#This Row],[経過秒]]/60)</f>
        <v>8</v>
      </c>
      <c r="W2067" s="57">
        <f>IF(OR(tblJTL[[#This Row],[success]]=FALSE,tblJTL[[#This Row],[success]]="false"),1,0)</f>
        <v>0</v>
      </c>
      <c r="X2067" s="57">
        <f>IF(AND(tblJTL[[#This Row],[経過秒]]&gt;='17_分析サンプル'!$E$11,tblJTL[[#This Row],[経過秒]]&lt;'17_分析サンプル'!$E$12),1,0)</f>
        <v>1</v>
      </c>
    </row>
    <row r="2068" spans="2:24" ht="14.4" x14ac:dyDescent="0.3">
      <c r="B2068" s="57">
        <v>1790816908402</v>
      </c>
      <c r="C2068" s="58">
        <v>266</v>
      </c>
      <c r="D2068" s="59" t="s">
        <v>1677</v>
      </c>
      <c r="E2068" s="59" t="s">
        <v>3579</v>
      </c>
      <c r="F2068" s="59" t="s">
        <v>3580</v>
      </c>
      <c r="G2068" s="59" t="s">
        <v>3584</v>
      </c>
      <c r="H2068" s="59" t="s">
        <v>2281</v>
      </c>
      <c r="I2068" s="59" t="b">
        <v>1</v>
      </c>
      <c r="J2068" s="59"/>
      <c r="K2068" s="58">
        <v>427</v>
      </c>
      <c r="L2068" s="58">
        <v>1478</v>
      </c>
      <c r="M2068" s="59">
        <v>10</v>
      </c>
      <c r="N2068" s="59">
        <v>10</v>
      </c>
      <c r="O2068" s="59" t="s">
        <v>3581</v>
      </c>
      <c r="P2068" s="58">
        <v>259</v>
      </c>
      <c r="Q2068" s="59">
        <v>0</v>
      </c>
      <c r="R2068" s="59">
        <v>0</v>
      </c>
      <c r="S2068" s="60">
        <f>tblJTL[[#This Row],[timeStamp]]/86400000+DATE(1970,1,1)+TIME(9,0,0)</f>
        <v>46296.422550949079</v>
      </c>
      <c r="T2068" s="57">
        <f>tblJTL[[#This Row],[timeStamp]]+tblJTL[[#This Row],[elapsed]]</f>
        <v>1790816908668</v>
      </c>
      <c r="U2068" s="61">
        <f>(tblJTL[[#This Row],[timeStamp]]-'17_分析サンプル'!$E$18)/1000</f>
        <v>508.22199999999998</v>
      </c>
      <c r="V2068" s="57">
        <f>INT(tblJTL[[#This Row],[経過秒]]/60)</f>
        <v>8</v>
      </c>
      <c r="W2068" s="57">
        <f>IF(OR(tblJTL[[#This Row],[success]]=FALSE,tblJTL[[#This Row],[success]]="false"),1,0)</f>
        <v>0</v>
      </c>
      <c r="X2068" s="57">
        <f>IF(AND(tblJTL[[#This Row],[経過秒]]&gt;='17_分析サンプル'!$E$11,tblJTL[[#This Row],[経過秒]]&lt;'17_分析サンプル'!$E$12),1,0)</f>
        <v>1</v>
      </c>
    </row>
    <row r="2069" spans="2:24" ht="14.4" x14ac:dyDescent="0.3">
      <c r="B2069" s="57">
        <v>1790816908995</v>
      </c>
      <c r="C2069" s="58">
        <v>108</v>
      </c>
      <c r="D2069" s="59" t="s">
        <v>1658</v>
      </c>
      <c r="E2069" s="59" t="s">
        <v>1577</v>
      </c>
      <c r="F2069" s="59" t="s">
        <v>2275</v>
      </c>
      <c r="G2069" s="59" t="s">
        <v>3587</v>
      </c>
      <c r="H2069" s="59" t="s">
        <v>2281</v>
      </c>
      <c r="I2069" s="59" t="b">
        <v>1</v>
      </c>
      <c r="J2069" s="59"/>
      <c r="K2069" s="58">
        <v>1834</v>
      </c>
      <c r="L2069" s="58">
        <v>1342</v>
      </c>
      <c r="M2069" s="59">
        <v>10</v>
      </c>
      <c r="N2069" s="59">
        <v>10</v>
      </c>
      <c r="O2069" s="59" t="s">
        <v>3578</v>
      </c>
      <c r="P2069" s="58">
        <v>106</v>
      </c>
      <c r="Q2069" s="59">
        <v>0</v>
      </c>
      <c r="R2069" s="59">
        <v>0</v>
      </c>
      <c r="S2069" s="60">
        <f>tblJTL[[#This Row],[timeStamp]]/86400000+DATE(1970,1,1)+TIME(9,0,0)</f>
        <v>46296.422557812504</v>
      </c>
      <c r="T2069" s="57">
        <f>tblJTL[[#This Row],[timeStamp]]+tblJTL[[#This Row],[elapsed]]</f>
        <v>1790816909103</v>
      </c>
      <c r="U2069" s="61">
        <f>(tblJTL[[#This Row],[timeStamp]]-'17_分析サンプル'!$E$18)/1000</f>
        <v>508.815</v>
      </c>
      <c r="V2069" s="57">
        <f>INT(tblJTL[[#This Row],[経過秒]]/60)</f>
        <v>8</v>
      </c>
      <c r="W2069" s="57">
        <f>IF(OR(tblJTL[[#This Row],[success]]=FALSE,tblJTL[[#This Row],[success]]="false"),1,0)</f>
        <v>0</v>
      </c>
      <c r="X2069" s="57">
        <f>IF(AND(tblJTL[[#This Row],[経過秒]]&gt;='17_分析サンプル'!$E$11,tblJTL[[#This Row],[経過秒]]&lt;'17_分析サンプル'!$E$12),1,0)</f>
        <v>1</v>
      </c>
    </row>
    <row r="2070" spans="2:24" ht="14.4" x14ac:dyDescent="0.3">
      <c r="B2070" s="57">
        <v>1790816908991</v>
      </c>
      <c r="C2070" s="58">
        <v>231</v>
      </c>
      <c r="D2070" s="59" t="s">
        <v>1677</v>
      </c>
      <c r="E2070" s="59" t="s">
        <v>3579</v>
      </c>
      <c r="F2070" s="59" t="s">
        <v>3580</v>
      </c>
      <c r="G2070" s="59" t="s">
        <v>3577</v>
      </c>
      <c r="H2070" s="59" t="s">
        <v>2281</v>
      </c>
      <c r="I2070" s="59" t="b">
        <v>1</v>
      </c>
      <c r="J2070" s="59"/>
      <c r="K2070" s="58">
        <v>413</v>
      </c>
      <c r="L2070" s="58">
        <v>1478</v>
      </c>
      <c r="M2070" s="59">
        <v>10</v>
      </c>
      <c r="N2070" s="59">
        <v>10</v>
      </c>
      <c r="O2070" s="59" t="s">
        <v>3581</v>
      </c>
      <c r="P2070" s="58">
        <v>228</v>
      </c>
      <c r="Q2070" s="59">
        <v>0</v>
      </c>
      <c r="R2070" s="59">
        <v>0</v>
      </c>
      <c r="S2070" s="60">
        <f>tblJTL[[#This Row],[timeStamp]]/86400000+DATE(1970,1,1)+TIME(9,0,0)</f>
        <v>46296.4225577662</v>
      </c>
      <c r="T2070" s="57">
        <f>tblJTL[[#This Row],[timeStamp]]+tblJTL[[#This Row],[elapsed]]</f>
        <v>1790816909222</v>
      </c>
      <c r="U2070" s="61">
        <f>(tblJTL[[#This Row],[timeStamp]]-'17_分析サンプル'!$E$18)/1000</f>
        <v>508.81099999999998</v>
      </c>
      <c r="V2070" s="57">
        <f>INT(tblJTL[[#This Row],[経過秒]]/60)</f>
        <v>8</v>
      </c>
      <c r="W2070" s="57">
        <f>IF(OR(tblJTL[[#This Row],[success]]=FALSE,tblJTL[[#This Row],[success]]="false"),1,0)</f>
        <v>0</v>
      </c>
      <c r="X2070" s="57">
        <f>IF(AND(tblJTL[[#This Row],[経過秒]]&gt;='17_分析サンプル'!$E$11,tblJTL[[#This Row],[経過秒]]&lt;'17_分析サンプル'!$E$12),1,0)</f>
        <v>1</v>
      </c>
    </row>
    <row r="2071" spans="2:24" ht="14.4" x14ac:dyDescent="0.3">
      <c r="B2071" s="57">
        <v>1790816909478</v>
      </c>
      <c r="C2071" s="58">
        <v>81</v>
      </c>
      <c r="D2071" s="59" t="s">
        <v>1658</v>
      </c>
      <c r="E2071" s="59" t="s">
        <v>1577</v>
      </c>
      <c r="F2071" s="59" t="s">
        <v>2275</v>
      </c>
      <c r="G2071" s="59" t="s">
        <v>3588</v>
      </c>
      <c r="H2071" s="59" t="s">
        <v>2281</v>
      </c>
      <c r="I2071" s="59" t="b">
        <v>1</v>
      </c>
      <c r="J2071" s="59"/>
      <c r="K2071" s="58">
        <v>1886</v>
      </c>
      <c r="L2071" s="58">
        <v>1342</v>
      </c>
      <c r="M2071" s="59">
        <v>10</v>
      </c>
      <c r="N2071" s="59">
        <v>10</v>
      </c>
      <c r="O2071" s="59" t="s">
        <v>3578</v>
      </c>
      <c r="P2071" s="58">
        <v>75</v>
      </c>
      <c r="Q2071" s="59">
        <v>0</v>
      </c>
      <c r="R2071" s="59">
        <v>0</v>
      </c>
      <c r="S2071" s="60">
        <f>tblJTL[[#This Row],[timeStamp]]/86400000+DATE(1970,1,1)+TIME(9,0,0)</f>
        <v>46296.422563402783</v>
      </c>
      <c r="T2071" s="57">
        <f>tblJTL[[#This Row],[timeStamp]]+tblJTL[[#This Row],[elapsed]]</f>
        <v>1790816909559</v>
      </c>
      <c r="U2071" s="61">
        <f>(tblJTL[[#This Row],[timeStamp]]-'17_分析サンプル'!$E$18)/1000</f>
        <v>509.298</v>
      </c>
      <c r="V2071" s="57">
        <f>INT(tblJTL[[#This Row],[経過秒]]/60)</f>
        <v>8</v>
      </c>
      <c r="W2071" s="57">
        <f>IF(OR(tblJTL[[#This Row],[success]]=FALSE,tblJTL[[#This Row],[success]]="false"),1,0)</f>
        <v>0</v>
      </c>
      <c r="X2071" s="57">
        <f>IF(AND(tblJTL[[#This Row],[経過秒]]&gt;='17_分析サンプル'!$E$11,tblJTL[[#This Row],[経過秒]]&lt;'17_分析サンプル'!$E$12),1,0)</f>
        <v>1</v>
      </c>
    </row>
    <row r="2072" spans="2:24" ht="14.4" x14ac:dyDescent="0.3">
      <c r="B2072" s="57">
        <v>1790816909361</v>
      </c>
      <c r="C2072" s="58">
        <v>273</v>
      </c>
      <c r="D2072" s="59" t="s">
        <v>1677</v>
      </c>
      <c r="E2072" s="59" t="s">
        <v>3579</v>
      </c>
      <c r="F2072" s="59" t="s">
        <v>3580</v>
      </c>
      <c r="G2072" s="59" t="s">
        <v>2278</v>
      </c>
      <c r="H2072" s="59" t="s">
        <v>2281</v>
      </c>
      <c r="I2072" s="59" t="b">
        <v>1</v>
      </c>
      <c r="J2072" s="59"/>
      <c r="K2072" s="58">
        <v>434</v>
      </c>
      <c r="L2072" s="58">
        <v>1478</v>
      </c>
      <c r="M2072" s="59">
        <v>10</v>
      </c>
      <c r="N2072" s="59">
        <v>10</v>
      </c>
      <c r="O2072" s="59" t="s">
        <v>3581</v>
      </c>
      <c r="P2072" s="58">
        <v>269</v>
      </c>
      <c r="Q2072" s="59">
        <v>0</v>
      </c>
      <c r="R2072" s="59">
        <v>59</v>
      </c>
      <c r="S2072" s="60">
        <f>tblJTL[[#This Row],[timeStamp]]/86400000+DATE(1970,1,1)+TIME(9,0,0)</f>
        <v>46296.42256204861</v>
      </c>
      <c r="T2072" s="57">
        <f>tblJTL[[#This Row],[timeStamp]]+tblJTL[[#This Row],[elapsed]]</f>
        <v>1790816909634</v>
      </c>
      <c r="U2072" s="61">
        <f>(tblJTL[[#This Row],[timeStamp]]-'17_分析サンプル'!$E$18)/1000</f>
        <v>509.18099999999998</v>
      </c>
      <c r="V2072" s="57">
        <f>INT(tblJTL[[#This Row],[経過秒]]/60)</f>
        <v>8</v>
      </c>
      <c r="W2072" s="57">
        <f>IF(OR(tblJTL[[#This Row],[success]]=FALSE,tblJTL[[#This Row],[success]]="false"),1,0)</f>
        <v>0</v>
      </c>
      <c r="X2072" s="57">
        <f>IF(AND(tblJTL[[#This Row],[経過秒]]&gt;='17_分析サンプル'!$E$11,tblJTL[[#This Row],[経過秒]]&lt;'17_分析サンプル'!$E$12),1,0)</f>
        <v>1</v>
      </c>
    </row>
    <row r="2073" spans="2:24" ht="14.4" x14ac:dyDescent="0.3">
      <c r="B2073" s="57">
        <v>1790816909532</v>
      </c>
      <c r="C2073" s="58">
        <v>158</v>
      </c>
      <c r="D2073" s="59" t="s">
        <v>1658</v>
      </c>
      <c r="E2073" s="59" t="s">
        <v>1577</v>
      </c>
      <c r="F2073" s="59" t="s">
        <v>2275</v>
      </c>
      <c r="G2073" s="59" t="s">
        <v>3589</v>
      </c>
      <c r="H2073" s="59" t="s">
        <v>2281</v>
      </c>
      <c r="I2073" s="59" t="b">
        <v>1</v>
      </c>
      <c r="J2073" s="59"/>
      <c r="K2073" s="58">
        <v>1842</v>
      </c>
      <c r="L2073" s="58">
        <v>1342</v>
      </c>
      <c r="M2073" s="59">
        <v>10</v>
      </c>
      <c r="N2073" s="59">
        <v>10</v>
      </c>
      <c r="O2073" s="59" t="s">
        <v>3578</v>
      </c>
      <c r="P2073" s="58">
        <v>150</v>
      </c>
      <c r="Q2073" s="59">
        <v>0</v>
      </c>
      <c r="R2073" s="59">
        <v>0</v>
      </c>
      <c r="S2073" s="60">
        <f>tblJTL[[#This Row],[timeStamp]]/86400000+DATE(1970,1,1)+TIME(9,0,0)</f>
        <v>46296.422564027773</v>
      </c>
      <c r="T2073" s="57">
        <f>tblJTL[[#This Row],[timeStamp]]+tblJTL[[#This Row],[elapsed]]</f>
        <v>1790816909690</v>
      </c>
      <c r="U2073" s="61">
        <f>(tblJTL[[#This Row],[timeStamp]]-'17_分析サンプル'!$E$18)/1000</f>
        <v>509.35199999999998</v>
      </c>
      <c r="V2073" s="57">
        <f>INT(tblJTL[[#This Row],[経過秒]]/60)</f>
        <v>8</v>
      </c>
      <c r="W2073" s="57">
        <f>IF(OR(tblJTL[[#This Row],[success]]=FALSE,tblJTL[[#This Row],[success]]="false"),1,0)</f>
        <v>0</v>
      </c>
      <c r="X2073" s="57">
        <f>IF(AND(tblJTL[[#This Row],[経過秒]]&gt;='17_分析サンプル'!$E$11,tblJTL[[#This Row],[経過秒]]&lt;'17_分析サンプル'!$E$12),1,0)</f>
        <v>1</v>
      </c>
    </row>
    <row r="2074" spans="2:24" ht="14.4" x14ac:dyDescent="0.3">
      <c r="B2074" s="57">
        <v>1790816909599</v>
      </c>
      <c r="C2074" s="58">
        <v>161</v>
      </c>
      <c r="D2074" s="59" t="s">
        <v>1658</v>
      </c>
      <c r="E2074" s="59" t="s">
        <v>1577</v>
      </c>
      <c r="F2074" s="59" t="s">
        <v>2275</v>
      </c>
      <c r="G2074" s="59" t="s">
        <v>3585</v>
      </c>
      <c r="H2074" s="59" t="s">
        <v>2281</v>
      </c>
      <c r="I2074" s="59" t="b">
        <v>1</v>
      </c>
      <c r="J2074" s="59"/>
      <c r="K2074" s="58">
        <v>1844</v>
      </c>
      <c r="L2074" s="58">
        <v>1342</v>
      </c>
      <c r="M2074" s="59">
        <v>10</v>
      </c>
      <c r="N2074" s="59">
        <v>10</v>
      </c>
      <c r="O2074" s="59" t="s">
        <v>3578</v>
      </c>
      <c r="P2074" s="58">
        <v>154</v>
      </c>
      <c r="Q2074" s="59">
        <v>0</v>
      </c>
      <c r="R2074" s="59">
        <v>0</v>
      </c>
      <c r="S2074" s="60">
        <f>tblJTL[[#This Row],[timeStamp]]/86400000+DATE(1970,1,1)+TIME(9,0,0)</f>
        <v>46296.422564803244</v>
      </c>
      <c r="T2074" s="57">
        <f>tblJTL[[#This Row],[timeStamp]]+tblJTL[[#This Row],[elapsed]]</f>
        <v>1790816909760</v>
      </c>
      <c r="U2074" s="61">
        <f>(tblJTL[[#This Row],[timeStamp]]-'17_分析サンプル'!$E$18)/1000</f>
        <v>509.41899999999998</v>
      </c>
      <c r="V2074" s="57">
        <f>INT(tblJTL[[#This Row],[経過秒]]/60)</f>
        <v>8</v>
      </c>
      <c r="W2074" s="57">
        <f>IF(OR(tblJTL[[#This Row],[success]]=FALSE,tblJTL[[#This Row],[success]]="false"),1,0)</f>
        <v>0</v>
      </c>
      <c r="X2074" s="57">
        <f>IF(AND(tblJTL[[#This Row],[経過秒]]&gt;='17_分析サンプル'!$E$11,tblJTL[[#This Row],[経過秒]]&lt;'17_分析サンプル'!$E$12),1,0)</f>
        <v>1</v>
      </c>
    </row>
    <row r="2075" spans="2:24" ht="14.4" x14ac:dyDescent="0.3">
      <c r="B2075" s="57">
        <v>1790816909809</v>
      </c>
      <c r="C2075" s="58">
        <v>86</v>
      </c>
      <c r="D2075" s="59" t="s">
        <v>1658</v>
      </c>
      <c r="E2075" s="59" t="s">
        <v>1577</v>
      </c>
      <c r="F2075" s="59" t="s">
        <v>2275</v>
      </c>
      <c r="G2075" s="59" t="s">
        <v>3586</v>
      </c>
      <c r="H2075" s="59" t="s">
        <v>2281</v>
      </c>
      <c r="I2075" s="59" t="b">
        <v>1</v>
      </c>
      <c r="J2075" s="59"/>
      <c r="K2075" s="58">
        <v>1827</v>
      </c>
      <c r="L2075" s="58">
        <v>1342</v>
      </c>
      <c r="M2075" s="59">
        <v>10</v>
      </c>
      <c r="N2075" s="59">
        <v>10</v>
      </c>
      <c r="O2075" s="59" t="s">
        <v>3578</v>
      </c>
      <c r="P2075" s="58">
        <v>83</v>
      </c>
      <c r="Q2075" s="59">
        <v>0</v>
      </c>
      <c r="R2075" s="59">
        <v>0</v>
      </c>
      <c r="S2075" s="60">
        <f>tblJTL[[#This Row],[timeStamp]]/86400000+DATE(1970,1,1)+TIME(9,0,0)</f>
        <v>46296.422567233793</v>
      </c>
      <c r="T2075" s="57">
        <f>tblJTL[[#This Row],[timeStamp]]+tblJTL[[#This Row],[elapsed]]</f>
        <v>1790816909895</v>
      </c>
      <c r="U2075" s="61">
        <f>(tblJTL[[#This Row],[timeStamp]]-'17_分析サンプル'!$E$18)/1000</f>
        <v>509.62900000000002</v>
      </c>
      <c r="V2075" s="57">
        <f>INT(tblJTL[[#This Row],[経過秒]]/60)</f>
        <v>8</v>
      </c>
      <c r="W2075" s="57">
        <f>IF(OR(tblJTL[[#This Row],[success]]=FALSE,tblJTL[[#This Row],[success]]="false"),1,0)</f>
        <v>0</v>
      </c>
      <c r="X2075" s="57">
        <f>IF(AND(tblJTL[[#This Row],[経過秒]]&gt;='17_分析サンプル'!$E$11,tblJTL[[#This Row],[経過秒]]&lt;'17_分析サンプル'!$E$12),1,0)</f>
        <v>1</v>
      </c>
    </row>
    <row r="2076" spans="2:24" ht="14.4" x14ac:dyDescent="0.3">
      <c r="B2076" s="57">
        <v>1790816909903</v>
      </c>
      <c r="C2076" s="58">
        <v>132</v>
      </c>
      <c r="D2076" s="59" t="s">
        <v>1658</v>
      </c>
      <c r="E2076" s="59" t="s">
        <v>1577</v>
      </c>
      <c r="F2076" s="59" t="s">
        <v>2275</v>
      </c>
      <c r="G2076" s="59" t="s">
        <v>3582</v>
      </c>
      <c r="H2076" s="59" t="s">
        <v>2281</v>
      </c>
      <c r="I2076" s="59" t="b">
        <v>1</v>
      </c>
      <c r="J2076" s="59"/>
      <c r="K2076" s="58">
        <v>1890</v>
      </c>
      <c r="L2076" s="58">
        <v>1342</v>
      </c>
      <c r="M2076" s="59">
        <v>10</v>
      </c>
      <c r="N2076" s="59">
        <v>10</v>
      </c>
      <c r="O2076" s="59" t="s">
        <v>3578</v>
      </c>
      <c r="P2076" s="58">
        <v>126</v>
      </c>
      <c r="Q2076" s="59">
        <v>0</v>
      </c>
      <c r="R2076" s="59">
        <v>0</v>
      </c>
      <c r="S2076" s="60">
        <f>tblJTL[[#This Row],[timeStamp]]/86400000+DATE(1970,1,1)+TIME(9,0,0)</f>
        <v>46296.422568321759</v>
      </c>
      <c r="T2076" s="57">
        <f>tblJTL[[#This Row],[timeStamp]]+tblJTL[[#This Row],[elapsed]]</f>
        <v>1790816910035</v>
      </c>
      <c r="U2076" s="61">
        <f>(tblJTL[[#This Row],[timeStamp]]-'17_分析サンプル'!$E$18)/1000</f>
        <v>509.72300000000001</v>
      </c>
      <c r="V2076" s="57">
        <f>INT(tblJTL[[#This Row],[経過秒]]/60)</f>
        <v>8</v>
      </c>
      <c r="W2076" s="57">
        <f>IF(OR(tblJTL[[#This Row],[success]]=FALSE,tblJTL[[#This Row],[success]]="false"),1,0)</f>
        <v>0</v>
      </c>
      <c r="X2076" s="57">
        <f>IF(AND(tblJTL[[#This Row],[経過秒]]&gt;='17_分析サンプル'!$E$11,tblJTL[[#This Row],[経過秒]]&lt;'17_分析サンプル'!$E$12),1,0)</f>
        <v>1</v>
      </c>
    </row>
    <row r="2077" spans="2:24" ht="14.4" x14ac:dyDescent="0.3">
      <c r="B2077" s="57">
        <v>1790816910665</v>
      </c>
      <c r="C2077" s="58">
        <v>103</v>
      </c>
      <c r="D2077" s="59" t="s">
        <v>1658</v>
      </c>
      <c r="E2077" s="59" t="s">
        <v>1577</v>
      </c>
      <c r="F2077" s="59" t="s">
        <v>2275</v>
      </c>
      <c r="G2077" s="59" t="s">
        <v>2278</v>
      </c>
      <c r="H2077" s="59" t="s">
        <v>2281</v>
      </c>
      <c r="I2077" s="59" t="b">
        <v>1</v>
      </c>
      <c r="J2077" s="59"/>
      <c r="K2077" s="58">
        <v>1856</v>
      </c>
      <c r="L2077" s="58">
        <v>1342</v>
      </c>
      <c r="M2077" s="59">
        <v>10</v>
      </c>
      <c r="N2077" s="59">
        <v>10</v>
      </c>
      <c r="O2077" s="59" t="s">
        <v>3578</v>
      </c>
      <c r="P2077" s="58">
        <v>95</v>
      </c>
      <c r="Q2077" s="59">
        <v>0</v>
      </c>
      <c r="R2077" s="59">
        <v>0</v>
      </c>
      <c r="S2077" s="60">
        <f>tblJTL[[#This Row],[timeStamp]]/86400000+DATE(1970,1,1)+TIME(9,0,0)</f>
        <v>46296.422577141202</v>
      </c>
      <c r="T2077" s="57">
        <f>tblJTL[[#This Row],[timeStamp]]+tblJTL[[#This Row],[elapsed]]</f>
        <v>1790816910768</v>
      </c>
      <c r="U2077" s="61">
        <f>(tblJTL[[#This Row],[timeStamp]]-'17_分析サンプル'!$E$18)/1000</f>
        <v>510.48500000000001</v>
      </c>
      <c r="V2077" s="57">
        <f>INT(tblJTL[[#This Row],[経過秒]]/60)</f>
        <v>8</v>
      </c>
      <c r="W2077" s="57">
        <f>IF(OR(tblJTL[[#This Row],[success]]=FALSE,tblJTL[[#This Row],[success]]="false"),1,0)</f>
        <v>0</v>
      </c>
      <c r="X2077" s="57">
        <f>IF(AND(tblJTL[[#This Row],[経過秒]]&gt;='17_分析サンプル'!$E$11,tblJTL[[#This Row],[経過秒]]&lt;'17_分析サンプル'!$E$12),1,0)</f>
        <v>1</v>
      </c>
    </row>
    <row r="2078" spans="2:24" ht="14.4" x14ac:dyDescent="0.3">
      <c r="B2078" s="57">
        <v>1790816910635</v>
      </c>
      <c r="C2078" s="58">
        <v>312</v>
      </c>
      <c r="D2078" s="59" t="s">
        <v>1677</v>
      </c>
      <c r="E2078" s="59" t="s">
        <v>3579</v>
      </c>
      <c r="F2078" s="59" t="s">
        <v>3580</v>
      </c>
      <c r="G2078" s="59" t="s">
        <v>3588</v>
      </c>
      <c r="H2078" s="59" t="s">
        <v>2281</v>
      </c>
      <c r="I2078" s="59" t="b">
        <v>1</v>
      </c>
      <c r="J2078" s="59"/>
      <c r="K2078" s="58">
        <v>419</v>
      </c>
      <c r="L2078" s="58">
        <v>1478</v>
      </c>
      <c r="M2078" s="59">
        <v>10</v>
      </c>
      <c r="N2078" s="59">
        <v>10</v>
      </c>
      <c r="O2078" s="59" t="s">
        <v>3581</v>
      </c>
      <c r="P2078" s="58">
        <v>306</v>
      </c>
      <c r="Q2078" s="59">
        <v>0</v>
      </c>
      <c r="R2078" s="59">
        <v>0</v>
      </c>
      <c r="S2078" s="60">
        <f>tblJTL[[#This Row],[timeStamp]]/86400000+DATE(1970,1,1)+TIME(9,0,0)</f>
        <v>46296.422576793979</v>
      </c>
      <c r="T2078" s="57">
        <f>tblJTL[[#This Row],[timeStamp]]+tblJTL[[#This Row],[elapsed]]</f>
        <v>1790816910947</v>
      </c>
      <c r="U2078" s="61">
        <f>(tblJTL[[#This Row],[timeStamp]]-'17_分析サンプル'!$E$18)/1000</f>
        <v>510.45499999999998</v>
      </c>
      <c r="V2078" s="57">
        <f>INT(tblJTL[[#This Row],[経過秒]]/60)</f>
        <v>8</v>
      </c>
      <c r="W2078" s="57">
        <f>IF(OR(tblJTL[[#This Row],[success]]=FALSE,tblJTL[[#This Row],[success]]="false"),1,0)</f>
        <v>0</v>
      </c>
      <c r="X2078" s="57">
        <f>IF(AND(tblJTL[[#This Row],[経過秒]]&gt;='17_分析サンプル'!$E$11,tblJTL[[#This Row],[経過秒]]&lt;'17_分析サンプル'!$E$12),1,0)</f>
        <v>1</v>
      </c>
    </row>
    <row r="2079" spans="2:24" ht="14.4" x14ac:dyDescent="0.3">
      <c r="B2079" s="57">
        <v>1790816911142</v>
      </c>
      <c r="C2079" s="58">
        <v>70</v>
      </c>
      <c r="D2079" s="59" t="s">
        <v>1658</v>
      </c>
      <c r="E2079" s="59" t="s">
        <v>1577</v>
      </c>
      <c r="F2079" s="59" t="s">
        <v>2275</v>
      </c>
      <c r="G2079" s="59" t="s">
        <v>3583</v>
      </c>
      <c r="H2079" s="59" t="s">
        <v>2281</v>
      </c>
      <c r="I2079" s="59" t="b">
        <v>1</v>
      </c>
      <c r="J2079" s="59"/>
      <c r="K2079" s="58">
        <v>1879</v>
      </c>
      <c r="L2079" s="58">
        <v>1342</v>
      </c>
      <c r="M2079" s="59">
        <v>10</v>
      </c>
      <c r="N2079" s="59">
        <v>10</v>
      </c>
      <c r="O2079" s="59" t="s">
        <v>3578</v>
      </c>
      <c r="P2079" s="58">
        <v>64</v>
      </c>
      <c r="Q2079" s="59">
        <v>0</v>
      </c>
      <c r="R2079" s="59">
        <v>0</v>
      </c>
      <c r="S2079" s="60">
        <f>tblJTL[[#This Row],[timeStamp]]/86400000+DATE(1970,1,1)+TIME(9,0,0)</f>
        <v>46296.422582662039</v>
      </c>
      <c r="T2079" s="57">
        <f>tblJTL[[#This Row],[timeStamp]]+tblJTL[[#This Row],[elapsed]]</f>
        <v>1790816911212</v>
      </c>
      <c r="U2079" s="61">
        <f>(tblJTL[[#This Row],[timeStamp]]-'17_分析サンプル'!$E$18)/1000</f>
        <v>510.96199999999999</v>
      </c>
      <c r="V2079" s="57">
        <f>INT(tblJTL[[#This Row],[経過秒]]/60)</f>
        <v>8</v>
      </c>
      <c r="W2079" s="57">
        <f>IF(OR(tblJTL[[#This Row],[success]]=FALSE,tblJTL[[#This Row],[success]]="false"),1,0)</f>
        <v>0</v>
      </c>
      <c r="X2079" s="57">
        <f>IF(AND(tblJTL[[#This Row],[経過秒]]&gt;='17_分析サンプル'!$E$11,tblJTL[[#This Row],[経過秒]]&lt;'17_分析サンプル'!$E$12),1,0)</f>
        <v>1</v>
      </c>
    </row>
    <row r="2080" spans="2:24" ht="14.4" x14ac:dyDescent="0.3">
      <c r="B2080" s="57">
        <v>1790816911366</v>
      </c>
      <c r="C2080" s="58">
        <v>59</v>
      </c>
      <c r="D2080" s="59" t="s">
        <v>1658</v>
      </c>
      <c r="E2080" s="59" t="s">
        <v>1577</v>
      </c>
      <c r="F2080" s="59" t="s">
        <v>2275</v>
      </c>
      <c r="G2080" s="59" t="s">
        <v>3577</v>
      </c>
      <c r="H2080" s="59" t="s">
        <v>2281</v>
      </c>
      <c r="I2080" s="59" t="b">
        <v>1</v>
      </c>
      <c r="J2080" s="59"/>
      <c r="K2080" s="58">
        <v>1825</v>
      </c>
      <c r="L2080" s="58">
        <v>1342</v>
      </c>
      <c r="M2080" s="59">
        <v>10</v>
      </c>
      <c r="N2080" s="59">
        <v>10</v>
      </c>
      <c r="O2080" s="59" t="s">
        <v>3578</v>
      </c>
      <c r="P2080" s="58">
        <v>55</v>
      </c>
      <c r="Q2080" s="59">
        <v>0</v>
      </c>
      <c r="R2080" s="59">
        <v>0</v>
      </c>
      <c r="S2080" s="60">
        <f>tblJTL[[#This Row],[timeStamp]]/86400000+DATE(1970,1,1)+TIME(9,0,0)</f>
        <v>46296.42258525463</v>
      </c>
      <c r="T2080" s="57">
        <f>tblJTL[[#This Row],[timeStamp]]+tblJTL[[#This Row],[elapsed]]</f>
        <v>1790816911425</v>
      </c>
      <c r="U2080" s="61">
        <f>(tblJTL[[#This Row],[timeStamp]]-'17_分析サンプル'!$E$18)/1000</f>
        <v>511.18599999999998</v>
      </c>
      <c r="V2080" s="57">
        <f>INT(tblJTL[[#This Row],[経過秒]]/60)</f>
        <v>8</v>
      </c>
      <c r="W2080" s="57">
        <f>IF(OR(tblJTL[[#This Row],[success]]=FALSE,tblJTL[[#This Row],[success]]="false"),1,0)</f>
        <v>0</v>
      </c>
      <c r="X2080" s="57">
        <f>IF(AND(tblJTL[[#This Row],[経過秒]]&gt;='17_分析サンプル'!$E$11,tblJTL[[#This Row],[経過秒]]&lt;'17_分析サンプル'!$E$12),1,0)</f>
        <v>1</v>
      </c>
    </row>
    <row r="2081" spans="2:24" ht="14.4" x14ac:dyDescent="0.3">
      <c r="B2081" s="57">
        <v>1790816911225</v>
      </c>
      <c r="C2081" s="58">
        <v>244</v>
      </c>
      <c r="D2081" s="59" t="s">
        <v>1677</v>
      </c>
      <c r="E2081" s="59" t="s">
        <v>3579</v>
      </c>
      <c r="F2081" s="59" t="s">
        <v>3580</v>
      </c>
      <c r="G2081" s="59" t="s">
        <v>3586</v>
      </c>
      <c r="H2081" s="59" t="s">
        <v>2281</v>
      </c>
      <c r="I2081" s="59" t="b">
        <v>1</v>
      </c>
      <c r="J2081" s="59"/>
      <c r="K2081" s="58">
        <v>419</v>
      </c>
      <c r="L2081" s="58">
        <v>1478</v>
      </c>
      <c r="M2081" s="59">
        <v>10</v>
      </c>
      <c r="N2081" s="59">
        <v>10</v>
      </c>
      <c r="O2081" s="59" t="s">
        <v>3581</v>
      </c>
      <c r="P2081" s="58">
        <v>239</v>
      </c>
      <c r="Q2081" s="59">
        <v>0</v>
      </c>
      <c r="R2081" s="59">
        <v>0</v>
      </c>
      <c r="S2081" s="60">
        <f>tblJTL[[#This Row],[timeStamp]]/86400000+DATE(1970,1,1)+TIME(9,0,0)</f>
        <v>46296.422583622683</v>
      </c>
      <c r="T2081" s="57">
        <f>tblJTL[[#This Row],[timeStamp]]+tblJTL[[#This Row],[elapsed]]</f>
        <v>1790816911469</v>
      </c>
      <c r="U2081" s="61">
        <f>(tblJTL[[#This Row],[timeStamp]]-'17_分析サンプル'!$E$18)/1000</f>
        <v>511.04500000000002</v>
      </c>
      <c r="V2081" s="57">
        <f>INT(tblJTL[[#This Row],[経過秒]]/60)</f>
        <v>8</v>
      </c>
      <c r="W2081" s="57">
        <f>IF(OR(tblJTL[[#This Row],[success]]=FALSE,tblJTL[[#This Row],[success]]="false"),1,0)</f>
        <v>0</v>
      </c>
      <c r="X2081" s="57">
        <f>IF(AND(tblJTL[[#This Row],[経過秒]]&gt;='17_分析サンプル'!$E$11,tblJTL[[#This Row],[経過秒]]&lt;'17_分析サンプル'!$E$12),1,0)</f>
        <v>1</v>
      </c>
    </row>
    <row r="2082" spans="2:24" ht="14.4" x14ac:dyDescent="0.3">
      <c r="B2082" s="57">
        <v>1790816911298</v>
      </c>
      <c r="C2082" s="58">
        <v>303</v>
      </c>
      <c r="D2082" s="59" t="s">
        <v>1677</v>
      </c>
      <c r="E2082" s="59" t="s">
        <v>3579</v>
      </c>
      <c r="F2082" s="59" t="s">
        <v>3580</v>
      </c>
      <c r="G2082" s="59" t="s">
        <v>3589</v>
      </c>
      <c r="H2082" s="59" t="s">
        <v>2281</v>
      </c>
      <c r="I2082" s="59" t="b">
        <v>1</v>
      </c>
      <c r="J2082" s="59"/>
      <c r="K2082" s="58">
        <v>436</v>
      </c>
      <c r="L2082" s="58">
        <v>1478</v>
      </c>
      <c r="M2082" s="59">
        <v>10</v>
      </c>
      <c r="N2082" s="59">
        <v>10</v>
      </c>
      <c r="O2082" s="59" t="s">
        <v>3581</v>
      </c>
      <c r="P2082" s="58">
        <v>300</v>
      </c>
      <c r="Q2082" s="59">
        <v>0</v>
      </c>
      <c r="R2082" s="59">
        <v>0</v>
      </c>
      <c r="S2082" s="60">
        <f>tblJTL[[#This Row],[timeStamp]]/86400000+DATE(1970,1,1)+TIME(9,0,0)</f>
        <v>46296.422584467597</v>
      </c>
      <c r="T2082" s="57">
        <f>tblJTL[[#This Row],[timeStamp]]+tblJTL[[#This Row],[elapsed]]</f>
        <v>1790816911601</v>
      </c>
      <c r="U2082" s="61">
        <f>(tblJTL[[#This Row],[timeStamp]]-'17_分析サンプル'!$E$18)/1000</f>
        <v>511.11799999999999</v>
      </c>
      <c r="V2082" s="57">
        <f>INT(tblJTL[[#This Row],[経過秒]]/60)</f>
        <v>8</v>
      </c>
      <c r="W2082" s="57">
        <f>IF(OR(tblJTL[[#This Row],[success]]=FALSE,tblJTL[[#This Row],[success]]="false"),1,0)</f>
        <v>0</v>
      </c>
      <c r="X2082" s="57">
        <f>IF(AND(tblJTL[[#This Row],[経過秒]]&gt;='17_分析サンプル'!$E$11,tblJTL[[#This Row],[経過秒]]&lt;'17_分析サンプル'!$E$12),1,0)</f>
        <v>1</v>
      </c>
    </row>
    <row r="2083" spans="2:24" ht="14.4" x14ac:dyDescent="0.3">
      <c r="B2083" s="57">
        <v>1790816911538</v>
      </c>
      <c r="C2083" s="58">
        <v>147</v>
      </c>
      <c r="D2083" s="59" t="s">
        <v>1658</v>
      </c>
      <c r="E2083" s="59" t="s">
        <v>1577</v>
      </c>
      <c r="F2083" s="59" t="s">
        <v>2275</v>
      </c>
      <c r="G2083" s="59" t="s">
        <v>3584</v>
      </c>
      <c r="H2083" s="59" t="s">
        <v>2281</v>
      </c>
      <c r="I2083" s="59" t="b">
        <v>1</v>
      </c>
      <c r="J2083" s="59"/>
      <c r="K2083" s="58">
        <v>1860</v>
      </c>
      <c r="L2083" s="58">
        <v>1342</v>
      </c>
      <c r="M2083" s="59">
        <v>10</v>
      </c>
      <c r="N2083" s="59">
        <v>10</v>
      </c>
      <c r="O2083" s="59" t="s">
        <v>3578</v>
      </c>
      <c r="P2083" s="58">
        <v>144</v>
      </c>
      <c r="Q2083" s="59">
        <v>0</v>
      </c>
      <c r="R2083" s="59">
        <v>0</v>
      </c>
      <c r="S2083" s="60">
        <f>tblJTL[[#This Row],[timeStamp]]/86400000+DATE(1970,1,1)+TIME(9,0,0)</f>
        <v>46296.422587245368</v>
      </c>
      <c r="T2083" s="57">
        <f>tblJTL[[#This Row],[timeStamp]]+tblJTL[[#This Row],[elapsed]]</f>
        <v>1790816911685</v>
      </c>
      <c r="U2083" s="61">
        <f>(tblJTL[[#This Row],[timeStamp]]-'17_分析サンプル'!$E$18)/1000</f>
        <v>511.358</v>
      </c>
      <c r="V2083" s="57">
        <f>INT(tblJTL[[#This Row],[経過秒]]/60)</f>
        <v>8</v>
      </c>
      <c r="W2083" s="57">
        <f>IF(OR(tblJTL[[#This Row],[success]]=FALSE,tblJTL[[#This Row],[success]]="false"),1,0)</f>
        <v>0</v>
      </c>
      <c r="X2083" s="57">
        <f>IF(AND(tblJTL[[#This Row],[経過秒]]&gt;='17_分析サンプル'!$E$11,tblJTL[[#This Row],[経過秒]]&lt;'17_分析サンプル'!$E$12),1,0)</f>
        <v>1</v>
      </c>
    </row>
    <row r="2084" spans="2:24" ht="14.4" x14ac:dyDescent="0.3">
      <c r="B2084" s="57">
        <v>1790816911547</v>
      </c>
      <c r="C2084" s="58">
        <v>226</v>
      </c>
      <c r="D2084" s="59" t="s">
        <v>1677</v>
      </c>
      <c r="E2084" s="59" t="s">
        <v>3579</v>
      </c>
      <c r="F2084" s="59" t="s">
        <v>3580</v>
      </c>
      <c r="G2084" s="59" t="s">
        <v>3582</v>
      </c>
      <c r="H2084" s="59" t="s">
        <v>2281</v>
      </c>
      <c r="I2084" s="59" t="b">
        <v>1</v>
      </c>
      <c r="J2084" s="59"/>
      <c r="K2084" s="58">
        <v>427</v>
      </c>
      <c r="L2084" s="58">
        <v>1478</v>
      </c>
      <c r="M2084" s="59">
        <v>10</v>
      </c>
      <c r="N2084" s="59">
        <v>10</v>
      </c>
      <c r="O2084" s="59" t="s">
        <v>3581</v>
      </c>
      <c r="P2084" s="58">
        <v>224</v>
      </c>
      <c r="Q2084" s="59">
        <v>0</v>
      </c>
      <c r="R2084" s="59">
        <v>0</v>
      </c>
      <c r="S2084" s="60">
        <f>tblJTL[[#This Row],[timeStamp]]/86400000+DATE(1970,1,1)+TIME(9,0,0)</f>
        <v>46296.422587349538</v>
      </c>
      <c r="T2084" s="57">
        <f>tblJTL[[#This Row],[timeStamp]]+tblJTL[[#This Row],[elapsed]]</f>
        <v>1790816911773</v>
      </c>
      <c r="U2084" s="61">
        <f>(tblJTL[[#This Row],[timeStamp]]-'17_分析サンプル'!$E$18)/1000</f>
        <v>511.36700000000002</v>
      </c>
      <c r="V2084" s="57">
        <f>INT(tblJTL[[#This Row],[経過秒]]/60)</f>
        <v>8</v>
      </c>
      <c r="W2084" s="57">
        <f>IF(OR(tblJTL[[#This Row],[success]]=FALSE,tblJTL[[#This Row],[success]]="false"),1,0)</f>
        <v>0</v>
      </c>
      <c r="X2084" s="57">
        <f>IF(AND(tblJTL[[#This Row],[経過秒]]&gt;='17_分析サンプル'!$E$11,tblJTL[[#This Row],[経過秒]]&lt;'17_分析サンプル'!$E$12),1,0)</f>
        <v>1</v>
      </c>
    </row>
    <row r="2085" spans="2:24" ht="14.4" x14ac:dyDescent="0.3">
      <c r="B2085" s="57">
        <v>1790816911651</v>
      </c>
      <c r="C2085" s="58">
        <v>400</v>
      </c>
      <c r="D2085" s="59" t="s">
        <v>1677</v>
      </c>
      <c r="E2085" s="59" t="s">
        <v>3579</v>
      </c>
      <c r="F2085" s="59" t="s">
        <v>3580</v>
      </c>
      <c r="G2085" s="59" t="s">
        <v>3587</v>
      </c>
      <c r="H2085" s="59" t="s">
        <v>2281</v>
      </c>
      <c r="I2085" s="59" t="b">
        <v>1</v>
      </c>
      <c r="J2085" s="59"/>
      <c r="K2085" s="58">
        <v>425</v>
      </c>
      <c r="L2085" s="58">
        <v>1478</v>
      </c>
      <c r="M2085" s="59">
        <v>10</v>
      </c>
      <c r="N2085" s="59">
        <v>10</v>
      </c>
      <c r="O2085" s="59" t="s">
        <v>3581</v>
      </c>
      <c r="P2085" s="58">
        <v>395</v>
      </c>
      <c r="Q2085" s="59">
        <v>0</v>
      </c>
      <c r="R2085" s="59">
        <v>0</v>
      </c>
      <c r="S2085" s="60">
        <f>tblJTL[[#This Row],[timeStamp]]/86400000+DATE(1970,1,1)+TIME(9,0,0)</f>
        <v>46296.422588553236</v>
      </c>
      <c r="T2085" s="57">
        <f>tblJTL[[#This Row],[timeStamp]]+tblJTL[[#This Row],[elapsed]]</f>
        <v>1790816912051</v>
      </c>
      <c r="U2085" s="61">
        <f>(tblJTL[[#This Row],[timeStamp]]-'17_分析サンプル'!$E$18)/1000</f>
        <v>511.471</v>
      </c>
      <c r="V2085" s="57">
        <f>INT(tblJTL[[#This Row],[経過秒]]/60)</f>
        <v>8</v>
      </c>
      <c r="W2085" s="57">
        <f>IF(OR(tblJTL[[#This Row],[success]]=FALSE,tblJTL[[#This Row],[success]]="false"),1,0)</f>
        <v>0</v>
      </c>
      <c r="X2085" s="57">
        <f>IF(AND(tblJTL[[#This Row],[経過秒]]&gt;='17_分析サンプル'!$E$11,tblJTL[[#This Row],[経過秒]]&lt;'17_分析サンプル'!$E$12),1,0)</f>
        <v>1</v>
      </c>
    </row>
    <row r="2086" spans="2:24" ht="14.4" x14ac:dyDescent="0.3">
      <c r="B2086" s="57">
        <v>1790816912143</v>
      </c>
      <c r="C2086" s="58">
        <v>94</v>
      </c>
      <c r="D2086" s="59" t="s">
        <v>1658</v>
      </c>
      <c r="E2086" s="59" t="s">
        <v>1577</v>
      </c>
      <c r="F2086" s="59" t="s">
        <v>2275</v>
      </c>
      <c r="G2086" s="59" t="s">
        <v>3588</v>
      </c>
      <c r="H2086" s="59" t="s">
        <v>2281</v>
      </c>
      <c r="I2086" s="59" t="b">
        <v>1</v>
      </c>
      <c r="J2086" s="59"/>
      <c r="K2086" s="58">
        <v>1858</v>
      </c>
      <c r="L2086" s="58">
        <v>1342</v>
      </c>
      <c r="M2086" s="59">
        <v>10</v>
      </c>
      <c r="N2086" s="59">
        <v>10</v>
      </c>
      <c r="O2086" s="59" t="s">
        <v>3578</v>
      </c>
      <c r="P2086" s="58">
        <v>87</v>
      </c>
      <c r="Q2086" s="59">
        <v>0</v>
      </c>
      <c r="R2086" s="59">
        <v>0</v>
      </c>
      <c r="S2086" s="60">
        <f>tblJTL[[#This Row],[timeStamp]]/86400000+DATE(1970,1,1)+TIME(9,0,0)</f>
        <v>46296.422594247684</v>
      </c>
      <c r="T2086" s="57">
        <f>tblJTL[[#This Row],[timeStamp]]+tblJTL[[#This Row],[elapsed]]</f>
        <v>1790816912237</v>
      </c>
      <c r="U2086" s="61">
        <f>(tblJTL[[#This Row],[timeStamp]]-'17_分析サンプル'!$E$18)/1000</f>
        <v>511.96300000000002</v>
      </c>
      <c r="V2086" s="57">
        <f>INT(tblJTL[[#This Row],[経過秒]]/60)</f>
        <v>8</v>
      </c>
      <c r="W2086" s="57">
        <f>IF(OR(tblJTL[[#This Row],[success]]=FALSE,tblJTL[[#This Row],[success]]="false"),1,0)</f>
        <v>0</v>
      </c>
      <c r="X2086" s="57">
        <f>IF(AND(tblJTL[[#This Row],[経過秒]]&gt;='17_分析サンプル'!$E$11,tblJTL[[#This Row],[経過秒]]&lt;'17_分析サンプル'!$E$12),1,0)</f>
        <v>1</v>
      </c>
    </row>
    <row r="2087" spans="2:24" ht="14.4" x14ac:dyDescent="0.3">
      <c r="B2087" s="57">
        <v>1790816912173</v>
      </c>
      <c r="C2087" s="58">
        <v>112</v>
      </c>
      <c r="D2087" s="59" t="s">
        <v>1677</v>
      </c>
      <c r="E2087" s="59" t="s">
        <v>3579</v>
      </c>
      <c r="F2087" s="59" t="s">
        <v>3580</v>
      </c>
      <c r="G2087" s="59" t="s">
        <v>3585</v>
      </c>
      <c r="H2087" s="59" t="s">
        <v>2281</v>
      </c>
      <c r="I2087" s="59" t="b">
        <v>1</v>
      </c>
      <c r="J2087" s="59"/>
      <c r="K2087" s="58">
        <v>421</v>
      </c>
      <c r="L2087" s="58">
        <v>1478</v>
      </c>
      <c r="M2087" s="59">
        <v>10</v>
      </c>
      <c r="N2087" s="59">
        <v>10</v>
      </c>
      <c r="O2087" s="59" t="s">
        <v>3581</v>
      </c>
      <c r="P2087" s="58">
        <v>105</v>
      </c>
      <c r="Q2087" s="59">
        <v>0</v>
      </c>
      <c r="R2087" s="59">
        <v>0</v>
      </c>
      <c r="S2087" s="60">
        <f>tblJTL[[#This Row],[timeStamp]]/86400000+DATE(1970,1,1)+TIME(9,0,0)</f>
        <v>46296.422594594907</v>
      </c>
      <c r="T2087" s="57">
        <f>tblJTL[[#This Row],[timeStamp]]+tblJTL[[#This Row],[elapsed]]</f>
        <v>1790816912285</v>
      </c>
      <c r="U2087" s="61">
        <f>(tblJTL[[#This Row],[timeStamp]]-'17_分析サンプル'!$E$18)/1000</f>
        <v>511.99299999999999</v>
      </c>
      <c r="V2087" s="57">
        <f>INT(tblJTL[[#This Row],[経過秒]]/60)</f>
        <v>8</v>
      </c>
      <c r="W2087" s="57">
        <f>IF(OR(tblJTL[[#This Row],[success]]=FALSE,tblJTL[[#This Row],[success]]="false"),1,0)</f>
        <v>0</v>
      </c>
      <c r="X2087" s="57">
        <f>IF(AND(tblJTL[[#This Row],[経過秒]]&gt;='17_分析サンプル'!$E$11,tblJTL[[#This Row],[経過秒]]&lt;'17_分析サンプル'!$E$12),1,0)</f>
        <v>1</v>
      </c>
    </row>
    <row r="2088" spans="2:24" ht="14.4" x14ac:dyDescent="0.3">
      <c r="B2088" s="57">
        <v>1790816912281</v>
      </c>
      <c r="C2088" s="58">
        <v>217</v>
      </c>
      <c r="D2088" s="59" t="s">
        <v>1677</v>
      </c>
      <c r="E2088" s="59" t="s">
        <v>3579</v>
      </c>
      <c r="F2088" s="59" t="s">
        <v>3580</v>
      </c>
      <c r="G2088" s="59" t="s">
        <v>2278</v>
      </c>
      <c r="H2088" s="59" t="s">
        <v>2281</v>
      </c>
      <c r="I2088" s="59" t="b">
        <v>1</v>
      </c>
      <c r="J2088" s="59"/>
      <c r="K2088" s="58">
        <v>413</v>
      </c>
      <c r="L2088" s="58">
        <v>1478</v>
      </c>
      <c r="M2088" s="59">
        <v>10</v>
      </c>
      <c r="N2088" s="59">
        <v>10</v>
      </c>
      <c r="O2088" s="59" t="s">
        <v>3581</v>
      </c>
      <c r="P2088" s="58">
        <v>213</v>
      </c>
      <c r="Q2088" s="59">
        <v>0</v>
      </c>
      <c r="R2088" s="59">
        <v>0</v>
      </c>
      <c r="S2088" s="60">
        <f>tblJTL[[#This Row],[timeStamp]]/86400000+DATE(1970,1,1)+TIME(9,0,0)</f>
        <v>46296.42259584491</v>
      </c>
      <c r="T2088" s="57">
        <f>tblJTL[[#This Row],[timeStamp]]+tblJTL[[#This Row],[elapsed]]</f>
        <v>1790816912498</v>
      </c>
      <c r="U2088" s="61">
        <f>(tblJTL[[#This Row],[timeStamp]]-'17_分析サンプル'!$E$18)/1000</f>
        <v>512.101</v>
      </c>
      <c r="V2088" s="57">
        <f>INT(tblJTL[[#This Row],[経過秒]]/60)</f>
        <v>8</v>
      </c>
      <c r="W2088" s="57">
        <f>IF(OR(tblJTL[[#This Row],[success]]=FALSE,tblJTL[[#This Row],[success]]="false"),1,0)</f>
        <v>0</v>
      </c>
      <c r="X2088" s="57">
        <f>IF(AND(tblJTL[[#This Row],[経過秒]]&gt;='17_分析サンプル'!$E$11,tblJTL[[#This Row],[経過秒]]&lt;'17_分析サンプル'!$E$12),1,0)</f>
        <v>1</v>
      </c>
    </row>
    <row r="2089" spans="2:24" ht="14.4" x14ac:dyDescent="0.3">
      <c r="B2089" s="57">
        <v>1790816912599</v>
      </c>
      <c r="C2089" s="58">
        <v>266</v>
      </c>
      <c r="D2089" s="59" t="s">
        <v>1677</v>
      </c>
      <c r="E2089" s="59" t="s">
        <v>3579</v>
      </c>
      <c r="F2089" s="59" t="s">
        <v>3580</v>
      </c>
      <c r="G2089" s="59" t="s">
        <v>3577</v>
      </c>
      <c r="H2089" s="59" t="s">
        <v>2281</v>
      </c>
      <c r="I2089" s="59" t="b">
        <v>1</v>
      </c>
      <c r="J2089" s="59"/>
      <c r="K2089" s="58">
        <v>436</v>
      </c>
      <c r="L2089" s="58">
        <v>1478</v>
      </c>
      <c r="M2089" s="59">
        <v>10</v>
      </c>
      <c r="N2089" s="59">
        <v>10</v>
      </c>
      <c r="O2089" s="59" t="s">
        <v>3581</v>
      </c>
      <c r="P2089" s="58">
        <v>258</v>
      </c>
      <c r="Q2089" s="59">
        <v>0</v>
      </c>
      <c r="R2089" s="59">
        <v>0</v>
      </c>
      <c r="S2089" s="60">
        <f>tblJTL[[#This Row],[timeStamp]]/86400000+DATE(1970,1,1)+TIME(9,0,0)</f>
        <v>46296.422599525467</v>
      </c>
      <c r="T2089" s="57">
        <f>tblJTL[[#This Row],[timeStamp]]+tblJTL[[#This Row],[elapsed]]</f>
        <v>1790816912865</v>
      </c>
      <c r="U2089" s="61">
        <f>(tblJTL[[#This Row],[timeStamp]]-'17_分析サンプル'!$E$18)/1000</f>
        <v>512.41899999999998</v>
      </c>
      <c r="V2089" s="57">
        <f>INT(tblJTL[[#This Row],[経過秒]]/60)</f>
        <v>8</v>
      </c>
      <c r="W2089" s="57">
        <f>IF(OR(tblJTL[[#This Row],[success]]=FALSE,tblJTL[[#This Row],[success]]="false"),1,0)</f>
        <v>0</v>
      </c>
      <c r="X2089" s="57">
        <f>IF(AND(tblJTL[[#This Row],[経過秒]]&gt;='17_分析サンプル'!$E$11,tblJTL[[#This Row],[経過秒]]&lt;'17_分析サンプル'!$E$12),1,0)</f>
        <v>1</v>
      </c>
    </row>
    <row r="2090" spans="2:24" ht="14.4" x14ac:dyDescent="0.3">
      <c r="B2090" s="57">
        <v>1790816912978</v>
      </c>
      <c r="C2090" s="58">
        <v>91</v>
      </c>
      <c r="D2090" s="59" t="s">
        <v>1658</v>
      </c>
      <c r="E2090" s="59" t="s">
        <v>1577</v>
      </c>
      <c r="F2090" s="59" t="s">
        <v>2275</v>
      </c>
      <c r="G2090" s="59" t="s">
        <v>3589</v>
      </c>
      <c r="H2090" s="59" t="s">
        <v>2281</v>
      </c>
      <c r="I2090" s="59" t="b">
        <v>1</v>
      </c>
      <c r="J2090" s="59"/>
      <c r="K2090" s="58">
        <v>1897</v>
      </c>
      <c r="L2090" s="58">
        <v>1342</v>
      </c>
      <c r="M2090" s="59">
        <v>10</v>
      </c>
      <c r="N2090" s="59">
        <v>10</v>
      </c>
      <c r="O2090" s="59" t="s">
        <v>3578</v>
      </c>
      <c r="P2090" s="58">
        <v>83</v>
      </c>
      <c r="Q2090" s="59">
        <v>0</v>
      </c>
      <c r="R2090" s="59">
        <v>0</v>
      </c>
      <c r="S2090" s="60">
        <f>tblJTL[[#This Row],[timeStamp]]/86400000+DATE(1970,1,1)+TIME(9,0,0)</f>
        <v>46296.42260391204</v>
      </c>
      <c r="T2090" s="57">
        <f>tblJTL[[#This Row],[timeStamp]]+tblJTL[[#This Row],[elapsed]]</f>
        <v>1790816913069</v>
      </c>
      <c r="U2090" s="61">
        <f>(tblJTL[[#This Row],[timeStamp]]-'17_分析サンプル'!$E$18)/1000</f>
        <v>512.798</v>
      </c>
      <c r="V2090" s="57">
        <f>INT(tblJTL[[#This Row],[経過秒]]/60)</f>
        <v>8</v>
      </c>
      <c r="W2090" s="57">
        <f>IF(OR(tblJTL[[#This Row],[success]]=FALSE,tblJTL[[#This Row],[success]]="false"),1,0)</f>
        <v>0</v>
      </c>
      <c r="X2090" s="57">
        <f>IF(AND(tblJTL[[#This Row],[経過秒]]&gt;='17_分析サンプル'!$E$11,tblJTL[[#This Row],[経過秒]]&lt;'17_分析サンプル'!$E$12),1,0)</f>
        <v>1</v>
      </c>
    </row>
    <row r="2091" spans="2:24" ht="14.4" x14ac:dyDescent="0.3">
      <c r="B2091" s="57">
        <v>1790816913599</v>
      </c>
      <c r="C2091" s="58">
        <v>94</v>
      </c>
      <c r="D2091" s="59" t="s">
        <v>1658</v>
      </c>
      <c r="E2091" s="59" t="s">
        <v>1577</v>
      </c>
      <c r="F2091" s="59" t="s">
        <v>2275</v>
      </c>
      <c r="G2091" s="59" t="s">
        <v>3585</v>
      </c>
      <c r="H2091" s="59" t="s">
        <v>2281</v>
      </c>
      <c r="I2091" s="59" t="b">
        <v>1</v>
      </c>
      <c r="J2091" s="59"/>
      <c r="K2091" s="58">
        <v>1898</v>
      </c>
      <c r="L2091" s="58">
        <v>1342</v>
      </c>
      <c r="M2091" s="59">
        <v>10</v>
      </c>
      <c r="N2091" s="59">
        <v>10</v>
      </c>
      <c r="O2091" s="59" t="s">
        <v>3578</v>
      </c>
      <c r="P2091" s="58">
        <v>91</v>
      </c>
      <c r="Q2091" s="59">
        <v>0</v>
      </c>
      <c r="R2091" s="59">
        <v>0</v>
      </c>
      <c r="S2091" s="60">
        <f>tblJTL[[#This Row],[timeStamp]]/86400000+DATE(1970,1,1)+TIME(9,0,0)</f>
        <v>46296.422611099537</v>
      </c>
      <c r="T2091" s="57">
        <f>tblJTL[[#This Row],[timeStamp]]+tblJTL[[#This Row],[elapsed]]</f>
        <v>1790816913693</v>
      </c>
      <c r="U2091" s="61">
        <f>(tblJTL[[#This Row],[timeStamp]]-'17_分析サンプル'!$E$18)/1000</f>
        <v>513.41899999999998</v>
      </c>
      <c r="V2091" s="57">
        <f>INT(tblJTL[[#This Row],[経過秒]]/60)</f>
        <v>8</v>
      </c>
      <c r="W2091" s="57">
        <f>IF(OR(tblJTL[[#This Row],[success]]=FALSE,tblJTL[[#This Row],[success]]="false"),1,0)</f>
        <v>0</v>
      </c>
      <c r="X2091" s="57">
        <f>IF(AND(tblJTL[[#This Row],[経過秒]]&gt;='17_分析サンプル'!$E$11,tblJTL[[#This Row],[経過秒]]&lt;'17_分析サンプル'!$E$12),1,0)</f>
        <v>1</v>
      </c>
    </row>
    <row r="2092" spans="2:24" ht="14.4" x14ac:dyDescent="0.3">
      <c r="B2092" s="57">
        <v>1790816913638</v>
      </c>
      <c r="C2092" s="58">
        <v>126</v>
      </c>
      <c r="D2092" s="59" t="s">
        <v>1658</v>
      </c>
      <c r="E2092" s="59" t="s">
        <v>1577</v>
      </c>
      <c r="F2092" s="59" t="s">
        <v>2275</v>
      </c>
      <c r="G2092" s="59" t="s">
        <v>3586</v>
      </c>
      <c r="H2092" s="59" t="s">
        <v>2281</v>
      </c>
      <c r="I2092" s="59" t="b">
        <v>1</v>
      </c>
      <c r="J2092" s="59"/>
      <c r="K2092" s="58">
        <v>1892</v>
      </c>
      <c r="L2092" s="58">
        <v>1342</v>
      </c>
      <c r="M2092" s="59">
        <v>10</v>
      </c>
      <c r="N2092" s="59">
        <v>10</v>
      </c>
      <c r="O2092" s="59" t="s">
        <v>3578</v>
      </c>
      <c r="P2092" s="58">
        <v>121</v>
      </c>
      <c r="Q2092" s="59">
        <v>0</v>
      </c>
      <c r="R2092" s="59">
        <v>0</v>
      </c>
      <c r="S2092" s="60">
        <f>tblJTL[[#This Row],[timeStamp]]/86400000+DATE(1970,1,1)+TIME(9,0,0)</f>
        <v>46296.422611550923</v>
      </c>
      <c r="T2092" s="57">
        <f>tblJTL[[#This Row],[timeStamp]]+tblJTL[[#This Row],[elapsed]]</f>
        <v>1790816913764</v>
      </c>
      <c r="U2092" s="61">
        <f>(tblJTL[[#This Row],[timeStamp]]-'17_分析サンプル'!$E$18)/1000</f>
        <v>513.45799999999997</v>
      </c>
      <c r="V2092" s="57">
        <f>INT(tblJTL[[#This Row],[経過秒]]/60)</f>
        <v>8</v>
      </c>
      <c r="W2092" s="57">
        <f>IF(OR(tblJTL[[#This Row],[success]]=FALSE,tblJTL[[#This Row],[success]]="false"),1,0)</f>
        <v>0</v>
      </c>
      <c r="X2092" s="57">
        <f>IF(AND(tblJTL[[#This Row],[経過秒]]&gt;='17_分析サンプル'!$E$11,tblJTL[[#This Row],[経過秒]]&lt;'17_分析サンプル'!$E$12),1,0)</f>
        <v>1</v>
      </c>
    </row>
    <row r="2093" spans="2:24" ht="14.4" x14ac:dyDescent="0.3">
      <c r="B2093" s="57">
        <v>1790816913639</v>
      </c>
      <c r="C2093" s="58">
        <v>130</v>
      </c>
      <c r="D2093" s="59" t="s">
        <v>1658</v>
      </c>
      <c r="E2093" s="59" t="s">
        <v>1577</v>
      </c>
      <c r="F2093" s="59" t="s">
        <v>2275</v>
      </c>
      <c r="G2093" s="59" t="s">
        <v>3582</v>
      </c>
      <c r="H2093" s="59" t="s">
        <v>2281</v>
      </c>
      <c r="I2093" s="59" t="b">
        <v>1</v>
      </c>
      <c r="J2093" s="59"/>
      <c r="K2093" s="58">
        <v>1876</v>
      </c>
      <c r="L2093" s="58">
        <v>1342</v>
      </c>
      <c r="M2093" s="59">
        <v>10</v>
      </c>
      <c r="N2093" s="59">
        <v>10</v>
      </c>
      <c r="O2093" s="59" t="s">
        <v>3578</v>
      </c>
      <c r="P2093" s="58">
        <v>127</v>
      </c>
      <c r="Q2093" s="59">
        <v>0</v>
      </c>
      <c r="R2093" s="59">
        <v>0</v>
      </c>
      <c r="S2093" s="60">
        <f>tblJTL[[#This Row],[timeStamp]]/86400000+DATE(1970,1,1)+TIME(9,0,0)</f>
        <v>46296.422611562499</v>
      </c>
      <c r="T2093" s="57">
        <f>tblJTL[[#This Row],[timeStamp]]+tblJTL[[#This Row],[elapsed]]</f>
        <v>1790816913769</v>
      </c>
      <c r="U2093" s="61">
        <f>(tblJTL[[#This Row],[timeStamp]]-'17_分析サンプル'!$E$18)/1000</f>
        <v>513.45899999999995</v>
      </c>
      <c r="V2093" s="57">
        <f>INT(tblJTL[[#This Row],[経過秒]]/60)</f>
        <v>8</v>
      </c>
      <c r="W2093" s="57">
        <f>IF(OR(tblJTL[[#This Row],[success]]=FALSE,tblJTL[[#This Row],[success]]="false"),1,0)</f>
        <v>0</v>
      </c>
      <c r="X2093" s="57">
        <f>IF(AND(tblJTL[[#This Row],[経過秒]]&gt;='17_分析サンプル'!$E$11,tblJTL[[#This Row],[経過秒]]&lt;'17_分析サンプル'!$E$12),1,0)</f>
        <v>1</v>
      </c>
    </row>
    <row r="2094" spans="2:24" ht="14.4" x14ac:dyDescent="0.3">
      <c r="B2094" s="57">
        <v>1790816913751</v>
      </c>
      <c r="C2094" s="58">
        <v>120</v>
      </c>
      <c r="D2094" s="59" t="s">
        <v>1658</v>
      </c>
      <c r="E2094" s="59" t="s">
        <v>1577</v>
      </c>
      <c r="F2094" s="59" t="s">
        <v>2275</v>
      </c>
      <c r="G2094" s="59" t="s">
        <v>2278</v>
      </c>
      <c r="H2094" s="59" t="s">
        <v>2281</v>
      </c>
      <c r="I2094" s="59" t="b">
        <v>1</v>
      </c>
      <c r="J2094" s="59"/>
      <c r="K2094" s="58">
        <v>1820</v>
      </c>
      <c r="L2094" s="58">
        <v>1342</v>
      </c>
      <c r="M2094" s="59">
        <v>10</v>
      </c>
      <c r="N2094" s="59">
        <v>10</v>
      </c>
      <c r="O2094" s="59" t="s">
        <v>3578</v>
      </c>
      <c r="P2094" s="58">
        <v>117</v>
      </c>
      <c r="Q2094" s="59">
        <v>0</v>
      </c>
      <c r="R2094" s="59">
        <v>0</v>
      </c>
      <c r="S2094" s="60">
        <f>tblJTL[[#This Row],[timeStamp]]/86400000+DATE(1970,1,1)+TIME(9,0,0)</f>
        <v>46296.422612858798</v>
      </c>
      <c r="T2094" s="57">
        <f>tblJTL[[#This Row],[timeStamp]]+tblJTL[[#This Row],[elapsed]]</f>
        <v>1790816913871</v>
      </c>
      <c r="U2094" s="61">
        <f>(tblJTL[[#This Row],[timeStamp]]-'17_分析サンプル'!$E$18)/1000</f>
        <v>513.57100000000003</v>
      </c>
      <c r="V2094" s="57">
        <f>INT(tblJTL[[#This Row],[経過秒]]/60)</f>
        <v>8</v>
      </c>
      <c r="W2094" s="57">
        <f>IF(OR(tblJTL[[#This Row],[success]]=FALSE,tblJTL[[#This Row],[success]]="false"),1,0)</f>
        <v>0</v>
      </c>
      <c r="X2094" s="57">
        <f>IF(AND(tblJTL[[#This Row],[経過秒]]&gt;='17_分析サンプル'!$E$11,tblJTL[[#This Row],[経過秒]]&lt;'17_分析サンプル'!$E$12),1,0)</f>
        <v>1</v>
      </c>
    </row>
    <row r="2095" spans="2:24" ht="14.4" x14ac:dyDescent="0.3">
      <c r="B2095" s="57">
        <v>1790816914025</v>
      </c>
      <c r="C2095" s="58">
        <v>232</v>
      </c>
      <c r="D2095" s="59" t="s">
        <v>1677</v>
      </c>
      <c r="E2095" s="59" t="s">
        <v>3579</v>
      </c>
      <c r="F2095" s="59" t="s">
        <v>3580</v>
      </c>
      <c r="G2095" s="59" t="s">
        <v>3583</v>
      </c>
      <c r="H2095" s="59" t="s">
        <v>2281</v>
      </c>
      <c r="I2095" s="59" t="b">
        <v>1</v>
      </c>
      <c r="J2095" s="59"/>
      <c r="K2095" s="58">
        <v>437</v>
      </c>
      <c r="L2095" s="58">
        <v>1478</v>
      </c>
      <c r="M2095" s="59">
        <v>10</v>
      </c>
      <c r="N2095" s="59">
        <v>10</v>
      </c>
      <c r="O2095" s="59" t="s">
        <v>3581</v>
      </c>
      <c r="P2095" s="58">
        <v>225</v>
      </c>
      <c r="Q2095" s="59">
        <v>0</v>
      </c>
      <c r="R2095" s="59">
        <v>53</v>
      </c>
      <c r="S2095" s="60">
        <f>tblJTL[[#This Row],[timeStamp]]/86400000+DATE(1970,1,1)+TIME(9,0,0)</f>
        <v>46296.42261603009</v>
      </c>
      <c r="T2095" s="57">
        <f>tblJTL[[#This Row],[timeStamp]]+tblJTL[[#This Row],[elapsed]]</f>
        <v>1790816914257</v>
      </c>
      <c r="U2095" s="61">
        <f>(tblJTL[[#This Row],[timeStamp]]-'17_分析サンプル'!$E$18)/1000</f>
        <v>513.84500000000003</v>
      </c>
      <c r="V2095" s="57">
        <f>INT(tblJTL[[#This Row],[経過秒]]/60)</f>
        <v>8</v>
      </c>
      <c r="W2095" s="57">
        <f>IF(OR(tblJTL[[#This Row],[success]]=FALSE,tblJTL[[#This Row],[success]]="false"),1,0)</f>
        <v>0</v>
      </c>
      <c r="X2095" s="57">
        <f>IF(AND(tblJTL[[#This Row],[経過秒]]&gt;='17_分析サンプル'!$E$11,tblJTL[[#This Row],[経過秒]]&lt;'17_分析サンプル'!$E$12),1,0)</f>
        <v>1</v>
      </c>
    </row>
    <row r="2096" spans="2:24" ht="14.4" x14ac:dyDescent="0.3">
      <c r="B2096" s="57">
        <v>1790816914251</v>
      </c>
      <c r="C2096" s="58">
        <v>273</v>
      </c>
      <c r="D2096" s="59" t="s">
        <v>1677</v>
      </c>
      <c r="E2096" s="59" t="s">
        <v>3579</v>
      </c>
      <c r="F2096" s="59" t="s">
        <v>3580</v>
      </c>
      <c r="G2096" s="59" t="s">
        <v>3588</v>
      </c>
      <c r="H2096" s="59" t="s">
        <v>2281</v>
      </c>
      <c r="I2096" s="59" t="b">
        <v>1</v>
      </c>
      <c r="J2096" s="59"/>
      <c r="K2096" s="58">
        <v>427</v>
      </c>
      <c r="L2096" s="58">
        <v>1478</v>
      </c>
      <c r="M2096" s="59">
        <v>10</v>
      </c>
      <c r="N2096" s="59">
        <v>10</v>
      </c>
      <c r="O2096" s="59" t="s">
        <v>3581</v>
      </c>
      <c r="P2096" s="58">
        <v>269</v>
      </c>
      <c r="Q2096" s="59">
        <v>0</v>
      </c>
      <c r="R2096" s="59">
        <v>0</v>
      </c>
      <c r="S2096" s="60">
        <f>tblJTL[[#This Row],[timeStamp]]/86400000+DATE(1970,1,1)+TIME(9,0,0)</f>
        <v>46296.422618645833</v>
      </c>
      <c r="T2096" s="57">
        <f>tblJTL[[#This Row],[timeStamp]]+tblJTL[[#This Row],[elapsed]]</f>
        <v>1790816914524</v>
      </c>
      <c r="U2096" s="61">
        <f>(tblJTL[[#This Row],[timeStamp]]-'17_分析サンプル'!$E$18)/1000</f>
        <v>514.07100000000003</v>
      </c>
      <c r="V2096" s="57">
        <f>INT(tblJTL[[#This Row],[経過秒]]/60)</f>
        <v>8</v>
      </c>
      <c r="W2096" s="57">
        <f>IF(OR(tblJTL[[#This Row],[success]]=FALSE,tblJTL[[#This Row],[success]]="false"),1,0)</f>
        <v>0</v>
      </c>
      <c r="X2096" s="57">
        <f>IF(AND(tblJTL[[#This Row],[経過秒]]&gt;='17_分析サンプル'!$E$11,tblJTL[[#This Row],[経過秒]]&lt;'17_分析サンプル'!$E$12),1,0)</f>
        <v>1</v>
      </c>
    </row>
    <row r="2097" spans="2:24" ht="14.4" x14ac:dyDescent="0.3">
      <c r="B2097" s="57">
        <v>1790816913881</v>
      </c>
      <c r="C2097" s="58">
        <v>796</v>
      </c>
      <c r="D2097" s="59" t="s">
        <v>1658</v>
      </c>
      <c r="E2097" s="59" t="s">
        <v>1577</v>
      </c>
      <c r="F2097" s="59" t="s">
        <v>2275</v>
      </c>
      <c r="G2097" s="59" t="s">
        <v>3577</v>
      </c>
      <c r="H2097" s="59" t="s">
        <v>2281</v>
      </c>
      <c r="I2097" s="59" t="b">
        <v>1</v>
      </c>
      <c r="J2097" s="59"/>
      <c r="K2097" s="58">
        <v>1845</v>
      </c>
      <c r="L2097" s="58">
        <v>1342</v>
      </c>
      <c r="M2097" s="59">
        <v>10</v>
      </c>
      <c r="N2097" s="59">
        <v>10</v>
      </c>
      <c r="O2097" s="59" t="s">
        <v>3578</v>
      </c>
      <c r="P2097" s="58">
        <v>793</v>
      </c>
      <c r="Q2097" s="59">
        <v>0</v>
      </c>
      <c r="R2097" s="59">
        <v>0</v>
      </c>
      <c r="S2097" s="60">
        <f>tblJTL[[#This Row],[timeStamp]]/86400000+DATE(1970,1,1)+TIME(9,0,0)</f>
        <v>46296.42261436343</v>
      </c>
      <c r="T2097" s="57">
        <f>tblJTL[[#This Row],[timeStamp]]+tblJTL[[#This Row],[elapsed]]</f>
        <v>1790816914677</v>
      </c>
      <c r="U2097" s="61">
        <f>(tblJTL[[#This Row],[timeStamp]]-'17_分析サンプル'!$E$18)/1000</f>
        <v>513.70100000000002</v>
      </c>
      <c r="V2097" s="57">
        <f>INT(tblJTL[[#This Row],[経過秒]]/60)</f>
        <v>8</v>
      </c>
      <c r="W2097" s="57">
        <f>IF(OR(tblJTL[[#This Row],[success]]=FALSE,tblJTL[[#This Row],[success]]="false"),1,0)</f>
        <v>0</v>
      </c>
      <c r="X2097" s="57">
        <f>IF(AND(tblJTL[[#This Row],[経過秒]]&gt;='17_分析サンプル'!$E$11,tblJTL[[#This Row],[経過秒]]&lt;'17_分析サンプル'!$E$12),1,0)</f>
        <v>1</v>
      </c>
    </row>
    <row r="2098" spans="2:24" ht="14.4" x14ac:dyDescent="0.3">
      <c r="B2098" s="57">
        <v>1790816914527</v>
      </c>
      <c r="C2098" s="58">
        <v>153</v>
      </c>
      <c r="D2098" s="59" t="s">
        <v>1677</v>
      </c>
      <c r="E2098" s="59" t="s">
        <v>3579</v>
      </c>
      <c r="F2098" s="59" t="s">
        <v>3580</v>
      </c>
      <c r="G2098" s="59" t="s">
        <v>3584</v>
      </c>
      <c r="H2098" s="59" t="s">
        <v>2281</v>
      </c>
      <c r="I2098" s="59" t="b">
        <v>1</v>
      </c>
      <c r="J2098" s="59"/>
      <c r="K2098" s="58">
        <v>437</v>
      </c>
      <c r="L2098" s="58">
        <v>1478</v>
      </c>
      <c r="M2098" s="59">
        <v>10</v>
      </c>
      <c r="N2098" s="59">
        <v>10</v>
      </c>
      <c r="O2098" s="59" t="s">
        <v>3581</v>
      </c>
      <c r="P2098" s="58">
        <v>145</v>
      </c>
      <c r="Q2098" s="59">
        <v>0</v>
      </c>
      <c r="R2098" s="59">
        <v>0</v>
      </c>
      <c r="S2098" s="60">
        <f>tblJTL[[#This Row],[timeStamp]]/86400000+DATE(1970,1,1)+TIME(9,0,0)</f>
        <v>46296.422621840276</v>
      </c>
      <c r="T2098" s="57">
        <f>tblJTL[[#This Row],[timeStamp]]+tblJTL[[#This Row],[elapsed]]</f>
        <v>1790816914680</v>
      </c>
      <c r="U2098" s="61">
        <f>(tblJTL[[#This Row],[timeStamp]]-'17_分析サンプル'!$E$18)/1000</f>
        <v>514.34699999999998</v>
      </c>
      <c r="V2098" s="57">
        <f>INT(tblJTL[[#This Row],[経過秒]]/60)</f>
        <v>8</v>
      </c>
      <c r="W2098" s="57">
        <f>IF(OR(tblJTL[[#This Row],[success]]=FALSE,tblJTL[[#This Row],[success]]="false"),1,0)</f>
        <v>0</v>
      </c>
      <c r="X2098" s="57">
        <f>IF(AND(tblJTL[[#This Row],[経過秒]]&gt;='17_分析サンプル'!$E$11,tblJTL[[#This Row],[経過秒]]&lt;'17_分析サンプル'!$E$12),1,0)</f>
        <v>1</v>
      </c>
    </row>
    <row r="2099" spans="2:24" ht="14.4" x14ac:dyDescent="0.3">
      <c r="B2099" s="57">
        <v>1790816914710</v>
      </c>
      <c r="C2099" s="58">
        <v>193</v>
      </c>
      <c r="D2099" s="59" t="s">
        <v>1677</v>
      </c>
      <c r="E2099" s="59" t="s">
        <v>3579</v>
      </c>
      <c r="F2099" s="59" t="s">
        <v>3580</v>
      </c>
      <c r="G2099" s="59" t="s">
        <v>3589</v>
      </c>
      <c r="H2099" s="59" t="s">
        <v>2281</v>
      </c>
      <c r="I2099" s="59" t="b">
        <v>1</v>
      </c>
      <c r="J2099" s="59"/>
      <c r="K2099" s="58">
        <v>423</v>
      </c>
      <c r="L2099" s="58">
        <v>1478</v>
      </c>
      <c r="M2099" s="59">
        <v>10</v>
      </c>
      <c r="N2099" s="59">
        <v>10</v>
      </c>
      <c r="O2099" s="59" t="s">
        <v>3581</v>
      </c>
      <c r="P2099" s="58">
        <v>191</v>
      </c>
      <c r="Q2099" s="59">
        <v>0</v>
      </c>
      <c r="R2099" s="59">
        <v>0</v>
      </c>
      <c r="S2099" s="60">
        <f>tblJTL[[#This Row],[timeStamp]]/86400000+DATE(1970,1,1)+TIME(9,0,0)</f>
        <v>46296.422623958337</v>
      </c>
      <c r="T2099" s="57">
        <f>tblJTL[[#This Row],[timeStamp]]+tblJTL[[#This Row],[elapsed]]</f>
        <v>1790816914903</v>
      </c>
      <c r="U2099" s="61">
        <f>(tblJTL[[#This Row],[timeStamp]]-'17_分析サンプル'!$E$18)/1000</f>
        <v>514.53</v>
      </c>
      <c r="V2099" s="57">
        <f>INT(tblJTL[[#This Row],[経過秒]]/60)</f>
        <v>8</v>
      </c>
      <c r="W2099" s="57">
        <f>IF(OR(tblJTL[[#This Row],[success]]=FALSE,tblJTL[[#This Row],[success]]="false"),1,0)</f>
        <v>0</v>
      </c>
      <c r="X2099" s="57">
        <f>IF(AND(tblJTL[[#This Row],[経過秒]]&gt;='17_分析サンプル'!$E$11,tblJTL[[#This Row],[経過秒]]&lt;'17_分析サンプル'!$E$12),1,0)</f>
        <v>1</v>
      </c>
    </row>
    <row r="2100" spans="2:24" ht="14.4" x14ac:dyDescent="0.3">
      <c r="B2100" s="57">
        <v>1790816914826</v>
      </c>
      <c r="C2100" s="58">
        <v>117</v>
      </c>
      <c r="D2100" s="59" t="s">
        <v>1658</v>
      </c>
      <c r="E2100" s="59" t="s">
        <v>1577</v>
      </c>
      <c r="F2100" s="59" t="s">
        <v>2275</v>
      </c>
      <c r="G2100" s="59" t="s">
        <v>3587</v>
      </c>
      <c r="H2100" s="59" t="s">
        <v>2281</v>
      </c>
      <c r="I2100" s="59" t="b">
        <v>1</v>
      </c>
      <c r="J2100" s="59"/>
      <c r="K2100" s="58">
        <v>1886</v>
      </c>
      <c r="L2100" s="58">
        <v>1342</v>
      </c>
      <c r="M2100" s="59">
        <v>10</v>
      </c>
      <c r="N2100" s="59">
        <v>10</v>
      </c>
      <c r="O2100" s="59" t="s">
        <v>3578</v>
      </c>
      <c r="P2100" s="58">
        <v>113</v>
      </c>
      <c r="Q2100" s="59">
        <v>0</v>
      </c>
      <c r="R2100" s="59">
        <v>0</v>
      </c>
      <c r="S2100" s="60">
        <f>tblJTL[[#This Row],[timeStamp]]/86400000+DATE(1970,1,1)+TIME(9,0,0)</f>
        <v>46296.422625300926</v>
      </c>
      <c r="T2100" s="57">
        <f>tblJTL[[#This Row],[timeStamp]]+tblJTL[[#This Row],[elapsed]]</f>
        <v>1790816914943</v>
      </c>
      <c r="U2100" s="61">
        <f>(tblJTL[[#This Row],[timeStamp]]-'17_分析サンプル'!$E$18)/1000</f>
        <v>514.64599999999996</v>
      </c>
      <c r="V2100" s="57">
        <f>INT(tblJTL[[#This Row],[経過秒]]/60)</f>
        <v>8</v>
      </c>
      <c r="W2100" s="57">
        <f>IF(OR(tblJTL[[#This Row],[success]]=FALSE,tblJTL[[#This Row],[success]]="false"),1,0)</f>
        <v>0</v>
      </c>
      <c r="X2100" s="57">
        <f>IF(AND(tblJTL[[#This Row],[経過秒]]&gt;='17_分析サンプル'!$E$11,tblJTL[[#This Row],[経過秒]]&lt;'17_分析サンプル'!$E$12),1,0)</f>
        <v>1</v>
      </c>
    </row>
    <row r="2101" spans="2:24" ht="14.4" x14ac:dyDescent="0.3">
      <c r="B2101" s="57">
        <v>1790816915582</v>
      </c>
      <c r="C2101" s="58">
        <v>255</v>
      </c>
      <c r="D2101" s="59" t="s">
        <v>1677</v>
      </c>
      <c r="E2101" s="59" t="s">
        <v>3579</v>
      </c>
      <c r="F2101" s="59" t="s">
        <v>3580</v>
      </c>
      <c r="G2101" s="59" t="s">
        <v>3586</v>
      </c>
      <c r="H2101" s="59" t="s">
        <v>2281</v>
      </c>
      <c r="I2101" s="59" t="b">
        <v>1</v>
      </c>
      <c r="J2101" s="59"/>
      <c r="K2101" s="58">
        <v>412</v>
      </c>
      <c r="L2101" s="58">
        <v>1478</v>
      </c>
      <c r="M2101" s="59">
        <v>10</v>
      </c>
      <c r="N2101" s="59">
        <v>10</v>
      </c>
      <c r="O2101" s="59" t="s">
        <v>3581</v>
      </c>
      <c r="P2101" s="58">
        <v>249</v>
      </c>
      <c r="Q2101" s="59">
        <v>0</v>
      </c>
      <c r="R2101" s="59">
        <v>0</v>
      </c>
      <c r="S2101" s="60">
        <f>tblJTL[[#This Row],[timeStamp]]/86400000+DATE(1970,1,1)+TIME(9,0,0)</f>
        <v>46296.422634050927</v>
      </c>
      <c r="T2101" s="57">
        <f>tblJTL[[#This Row],[timeStamp]]+tblJTL[[#This Row],[elapsed]]</f>
        <v>1790816915837</v>
      </c>
      <c r="U2101" s="61">
        <f>(tblJTL[[#This Row],[timeStamp]]-'17_分析サンプル'!$E$18)/1000</f>
        <v>515.40200000000004</v>
      </c>
      <c r="V2101" s="57">
        <f>INT(tblJTL[[#This Row],[経過秒]]/60)</f>
        <v>8</v>
      </c>
      <c r="W2101" s="57">
        <f>IF(OR(tblJTL[[#This Row],[success]]=FALSE,tblJTL[[#This Row],[success]]="false"),1,0)</f>
        <v>0</v>
      </c>
      <c r="X2101" s="57">
        <f>IF(AND(tblJTL[[#This Row],[経過秒]]&gt;='17_分析サンプル'!$E$11,tblJTL[[#This Row],[経過秒]]&lt;'17_分析サンプル'!$E$12),1,0)</f>
        <v>1</v>
      </c>
    </row>
    <row r="2102" spans="2:24" ht="14.4" x14ac:dyDescent="0.3">
      <c r="B2102" s="57">
        <v>1790816915820</v>
      </c>
      <c r="C2102" s="58">
        <v>116</v>
      </c>
      <c r="D2102" s="59" t="s">
        <v>1658</v>
      </c>
      <c r="E2102" s="59" t="s">
        <v>1577</v>
      </c>
      <c r="F2102" s="59" t="s">
        <v>2275</v>
      </c>
      <c r="G2102" s="59" t="s">
        <v>3588</v>
      </c>
      <c r="H2102" s="59" t="s">
        <v>2281</v>
      </c>
      <c r="I2102" s="59" t="b">
        <v>1</v>
      </c>
      <c r="J2102" s="59"/>
      <c r="K2102" s="58">
        <v>1880</v>
      </c>
      <c r="L2102" s="58">
        <v>1342</v>
      </c>
      <c r="M2102" s="59">
        <v>10</v>
      </c>
      <c r="N2102" s="59">
        <v>10</v>
      </c>
      <c r="O2102" s="59" t="s">
        <v>3578</v>
      </c>
      <c r="P2102" s="58">
        <v>108</v>
      </c>
      <c r="Q2102" s="59">
        <v>0</v>
      </c>
      <c r="R2102" s="59">
        <v>0</v>
      </c>
      <c r="S2102" s="60">
        <f>tblJTL[[#This Row],[timeStamp]]/86400000+DATE(1970,1,1)+TIME(9,0,0)</f>
        <v>46296.422636805553</v>
      </c>
      <c r="T2102" s="57">
        <f>tblJTL[[#This Row],[timeStamp]]+tblJTL[[#This Row],[elapsed]]</f>
        <v>1790816915936</v>
      </c>
      <c r="U2102" s="61">
        <f>(tblJTL[[#This Row],[timeStamp]]-'17_分析サンプル'!$E$18)/1000</f>
        <v>515.64</v>
      </c>
      <c r="V2102" s="57">
        <f>INT(tblJTL[[#This Row],[経過秒]]/60)</f>
        <v>8</v>
      </c>
      <c r="W2102" s="57">
        <f>IF(OR(tblJTL[[#This Row],[success]]=FALSE,tblJTL[[#This Row],[success]]="false"),1,0)</f>
        <v>0</v>
      </c>
      <c r="X2102" s="57">
        <f>IF(AND(tblJTL[[#This Row],[経過秒]]&gt;='17_分析サンプル'!$E$11,tblJTL[[#This Row],[経過秒]]&lt;'17_分析サンプル'!$E$12),1,0)</f>
        <v>1</v>
      </c>
    </row>
    <row r="2103" spans="2:24" ht="14.4" x14ac:dyDescent="0.3">
      <c r="B2103" s="57">
        <v>1790816915898</v>
      </c>
      <c r="C2103" s="58">
        <v>85</v>
      </c>
      <c r="D2103" s="59" t="s">
        <v>1658</v>
      </c>
      <c r="E2103" s="59" t="s">
        <v>1577</v>
      </c>
      <c r="F2103" s="59" t="s">
        <v>2275</v>
      </c>
      <c r="G2103" s="59" t="s">
        <v>3583</v>
      </c>
      <c r="H2103" s="59" t="s">
        <v>2281</v>
      </c>
      <c r="I2103" s="59" t="b">
        <v>1</v>
      </c>
      <c r="J2103" s="59"/>
      <c r="K2103" s="58">
        <v>1858</v>
      </c>
      <c r="L2103" s="58">
        <v>1342</v>
      </c>
      <c r="M2103" s="59">
        <v>10</v>
      </c>
      <c r="N2103" s="59">
        <v>10</v>
      </c>
      <c r="O2103" s="59" t="s">
        <v>3578</v>
      </c>
      <c r="P2103" s="58">
        <v>79</v>
      </c>
      <c r="Q2103" s="59">
        <v>0</v>
      </c>
      <c r="R2103" s="59">
        <v>0</v>
      </c>
      <c r="S2103" s="60">
        <f>tblJTL[[#This Row],[timeStamp]]/86400000+DATE(1970,1,1)+TIME(9,0,0)</f>
        <v>46296.422637708332</v>
      </c>
      <c r="T2103" s="57">
        <f>tblJTL[[#This Row],[timeStamp]]+tblJTL[[#This Row],[elapsed]]</f>
        <v>1790816915983</v>
      </c>
      <c r="U2103" s="61">
        <f>(tblJTL[[#This Row],[timeStamp]]-'17_分析サンプル'!$E$18)/1000</f>
        <v>515.71799999999996</v>
      </c>
      <c r="V2103" s="57">
        <f>INT(tblJTL[[#This Row],[経過秒]]/60)</f>
        <v>8</v>
      </c>
      <c r="W2103" s="57">
        <f>IF(OR(tblJTL[[#This Row],[success]]=FALSE,tblJTL[[#This Row],[success]]="false"),1,0)</f>
        <v>0</v>
      </c>
      <c r="X2103" s="57">
        <f>IF(AND(tblJTL[[#This Row],[経過秒]]&gt;='17_分析サンプル'!$E$11,tblJTL[[#This Row],[経過秒]]&lt;'17_分析サンプル'!$E$12),1,0)</f>
        <v>1</v>
      </c>
    </row>
    <row r="2104" spans="2:24" ht="14.4" x14ac:dyDescent="0.3">
      <c r="B2104" s="57">
        <v>1790816916017</v>
      </c>
      <c r="C2104" s="58">
        <v>314</v>
      </c>
      <c r="D2104" s="59" t="s">
        <v>1677</v>
      </c>
      <c r="E2104" s="59" t="s">
        <v>3579</v>
      </c>
      <c r="F2104" s="59" t="s">
        <v>3580</v>
      </c>
      <c r="G2104" s="59" t="s">
        <v>2278</v>
      </c>
      <c r="H2104" s="59" t="s">
        <v>2281</v>
      </c>
      <c r="I2104" s="59" t="b">
        <v>1</v>
      </c>
      <c r="J2104" s="59"/>
      <c r="K2104" s="58">
        <v>420</v>
      </c>
      <c r="L2104" s="58">
        <v>1478</v>
      </c>
      <c r="M2104" s="59">
        <v>10</v>
      </c>
      <c r="N2104" s="59">
        <v>10</v>
      </c>
      <c r="O2104" s="59" t="s">
        <v>3581</v>
      </c>
      <c r="P2104" s="58">
        <v>309</v>
      </c>
      <c r="Q2104" s="59">
        <v>0</v>
      </c>
      <c r="R2104" s="59">
        <v>0</v>
      </c>
      <c r="S2104" s="60">
        <f>tblJTL[[#This Row],[timeStamp]]/86400000+DATE(1970,1,1)+TIME(9,0,0)</f>
        <v>46296.422639085649</v>
      </c>
      <c r="T2104" s="57">
        <f>tblJTL[[#This Row],[timeStamp]]+tblJTL[[#This Row],[elapsed]]</f>
        <v>1790816916331</v>
      </c>
      <c r="U2104" s="61">
        <f>(tblJTL[[#This Row],[timeStamp]]-'17_分析サンプル'!$E$18)/1000</f>
        <v>515.83699999999999</v>
      </c>
      <c r="V2104" s="57">
        <f>INT(tblJTL[[#This Row],[経過秒]]/60)</f>
        <v>8</v>
      </c>
      <c r="W2104" s="57">
        <f>IF(OR(tblJTL[[#This Row],[success]]=FALSE,tblJTL[[#This Row],[success]]="false"),1,0)</f>
        <v>0</v>
      </c>
      <c r="X2104" s="57">
        <f>IF(AND(tblJTL[[#This Row],[経過秒]]&gt;='17_分析サンプル'!$E$11,tblJTL[[#This Row],[経過秒]]&lt;'17_分析サンプル'!$E$12),1,0)</f>
        <v>1</v>
      </c>
    </row>
    <row r="2105" spans="2:24" ht="14.4" x14ac:dyDescent="0.3">
      <c r="B2105" s="57">
        <v>1790816916410</v>
      </c>
      <c r="C2105" s="58">
        <v>190</v>
      </c>
      <c r="D2105" s="59" t="s">
        <v>1677</v>
      </c>
      <c r="E2105" s="59" t="s">
        <v>3579</v>
      </c>
      <c r="F2105" s="59" t="s">
        <v>3580</v>
      </c>
      <c r="G2105" s="59" t="s">
        <v>3582</v>
      </c>
      <c r="H2105" s="59" t="s">
        <v>2281</v>
      </c>
      <c r="I2105" s="59" t="b">
        <v>1</v>
      </c>
      <c r="J2105" s="59"/>
      <c r="K2105" s="58">
        <v>433</v>
      </c>
      <c r="L2105" s="58">
        <v>1478</v>
      </c>
      <c r="M2105" s="59">
        <v>10</v>
      </c>
      <c r="N2105" s="59">
        <v>10</v>
      </c>
      <c r="O2105" s="59" t="s">
        <v>3581</v>
      </c>
      <c r="P2105" s="58">
        <v>188</v>
      </c>
      <c r="Q2105" s="59">
        <v>0</v>
      </c>
      <c r="R2105" s="59">
        <v>0</v>
      </c>
      <c r="S2105" s="60">
        <f>tblJTL[[#This Row],[timeStamp]]/86400000+DATE(1970,1,1)+TIME(9,0,0)</f>
        <v>46296.422643634258</v>
      </c>
      <c r="T2105" s="57">
        <f>tblJTL[[#This Row],[timeStamp]]+tblJTL[[#This Row],[elapsed]]</f>
        <v>1790816916600</v>
      </c>
      <c r="U2105" s="61">
        <f>(tblJTL[[#This Row],[timeStamp]]-'17_分析サンプル'!$E$18)/1000</f>
        <v>516.23</v>
      </c>
      <c r="V2105" s="57">
        <f>INT(tblJTL[[#This Row],[経過秒]]/60)</f>
        <v>8</v>
      </c>
      <c r="W2105" s="57">
        <f>IF(OR(tblJTL[[#This Row],[success]]=FALSE,tblJTL[[#This Row],[success]]="false"),1,0)</f>
        <v>0</v>
      </c>
      <c r="X2105" s="57">
        <f>IF(AND(tblJTL[[#This Row],[経過秒]]&gt;='17_分析サンプル'!$E$11,tblJTL[[#This Row],[経過秒]]&lt;'17_分析サンプル'!$E$12),1,0)</f>
        <v>1</v>
      </c>
    </row>
    <row r="2106" spans="2:24" ht="14.4" x14ac:dyDescent="0.3">
      <c r="B2106" s="57">
        <v>1790816916581</v>
      </c>
      <c r="C2106" s="58">
        <v>195</v>
      </c>
      <c r="D2106" s="59" t="s">
        <v>1677</v>
      </c>
      <c r="E2106" s="59" t="s">
        <v>3579</v>
      </c>
      <c r="F2106" s="59" t="s">
        <v>3580</v>
      </c>
      <c r="G2106" s="59" t="s">
        <v>3585</v>
      </c>
      <c r="H2106" s="59" t="s">
        <v>2281</v>
      </c>
      <c r="I2106" s="59" t="b">
        <v>1</v>
      </c>
      <c r="J2106" s="59"/>
      <c r="K2106" s="58">
        <v>431</v>
      </c>
      <c r="L2106" s="58">
        <v>1478</v>
      </c>
      <c r="M2106" s="59">
        <v>10</v>
      </c>
      <c r="N2106" s="59">
        <v>10</v>
      </c>
      <c r="O2106" s="59" t="s">
        <v>3581</v>
      </c>
      <c r="P2106" s="58">
        <v>191</v>
      </c>
      <c r="Q2106" s="59">
        <v>0</v>
      </c>
      <c r="R2106" s="59">
        <v>0</v>
      </c>
      <c r="S2106" s="60">
        <f>tblJTL[[#This Row],[timeStamp]]/86400000+DATE(1970,1,1)+TIME(9,0,0)</f>
        <v>46296.422645613427</v>
      </c>
      <c r="T2106" s="57">
        <f>tblJTL[[#This Row],[timeStamp]]+tblJTL[[#This Row],[elapsed]]</f>
        <v>1790816916776</v>
      </c>
      <c r="U2106" s="61">
        <f>(tblJTL[[#This Row],[timeStamp]]-'17_分析サンプル'!$E$18)/1000</f>
        <v>516.40099999999995</v>
      </c>
      <c r="V2106" s="57">
        <f>INT(tblJTL[[#This Row],[経過秒]]/60)</f>
        <v>8</v>
      </c>
      <c r="W2106" s="57">
        <f>IF(OR(tblJTL[[#This Row],[success]]=FALSE,tblJTL[[#This Row],[success]]="false"),1,0)</f>
        <v>0</v>
      </c>
      <c r="X2106" s="57">
        <f>IF(AND(tblJTL[[#This Row],[経過秒]]&gt;='17_分析サンプル'!$E$11,tblJTL[[#This Row],[経過秒]]&lt;'17_分析サンプル'!$E$12),1,0)</f>
        <v>1</v>
      </c>
    </row>
    <row r="2107" spans="2:24" ht="14.4" x14ac:dyDescent="0.3">
      <c r="B2107" s="57">
        <v>1790816917104</v>
      </c>
      <c r="C2107" s="58">
        <v>94</v>
      </c>
      <c r="D2107" s="59" t="s">
        <v>1658</v>
      </c>
      <c r="E2107" s="59" t="s">
        <v>1577</v>
      </c>
      <c r="F2107" s="59" t="s">
        <v>2275</v>
      </c>
      <c r="G2107" s="59" t="s">
        <v>3586</v>
      </c>
      <c r="H2107" s="59" t="s">
        <v>2281</v>
      </c>
      <c r="I2107" s="59" t="b">
        <v>1</v>
      </c>
      <c r="J2107" s="59"/>
      <c r="K2107" s="58">
        <v>1827</v>
      </c>
      <c r="L2107" s="58">
        <v>1342</v>
      </c>
      <c r="M2107" s="59">
        <v>10</v>
      </c>
      <c r="N2107" s="59">
        <v>10</v>
      </c>
      <c r="O2107" s="59" t="s">
        <v>3578</v>
      </c>
      <c r="P2107" s="58">
        <v>89</v>
      </c>
      <c r="Q2107" s="59">
        <v>0</v>
      </c>
      <c r="R2107" s="59">
        <v>0</v>
      </c>
      <c r="S2107" s="60">
        <f>tblJTL[[#This Row],[timeStamp]]/86400000+DATE(1970,1,1)+TIME(9,0,0)</f>
        <v>46296.422651666668</v>
      </c>
      <c r="T2107" s="57">
        <f>tblJTL[[#This Row],[timeStamp]]+tblJTL[[#This Row],[elapsed]]</f>
        <v>1790816917198</v>
      </c>
      <c r="U2107" s="61">
        <f>(tblJTL[[#This Row],[timeStamp]]-'17_分析サンプル'!$E$18)/1000</f>
        <v>516.92399999999998</v>
      </c>
      <c r="V2107" s="57">
        <f>INT(tblJTL[[#This Row],[経過秒]]/60)</f>
        <v>8</v>
      </c>
      <c r="W2107" s="57">
        <f>IF(OR(tblJTL[[#This Row],[success]]=FALSE,tblJTL[[#This Row],[success]]="false"),1,0)</f>
        <v>0</v>
      </c>
      <c r="X2107" s="57">
        <f>IF(AND(tblJTL[[#This Row],[経過秒]]&gt;='17_分析サンプル'!$E$11,tblJTL[[#This Row],[経過秒]]&lt;'17_分析サンプル'!$E$12),1,0)</f>
        <v>1</v>
      </c>
    </row>
    <row r="2108" spans="2:24" ht="14.4" x14ac:dyDescent="0.3">
      <c r="B2108" s="57">
        <v>1790816917070</v>
      </c>
      <c r="C2108" s="58">
        <v>291</v>
      </c>
      <c r="D2108" s="59" t="s">
        <v>1677</v>
      </c>
      <c r="E2108" s="59" t="s">
        <v>3579</v>
      </c>
      <c r="F2108" s="59" t="s">
        <v>3580</v>
      </c>
      <c r="G2108" s="59" t="s">
        <v>3587</v>
      </c>
      <c r="H2108" s="59" t="s">
        <v>2281</v>
      </c>
      <c r="I2108" s="59" t="b">
        <v>1</v>
      </c>
      <c r="J2108" s="59"/>
      <c r="K2108" s="58">
        <v>427</v>
      </c>
      <c r="L2108" s="58">
        <v>1478</v>
      </c>
      <c r="M2108" s="59">
        <v>10</v>
      </c>
      <c r="N2108" s="59">
        <v>10</v>
      </c>
      <c r="O2108" s="59" t="s">
        <v>3581</v>
      </c>
      <c r="P2108" s="58">
        <v>287</v>
      </c>
      <c r="Q2108" s="59">
        <v>0</v>
      </c>
      <c r="R2108" s="59">
        <v>0</v>
      </c>
      <c r="S2108" s="60">
        <f>tblJTL[[#This Row],[timeStamp]]/86400000+DATE(1970,1,1)+TIME(9,0,0)</f>
        <v>46296.422651273147</v>
      </c>
      <c r="T2108" s="57">
        <f>tblJTL[[#This Row],[timeStamp]]+tblJTL[[#This Row],[elapsed]]</f>
        <v>1790816917361</v>
      </c>
      <c r="U2108" s="61">
        <f>(tblJTL[[#This Row],[timeStamp]]-'17_分析サンプル'!$E$18)/1000</f>
        <v>516.89</v>
      </c>
      <c r="V2108" s="57">
        <f>INT(tblJTL[[#This Row],[経過秒]]/60)</f>
        <v>8</v>
      </c>
      <c r="W2108" s="57">
        <f>IF(OR(tblJTL[[#This Row],[success]]=FALSE,tblJTL[[#This Row],[success]]="false"),1,0)</f>
        <v>0</v>
      </c>
      <c r="X2108" s="57">
        <f>IF(AND(tblJTL[[#This Row],[経過秒]]&gt;='17_分析サンプル'!$E$11,tblJTL[[#This Row],[経過秒]]&lt;'17_分析サンプル'!$E$12),1,0)</f>
        <v>1</v>
      </c>
    </row>
    <row r="2109" spans="2:24" ht="14.4" x14ac:dyDescent="0.3">
      <c r="B2109" s="57">
        <v>1790816917105</v>
      </c>
      <c r="C2109" s="58">
        <v>282</v>
      </c>
      <c r="D2109" s="59" t="s">
        <v>1677</v>
      </c>
      <c r="E2109" s="59" t="s">
        <v>3579</v>
      </c>
      <c r="F2109" s="59" t="s">
        <v>3580</v>
      </c>
      <c r="G2109" s="59" t="s">
        <v>3588</v>
      </c>
      <c r="H2109" s="59" t="s">
        <v>2281</v>
      </c>
      <c r="I2109" s="59" t="b">
        <v>1</v>
      </c>
      <c r="J2109" s="59"/>
      <c r="K2109" s="58">
        <v>425</v>
      </c>
      <c r="L2109" s="58">
        <v>1478</v>
      </c>
      <c r="M2109" s="59">
        <v>10</v>
      </c>
      <c r="N2109" s="59">
        <v>10</v>
      </c>
      <c r="O2109" s="59" t="s">
        <v>3581</v>
      </c>
      <c r="P2109" s="58">
        <v>278</v>
      </c>
      <c r="Q2109" s="59">
        <v>0</v>
      </c>
      <c r="R2109" s="59">
        <v>0</v>
      </c>
      <c r="S2109" s="60">
        <f>tblJTL[[#This Row],[timeStamp]]/86400000+DATE(1970,1,1)+TIME(9,0,0)</f>
        <v>46296.422651678236</v>
      </c>
      <c r="T2109" s="57">
        <f>tblJTL[[#This Row],[timeStamp]]+tblJTL[[#This Row],[elapsed]]</f>
        <v>1790816917387</v>
      </c>
      <c r="U2109" s="61">
        <f>(tblJTL[[#This Row],[timeStamp]]-'17_分析サンプル'!$E$18)/1000</f>
        <v>516.92499999999995</v>
      </c>
      <c r="V2109" s="57">
        <f>INT(tblJTL[[#This Row],[経過秒]]/60)</f>
        <v>8</v>
      </c>
      <c r="W2109" s="57">
        <f>IF(OR(tblJTL[[#This Row],[success]]=FALSE,tblJTL[[#This Row],[success]]="false"),1,0)</f>
        <v>0</v>
      </c>
      <c r="X2109" s="57">
        <f>IF(AND(tblJTL[[#This Row],[経過秒]]&gt;='17_分析サンプル'!$E$11,tblJTL[[#This Row],[経過秒]]&lt;'17_分析サンプル'!$E$12),1,0)</f>
        <v>1</v>
      </c>
    </row>
    <row r="2110" spans="2:24" ht="14.4" x14ac:dyDescent="0.3">
      <c r="B2110" s="57">
        <v>1790816917149</v>
      </c>
      <c r="C2110" s="58">
        <v>250</v>
      </c>
      <c r="D2110" s="59" t="s">
        <v>1677</v>
      </c>
      <c r="E2110" s="59" t="s">
        <v>3579</v>
      </c>
      <c r="F2110" s="59" t="s">
        <v>3580</v>
      </c>
      <c r="G2110" s="59" t="s">
        <v>3577</v>
      </c>
      <c r="H2110" s="59" t="s">
        <v>2281</v>
      </c>
      <c r="I2110" s="59" t="b">
        <v>1</v>
      </c>
      <c r="J2110" s="59"/>
      <c r="K2110" s="58">
        <v>428</v>
      </c>
      <c r="L2110" s="58">
        <v>1478</v>
      </c>
      <c r="M2110" s="59">
        <v>10</v>
      </c>
      <c r="N2110" s="59">
        <v>10</v>
      </c>
      <c r="O2110" s="59" t="s">
        <v>3581</v>
      </c>
      <c r="P2110" s="58">
        <v>248</v>
      </c>
      <c r="Q2110" s="59">
        <v>0</v>
      </c>
      <c r="R2110" s="59">
        <v>0</v>
      </c>
      <c r="S2110" s="60">
        <f>tblJTL[[#This Row],[timeStamp]]/86400000+DATE(1970,1,1)+TIME(9,0,0)</f>
        <v>46296.422652187495</v>
      </c>
      <c r="T2110" s="57">
        <f>tblJTL[[#This Row],[timeStamp]]+tblJTL[[#This Row],[elapsed]]</f>
        <v>1790816917399</v>
      </c>
      <c r="U2110" s="61">
        <f>(tblJTL[[#This Row],[timeStamp]]-'17_分析サンプル'!$E$18)/1000</f>
        <v>516.96900000000005</v>
      </c>
      <c r="V2110" s="57">
        <f>INT(tblJTL[[#This Row],[経過秒]]/60)</f>
        <v>8</v>
      </c>
      <c r="W2110" s="57">
        <f>IF(OR(tblJTL[[#This Row],[success]]=FALSE,tblJTL[[#This Row],[success]]="false"),1,0)</f>
        <v>0</v>
      </c>
      <c r="X2110" s="57">
        <f>IF(AND(tblJTL[[#This Row],[経過秒]]&gt;='17_分析サンプル'!$E$11,tblJTL[[#This Row],[経過秒]]&lt;'17_分析サンプル'!$E$12),1,0)</f>
        <v>1</v>
      </c>
    </row>
    <row r="2111" spans="2:24" ht="14.4" x14ac:dyDescent="0.3">
      <c r="B2111" s="57">
        <v>1790816917602</v>
      </c>
      <c r="C2111" s="58">
        <v>90</v>
      </c>
      <c r="D2111" s="59" t="s">
        <v>1658</v>
      </c>
      <c r="E2111" s="59" t="s">
        <v>1577</v>
      </c>
      <c r="F2111" s="59" t="s">
        <v>2275</v>
      </c>
      <c r="G2111" s="59" t="s">
        <v>3589</v>
      </c>
      <c r="H2111" s="59" t="s">
        <v>2281</v>
      </c>
      <c r="I2111" s="59" t="b">
        <v>1</v>
      </c>
      <c r="J2111" s="59"/>
      <c r="K2111" s="58">
        <v>1869</v>
      </c>
      <c r="L2111" s="58">
        <v>1342</v>
      </c>
      <c r="M2111" s="59">
        <v>10</v>
      </c>
      <c r="N2111" s="59">
        <v>10</v>
      </c>
      <c r="O2111" s="59" t="s">
        <v>3578</v>
      </c>
      <c r="P2111" s="58">
        <v>88</v>
      </c>
      <c r="Q2111" s="59">
        <v>0</v>
      </c>
      <c r="R2111" s="59">
        <v>0</v>
      </c>
      <c r="S2111" s="60">
        <f>tblJTL[[#This Row],[timeStamp]]/86400000+DATE(1970,1,1)+TIME(9,0,0)</f>
        <v>46296.42265743055</v>
      </c>
      <c r="T2111" s="57">
        <f>tblJTL[[#This Row],[timeStamp]]+tblJTL[[#This Row],[elapsed]]</f>
        <v>1790816917692</v>
      </c>
      <c r="U2111" s="61">
        <f>(tblJTL[[#This Row],[timeStamp]]-'17_分析サンプル'!$E$18)/1000</f>
        <v>517.42200000000003</v>
      </c>
      <c r="V2111" s="57">
        <f>INT(tblJTL[[#This Row],[経過秒]]/60)</f>
        <v>8</v>
      </c>
      <c r="W2111" s="57">
        <f>IF(OR(tblJTL[[#This Row],[success]]=FALSE,tblJTL[[#This Row],[success]]="false"),1,0)</f>
        <v>0</v>
      </c>
      <c r="X2111" s="57">
        <f>IF(AND(tblJTL[[#This Row],[経過秒]]&gt;='17_分析サンプル'!$E$11,tblJTL[[#This Row],[経過秒]]&lt;'17_分析サンプル'!$E$12),1,0)</f>
        <v>1</v>
      </c>
    </row>
    <row r="2112" spans="2:24" ht="14.4" x14ac:dyDescent="0.3">
      <c r="B2112" s="57">
        <v>1790816917669</v>
      </c>
      <c r="C2112" s="58">
        <v>146</v>
      </c>
      <c r="D2112" s="59" t="s">
        <v>1658</v>
      </c>
      <c r="E2112" s="59" t="s">
        <v>1577</v>
      </c>
      <c r="F2112" s="59" t="s">
        <v>2275</v>
      </c>
      <c r="G2112" s="59" t="s">
        <v>3584</v>
      </c>
      <c r="H2112" s="59" t="s">
        <v>2281</v>
      </c>
      <c r="I2112" s="59" t="b">
        <v>1</v>
      </c>
      <c r="J2112" s="59"/>
      <c r="K2112" s="58">
        <v>1838</v>
      </c>
      <c r="L2112" s="58">
        <v>1342</v>
      </c>
      <c r="M2112" s="59">
        <v>10</v>
      </c>
      <c r="N2112" s="59">
        <v>10</v>
      </c>
      <c r="O2112" s="59" t="s">
        <v>3578</v>
      </c>
      <c r="P2112" s="58">
        <v>138</v>
      </c>
      <c r="Q2112" s="59">
        <v>0</v>
      </c>
      <c r="R2112" s="59">
        <v>57</v>
      </c>
      <c r="S2112" s="60">
        <f>tblJTL[[#This Row],[timeStamp]]/86400000+DATE(1970,1,1)+TIME(9,0,0)</f>
        <v>46296.422658206022</v>
      </c>
      <c r="T2112" s="57">
        <f>tblJTL[[#This Row],[timeStamp]]+tblJTL[[#This Row],[elapsed]]</f>
        <v>1790816917815</v>
      </c>
      <c r="U2112" s="61">
        <f>(tblJTL[[#This Row],[timeStamp]]-'17_分析サンプル'!$E$18)/1000</f>
        <v>517.48900000000003</v>
      </c>
      <c r="V2112" s="57">
        <f>INT(tblJTL[[#This Row],[経過秒]]/60)</f>
        <v>8</v>
      </c>
      <c r="W2112" s="57">
        <f>IF(OR(tblJTL[[#This Row],[success]]=FALSE,tblJTL[[#This Row],[success]]="false"),1,0)</f>
        <v>0</v>
      </c>
      <c r="X2112" s="57">
        <f>IF(AND(tblJTL[[#This Row],[経過秒]]&gt;='17_分析サンプル'!$E$11,tblJTL[[#This Row],[経過秒]]&lt;'17_分析サンプル'!$E$12),1,0)</f>
        <v>1</v>
      </c>
    </row>
    <row r="2113" spans="2:24" ht="14.4" x14ac:dyDescent="0.3">
      <c r="B2113" s="57">
        <v>1790816917815</v>
      </c>
      <c r="C2113" s="58">
        <v>204</v>
      </c>
      <c r="D2113" s="59" t="s">
        <v>1677</v>
      </c>
      <c r="E2113" s="59" t="s">
        <v>3579</v>
      </c>
      <c r="F2113" s="59" t="s">
        <v>3580</v>
      </c>
      <c r="G2113" s="59" t="s">
        <v>3583</v>
      </c>
      <c r="H2113" s="59" t="s">
        <v>2281</v>
      </c>
      <c r="I2113" s="59" t="b">
        <v>1</v>
      </c>
      <c r="J2113" s="59"/>
      <c r="K2113" s="58">
        <v>421</v>
      </c>
      <c r="L2113" s="58">
        <v>1478</v>
      </c>
      <c r="M2113" s="59">
        <v>10</v>
      </c>
      <c r="N2113" s="59">
        <v>10</v>
      </c>
      <c r="O2113" s="59" t="s">
        <v>3581</v>
      </c>
      <c r="P2113" s="58">
        <v>202</v>
      </c>
      <c r="Q2113" s="59">
        <v>0</v>
      </c>
      <c r="R2113" s="59">
        <v>0</v>
      </c>
      <c r="S2113" s="60">
        <f>tblJTL[[#This Row],[timeStamp]]/86400000+DATE(1970,1,1)+TIME(9,0,0)</f>
        <v>46296.422659895834</v>
      </c>
      <c r="T2113" s="57">
        <f>tblJTL[[#This Row],[timeStamp]]+tblJTL[[#This Row],[elapsed]]</f>
        <v>1790816918019</v>
      </c>
      <c r="U2113" s="61">
        <f>(tblJTL[[#This Row],[timeStamp]]-'17_分析サンプル'!$E$18)/1000</f>
        <v>517.63499999999999</v>
      </c>
      <c r="V2113" s="57">
        <f>INT(tblJTL[[#This Row],[経過秒]]/60)</f>
        <v>8</v>
      </c>
      <c r="W2113" s="57">
        <f>IF(OR(tblJTL[[#This Row],[success]]=FALSE,tblJTL[[#This Row],[success]]="false"),1,0)</f>
        <v>0</v>
      </c>
      <c r="X2113" s="57">
        <f>IF(AND(tblJTL[[#This Row],[経過秒]]&gt;='17_分析サンプル'!$E$11,tblJTL[[#This Row],[経過秒]]&lt;'17_分析サンプル'!$E$12),1,0)</f>
        <v>1</v>
      </c>
    </row>
    <row r="2114" spans="2:24" ht="14.4" x14ac:dyDescent="0.3">
      <c r="B2114" s="57">
        <v>1790816918446</v>
      </c>
      <c r="C2114" s="58">
        <v>115</v>
      </c>
      <c r="D2114" s="59" t="s">
        <v>1658</v>
      </c>
      <c r="E2114" s="59" t="s">
        <v>1577</v>
      </c>
      <c r="F2114" s="59" t="s">
        <v>2275</v>
      </c>
      <c r="G2114" s="59" t="s">
        <v>3587</v>
      </c>
      <c r="H2114" s="59" t="s">
        <v>2281</v>
      </c>
      <c r="I2114" s="59" t="b">
        <v>1</v>
      </c>
      <c r="J2114" s="59"/>
      <c r="K2114" s="58">
        <v>1878</v>
      </c>
      <c r="L2114" s="58">
        <v>1342</v>
      </c>
      <c r="M2114" s="59">
        <v>10</v>
      </c>
      <c r="N2114" s="59">
        <v>10</v>
      </c>
      <c r="O2114" s="59" t="s">
        <v>3578</v>
      </c>
      <c r="P2114" s="58">
        <v>107</v>
      </c>
      <c r="Q2114" s="59">
        <v>0</v>
      </c>
      <c r="R2114" s="59">
        <v>0</v>
      </c>
      <c r="S2114" s="60">
        <f>tblJTL[[#This Row],[timeStamp]]/86400000+DATE(1970,1,1)+TIME(9,0,0)</f>
        <v>46296.422667199076</v>
      </c>
      <c r="T2114" s="57">
        <f>tblJTL[[#This Row],[timeStamp]]+tblJTL[[#This Row],[elapsed]]</f>
        <v>1790816918561</v>
      </c>
      <c r="U2114" s="61">
        <f>(tblJTL[[#This Row],[timeStamp]]-'17_分析サンプル'!$E$18)/1000</f>
        <v>518.26599999999996</v>
      </c>
      <c r="V2114" s="57">
        <f>INT(tblJTL[[#This Row],[経過秒]]/60)</f>
        <v>8</v>
      </c>
      <c r="W2114" s="57">
        <f>IF(OR(tblJTL[[#This Row],[success]]=FALSE,tblJTL[[#This Row],[success]]="false"),1,0)</f>
        <v>0</v>
      </c>
      <c r="X2114" s="57">
        <f>IF(AND(tblJTL[[#This Row],[経過秒]]&gt;='17_分析サンプル'!$E$11,tblJTL[[#This Row],[経過秒]]&lt;'17_分析サンプル'!$E$12),1,0)</f>
        <v>1</v>
      </c>
    </row>
    <row r="2115" spans="2:24" ht="14.4" x14ac:dyDescent="0.3">
      <c r="B2115" s="57">
        <v>1790816918807</v>
      </c>
      <c r="C2115" s="58">
        <v>94</v>
      </c>
      <c r="D2115" s="59" t="s">
        <v>1658</v>
      </c>
      <c r="E2115" s="59" t="s">
        <v>1577</v>
      </c>
      <c r="F2115" s="59" t="s">
        <v>2275</v>
      </c>
      <c r="G2115" s="59" t="s">
        <v>3585</v>
      </c>
      <c r="H2115" s="59" t="s">
        <v>2281</v>
      </c>
      <c r="I2115" s="59" t="b">
        <v>1</v>
      </c>
      <c r="J2115" s="59"/>
      <c r="K2115" s="58">
        <v>1869</v>
      </c>
      <c r="L2115" s="58">
        <v>1342</v>
      </c>
      <c r="M2115" s="59">
        <v>10</v>
      </c>
      <c r="N2115" s="59">
        <v>10</v>
      </c>
      <c r="O2115" s="59" t="s">
        <v>3578</v>
      </c>
      <c r="P2115" s="58">
        <v>91</v>
      </c>
      <c r="Q2115" s="59">
        <v>0</v>
      </c>
      <c r="R2115" s="59">
        <v>0</v>
      </c>
      <c r="S2115" s="60">
        <f>tblJTL[[#This Row],[timeStamp]]/86400000+DATE(1970,1,1)+TIME(9,0,0)</f>
        <v>46296.42267137731</v>
      </c>
      <c r="T2115" s="57">
        <f>tblJTL[[#This Row],[timeStamp]]+tblJTL[[#This Row],[elapsed]]</f>
        <v>1790816918901</v>
      </c>
      <c r="U2115" s="61">
        <f>(tblJTL[[#This Row],[timeStamp]]-'17_分析サンプル'!$E$18)/1000</f>
        <v>518.62699999999995</v>
      </c>
      <c r="V2115" s="57">
        <f>INT(tblJTL[[#This Row],[経過秒]]/60)</f>
        <v>8</v>
      </c>
      <c r="W2115" s="57">
        <f>IF(OR(tblJTL[[#This Row],[success]]=FALSE,tblJTL[[#This Row],[success]]="false"),1,0)</f>
        <v>0</v>
      </c>
      <c r="X2115" s="57">
        <f>IF(AND(tblJTL[[#This Row],[経過秒]]&gt;='17_分析サンプル'!$E$11,tblJTL[[#This Row],[経過秒]]&lt;'17_分析サンプル'!$E$12),1,0)</f>
        <v>1</v>
      </c>
    </row>
    <row r="2116" spans="2:24" ht="14.4" x14ac:dyDescent="0.3">
      <c r="B2116" s="57">
        <v>1790816918785</v>
      </c>
      <c r="C2116" s="58">
        <v>137</v>
      </c>
      <c r="D2116" s="59" t="s">
        <v>1658</v>
      </c>
      <c r="E2116" s="59" t="s">
        <v>1577</v>
      </c>
      <c r="F2116" s="59" t="s">
        <v>2275</v>
      </c>
      <c r="G2116" s="59" t="s">
        <v>3582</v>
      </c>
      <c r="H2116" s="59" t="s">
        <v>2281</v>
      </c>
      <c r="I2116" s="59" t="b">
        <v>1</v>
      </c>
      <c r="J2116" s="59"/>
      <c r="K2116" s="58">
        <v>1840</v>
      </c>
      <c r="L2116" s="58">
        <v>1342</v>
      </c>
      <c r="M2116" s="59">
        <v>10</v>
      </c>
      <c r="N2116" s="59">
        <v>10</v>
      </c>
      <c r="O2116" s="59" t="s">
        <v>3578</v>
      </c>
      <c r="P2116" s="58">
        <v>130</v>
      </c>
      <c r="Q2116" s="59">
        <v>0</v>
      </c>
      <c r="R2116" s="59">
        <v>0</v>
      </c>
      <c r="S2116" s="60">
        <f>tblJTL[[#This Row],[timeStamp]]/86400000+DATE(1970,1,1)+TIME(9,0,0)</f>
        <v>46296.42267112268</v>
      </c>
      <c r="T2116" s="57">
        <f>tblJTL[[#This Row],[timeStamp]]+tblJTL[[#This Row],[elapsed]]</f>
        <v>1790816918922</v>
      </c>
      <c r="U2116" s="61">
        <f>(tblJTL[[#This Row],[timeStamp]]-'17_分析サンプル'!$E$18)/1000</f>
        <v>518.60500000000002</v>
      </c>
      <c r="V2116" s="57">
        <f>INT(tblJTL[[#This Row],[経過秒]]/60)</f>
        <v>8</v>
      </c>
      <c r="W2116" s="57">
        <f>IF(OR(tblJTL[[#This Row],[success]]=FALSE,tblJTL[[#This Row],[success]]="false"),1,0)</f>
        <v>0</v>
      </c>
      <c r="X2116" s="57">
        <f>IF(AND(tblJTL[[#This Row],[経過秒]]&gt;='17_分析サンプル'!$E$11,tblJTL[[#This Row],[経過秒]]&lt;'17_分析サンプル'!$E$12),1,0)</f>
        <v>1</v>
      </c>
    </row>
    <row r="2117" spans="2:24" ht="14.4" x14ac:dyDescent="0.3">
      <c r="B2117" s="57">
        <v>1790816918870</v>
      </c>
      <c r="C2117" s="58">
        <v>77</v>
      </c>
      <c r="D2117" s="59" t="s">
        <v>1658</v>
      </c>
      <c r="E2117" s="59" t="s">
        <v>1577</v>
      </c>
      <c r="F2117" s="59" t="s">
        <v>2275</v>
      </c>
      <c r="G2117" s="59" t="s">
        <v>3577</v>
      </c>
      <c r="H2117" s="59" t="s">
        <v>2281</v>
      </c>
      <c r="I2117" s="59" t="b">
        <v>1</v>
      </c>
      <c r="J2117" s="59"/>
      <c r="K2117" s="58">
        <v>1856</v>
      </c>
      <c r="L2117" s="58">
        <v>1342</v>
      </c>
      <c r="M2117" s="59">
        <v>10</v>
      </c>
      <c r="N2117" s="59">
        <v>10</v>
      </c>
      <c r="O2117" s="59" t="s">
        <v>3578</v>
      </c>
      <c r="P2117" s="58">
        <v>73</v>
      </c>
      <c r="Q2117" s="59">
        <v>0</v>
      </c>
      <c r="R2117" s="59">
        <v>0</v>
      </c>
      <c r="S2117" s="60">
        <f>tblJTL[[#This Row],[timeStamp]]/86400000+DATE(1970,1,1)+TIME(9,0,0)</f>
        <v>46296.422672106477</v>
      </c>
      <c r="T2117" s="57">
        <f>tblJTL[[#This Row],[timeStamp]]+tblJTL[[#This Row],[elapsed]]</f>
        <v>1790816918947</v>
      </c>
      <c r="U2117" s="61">
        <f>(tblJTL[[#This Row],[timeStamp]]-'17_分析サンプル'!$E$18)/1000</f>
        <v>518.69000000000005</v>
      </c>
      <c r="V2117" s="57">
        <f>INT(tblJTL[[#This Row],[経過秒]]/60)</f>
        <v>8</v>
      </c>
      <c r="W2117" s="57">
        <f>IF(OR(tblJTL[[#This Row],[success]]=FALSE,tblJTL[[#This Row],[success]]="false"),1,0)</f>
        <v>0</v>
      </c>
      <c r="X2117" s="57">
        <f>IF(AND(tblJTL[[#This Row],[経過秒]]&gt;='17_分析サンプル'!$E$11,tblJTL[[#This Row],[経過秒]]&lt;'17_分析サンプル'!$E$12),1,0)</f>
        <v>1</v>
      </c>
    </row>
    <row r="2118" spans="2:24" ht="14.4" x14ac:dyDescent="0.3">
      <c r="B2118" s="57">
        <v>1790816919219</v>
      </c>
      <c r="C2118" s="58">
        <v>110</v>
      </c>
      <c r="D2118" s="59" t="s">
        <v>1677</v>
      </c>
      <c r="E2118" s="59" t="s">
        <v>3579</v>
      </c>
      <c r="F2118" s="59" t="s">
        <v>3580</v>
      </c>
      <c r="G2118" s="59" t="s">
        <v>3586</v>
      </c>
      <c r="H2118" s="59" t="s">
        <v>2281</v>
      </c>
      <c r="I2118" s="59" t="b">
        <v>1</v>
      </c>
      <c r="J2118" s="59"/>
      <c r="K2118" s="58">
        <v>418</v>
      </c>
      <c r="L2118" s="58">
        <v>1478</v>
      </c>
      <c r="M2118" s="59">
        <v>10</v>
      </c>
      <c r="N2118" s="59">
        <v>10</v>
      </c>
      <c r="O2118" s="59" t="s">
        <v>3581</v>
      </c>
      <c r="P2118" s="58">
        <v>107</v>
      </c>
      <c r="Q2118" s="59">
        <v>0</v>
      </c>
      <c r="R2118" s="59">
        <v>0</v>
      </c>
      <c r="S2118" s="60">
        <f>tblJTL[[#This Row],[timeStamp]]/86400000+DATE(1970,1,1)+TIME(9,0,0)</f>
        <v>46296.422676145834</v>
      </c>
      <c r="T2118" s="57">
        <f>tblJTL[[#This Row],[timeStamp]]+tblJTL[[#This Row],[elapsed]]</f>
        <v>1790816919329</v>
      </c>
      <c r="U2118" s="61">
        <f>(tblJTL[[#This Row],[timeStamp]]-'17_分析サンプル'!$E$18)/1000</f>
        <v>519.03899999999999</v>
      </c>
      <c r="V2118" s="57">
        <f>INT(tblJTL[[#This Row],[経過秒]]/60)</f>
        <v>8</v>
      </c>
      <c r="W2118" s="57">
        <f>IF(OR(tblJTL[[#This Row],[success]]=FALSE,tblJTL[[#This Row],[success]]="false"),1,0)</f>
        <v>0</v>
      </c>
      <c r="X2118" s="57">
        <f>IF(AND(tblJTL[[#This Row],[経過秒]]&gt;='17_分析サンプル'!$E$11,tblJTL[[#This Row],[経過秒]]&lt;'17_分析サンプル'!$E$12),1,0)</f>
        <v>1</v>
      </c>
    </row>
    <row r="2119" spans="2:24" ht="14.4" x14ac:dyDescent="0.3">
      <c r="B2119" s="57">
        <v>1790816919246</v>
      </c>
      <c r="C2119" s="58">
        <v>103</v>
      </c>
      <c r="D2119" s="59" t="s">
        <v>1658</v>
      </c>
      <c r="E2119" s="59" t="s">
        <v>1577</v>
      </c>
      <c r="F2119" s="59" t="s">
        <v>2275</v>
      </c>
      <c r="G2119" s="59" t="s">
        <v>2278</v>
      </c>
      <c r="H2119" s="59" t="s">
        <v>2281</v>
      </c>
      <c r="I2119" s="59" t="b">
        <v>1</v>
      </c>
      <c r="J2119" s="59"/>
      <c r="K2119" s="58">
        <v>1847</v>
      </c>
      <c r="L2119" s="58">
        <v>1342</v>
      </c>
      <c r="M2119" s="59">
        <v>10</v>
      </c>
      <c r="N2119" s="59">
        <v>10</v>
      </c>
      <c r="O2119" s="59" t="s">
        <v>3578</v>
      </c>
      <c r="P2119" s="58">
        <v>101</v>
      </c>
      <c r="Q2119" s="59">
        <v>0</v>
      </c>
      <c r="R2119" s="59">
        <v>0</v>
      </c>
      <c r="S2119" s="60">
        <f>tblJTL[[#This Row],[timeStamp]]/86400000+DATE(1970,1,1)+TIME(9,0,0)</f>
        <v>46296.422676458329</v>
      </c>
      <c r="T2119" s="57">
        <f>tblJTL[[#This Row],[timeStamp]]+tblJTL[[#This Row],[elapsed]]</f>
        <v>1790816919349</v>
      </c>
      <c r="U2119" s="61">
        <f>(tblJTL[[#This Row],[timeStamp]]-'17_分析サンプル'!$E$18)/1000</f>
        <v>519.06600000000003</v>
      </c>
      <c r="V2119" s="57">
        <f>INT(tblJTL[[#This Row],[経過秒]]/60)</f>
        <v>8</v>
      </c>
      <c r="W2119" s="57">
        <f>IF(OR(tblJTL[[#This Row],[success]]=FALSE,tblJTL[[#This Row],[success]]="false"),1,0)</f>
        <v>0</v>
      </c>
      <c r="X2119" s="57">
        <f>IF(AND(tblJTL[[#This Row],[経過秒]]&gt;='17_分析サンプル'!$E$11,tblJTL[[#This Row],[経過秒]]&lt;'17_分析サンプル'!$E$12),1,0)</f>
        <v>1</v>
      </c>
    </row>
    <row r="2120" spans="2:24" ht="14.4" x14ac:dyDescent="0.3">
      <c r="B2120" s="57">
        <v>1790816919490</v>
      </c>
      <c r="C2120" s="58">
        <v>134</v>
      </c>
      <c r="D2120" s="59" t="s">
        <v>1658</v>
      </c>
      <c r="E2120" s="59" t="s">
        <v>1577</v>
      </c>
      <c r="F2120" s="59" t="s">
        <v>2275</v>
      </c>
      <c r="G2120" s="59" t="s">
        <v>3583</v>
      </c>
      <c r="H2120" s="59" t="s">
        <v>2281</v>
      </c>
      <c r="I2120" s="59" t="b">
        <v>1</v>
      </c>
      <c r="J2120" s="59"/>
      <c r="K2120" s="58">
        <v>1822</v>
      </c>
      <c r="L2120" s="58">
        <v>1342</v>
      </c>
      <c r="M2120" s="59">
        <v>10</v>
      </c>
      <c r="N2120" s="59">
        <v>10</v>
      </c>
      <c r="O2120" s="59" t="s">
        <v>3578</v>
      </c>
      <c r="P2120" s="58">
        <v>127</v>
      </c>
      <c r="Q2120" s="59">
        <v>0</v>
      </c>
      <c r="R2120" s="59">
        <v>0</v>
      </c>
      <c r="S2120" s="60">
        <f>tblJTL[[#This Row],[timeStamp]]/86400000+DATE(1970,1,1)+TIME(9,0,0)</f>
        <v>46296.422679282405</v>
      </c>
      <c r="T2120" s="57">
        <f>tblJTL[[#This Row],[timeStamp]]+tblJTL[[#This Row],[elapsed]]</f>
        <v>1790816919624</v>
      </c>
      <c r="U2120" s="61">
        <f>(tblJTL[[#This Row],[timeStamp]]-'17_分析サンプル'!$E$18)/1000</f>
        <v>519.30999999999995</v>
      </c>
      <c r="V2120" s="57">
        <f>INT(tblJTL[[#This Row],[経過秒]]/60)</f>
        <v>8</v>
      </c>
      <c r="W2120" s="57">
        <f>IF(OR(tblJTL[[#This Row],[success]]=FALSE,tblJTL[[#This Row],[success]]="false"),1,0)</f>
        <v>0</v>
      </c>
      <c r="X2120" s="57">
        <f>IF(AND(tblJTL[[#This Row],[経過秒]]&gt;='17_分析サンプル'!$E$11,tblJTL[[#This Row],[経過秒]]&lt;'17_分析サンプル'!$E$12),1,0)</f>
        <v>1</v>
      </c>
    </row>
    <row r="2121" spans="2:24" ht="14.4" x14ac:dyDescent="0.3">
      <c r="B2121" s="57">
        <v>1790816919790</v>
      </c>
      <c r="C2121" s="58">
        <v>87</v>
      </c>
      <c r="D2121" s="59" t="s">
        <v>1658</v>
      </c>
      <c r="E2121" s="59" t="s">
        <v>1577</v>
      </c>
      <c r="F2121" s="59" t="s">
        <v>2275</v>
      </c>
      <c r="G2121" s="59" t="s">
        <v>3588</v>
      </c>
      <c r="H2121" s="59" t="s">
        <v>2281</v>
      </c>
      <c r="I2121" s="59" t="b">
        <v>1</v>
      </c>
      <c r="J2121" s="59"/>
      <c r="K2121" s="58">
        <v>1861</v>
      </c>
      <c r="L2121" s="58">
        <v>1342</v>
      </c>
      <c r="M2121" s="59">
        <v>10</v>
      </c>
      <c r="N2121" s="59">
        <v>10</v>
      </c>
      <c r="O2121" s="59" t="s">
        <v>3578</v>
      </c>
      <c r="P2121" s="58">
        <v>84</v>
      </c>
      <c r="Q2121" s="59">
        <v>0</v>
      </c>
      <c r="R2121" s="59">
        <v>0</v>
      </c>
      <c r="S2121" s="60">
        <f>tblJTL[[#This Row],[timeStamp]]/86400000+DATE(1970,1,1)+TIME(9,0,0)</f>
        <v>46296.42268275463</v>
      </c>
      <c r="T2121" s="57">
        <f>tblJTL[[#This Row],[timeStamp]]+tblJTL[[#This Row],[elapsed]]</f>
        <v>1790816919877</v>
      </c>
      <c r="U2121" s="61">
        <f>(tblJTL[[#This Row],[timeStamp]]-'17_分析サンプル'!$E$18)/1000</f>
        <v>519.61</v>
      </c>
      <c r="V2121" s="57">
        <f>INT(tblJTL[[#This Row],[経過秒]]/60)</f>
        <v>8</v>
      </c>
      <c r="W2121" s="57">
        <f>IF(OR(tblJTL[[#This Row],[success]]=FALSE,tblJTL[[#This Row],[success]]="false"),1,0)</f>
        <v>0</v>
      </c>
      <c r="X2121" s="57">
        <f>IF(AND(tblJTL[[#This Row],[経過秒]]&gt;='17_分析サンプル'!$E$11,tblJTL[[#This Row],[経過秒]]&lt;'17_分析サンプル'!$E$12),1,0)</f>
        <v>1</v>
      </c>
    </row>
    <row r="2122" spans="2:24" ht="14.4" x14ac:dyDescent="0.3">
      <c r="B2122" s="57">
        <v>1790816919635</v>
      </c>
      <c r="C2122" s="58">
        <v>244</v>
      </c>
      <c r="D2122" s="59" t="s">
        <v>1677</v>
      </c>
      <c r="E2122" s="59" t="s">
        <v>3579</v>
      </c>
      <c r="F2122" s="59" t="s">
        <v>3580</v>
      </c>
      <c r="G2122" s="59" t="s">
        <v>3589</v>
      </c>
      <c r="H2122" s="59" t="s">
        <v>2281</v>
      </c>
      <c r="I2122" s="59" t="b">
        <v>1</v>
      </c>
      <c r="J2122" s="59"/>
      <c r="K2122" s="58">
        <v>418</v>
      </c>
      <c r="L2122" s="58">
        <v>1478</v>
      </c>
      <c r="M2122" s="59">
        <v>10</v>
      </c>
      <c r="N2122" s="59">
        <v>10</v>
      </c>
      <c r="O2122" s="59" t="s">
        <v>3581</v>
      </c>
      <c r="P2122" s="58">
        <v>236</v>
      </c>
      <c r="Q2122" s="59">
        <v>0</v>
      </c>
      <c r="R2122" s="59">
        <v>0</v>
      </c>
      <c r="S2122" s="60">
        <f>tblJTL[[#This Row],[timeStamp]]/86400000+DATE(1970,1,1)+TIME(9,0,0)</f>
        <v>46296.422680960648</v>
      </c>
      <c r="T2122" s="57">
        <f>tblJTL[[#This Row],[timeStamp]]+tblJTL[[#This Row],[elapsed]]</f>
        <v>1790816919879</v>
      </c>
      <c r="U2122" s="61">
        <f>(tblJTL[[#This Row],[timeStamp]]-'17_分析サンプル'!$E$18)/1000</f>
        <v>519.45500000000004</v>
      </c>
      <c r="V2122" s="57">
        <f>INT(tblJTL[[#This Row],[経過秒]]/60)</f>
        <v>8</v>
      </c>
      <c r="W2122" s="57">
        <f>IF(OR(tblJTL[[#This Row],[success]]=FALSE,tblJTL[[#This Row],[success]]="false"),1,0)</f>
        <v>0</v>
      </c>
      <c r="X2122" s="57">
        <f>IF(AND(tblJTL[[#This Row],[経過秒]]&gt;='17_分析サンプル'!$E$11,tblJTL[[#This Row],[経過秒]]&lt;'17_分析サンプル'!$E$12),1,0)</f>
        <v>1</v>
      </c>
    </row>
    <row r="2123" spans="2:24" ht="14.4" x14ac:dyDescent="0.3">
      <c r="B2123" s="57">
        <v>1790816919942</v>
      </c>
      <c r="C2123" s="58">
        <v>169</v>
      </c>
      <c r="D2123" s="59" t="s">
        <v>1677</v>
      </c>
      <c r="E2123" s="59" t="s">
        <v>3579</v>
      </c>
      <c r="F2123" s="59" t="s">
        <v>3580</v>
      </c>
      <c r="G2123" s="59" t="s">
        <v>3587</v>
      </c>
      <c r="H2123" s="59" t="s">
        <v>2281</v>
      </c>
      <c r="I2123" s="59" t="b">
        <v>1</v>
      </c>
      <c r="J2123" s="59"/>
      <c r="K2123" s="58">
        <v>417</v>
      </c>
      <c r="L2123" s="58">
        <v>1478</v>
      </c>
      <c r="M2123" s="59">
        <v>10</v>
      </c>
      <c r="N2123" s="59">
        <v>10</v>
      </c>
      <c r="O2123" s="59" t="s">
        <v>3581</v>
      </c>
      <c r="P2123" s="58">
        <v>161</v>
      </c>
      <c r="Q2123" s="59">
        <v>0</v>
      </c>
      <c r="R2123" s="59">
        <v>0</v>
      </c>
      <c r="S2123" s="60">
        <f>tblJTL[[#This Row],[timeStamp]]/86400000+DATE(1970,1,1)+TIME(9,0,0)</f>
        <v>46296.422684513891</v>
      </c>
      <c r="T2123" s="57">
        <f>tblJTL[[#This Row],[timeStamp]]+tblJTL[[#This Row],[elapsed]]</f>
        <v>1790816920111</v>
      </c>
      <c r="U2123" s="61">
        <f>(tblJTL[[#This Row],[timeStamp]]-'17_分析サンプル'!$E$18)/1000</f>
        <v>519.76199999999994</v>
      </c>
      <c r="V2123" s="57">
        <f>INT(tblJTL[[#This Row],[経過秒]]/60)</f>
        <v>8</v>
      </c>
      <c r="W2123" s="57">
        <f>IF(OR(tblJTL[[#This Row],[success]]=FALSE,tblJTL[[#This Row],[success]]="false"),1,0)</f>
        <v>0</v>
      </c>
      <c r="X2123" s="57">
        <f>IF(AND(tblJTL[[#This Row],[経過秒]]&gt;='17_分析サンプル'!$E$11,tblJTL[[#This Row],[経過秒]]&lt;'17_分析サンプル'!$E$12),1,0)</f>
        <v>1</v>
      </c>
    </row>
    <row r="2124" spans="2:24" ht="14.4" x14ac:dyDescent="0.3">
      <c r="B2124" s="57">
        <v>1790816920514</v>
      </c>
      <c r="C2124" s="58">
        <v>182</v>
      </c>
      <c r="D2124" s="59" t="s">
        <v>1677</v>
      </c>
      <c r="E2124" s="59" t="s">
        <v>3579</v>
      </c>
      <c r="F2124" s="59" t="s">
        <v>3580</v>
      </c>
      <c r="G2124" s="59" t="s">
        <v>3584</v>
      </c>
      <c r="H2124" s="59" t="s">
        <v>2281</v>
      </c>
      <c r="I2124" s="59" t="b">
        <v>1</v>
      </c>
      <c r="J2124" s="59"/>
      <c r="K2124" s="58">
        <v>436</v>
      </c>
      <c r="L2124" s="58">
        <v>1478</v>
      </c>
      <c r="M2124" s="59">
        <v>10</v>
      </c>
      <c r="N2124" s="59">
        <v>10</v>
      </c>
      <c r="O2124" s="59" t="s">
        <v>3581</v>
      </c>
      <c r="P2124" s="58">
        <v>179</v>
      </c>
      <c r="Q2124" s="59">
        <v>0</v>
      </c>
      <c r="R2124" s="59">
        <v>0</v>
      </c>
      <c r="S2124" s="60">
        <f>tblJTL[[#This Row],[timeStamp]]/86400000+DATE(1970,1,1)+TIME(9,0,0)</f>
        <v>46296.422691134256</v>
      </c>
      <c r="T2124" s="57">
        <f>tblJTL[[#This Row],[timeStamp]]+tblJTL[[#This Row],[elapsed]]</f>
        <v>1790816920696</v>
      </c>
      <c r="U2124" s="61">
        <f>(tblJTL[[#This Row],[timeStamp]]-'17_分析サンプル'!$E$18)/1000</f>
        <v>520.33399999999995</v>
      </c>
      <c r="V2124" s="57">
        <f>INT(tblJTL[[#This Row],[経過秒]]/60)</f>
        <v>8</v>
      </c>
      <c r="W2124" s="57">
        <f>IF(OR(tblJTL[[#This Row],[success]]=FALSE,tblJTL[[#This Row],[success]]="false"),1,0)</f>
        <v>0</v>
      </c>
      <c r="X2124" s="57">
        <f>IF(AND(tblJTL[[#This Row],[経過秒]]&gt;='17_分析サンプル'!$E$11,tblJTL[[#This Row],[経過秒]]&lt;'17_分析サンプル'!$E$12),1,0)</f>
        <v>1</v>
      </c>
    </row>
    <row r="2125" spans="2:24" ht="14.4" x14ac:dyDescent="0.3">
      <c r="B2125" s="57">
        <v>1790816920746</v>
      </c>
      <c r="C2125" s="58">
        <v>276</v>
      </c>
      <c r="D2125" s="59" t="s">
        <v>1677</v>
      </c>
      <c r="E2125" s="59" t="s">
        <v>3579</v>
      </c>
      <c r="F2125" s="59" t="s">
        <v>3580</v>
      </c>
      <c r="G2125" s="59" t="s">
        <v>3582</v>
      </c>
      <c r="H2125" s="59" t="s">
        <v>2281</v>
      </c>
      <c r="I2125" s="59" t="b">
        <v>1</v>
      </c>
      <c r="J2125" s="59"/>
      <c r="K2125" s="58">
        <v>413</v>
      </c>
      <c r="L2125" s="58">
        <v>1478</v>
      </c>
      <c r="M2125" s="59">
        <v>10</v>
      </c>
      <c r="N2125" s="59">
        <v>10</v>
      </c>
      <c r="O2125" s="59" t="s">
        <v>3581</v>
      </c>
      <c r="P2125" s="58">
        <v>269</v>
      </c>
      <c r="Q2125" s="59">
        <v>0</v>
      </c>
      <c r="R2125" s="59">
        <v>0</v>
      </c>
      <c r="S2125" s="60">
        <f>tblJTL[[#This Row],[timeStamp]]/86400000+DATE(1970,1,1)+TIME(9,0,0)</f>
        <v>46296.422693819448</v>
      </c>
      <c r="T2125" s="57">
        <f>tblJTL[[#This Row],[timeStamp]]+tblJTL[[#This Row],[elapsed]]</f>
        <v>1790816921022</v>
      </c>
      <c r="U2125" s="61">
        <f>(tblJTL[[#This Row],[timeStamp]]-'17_分析サンプル'!$E$18)/1000</f>
        <v>520.56600000000003</v>
      </c>
      <c r="V2125" s="57">
        <f>INT(tblJTL[[#This Row],[経過秒]]/60)</f>
        <v>8</v>
      </c>
      <c r="W2125" s="57">
        <f>IF(OR(tblJTL[[#This Row],[success]]=FALSE,tblJTL[[#This Row],[success]]="false"),1,0)</f>
        <v>0</v>
      </c>
      <c r="X2125" s="57">
        <f>IF(AND(tblJTL[[#This Row],[経過秒]]&gt;='17_分析サンプル'!$E$11,tblJTL[[#This Row],[経過秒]]&lt;'17_分析サンプル'!$E$12),1,0)</f>
        <v>1</v>
      </c>
    </row>
    <row r="2126" spans="2:24" ht="14.4" x14ac:dyDescent="0.3">
      <c r="B2126" s="57">
        <v>1790816920758</v>
      </c>
      <c r="C2126" s="58">
        <v>267</v>
      </c>
      <c r="D2126" s="59" t="s">
        <v>1677</v>
      </c>
      <c r="E2126" s="59" t="s">
        <v>3579</v>
      </c>
      <c r="F2126" s="59" t="s">
        <v>3580</v>
      </c>
      <c r="G2126" s="59" t="s">
        <v>2278</v>
      </c>
      <c r="H2126" s="59" t="s">
        <v>2281</v>
      </c>
      <c r="I2126" s="59" t="b">
        <v>1</v>
      </c>
      <c r="J2126" s="59"/>
      <c r="K2126" s="58">
        <v>413</v>
      </c>
      <c r="L2126" s="58">
        <v>1478</v>
      </c>
      <c r="M2126" s="59">
        <v>10</v>
      </c>
      <c r="N2126" s="59">
        <v>10</v>
      </c>
      <c r="O2126" s="59" t="s">
        <v>3581</v>
      </c>
      <c r="P2126" s="58">
        <v>260</v>
      </c>
      <c r="Q2126" s="59">
        <v>0</v>
      </c>
      <c r="R2126" s="59">
        <v>0</v>
      </c>
      <c r="S2126" s="60">
        <f>tblJTL[[#This Row],[timeStamp]]/86400000+DATE(1970,1,1)+TIME(9,0,0)</f>
        <v>46296.422693958331</v>
      </c>
      <c r="T2126" s="57">
        <f>tblJTL[[#This Row],[timeStamp]]+tblJTL[[#This Row],[elapsed]]</f>
        <v>1790816921025</v>
      </c>
      <c r="U2126" s="61">
        <f>(tblJTL[[#This Row],[timeStamp]]-'17_分析サンプル'!$E$18)/1000</f>
        <v>520.57799999999997</v>
      </c>
      <c r="V2126" s="57">
        <f>INT(tblJTL[[#This Row],[経過秒]]/60)</f>
        <v>8</v>
      </c>
      <c r="W2126" s="57">
        <f>IF(OR(tblJTL[[#This Row],[success]]=FALSE,tblJTL[[#This Row],[success]]="false"),1,0)</f>
        <v>0</v>
      </c>
      <c r="X2126" s="57">
        <f>IF(AND(tblJTL[[#This Row],[経過秒]]&gt;='17_分析サンプル'!$E$11,tblJTL[[#This Row],[経過秒]]&lt;'17_分析サンプル'!$E$12),1,0)</f>
        <v>1</v>
      </c>
    </row>
    <row r="2127" spans="2:24" ht="14.4" x14ac:dyDescent="0.3">
      <c r="B2127" s="57">
        <v>1790816920844</v>
      </c>
      <c r="C2127" s="58">
        <v>278</v>
      </c>
      <c r="D2127" s="59" t="s">
        <v>1677</v>
      </c>
      <c r="E2127" s="59" t="s">
        <v>3579</v>
      </c>
      <c r="F2127" s="59" t="s">
        <v>3580</v>
      </c>
      <c r="G2127" s="59" t="s">
        <v>3577</v>
      </c>
      <c r="H2127" s="59" t="s">
        <v>2281</v>
      </c>
      <c r="I2127" s="59" t="b">
        <v>1</v>
      </c>
      <c r="J2127" s="59"/>
      <c r="K2127" s="58">
        <v>417</v>
      </c>
      <c r="L2127" s="58">
        <v>1478</v>
      </c>
      <c r="M2127" s="59">
        <v>10</v>
      </c>
      <c r="N2127" s="59">
        <v>10</v>
      </c>
      <c r="O2127" s="59" t="s">
        <v>3581</v>
      </c>
      <c r="P2127" s="58">
        <v>270</v>
      </c>
      <c r="Q2127" s="59">
        <v>0</v>
      </c>
      <c r="R2127" s="59">
        <v>0</v>
      </c>
      <c r="S2127" s="60">
        <f>tblJTL[[#This Row],[timeStamp]]/86400000+DATE(1970,1,1)+TIME(9,0,0)</f>
        <v>46296.422694953704</v>
      </c>
      <c r="T2127" s="57">
        <f>tblJTL[[#This Row],[timeStamp]]+tblJTL[[#This Row],[elapsed]]</f>
        <v>1790816921122</v>
      </c>
      <c r="U2127" s="61">
        <f>(tblJTL[[#This Row],[timeStamp]]-'17_分析サンプル'!$E$18)/1000</f>
        <v>520.66399999999999</v>
      </c>
      <c r="V2127" s="57">
        <f>INT(tblJTL[[#This Row],[経過秒]]/60)</f>
        <v>8</v>
      </c>
      <c r="W2127" s="57">
        <f>IF(OR(tblJTL[[#This Row],[success]]=FALSE,tblJTL[[#This Row],[success]]="false"),1,0)</f>
        <v>0</v>
      </c>
      <c r="X2127" s="57">
        <f>IF(AND(tblJTL[[#This Row],[経過秒]]&gt;='17_分析サンプル'!$E$11,tblJTL[[#This Row],[経過秒]]&lt;'17_分析サンプル'!$E$12),1,0)</f>
        <v>1</v>
      </c>
    </row>
    <row r="2128" spans="2:24" ht="14.4" x14ac:dyDescent="0.3">
      <c r="B2128" s="57">
        <v>1790816921147</v>
      </c>
      <c r="C2128" s="58">
        <v>197</v>
      </c>
      <c r="D2128" s="59" t="s">
        <v>1677</v>
      </c>
      <c r="E2128" s="59" t="s">
        <v>3579</v>
      </c>
      <c r="F2128" s="59" t="s">
        <v>3580</v>
      </c>
      <c r="G2128" s="59" t="s">
        <v>3588</v>
      </c>
      <c r="H2128" s="59" t="s">
        <v>2281</v>
      </c>
      <c r="I2128" s="59" t="b">
        <v>1</v>
      </c>
      <c r="J2128" s="59"/>
      <c r="K2128" s="58">
        <v>433</v>
      </c>
      <c r="L2128" s="58">
        <v>1478</v>
      </c>
      <c r="M2128" s="59">
        <v>10</v>
      </c>
      <c r="N2128" s="59">
        <v>10</v>
      </c>
      <c r="O2128" s="59" t="s">
        <v>3581</v>
      </c>
      <c r="P2128" s="58">
        <v>193</v>
      </c>
      <c r="Q2128" s="59">
        <v>0</v>
      </c>
      <c r="R2128" s="59">
        <v>0</v>
      </c>
      <c r="S2128" s="60">
        <f>tblJTL[[#This Row],[timeStamp]]/86400000+DATE(1970,1,1)+TIME(9,0,0)</f>
        <v>46296.42269846065</v>
      </c>
      <c r="T2128" s="57">
        <f>tblJTL[[#This Row],[timeStamp]]+tblJTL[[#This Row],[elapsed]]</f>
        <v>1790816921344</v>
      </c>
      <c r="U2128" s="61">
        <f>(tblJTL[[#This Row],[timeStamp]]-'17_分析サンプル'!$E$18)/1000</f>
        <v>520.96699999999998</v>
      </c>
      <c r="V2128" s="57">
        <f>INT(tblJTL[[#This Row],[経過秒]]/60)</f>
        <v>8</v>
      </c>
      <c r="W2128" s="57">
        <f>IF(OR(tblJTL[[#This Row],[success]]=FALSE,tblJTL[[#This Row],[success]]="false"),1,0)</f>
        <v>0</v>
      </c>
      <c r="X2128" s="57">
        <f>IF(AND(tblJTL[[#This Row],[経過秒]]&gt;='17_分析サンプル'!$E$11,tblJTL[[#This Row],[経過秒]]&lt;'17_分析サンプル'!$E$12),1,0)</f>
        <v>1</v>
      </c>
    </row>
    <row r="2129" spans="2:24" ht="14.4" x14ac:dyDescent="0.3">
      <c r="B2129" s="57">
        <v>1790816921120</v>
      </c>
      <c r="C2129" s="58">
        <v>306</v>
      </c>
      <c r="D2129" s="59" t="s">
        <v>1677</v>
      </c>
      <c r="E2129" s="59" t="s">
        <v>3579</v>
      </c>
      <c r="F2129" s="59" t="s">
        <v>3580</v>
      </c>
      <c r="G2129" s="59" t="s">
        <v>3585</v>
      </c>
      <c r="H2129" s="59" t="s">
        <v>2281</v>
      </c>
      <c r="I2129" s="59" t="b">
        <v>1</v>
      </c>
      <c r="J2129" s="59"/>
      <c r="K2129" s="58">
        <v>420</v>
      </c>
      <c r="L2129" s="58">
        <v>1478</v>
      </c>
      <c r="M2129" s="59">
        <v>10</v>
      </c>
      <c r="N2129" s="59">
        <v>10</v>
      </c>
      <c r="O2129" s="59" t="s">
        <v>3581</v>
      </c>
      <c r="P2129" s="58">
        <v>303</v>
      </c>
      <c r="Q2129" s="59">
        <v>0</v>
      </c>
      <c r="R2129" s="59">
        <v>0</v>
      </c>
      <c r="S2129" s="60">
        <f>tblJTL[[#This Row],[timeStamp]]/86400000+DATE(1970,1,1)+TIME(9,0,0)</f>
        <v>46296.422698148148</v>
      </c>
      <c r="T2129" s="57">
        <f>tblJTL[[#This Row],[timeStamp]]+tblJTL[[#This Row],[elapsed]]</f>
        <v>1790816921426</v>
      </c>
      <c r="U2129" s="61">
        <f>(tblJTL[[#This Row],[timeStamp]]-'17_分析サンプル'!$E$18)/1000</f>
        <v>520.94000000000005</v>
      </c>
      <c r="V2129" s="57">
        <f>INT(tblJTL[[#This Row],[経過秒]]/60)</f>
        <v>8</v>
      </c>
      <c r="W2129" s="57">
        <f>IF(OR(tblJTL[[#This Row],[success]]=FALSE,tblJTL[[#This Row],[success]]="false"),1,0)</f>
        <v>0</v>
      </c>
      <c r="X2129" s="57">
        <f>IF(AND(tblJTL[[#This Row],[経過秒]]&gt;='17_分析サンプル'!$E$11,tblJTL[[#This Row],[経過秒]]&lt;'17_分析サンプル'!$E$12),1,0)</f>
        <v>1</v>
      </c>
    </row>
    <row r="2130" spans="2:24" ht="14.4" x14ac:dyDescent="0.3">
      <c r="B2130" s="57">
        <v>1790816921472</v>
      </c>
      <c r="C2130" s="58">
        <v>118</v>
      </c>
      <c r="D2130" s="59" t="s">
        <v>1658</v>
      </c>
      <c r="E2130" s="59" t="s">
        <v>1577</v>
      </c>
      <c r="F2130" s="59" t="s">
        <v>2275</v>
      </c>
      <c r="G2130" s="59" t="s">
        <v>3586</v>
      </c>
      <c r="H2130" s="59" t="s">
        <v>2281</v>
      </c>
      <c r="I2130" s="59" t="b">
        <v>1</v>
      </c>
      <c r="J2130" s="59"/>
      <c r="K2130" s="58">
        <v>1825</v>
      </c>
      <c r="L2130" s="58">
        <v>1342</v>
      </c>
      <c r="M2130" s="59">
        <v>10</v>
      </c>
      <c r="N2130" s="59">
        <v>10</v>
      </c>
      <c r="O2130" s="59" t="s">
        <v>3578</v>
      </c>
      <c r="P2130" s="58">
        <v>115</v>
      </c>
      <c r="Q2130" s="59">
        <v>0</v>
      </c>
      <c r="R2130" s="59">
        <v>0</v>
      </c>
      <c r="S2130" s="60">
        <f>tblJTL[[#This Row],[timeStamp]]/86400000+DATE(1970,1,1)+TIME(9,0,0)</f>
        <v>46296.422702222219</v>
      </c>
      <c r="T2130" s="57">
        <f>tblJTL[[#This Row],[timeStamp]]+tblJTL[[#This Row],[elapsed]]</f>
        <v>1790816921590</v>
      </c>
      <c r="U2130" s="61">
        <f>(tblJTL[[#This Row],[timeStamp]]-'17_分析サンプル'!$E$18)/1000</f>
        <v>521.29200000000003</v>
      </c>
      <c r="V2130" s="57">
        <f>INT(tblJTL[[#This Row],[経過秒]]/60)</f>
        <v>8</v>
      </c>
      <c r="W2130" s="57">
        <f>IF(OR(tblJTL[[#This Row],[success]]=FALSE,tblJTL[[#This Row],[success]]="false"),1,0)</f>
        <v>0</v>
      </c>
      <c r="X2130" s="57">
        <f>IF(AND(tblJTL[[#This Row],[経過秒]]&gt;='17_分析サンプル'!$E$11,tblJTL[[#This Row],[経過秒]]&lt;'17_分析サンプル'!$E$12),1,0)</f>
        <v>1</v>
      </c>
    </row>
    <row r="2131" spans="2:24" ht="14.4" x14ac:dyDescent="0.3">
      <c r="B2131" s="57">
        <v>1790816921579</v>
      </c>
      <c r="C2131" s="58">
        <v>98</v>
      </c>
      <c r="D2131" s="59" t="s">
        <v>1658</v>
      </c>
      <c r="E2131" s="59" t="s">
        <v>1577</v>
      </c>
      <c r="F2131" s="59" t="s">
        <v>2275</v>
      </c>
      <c r="G2131" s="59" t="s">
        <v>3589</v>
      </c>
      <c r="H2131" s="59" t="s">
        <v>2281</v>
      </c>
      <c r="I2131" s="59" t="b">
        <v>1</v>
      </c>
      <c r="J2131" s="59"/>
      <c r="K2131" s="58">
        <v>1882</v>
      </c>
      <c r="L2131" s="58">
        <v>1342</v>
      </c>
      <c r="M2131" s="59">
        <v>10</v>
      </c>
      <c r="N2131" s="59">
        <v>10</v>
      </c>
      <c r="O2131" s="59" t="s">
        <v>3578</v>
      </c>
      <c r="P2131" s="58">
        <v>91</v>
      </c>
      <c r="Q2131" s="59">
        <v>0</v>
      </c>
      <c r="R2131" s="59">
        <v>0</v>
      </c>
      <c r="S2131" s="60">
        <f>tblJTL[[#This Row],[timeStamp]]/86400000+DATE(1970,1,1)+TIME(9,0,0)</f>
        <v>46296.422703460645</v>
      </c>
      <c r="T2131" s="57">
        <f>tblJTL[[#This Row],[timeStamp]]+tblJTL[[#This Row],[elapsed]]</f>
        <v>1790816921677</v>
      </c>
      <c r="U2131" s="61">
        <f>(tblJTL[[#This Row],[timeStamp]]-'17_分析サンプル'!$E$18)/1000</f>
        <v>521.399</v>
      </c>
      <c r="V2131" s="57">
        <f>INT(tblJTL[[#This Row],[経過秒]]/60)</f>
        <v>8</v>
      </c>
      <c r="W2131" s="57">
        <f>IF(OR(tblJTL[[#This Row],[success]]=FALSE,tblJTL[[#This Row],[success]]="false"),1,0)</f>
        <v>0</v>
      </c>
      <c r="X2131" s="57">
        <f>IF(AND(tblJTL[[#This Row],[経過秒]]&gt;='17_分析サンプル'!$E$11,tblJTL[[#This Row],[経過秒]]&lt;'17_分析サンプル'!$E$12),1,0)</f>
        <v>1</v>
      </c>
    </row>
    <row r="2132" spans="2:24" ht="14.4" x14ac:dyDescent="0.3">
      <c r="B2132" s="57">
        <v>1790816921513</v>
      </c>
      <c r="C2132" s="58">
        <v>177</v>
      </c>
      <c r="D2132" s="59" t="s">
        <v>1658</v>
      </c>
      <c r="E2132" s="59" t="s">
        <v>1577</v>
      </c>
      <c r="F2132" s="59" t="s">
        <v>2275</v>
      </c>
      <c r="G2132" s="59" t="s">
        <v>3587</v>
      </c>
      <c r="H2132" s="59" t="s">
        <v>2281</v>
      </c>
      <c r="I2132" s="59" t="b">
        <v>1</v>
      </c>
      <c r="J2132" s="59"/>
      <c r="K2132" s="58">
        <v>1839</v>
      </c>
      <c r="L2132" s="58">
        <v>1342</v>
      </c>
      <c r="M2132" s="59">
        <v>10</v>
      </c>
      <c r="N2132" s="59">
        <v>10</v>
      </c>
      <c r="O2132" s="59" t="s">
        <v>3578</v>
      </c>
      <c r="P2132" s="58">
        <v>169</v>
      </c>
      <c r="Q2132" s="59">
        <v>0</v>
      </c>
      <c r="R2132" s="59">
        <v>0</v>
      </c>
      <c r="S2132" s="60">
        <f>tblJTL[[#This Row],[timeStamp]]/86400000+DATE(1970,1,1)+TIME(9,0,0)</f>
        <v>46296.422702696756</v>
      </c>
      <c r="T2132" s="57">
        <f>tblJTL[[#This Row],[timeStamp]]+tblJTL[[#This Row],[elapsed]]</f>
        <v>1790816921690</v>
      </c>
      <c r="U2132" s="61">
        <f>(tblJTL[[#This Row],[timeStamp]]-'17_分析サンプル'!$E$18)/1000</f>
        <v>521.33299999999997</v>
      </c>
      <c r="V2132" s="57">
        <f>INT(tblJTL[[#This Row],[経過秒]]/60)</f>
        <v>8</v>
      </c>
      <c r="W2132" s="57">
        <f>IF(OR(tblJTL[[#This Row],[success]]=FALSE,tblJTL[[#This Row],[success]]="false"),1,0)</f>
        <v>0</v>
      </c>
      <c r="X2132" s="57">
        <f>IF(AND(tblJTL[[#This Row],[経過秒]]&gt;='17_分析サンプル'!$E$11,tblJTL[[#This Row],[経過秒]]&lt;'17_分析サンプル'!$E$12),1,0)</f>
        <v>1</v>
      </c>
    </row>
    <row r="2133" spans="2:24" ht="14.4" x14ac:dyDescent="0.3">
      <c r="B2133" s="57">
        <v>1790816921759</v>
      </c>
      <c r="C2133" s="58">
        <v>228</v>
      </c>
      <c r="D2133" s="59" t="s">
        <v>1677</v>
      </c>
      <c r="E2133" s="59" t="s">
        <v>3579</v>
      </c>
      <c r="F2133" s="59" t="s">
        <v>3580</v>
      </c>
      <c r="G2133" s="59" t="s">
        <v>3583</v>
      </c>
      <c r="H2133" s="59" t="s">
        <v>2281</v>
      </c>
      <c r="I2133" s="59" t="b">
        <v>1</v>
      </c>
      <c r="J2133" s="59"/>
      <c r="K2133" s="58">
        <v>423</v>
      </c>
      <c r="L2133" s="58">
        <v>1478</v>
      </c>
      <c r="M2133" s="59">
        <v>10</v>
      </c>
      <c r="N2133" s="59">
        <v>10</v>
      </c>
      <c r="O2133" s="59" t="s">
        <v>3581</v>
      </c>
      <c r="P2133" s="58">
        <v>220</v>
      </c>
      <c r="Q2133" s="59">
        <v>0</v>
      </c>
      <c r="R2133" s="59">
        <v>0</v>
      </c>
      <c r="S2133" s="60">
        <f>tblJTL[[#This Row],[timeStamp]]/86400000+DATE(1970,1,1)+TIME(9,0,0)</f>
        <v>46296.422705543984</v>
      </c>
      <c r="T2133" s="57">
        <f>tblJTL[[#This Row],[timeStamp]]+tblJTL[[#This Row],[elapsed]]</f>
        <v>1790816921987</v>
      </c>
      <c r="U2133" s="61">
        <f>(tblJTL[[#This Row],[timeStamp]]-'17_分析サンプル'!$E$18)/1000</f>
        <v>521.57899999999995</v>
      </c>
      <c r="V2133" s="57">
        <f>INT(tblJTL[[#This Row],[経過秒]]/60)</f>
        <v>8</v>
      </c>
      <c r="W2133" s="57">
        <f>IF(OR(tblJTL[[#This Row],[success]]=FALSE,tblJTL[[#This Row],[success]]="false"),1,0)</f>
        <v>0</v>
      </c>
      <c r="X2133" s="57">
        <f>IF(AND(tblJTL[[#This Row],[経過秒]]&gt;='17_分析サンプル'!$E$11,tblJTL[[#This Row],[経過秒]]&lt;'17_分析サンプル'!$E$12),1,0)</f>
        <v>1</v>
      </c>
    </row>
    <row r="2134" spans="2:24" ht="14.4" x14ac:dyDescent="0.3">
      <c r="B2134" s="57">
        <v>1790816922724</v>
      </c>
      <c r="C2134" s="58">
        <v>138</v>
      </c>
      <c r="D2134" s="59" t="s">
        <v>1658</v>
      </c>
      <c r="E2134" s="59" t="s">
        <v>1577</v>
      </c>
      <c r="F2134" s="59" t="s">
        <v>2275</v>
      </c>
      <c r="G2134" s="59" t="s">
        <v>3582</v>
      </c>
      <c r="H2134" s="59" t="s">
        <v>2281</v>
      </c>
      <c r="I2134" s="59" t="b">
        <v>1</v>
      </c>
      <c r="J2134" s="59"/>
      <c r="K2134" s="58">
        <v>1879</v>
      </c>
      <c r="L2134" s="58">
        <v>1342</v>
      </c>
      <c r="M2134" s="59">
        <v>10</v>
      </c>
      <c r="N2134" s="59">
        <v>10</v>
      </c>
      <c r="O2134" s="59" t="s">
        <v>3578</v>
      </c>
      <c r="P2134" s="58">
        <v>132</v>
      </c>
      <c r="Q2134" s="59">
        <v>0</v>
      </c>
      <c r="R2134" s="59">
        <v>0</v>
      </c>
      <c r="S2134" s="60">
        <f>tblJTL[[#This Row],[timeStamp]]/86400000+DATE(1970,1,1)+TIME(9,0,0)</f>
        <v>46296.422716712965</v>
      </c>
      <c r="T2134" s="57">
        <f>tblJTL[[#This Row],[timeStamp]]+tblJTL[[#This Row],[elapsed]]</f>
        <v>1790816922862</v>
      </c>
      <c r="U2134" s="61">
        <f>(tblJTL[[#This Row],[timeStamp]]-'17_分析サンプル'!$E$18)/1000</f>
        <v>522.54399999999998</v>
      </c>
      <c r="V2134" s="57">
        <f>INT(tblJTL[[#This Row],[経過秒]]/60)</f>
        <v>8</v>
      </c>
      <c r="W2134" s="57">
        <f>IF(OR(tblJTL[[#This Row],[success]]=FALSE,tblJTL[[#This Row],[success]]="false"),1,0)</f>
        <v>0</v>
      </c>
      <c r="X2134" s="57">
        <f>IF(AND(tblJTL[[#This Row],[経過秒]]&gt;='17_分析サンプル'!$E$11,tblJTL[[#This Row],[経過秒]]&lt;'17_分析サンプル'!$E$12),1,0)</f>
        <v>1</v>
      </c>
    </row>
    <row r="2135" spans="2:24" ht="14.4" x14ac:dyDescent="0.3">
      <c r="B2135" s="57">
        <v>1790816922948</v>
      </c>
      <c r="C2135" s="58">
        <v>120</v>
      </c>
      <c r="D2135" s="59" t="s">
        <v>1658</v>
      </c>
      <c r="E2135" s="59" t="s">
        <v>1577</v>
      </c>
      <c r="F2135" s="59" t="s">
        <v>2275</v>
      </c>
      <c r="G2135" s="59" t="s">
        <v>3585</v>
      </c>
      <c r="H2135" s="59" t="s">
        <v>2281</v>
      </c>
      <c r="I2135" s="59" t="b">
        <v>1</v>
      </c>
      <c r="J2135" s="59"/>
      <c r="K2135" s="58">
        <v>1838</v>
      </c>
      <c r="L2135" s="58">
        <v>1342</v>
      </c>
      <c r="M2135" s="59">
        <v>10</v>
      </c>
      <c r="N2135" s="59">
        <v>10</v>
      </c>
      <c r="O2135" s="59" t="s">
        <v>3578</v>
      </c>
      <c r="P2135" s="58">
        <v>118</v>
      </c>
      <c r="Q2135" s="59">
        <v>0</v>
      </c>
      <c r="R2135" s="59">
        <v>0</v>
      </c>
      <c r="S2135" s="60">
        <f>tblJTL[[#This Row],[timeStamp]]/86400000+DATE(1970,1,1)+TIME(9,0,0)</f>
        <v>46296.422719305556</v>
      </c>
      <c r="T2135" s="57">
        <f>tblJTL[[#This Row],[timeStamp]]+tblJTL[[#This Row],[elapsed]]</f>
        <v>1790816923068</v>
      </c>
      <c r="U2135" s="61">
        <f>(tblJTL[[#This Row],[timeStamp]]-'17_分析サンプル'!$E$18)/1000</f>
        <v>522.76800000000003</v>
      </c>
      <c r="V2135" s="57">
        <f>INT(tblJTL[[#This Row],[経過秒]]/60)</f>
        <v>8</v>
      </c>
      <c r="W2135" s="57">
        <f>IF(OR(tblJTL[[#This Row],[success]]=FALSE,tblJTL[[#This Row],[success]]="false"),1,0)</f>
        <v>0</v>
      </c>
      <c r="X2135" s="57">
        <f>IF(AND(tblJTL[[#This Row],[経過秒]]&gt;='17_分析サンプル'!$E$11,tblJTL[[#This Row],[経過秒]]&lt;'17_分析サンプル'!$E$12),1,0)</f>
        <v>1</v>
      </c>
    </row>
    <row r="2136" spans="2:24" ht="14.4" x14ac:dyDescent="0.3">
      <c r="B2136" s="57">
        <v>1790816923280</v>
      </c>
      <c r="C2136" s="58">
        <v>99</v>
      </c>
      <c r="D2136" s="59" t="s">
        <v>1658</v>
      </c>
      <c r="E2136" s="59" t="s">
        <v>1577</v>
      </c>
      <c r="F2136" s="59" t="s">
        <v>2275</v>
      </c>
      <c r="G2136" s="59" t="s">
        <v>3577</v>
      </c>
      <c r="H2136" s="59" t="s">
        <v>2281</v>
      </c>
      <c r="I2136" s="59" t="b">
        <v>1</v>
      </c>
      <c r="J2136" s="59"/>
      <c r="K2136" s="58">
        <v>1820</v>
      </c>
      <c r="L2136" s="58">
        <v>1342</v>
      </c>
      <c r="M2136" s="59">
        <v>10</v>
      </c>
      <c r="N2136" s="59">
        <v>10</v>
      </c>
      <c r="O2136" s="59" t="s">
        <v>3578</v>
      </c>
      <c r="P2136" s="58">
        <v>96</v>
      </c>
      <c r="Q2136" s="59">
        <v>0</v>
      </c>
      <c r="R2136" s="59">
        <v>0</v>
      </c>
      <c r="S2136" s="60">
        <f>tblJTL[[#This Row],[timeStamp]]/86400000+DATE(1970,1,1)+TIME(9,0,0)</f>
        <v>46296.422723148149</v>
      </c>
      <c r="T2136" s="57">
        <f>tblJTL[[#This Row],[timeStamp]]+tblJTL[[#This Row],[elapsed]]</f>
        <v>1790816923379</v>
      </c>
      <c r="U2136" s="61">
        <f>(tblJTL[[#This Row],[timeStamp]]-'17_分析サンプル'!$E$18)/1000</f>
        <v>523.1</v>
      </c>
      <c r="V2136" s="57">
        <f>INT(tblJTL[[#This Row],[経過秒]]/60)</f>
        <v>8</v>
      </c>
      <c r="W2136" s="57">
        <f>IF(OR(tblJTL[[#This Row],[success]]=FALSE,tblJTL[[#This Row],[success]]="false"),1,0)</f>
        <v>0</v>
      </c>
      <c r="X2136" s="57">
        <f>IF(AND(tblJTL[[#This Row],[経過秒]]&gt;='17_分析サンプル'!$E$11,tblJTL[[#This Row],[経過秒]]&lt;'17_分析サンプル'!$E$12),1,0)</f>
        <v>1</v>
      </c>
    </row>
    <row r="2137" spans="2:24" ht="14.4" x14ac:dyDescent="0.3">
      <c r="B2137" s="57">
        <v>1790816923393</v>
      </c>
      <c r="C2137" s="58">
        <v>114</v>
      </c>
      <c r="D2137" s="59" t="s">
        <v>1658</v>
      </c>
      <c r="E2137" s="59" t="s">
        <v>1577</v>
      </c>
      <c r="F2137" s="59" t="s">
        <v>2275</v>
      </c>
      <c r="G2137" s="59" t="s">
        <v>3584</v>
      </c>
      <c r="H2137" s="59" t="s">
        <v>2281</v>
      </c>
      <c r="I2137" s="59" t="b">
        <v>1</v>
      </c>
      <c r="J2137" s="59"/>
      <c r="K2137" s="58">
        <v>1837</v>
      </c>
      <c r="L2137" s="58">
        <v>1342</v>
      </c>
      <c r="M2137" s="59">
        <v>10</v>
      </c>
      <c r="N2137" s="59">
        <v>10</v>
      </c>
      <c r="O2137" s="59" t="s">
        <v>3578</v>
      </c>
      <c r="P2137" s="58">
        <v>107</v>
      </c>
      <c r="Q2137" s="59">
        <v>0</v>
      </c>
      <c r="R2137" s="59">
        <v>0</v>
      </c>
      <c r="S2137" s="60">
        <f>tblJTL[[#This Row],[timeStamp]]/86400000+DATE(1970,1,1)+TIME(9,0,0)</f>
        <v>46296.422724456017</v>
      </c>
      <c r="T2137" s="57">
        <f>tblJTL[[#This Row],[timeStamp]]+tblJTL[[#This Row],[elapsed]]</f>
        <v>1790816923507</v>
      </c>
      <c r="U2137" s="61">
        <f>(tblJTL[[#This Row],[timeStamp]]-'17_分析サンプル'!$E$18)/1000</f>
        <v>523.21299999999997</v>
      </c>
      <c r="V2137" s="57">
        <f>INT(tblJTL[[#This Row],[経過秒]]/60)</f>
        <v>8</v>
      </c>
      <c r="W2137" s="57">
        <f>IF(OR(tblJTL[[#This Row],[success]]=FALSE,tblJTL[[#This Row],[success]]="false"),1,0)</f>
        <v>0</v>
      </c>
      <c r="X2137" s="57">
        <f>IF(AND(tblJTL[[#This Row],[経過秒]]&gt;='17_分析サンプル'!$E$11,tblJTL[[#This Row],[経過秒]]&lt;'17_分析サンプル'!$E$12),1,0)</f>
        <v>1</v>
      </c>
    </row>
    <row r="2138" spans="2:24" ht="14.4" x14ac:dyDescent="0.3">
      <c r="B2138" s="57">
        <v>1790816923394</v>
      </c>
      <c r="C2138" s="58">
        <v>211</v>
      </c>
      <c r="D2138" s="59" t="s">
        <v>1677</v>
      </c>
      <c r="E2138" s="59" t="s">
        <v>3579</v>
      </c>
      <c r="F2138" s="59" t="s">
        <v>3580</v>
      </c>
      <c r="G2138" s="59" t="s">
        <v>3589</v>
      </c>
      <c r="H2138" s="59" t="s">
        <v>2281</v>
      </c>
      <c r="I2138" s="59" t="b">
        <v>1</v>
      </c>
      <c r="J2138" s="59"/>
      <c r="K2138" s="58">
        <v>425</v>
      </c>
      <c r="L2138" s="58">
        <v>1478</v>
      </c>
      <c r="M2138" s="59">
        <v>10</v>
      </c>
      <c r="N2138" s="59">
        <v>10</v>
      </c>
      <c r="O2138" s="59" t="s">
        <v>3581</v>
      </c>
      <c r="P2138" s="58">
        <v>205</v>
      </c>
      <c r="Q2138" s="59">
        <v>0</v>
      </c>
      <c r="R2138" s="59">
        <v>0</v>
      </c>
      <c r="S2138" s="60">
        <f>tblJTL[[#This Row],[timeStamp]]/86400000+DATE(1970,1,1)+TIME(9,0,0)</f>
        <v>46296.422724467593</v>
      </c>
      <c r="T2138" s="57">
        <f>tblJTL[[#This Row],[timeStamp]]+tblJTL[[#This Row],[elapsed]]</f>
        <v>1790816923605</v>
      </c>
      <c r="U2138" s="61">
        <f>(tblJTL[[#This Row],[timeStamp]]-'17_分析サンプル'!$E$18)/1000</f>
        <v>523.21400000000006</v>
      </c>
      <c r="V2138" s="57">
        <f>INT(tblJTL[[#This Row],[経過秒]]/60)</f>
        <v>8</v>
      </c>
      <c r="W2138" s="57">
        <f>IF(OR(tblJTL[[#This Row],[success]]=FALSE,tblJTL[[#This Row],[success]]="false"),1,0)</f>
        <v>0</v>
      </c>
      <c r="X2138" s="57">
        <f>IF(AND(tblJTL[[#This Row],[経過秒]]&gt;='17_分析サンプル'!$E$11,tblJTL[[#This Row],[経過秒]]&lt;'17_分析サンプル'!$E$12),1,0)</f>
        <v>1</v>
      </c>
    </row>
    <row r="2139" spans="2:24" ht="14.4" x14ac:dyDescent="0.3">
      <c r="B2139" s="57">
        <v>1790816923545</v>
      </c>
      <c r="C2139" s="58">
        <v>98</v>
      </c>
      <c r="D2139" s="59" t="s">
        <v>1658</v>
      </c>
      <c r="E2139" s="59" t="s">
        <v>1577</v>
      </c>
      <c r="F2139" s="59" t="s">
        <v>2275</v>
      </c>
      <c r="G2139" s="59" t="s">
        <v>3588</v>
      </c>
      <c r="H2139" s="59" t="s">
        <v>2281</v>
      </c>
      <c r="I2139" s="59" t="b">
        <v>1</v>
      </c>
      <c r="J2139" s="59"/>
      <c r="K2139" s="58">
        <v>1847</v>
      </c>
      <c r="L2139" s="58">
        <v>1342</v>
      </c>
      <c r="M2139" s="59">
        <v>10</v>
      </c>
      <c r="N2139" s="59">
        <v>10</v>
      </c>
      <c r="O2139" s="59" t="s">
        <v>3578</v>
      </c>
      <c r="P2139" s="58">
        <v>91</v>
      </c>
      <c r="Q2139" s="59">
        <v>0</v>
      </c>
      <c r="R2139" s="59">
        <v>0</v>
      </c>
      <c r="S2139" s="60">
        <f>tblJTL[[#This Row],[timeStamp]]/86400000+DATE(1970,1,1)+TIME(9,0,0)</f>
        <v>46296.422726215278</v>
      </c>
      <c r="T2139" s="57">
        <f>tblJTL[[#This Row],[timeStamp]]+tblJTL[[#This Row],[elapsed]]</f>
        <v>1790816923643</v>
      </c>
      <c r="U2139" s="61">
        <f>(tblJTL[[#This Row],[timeStamp]]-'17_分析サンプル'!$E$18)/1000</f>
        <v>523.36500000000001</v>
      </c>
      <c r="V2139" s="57">
        <f>INT(tblJTL[[#This Row],[経過秒]]/60)</f>
        <v>8</v>
      </c>
      <c r="W2139" s="57">
        <f>IF(OR(tblJTL[[#This Row],[success]]=FALSE,tblJTL[[#This Row],[success]]="false"),1,0)</f>
        <v>0</v>
      </c>
      <c r="X2139" s="57">
        <f>IF(AND(tblJTL[[#This Row],[経過秒]]&gt;='17_分析サンプル'!$E$11,tblJTL[[#This Row],[経過秒]]&lt;'17_分析サンプル'!$E$12),1,0)</f>
        <v>1</v>
      </c>
    </row>
    <row r="2140" spans="2:24" ht="14.4" x14ac:dyDescent="0.3">
      <c r="B2140" s="57">
        <v>1790816923833</v>
      </c>
      <c r="C2140" s="58">
        <v>144</v>
      </c>
      <c r="D2140" s="59" t="s">
        <v>1658</v>
      </c>
      <c r="E2140" s="59" t="s">
        <v>1577</v>
      </c>
      <c r="F2140" s="59" t="s">
        <v>2275</v>
      </c>
      <c r="G2140" s="59" t="s">
        <v>2278</v>
      </c>
      <c r="H2140" s="59" t="s">
        <v>2281</v>
      </c>
      <c r="I2140" s="59" t="b">
        <v>1</v>
      </c>
      <c r="J2140" s="59"/>
      <c r="K2140" s="58">
        <v>1898</v>
      </c>
      <c r="L2140" s="58">
        <v>1342</v>
      </c>
      <c r="M2140" s="59">
        <v>10</v>
      </c>
      <c r="N2140" s="59">
        <v>10</v>
      </c>
      <c r="O2140" s="59" t="s">
        <v>3578</v>
      </c>
      <c r="P2140" s="58">
        <v>140</v>
      </c>
      <c r="Q2140" s="59">
        <v>0</v>
      </c>
      <c r="R2140" s="59">
        <v>0</v>
      </c>
      <c r="S2140" s="60">
        <f>tblJTL[[#This Row],[timeStamp]]/86400000+DATE(1970,1,1)+TIME(9,0,0)</f>
        <v>46296.422729548613</v>
      </c>
      <c r="T2140" s="57">
        <f>tblJTL[[#This Row],[timeStamp]]+tblJTL[[#This Row],[elapsed]]</f>
        <v>1790816923977</v>
      </c>
      <c r="U2140" s="61">
        <f>(tblJTL[[#This Row],[timeStamp]]-'17_分析サンプル'!$E$18)/1000</f>
        <v>523.65300000000002</v>
      </c>
      <c r="V2140" s="57">
        <f>INT(tblJTL[[#This Row],[経過秒]]/60)</f>
        <v>8</v>
      </c>
      <c r="W2140" s="57">
        <f>IF(OR(tblJTL[[#This Row],[success]]=FALSE,tblJTL[[#This Row],[success]]="false"),1,0)</f>
        <v>0</v>
      </c>
      <c r="X2140" s="57">
        <f>IF(AND(tblJTL[[#This Row],[経過秒]]&gt;='17_分析サンプル'!$E$11,tblJTL[[#This Row],[経過秒]]&lt;'17_分析サンプル'!$E$12),1,0)</f>
        <v>1</v>
      </c>
    </row>
    <row r="2141" spans="2:24" ht="14.4" x14ac:dyDescent="0.3">
      <c r="B2141" s="57">
        <v>1790816924292</v>
      </c>
      <c r="C2141" s="58">
        <v>248</v>
      </c>
      <c r="D2141" s="59" t="s">
        <v>1677</v>
      </c>
      <c r="E2141" s="59" t="s">
        <v>3579</v>
      </c>
      <c r="F2141" s="59" t="s">
        <v>3580</v>
      </c>
      <c r="G2141" s="59" t="s">
        <v>3585</v>
      </c>
      <c r="H2141" s="59" t="s">
        <v>2281</v>
      </c>
      <c r="I2141" s="59" t="b">
        <v>1</v>
      </c>
      <c r="J2141" s="59"/>
      <c r="K2141" s="58">
        <v>421</v>
      </c>
      <c r="L2141" s="58">
        <v>1478</v>
      </c>
      <c r="M2141" s="59">
        <v>10</v>
      </c>
      <c r="N2141" s="59">
        <v>10</v>
      </c>
      <c r="O2141" s="59" t="s">
        <v>3581</v>
      </c>
      <c r="P2141" s="58">
        <v>242</v>
      </c>
      <c r="Q2141" s="59">
        <v>0</v>
      </c>
      <c r="R2141" s="59">
        <v>0</v>
      </c>
      <c r="S2141" s="60">
        <f>tblJTL[[#This Row],[timeStamp]]/86400000+DATE(1970,1,1)+TIME(9,0,0)</f>
        <v>46296.422734861109</v>
      </c>
      <c r="T2141" s="57">
        <f>tblJTL[[#This Row],[timeStamp]]+tblJTL[[#This Row],[elapsed]]</f>
        <v>1790816924540</v>
      </c>
      <c r="U2141" s="61">
        <f>(tblJTL[[#This Row],[timeStamp]]-'17_分析サンプル'!$E$18)/1000</f>
        <v>524.11199999999997</v>
      </c>
      <c r="V2141" s="57">
        <f>INT(tblJTL[[#This Row],[経過秒]]/60)</f>
        <v>8</v>
      </c>
      <c r="W2141" s="57">
        <f>IF(OR(tblJTL[[#This Row],[success]]=FALSE,tblJTL[[#This Row],[success]]="false"),1,0)</f>
        <v>0</v>
      </c>
      <c r="X2141" s="57">
        <f>IF(AND(tblJTL[[#This Row],[経過秒]]&gt;='17_分析サンプル'!$E$11,tblJTL[[#This Row],[経過秒]]&lt;'17_分析サンプル'!$E$12),1,0)</f>
        <v>1</v>
      </c>
    </row>
    <row r="2142" spans="2:24" ht="14.4" x14ac:dyDescent="0.3">
      <c r="B2142" s="57">
        <v>1790816924381</v>
      </c>
      <c r="C2142" s="58">
        <v>277</v>
      </c>
      <c r="D2142" s="59" t="s">
        <v>1677</v>
      </c>
      <c r="E2142" s="59" t="s">
        <v>3579</v>
      </c>
      <c r="F2142" s="59" t="s">
        <v>3580</v>
      </c>
      <c r="G2142" s="59" t="s">
        <v>3587</v>
      </c>
      <c r="H2142" s="59" t="s">
        <v>2281</v>
      </c>
      <c r="I2142" s="59" t="b">
        <v>1</v>
      </c>
      <c r="J2142" s="59"/>
      <c r="K2142" s="58">
        <v>436</v>
      </c>
      <c r="L2142" s="58">
        <v>1478</v>
      </c>
      <c r="M2142" s="59">
        <v>10</v>
      </c>
      <c r="N2142" s="59">
        <v>10</v>
      </c>
      <c r="O2142" s="59" t="s">
        <v>3581</v>
      </c>
      <c r="P2142" s="58">
        <v>271</v>
      </c>
      <c r="Q2142" s="59">
        <v>0</v>
      </c>
      <c r="R2142" s="59">
        <v>0</v>
      </c>
      <c r="S2142" s="60">
        <f>tblJTL[[#This Row],[timeStamp]]/86400000+DATE(1970,1,1)+TIME(9,0,0)</f>
        <v>46296.422735891203</v>
      </c>
      <c r="T2142" s="57">
        <f>tblJTL[[#This Row],[timeStamp]]+tblJTL[[#This Row],[elapsed]]</f>
        <v>1790816924658</v>
      </c>
      <c r="U2142" s="61">
        <f>(tblJTL[[#This Row],[timeStamp]]-'17_分析サンプル'!$E$18)/1000</f>
        <v>524.20100000000002</v>
      </c>
      <c r="V2142" s="57">
        <f>INT(tblJTL[[#This Row],[経過秒]]/60)</f>
        <v>8</v>
      </c>
      <c r="W2142" s="57">
        <f>IF(OR(tblJTL[[#This Row],[success]]=FALSE,tblJTL[[#This Row],[success]]="false"),1,0)</f>
        <v>0</v>
      </c>
      <c r="X2142" s="57">
        <f>IF(AND(tblJTL[[#This Row],[経過秒]]&gt;='17_分析サンプル'!$E$11,tblJTL[[#This Row],[経過秒]]&lt;'17_分析サンプル'!$E$12),1,0)</f>
        <v>1</v>
      </c>
    </row>
    <row r="2143" spans="2:24" ht="14.4" x14ac:dyDescent="0.3">
      <c r="B2143" s="57">
        <v>1790816924646</v>
      </c>
      <c r="C2143" s="58">
        <v>68</v>
      </c>
      <c r="D2143" s="59" t="s">
        <v>1658</v>
      </c>
      <c r="E2143" s="59" t="s">
        <v>1577</v>
      </c>
      <c r="F2143" s="59" t="s">
        <v>2275</v>
      </c>
      <c r="G2143" s="59" t="s">
        <v>3583</v>
      </c>
      <c r="H2143" s="59" t="s">
        <v>2281</v>
      </c>
      <c r="I2143" s="59" t="b">
        <v>1</v>
      </c>
      <c r="J2143" s="59"/>
      <c r="K2143" s="58">
        <v>1884</v>
      </c>
      <c r="L2143" s="58">
        <v>1342</v>
      </c>
      <c r="M2143" s="59">
        <v>10</v>
      </c>
      <c r="N2143" s="59">
        <v>10</v>
      </c>
      <c r="O2143" s="59" t="s">
        <v>3578</v>
      </c>
      <c r="P2143" s="58">
        <v>66</v>
      </c>
      <c r="Q2143" s="59">
        <v>0</v>
      </c>
      <c r="R2143" s="59">
        <v>0</v>
      </c>
      <c r="S2143" s="60">
        <f>tblJTL[[#This Row],[timeStamp]]/86400000+DATE(1970,1,1)+TIME(9,0,0)</f>
        <v>46296.422738958332</v>
      </c>
      <c r="T2143" s="57">
        <f>tblJTL[[#This Row],[timeStamp]]+tblJTL[[#This Row],[elapsed]]</f>
        <v>1790816924714</v>
      </c>
      <c r="U2143" s="61">
        <f>(tblJTL[[#This Row],[timeStamp]]-'17_分析サンプル'!$E$18)/1000</f>
        <v>524.46600000000001</v>
      </c>
      <c r="V2143" s="57">
        <f>INT(tblJTL[[#This Row],[経過秒]]/60)</f>
        <v>8</v>
      </c>
      <c r="W2143" s="57">
        <f>IF(OR(tblJTL[[#This Row],[success]]=FALSE,tblJTL[[#This Row],[success]]="false"),1,0)</f>
        <v>0</v>
      </c>
      <c r="X2143" s="57">
        <f>IF(AND(tblJTL[[#This Row],[経過秒]]&gt;='17_分析サンプル'!$E$11,tblJTL[[#This Row],[経過秒]]&lt;'17_分析サンプル'!$E$12),1,0)</f>
        <v>1</v>
      </c>
    </row>
    <row r="2144" spans="2:24" ht="14.4" x14ac:dyDescent="0.3">
      <c r="B2144" s="57">
        <v>1790816924414</v>
      </c>
      <c r="C2144" s="58">
        <v>458</v>
      </c>
      <c r="D2144" s="59" t="s">
        <v>1677</v>
      </c>
      <c r="E2144" s="59" t="s">
        <v>3579</v>
      </c>
      <c r="F2144" s="59" t="s">
        <v>3580</v>
      </c>
      <c r="G2144" s="59" t="s">
        <v>3586</v>
      </c>
      <c r="H2144" s="59" t="s">
        <v>2281</v>
      </c>
      <c r="I2144" s="59" t="b">
        <v>1</v>
      </c>
      <c r="J2144" s="59"/>
      <c r="K2144" s="58">
        <v>431</v>
      </c>
      <c r="L2144" s="58">
        <v>1478</v>
      </c>
      <c r="M2144" s="59">
        <v>10</v>
      </c>
      <c r="N2144" s="59">
        <v>10</v>
      </c>
      <c r="O2144" s="59" t="s">
        <v>3581</v>
      </c>
      <c r="P2144" s="58">
        <v>450</v>
      </c>
      <c r="Q2144" s="59">
        <v>0</v>
      </c>
      <c r="R2144" s="59">
        <v>0</v>
      </c>
      <c r="S2144" s="60">
        <f>tblJTL[[#This Row],[timeStamp]]/86400000+DATE(1970,1,1)+TIME(9,0,0)</f>
        <v>46296.422736273147</v>
      </c>
      <c r="T2144" s="57">
        <f>tblJTL[[#This Row],[timeStamp]]+tblJTL[[#This Row],[elapsed]]</f>
        <v>1790816924872</v>
      </c>
      <c r="U2144" s="61">
        <f>(tblJTL[[#This Row],[timeStamp]]-'17_分析サンプル'!$E$18)/1000</f>
        <v>524.23400000000004</v>
      </c>
      <c r="V2144" s="57">
        <f>INT(tblJTL[[#This Row],[経過秒]]/60)</f>
        <v>8</v>
      </c>
      <c r="W2144" s="57">
        <f>IF(OR(tblJTL[[#This Row],[success]]=FALSE,tblJTL[[#This Row],[success]]="false"),1,0)</f>
        <v>0</v>
      </c>
      <c r="X2144" s="57">
        <f>IF(AND(tblJTL[[#This Row],[経過秒]]&gt;='17_分析サンプル'!$E$11,tblJTL[[#This Row],[経過秒]]&lt;'17_分析サンプル'!$E$12),1,0)</f>
        <v>1</v>
      </c>
    </row>
    <row r="2145" spans="2:24" ht="14.4" x14ac:dyDescent="0.3">
      <c r="B2145" s="57">
        <v>1790816924796</v>
      </c>
      <c r="C2145" s="58">
        <v>230</v>
      </c>
      <c r="D2145" s="59" t="s">
        <v>1677</v>
      </c>
      <c r="E2145" s="59" t="s">
        <v>3579</v>
      </c>
      <c r="F2145" s="59" t="s">
        <v>3580</v>
      </c>
      <c r="G2145" s="59" t="s">
        <v>3584</v>
      </c>
      <c r="H2145" s="59" t="s">
        <v>2281</v>
      </c>
      <c r="I2145" s="59" t="b">
        <v>1</v>
      </c>
      <c r="J2145" s="59"/>
      <c r="K2145" s="58">
        <v>434</v>
      </c>
      <c r="L2145" s="58">
        <v>1478</v>
      </c>
      <c r="M2145" s="59">
        <v>10</v>
      </c>
      <c r="N2145" s="59">
        <v>10</v>
      </c>
      <c r="O2145" s="59" t="s">
        <v>3581</v>
      </c>
      <c r="P2145" s="58">
        <v>225</v>
      </c>
      <c r="Q2145" s="59">
        <v>0</v>
      </c>
      <c r="R2145" s="59">
        <v>0</v>
      </c>
      <c r="S2145" s="60">
        <f>tblJTL[[#This Row],[timeStamp]]/86400000+DATE(1970,1,1)+TIME(9,0,0)</f>
        <v>46296.422740694441</v>
      </c>
      <c r="T2145" s="57">
        <f>tblJTL[[#This Row],[timeStamp]]+tblJTL[[#This Row],[elapsed]]</f>
        <v>1790816925026</v>
      </c>
      <c r="U2145" s="61">
        <f>(tblJTL[[#This Row],[timeStamp]]-'17_分析サンプル'!$E$18)/1000</f>
        <v>524.61599999999999</v>
      </c>
      <c r="V2145" s="57">
        <f>INT(tblJTL[[#This Row],[経過秒]]/60)</f>
        <v>8</v>
      </c>
      <c r="W2145" s="57">
        <f>IF(OR(tblJTL[[#This Row],[success]]=FALSE,tblJTL[[#This Row],[success]]="false"),1,0)</f>
        <v>0</v>
      </c>
      <c r="X2145" s="57">
        <f>IF(AND(tblJTL[[#This Row],[経過秒]]&gt;='17_分析サンプル'!$E$11,tblJTL[[#This Row],[経過秒]]&lt;'17_分析サンプル'!$E$12),1,0)</f>
        <v>1</v>
      </c>
    </row>
    <row r="2146" spans="2:24" ht="14.4" x14ac:dyDescent="0.3">
      <c r="B2146" s="57">
        <v>1790816924925</v>
      </c>
      <c r="C2146" s="58">
        <v>323</v>
      </c>
      <c r="D2146" s="59" t="s">
        <v>1677</v>
      </c>
      <c r="E2146" s="59" t="s">
        <v>3579</v>
      </c>
      <c r="F2146" s="59" t="s">
        <v>3580</v>
      </c>
      <c r="G2146" s="59" t="s">
        <v>3588</v>
      </c>
      <c r="H2146" s="59" t="s">
        <v>2281</v>
      </c>
      <c r="I2146" s="59" t="b">
        <v>1</v>
      </c>
      <c r="J2146" s="59"/>
      <c r="K2146" s="58">
        <v>422</v>
      </c>
      <c r="L2146" s="58">
        <v>1478</v>
      </c>
      <c r="M2146" s="59">
        <v>10</v>
      </c>
      <c r="N2146" s="59">
        <v>10</v>
      </c>
      <c r="O2146" s="59" t="s">
        <v>3581</v>
      </c>
      <c r="P2146" s="58">
        <v>316</v>
      </c>
      <c r="Q2146" s="59">
        <v>0</v>
      </c>
      <c r="R2146" s="59">
        <v>0</v>
      </c>
      <c r="S2146" s="60">
        <f>tblJTL[[#This Row],[timeStamp]]/86400000+DATE(1970,1,1)+TIME(9,0,0)</f>
        <v>46296.422742187497</v>
      </c>
      <c r="T2146" s="57">
        <f>tblJTL[[#This Row],[timeStamp]]+tblJTL[[#This Row],[elapsed]]</f>
        <v>1790816925248</v>
      </c>
      <c r="U2146" s="61">
        <f>(tblJTL[[#This Row],[timeStamp]]-'17_分析サンプル'!$E$18)/1000</f>
        <v>524.745</v>
      </c>
      <c r="V2146" s="57">
        <f>INT(tblJTL[[#This Row],[経過秒]]/60)</f>
        <v>8</v>
      </c>
      <c r="W2146" s="57">
        <f>IF(OR(tblJTL[[#This Row],[success]]=FALSE,tblJTL[[#This Row],[success]]="false"),1,0)</f>
        <v>0</v>
      </c>
      <c r="X2146" s="57">
        <f>IF(AND(tblJTL[[#This Row],[経過秒]]&gt;='17_分析サンプル'!$E$11,tblJTL[[#This Row],[経過秒]]&lt;'17_分析サンプル'!$E$12),1,0)</f>
        <v>1</v>
      </c>
    </row>
    <row r="2147" spans="2:24" ht="14.4" x14ac:dyDescent="0.3">
      <c r="B2147" s="57">
        <v>1790816925605</v>
      </c>
      <c r="C2147" s="58">
        <v>115</v>
      </c>
      <c r="D2147" s="59" t="s">
        <v>1658</v>
      </c>
      <c r="E2147" s="59" t="s">
        <v>1577</v>
      </c>
      <c r="F2147" s="59" t="s">
        <v>2275</v>
      </c>
      <c r="G2147" s="59" t="s">
        <v>3589</v>
      </c>
      <c r="H2147" s="59" t="s">
        <v>2281</v>
      </c>
      <c r="I2147" s="59" t="b">
        <v>1</v>
      </c>
      <c r="J2147" s="59"/>
      <c r="K2147" s="58">
        <v>1863</v>
      </c>
      <c r="L2147" s="58">
        <v>1342</v>
      </c>
      <c r="M2147" s="59">
        <v>10</v>
      </c>
      <c r="N2147" s="59">
        <v>10</v>
      </c>
      <c r="O2147" s="59" t="s">
        <v>3578</v>
      </c>
      <c r="P2147" s="58">
        <v>112</v>
      </c>
      <c r="Q2147" s="59">
        <v>0</v>
      </c>
      <c r="R2147" s="59">
        <v>0</v>
      </c>
      <c r="S2147" s="60">
        <f>tblJTL[[#This Row],[timeStamp]]/86400000+DATE(1970,1,1)+TIME(9,0,0)</f>
        <v>46296.422750057871</v>
      </c>
      <c r="T2147" s="57">
        <f>tblJTL[[#This Row],[timeStamp]]+tblJTL[[#This Row],[elapsed]]</f>
        <v>1790816925720</v>
      </c>
      <c r="U2147" s="61">
        <f>(tblJTL[[#This Row],[timeStamp]]-'17_分析サンプル'!$E$18)/1000</f>
        <v>525.42499999999995</v>
      </c>
      <c r="V2147" s="57">
        <f>INT(tblJTL[[#This Row],[経過秒]]/60)</f>
        <v>8</v>
      </c>
      <c r="W2147" s="57">
        <f>IF(OR(tblJTL[[#This Row],[success]]=FALSE,tblJTL[[#This Row],[success]]="false"),1,0)</f>
        <v>0</v>
      </c>
      <c r="X2147" s="57">
        <f>IF(AND(tblJTL[[#This Row],[経過秒]]&gt;='17_分析サンプル'!$E$11,tblJTL[[#This Row],[経過秒]]&lt;'17_分析サンプル'!$E$12),1,0)</f>
        <v>1</v>
      </c>
    </row>
    <row r="2148" spans="2:24" ht="14.4" x14ac:dyDescent="0.3">
      <c r="B2148" s="57">
        <v>1790816925755</v>
      </c>
      <c r="C2148" s="58">
        <v>218</v>
      </c>
      <c r="D2148" s="59" t="s">
        <v>1677</v>
      </c>
      <c r="E2148" s="59" t="s">
        <v>3579</v>
      </c>
      <c r="F2148" s="59" t="s">
        <v>3580</v>
      </c>
      <c r="G2148" s="59" t="s">
        <v>2278</v>
      </c>
      <c r="H2148" s="59" t="s">
        <v>2281</v>
      </c>
      <c r="I2148" s="59" t="b">
        <v>1</v>
      </c>
      <c r="J2148" s="59"/>
      <c r="K2148" s="58">
        <v>435</v>
      </c>
      <c r="L2148" s="58">
        <v>1478</v>
      </c>
      <c r="M2148" s="59">
        <v>10</v>
      </c>
      <c r="N2148" s="59">
        <v>10</v>
      </c>
      <c r="O2148" s="59" t="s">
        <v>3581</v>
      </c>
      <c r="P2148" s="58">
        <v>213</v>
      </c>
      <c r="Q2148" s="59">
        <v>0</v>
      </c>
      <c r="R2148" s="59">
        <v>0</v>
      </c>
      <c r="S2148" s="60">
        <f>tblJTL[[#This Row],[timeStamp]]/86400000+DATE(1970,1,1)+TIME(9,0,0)</f>
        <v>46296.42275179398</v>
      </c>
      <c r="T2148" s="57">
        <f>tblJTL[[#This Row],[timeStamp]]+tblJTL[[#This Row],[elapsed]]</f>
        <v>1790816925973</v>
      </c>
      <c r="U2148" s="61">
        <f>(tblJTL[[#This Row],[timeStamp]]-'17_分析サンプル'!$E$18)/1000</f>
        <v>525.57500000000005</v>
      </c>
      <c r="V2148" s="57">
        <f>INT(tblJTL[[#This Row],[経過秒]]/60)</f>
        <v>8</v>
      </c>
      <c r="W2148" s="57">
        <f>IF(OR(tblJTL[[#This Row],[success]]=FALSE,tblJTL[[#This Row],[success]]="false"),1,0)</f>
        <v>0</v>
      </c>
      <c r="X2148" s="57">
        <f>IF(AND(tblJTL[[#This Row],[経過秒]]&gt;='17_分析サンプル'!$E$11,tblJTL[[#This Row],[経過秒]]&lt;'17_分析サンプル'!$E$12),1,0)</f>
        <v>1</v>
      </c>
    </row>
    <row r="2149" spans="2:24" ht="14.4" x14ac:dyDescent="0.3">
      <c r="B2149" s="57">
        <v>1790816925842</v>
      </c>
      <c r="C2149" s="58">
        <v>308</v>
      </c>
      <c r="D2149" s="59" t="s">
        <v>1677</v>
      </c>
      <c r="E2149" s="59" t="s">
        <v>3579</v>
      </c>
      <c r="F2149" s="59" t="s">
        <v>3580</v>
      </c>
      <c r="G2149" s="59" t="s">
        <v>3582</v>
      </c>
      <c r="H2149" s="59" t="s">
        <v>2281</v>
      </c>
      <c r="I2149" s="59" t="b">
        <v>1</v>
      </c>
      <c r="J2149" s="59"/>
      <c r="K2149" s="58">
        <v>437</v>
      </c>
      <c r="L2149" s="58">
        <v>1478</v>
      </c>
      <c r="M2149" s="59">
        <v>10</v>
      </c>
      <c r="N2149" s="59">
        <v>10</v>
      </c>
      <c r="O2149" s="59" t="s">
        <v>3581</v>
      </c>
      <c r="P2149" s="58">
        <v>302</v>
      </c>
      <c r="Q2149" s="59">
        <v>0</v>
      </c>
      <c r="R2149" s="59">
        <v>0</v>
      </c>
      <c r="S2149" s="60">
        <f>tblJTL[[#This Row],[timeStamp]]/86400000+DATE(1970,1,1)+TIME(9,0,0)</f>
        <v>46296.422752800921</v>
      </c>
      <c r="T2149" s="57">
        <f>tblJTL[[#This Row],[timeStamp]]+tblJTL[[#This Row],[elapsed]]</f>
        <v>1790816926150</v>
      </c>
      <c r="U2149" s="61">
        <f>(tblJTL[[#This Row],[timeStamp]]-'17_分析サンプル'!$E$18)/1000</f>
        <v>525.66200000000003</v>
      </c>
      <c r="V2149" s="57">
        <f>INT(tblJTL[[#This Row],[経過秒]]/60)</f>
        <v>8</v>
      </c>
      <c r="W2149" s="57">
        <f>IF(OR(tblJTL[[#This Row],[success]]=FALSE,tblJTL[[#This Row],[success]]="false"),1,0)</f>
        <v>0</v>
      </c>
      <c r="X2149" s="57">
        <f>IF(AND(tblJTL[[#This Row],[経過秒]]&gt;='17_分析サンプル'!$E$11,tblJTL[[#This Row],[経過秒]]&lt;'17_分析サンプル'!$E$12),1,0)</f>
        <v>1</v>
      </c>
    </row>
    <row r="2150" spans="2:24" ht="14.4" x14ac:dyDescent="0.3">
      <c r="B2150" s="57">
        <v>1790816926327</v>
      </c>
      <c r="C2150" s="58">
        <v>246</v>
      </c>
      <c r="D2150" s="59" t="s">
        <v>1677</v>
      </c>
      <c r="E2150" s="59" t="s">
        <v>3579</v>
      </c>
      <c r="F2150" s="59" t="s">
        <v>3580</v>
      </c>
      <c r="G2150" s="59" t="s">
        <v>3577</v>
      </c>
      <c r="H2150" s="59" t="s">
        <v>2281</v>
      </c>
      <c r="I2150" s="59" t="b">
        <v>1</v>
      </c>
      <c r="J2150" s="59"/>
      <c r="K2150" s="58">
        <v>415</v>
      </c>
      <c r="L2150" s="58">
        <v>1478</v>
      </c>
      <c r="M2150" s="59">
        <v>10</v>
      </c>
      <c r="N2150" s="59">
        <v>10</v>
      </c>
      <c r="O2150" s="59" t="s">
        <v>3581</v>
      </c>
      <c r="P2150" s="58">
        <v>239</v>
      </c>
      <c r="Q2150" s="59">
        <v>0</v>
      </c>
      <c r="R2150" s="59">
        <v>0</v>
      </c>
      <c r="S2150" s="60">
        <f>tblJTL[[#This Row],[timeStamp]]/86400000+DATE(1970,1,1)+TIME(9,0,0)</f>
        <v>46296.422758414352</v>
      </c>
      <c r="T2150" s="57">
        <f>tblJTL[[#This Row],[timeStamp]]+tblJTL[[#This Row],[elapsed]]</f>
        <v>1790816926573</v>
      </c>
      <c r="U2150" s="61">
        <f>(tblJTL[[#This Row],[timeStamp]]-'17_分析サンプル'!$E$18)/1000</f>
        <v>526.14700000000005</v>
      </c>
      <c r="V2150" s="57">
        <f>INT(tblJTL[[#This Row],[経過秒]]/60)</f>
        <v>8</v>
      </c>
      <c r="W2150" s="57">
        <f>IF(OR(tblJTL[[#This Row],[success]]=FALSE,tblJTL[[#This Row],[success]]="false"),1,0)</f>
        <v>0</v>
      </c>
      <c r="X2150" s="57">
        <f>IF(AND(tblJTL[[#This Row],[経過秒]]&gt;='17_分析サンプル'!$E$11,tblJTL[[#This Row],[経過秒]]&lt;'17_分析サンプル'!$E$12),1,0)</f>
        <v>1</v>
      </c>
    </row>
    <row r="2151" spans="2:24" ht="14.4" x14ac:dyDescent="0.3">
      <c r="B2151" s="57">
        <v>1790816926553</v>
      </c>
      <c r="C2151" s="58">
        <v>139</v>
      </c>
      <c r="D2151" s="59" t="s">
        <v>1658</v>
      </c>
      <c r="E2151" s="59" t="s">
        <v>1577</v>
      </c>
      <c r="F2151" s="59" t="s">
        <v>2275</v>
      </c>
      <c r="G2151" s="59" t="s">
        <v>3588</v>
      </c>
      <c r="H2151" s="59" t="s">
        <v>2281</v>
      </c>
      <c r="I2151" s="59" t="b">
        <v>1</v>
      </c>
      <c r="J2151" s="59"/>
      <c r="K2151" s="58">
        <v>1856</v>
      </c>
      <c r="L2151" s="58">
        <v>1342</v>
      </c>
      <c r="M2151" s="59">
        <v>10</v>
      </c>
      <c r="N2151" s="59">
        <v>10</v>
      </c>
      <c r="O2151" s="59" t="s">
        <v>3578</v>
      </c>
      <c r="P2151" s="58">
        <v>131</v>
      </c>
      <c r="Q2151" s="59">
        <v>0</v>
      </c>
      <c r="R2151" s="59">
        <v>0</v>
      </c>
      <c r="S2151" s="60">
        <f>tblJTL[[#This Row],[timeStamp]]/86400000+DATE(1970,1,1)+TIME(9,0,0)</f>
        <v>46296.422761030088</v>
      </c>
      <c r="T2151" s="57">
        <f>tblJTL[[#This Row],[timeStamp]]+tblJTL[[#This Row],[elapsed]]</f>
        <v>1790816926692</v>
      </c>
      <c r="U2151" s="61">
        <f>(tblJTL[[#This Row],[timeStamp]]-'17_分析サンプル'!$E$18)/1000</f>
        <v>526.37300000000005</v>
      </c>
      <c r="V2151" s="57">
        <f>INT(tblJTL[[#This Row],[経過秒]]/60)</f>
        <v>8</v>
      </c>
      <c r="W2151" s="57">
        <f>IF(OR(tblJTL[[#This Row],[success]]=FALSE,tblJTL[[#This Row],[success]]="false"),1,0)</f>
        <v>0</v>
      </c>
      <c r="X2151" s="57">
        <f>IF(AND(tblJTL[[#This Row],[経過秒]]&gt;='17_分析サンプル'!$E$11,tblJTL[[#This Row],[経過秒]]&lt;'17_分析サンプル'!$E$12),1,0)</f>
        <v>1</v>
      </c>
    </row>
    <row r="2152" spans="2:24" ht="14.4" x14ac:dyDescent="0.3">
      <c r="B2152" s="57">
        <v>1790816926489</v>
      </c>
      <c r="C2152" s="58">
        <v>275</v>
      </c>
      <c r="D2152" s="59" t="s">
        <v>1658</v>
      </c>
      <c r="E2152" s="59" t="s">
        <v>1577</v>
      </c>
      <c r="F2152" s="59" t="s">
        <v>2275</v>
      </c>
      <c r="G2152" s="59" t="s">
        <v>3586</v>
      </c>
      <c r="H2152" s="59" t="s">
        <v>2281</v>
      </c>
      <c r="I2152" s="59" t="b">
        <v>1</v>
      </c>
      <c r="J2152" s="59"/>
      <c r="K2152" s="58">
        <v>1858</v>
      </c>
      <c r="L2152" s="58">
        <v>1342</v>
      </c>
      <c r="M2152" s="59">
        <v>10</v>
      </c>
      <c r="N2152" s="59">
        <v>10</v>
      </c>
      <c r="O2152" s="59" t="s">
        <v>3578</v>
      </c>
      <c r="P2152" s="58">
        <v>268</v>
      </c>
      <c r="Q2152" s="59">
        <v>0</v>
      </c>
      <c r="R2152" s="59">
        <v>0</v>
      </c>
      <c r="S2152" s="60">
        <f>tblJTL[[#This Row],[timeStamp]]/86400000+DATE(1970,1,1)+TIME(9,0,0)</f>
        <v>46296.422760289352</v>
      </c>
      <c r="T2152" s="57">
        <f>tblJTL[[#This Row],[timeStamp]]+tblJTL[[#This Row],[elapsed]]</f>
        <v>1790816926764</v>
      </c>
      <c r="U2152" s="61">
        <f>(tblJTL[[#This Row],[timeStamp]]-'17_分析サンプル'!$E$18)/1000</f>
        <v>526.30899999999997</v>
      </c>
      <c r="V2152" s="57">
        <f>INT(tblJTL[[#This Row],[経過秒]]/60)</f>
        <v>8</v>
      </c>
      <c r="W2152" s="57">
        <f>IF(OR(tblJTL[[#This Row],[success]]=FALSE,tblJTL[[#This Row],[success]]="false"),1,0)</f>
        <v>0</v>
      </c>
      <c r="X2152" s="57">
        <f>IF(AND(tblJTL[[#This Row],[経過秒]]&gt;='17_分析サンプル'!$E$11,tblJTL[[#This Row],[経過秒]]&lt;'17_分析サンプル'!$E$12),1,0)</f>
        <v>1</v>
      </c>
    </row>
    <row r="2153" spans="2:24" ht="14.4" x14ac:dyDescent="0.3">
      <c r="B2153" s="57">
        <v>1790816926978</v>
      </c>
      <c r="C2153" s="58">
        <v>112</v>
      </c>
      <c r="D2153" s="59" t="s">
        <v>1658</v>
      </c>
      <c r="E2153" s="59" t="s">
        <v>1577</v>
      </c>
      <c r="F2153" s="59" t="s">
        <v>2275</v>
      </c>
      <c r="G2153" s="59" t="s">
        <v>3584</v>
      </c>
      <c r="H2153" s="59" t="s">
        <v>2281</v>
      </c>
      <c r="I2153" s="59" t="b">
        <v>1</v>
      </c>
      <c r="J2153" s="59"/>
      <c r="K2153" s="58">
        <v>1899</v>
      </c>
      <c r="L2153" s="58">
        <v>1342</v>
      </c>
      <c r="M2153" s="59">
        <v>10</v>
      </c>
      <c r="N2153" s="59">
        <v>10</v>
      </c>
      <c r="O2153" s="59" t="s">
        <v>3578</v>
      </c>
      <c r="P2153" s="58">
        <v>109</v>
      </c>
      <c r="Q2153" s="59">
        <v>0</v>
      </c>
      <c r="R2153" s="59">
        <v>0</v>
      </c>
      <c r="S2153" s="60">
        <f>tblJTL[[#This Row],[timeStamp]]/86400000+DATE(1970,1,1)+TIME(9,0,0)</f>
        <v>46296.422765949072</v>
      </c>
      <c r="T2153" s="57">
        <f>tblJTL[[#This Row],[timeStamp]]+tblJTL[[#This Row],[elapsed]]</f>
        <v>1790816927090</v>
      </c>
      <c r="U2153" s="61">
        <f>(tblJTL[[#This Row],[timeStamp]]-'17_分析サンプル'!$E$18)/1000</f>
        <v>526.798</v>
      </c>
      <c r="V2153" s="57">
        <f>INT(tblJTL[[#This Row],[経過秒]]/60)</f>
        <v>8</v>
      </c>
      <c r="W2153" s="57">
        <f>IF(OR(tblJTL[[#This Row],[success]]=FALSE,tblJTL[[#This Row],[success]]="false"),1,0)</f>
        <v>0</v>
      </c>
      <c r="X2153" s="57">
        <f>IF(AND(tblJTL[[#This Row],[経過秒]]&gt;='17_分析サンプル'!$E$11,tblJTL[[#This Row],[経過秒]]&lt;'17_分析サンプル'!$E$12),1,0)</f>
        <v>1</v>
      </c>
    </row>
    <row r="2154" spans="2:24" ht="14.4" x14ac:dyDescent="0.3">
      <c r="B2154" s="57">
        <v>1790816927343</v>
      </c>
      <c r="C2154" s="58">
        <v>223</v>
      </c>
      <c r="D2154" s="59" t="s">
        <v>1658</v>
      </c>
      <c r="E2154" s="59" t="s">
        <v>1577</v>
      </c>
      <c r="F2154" s="59" t="s">
        <v>2275</v>
      </c>
      <c r="G2154" s="59" t="s">
        <v>3585</v>
      </c>
      <c r="H2154" s="59" t="s">
        <v>2281</v>
      </c>
      <c r="I2154" s="59" t="b">
        <v>1</v>
      </c>
      <c r="J2154" s="59"/>
      <c r="K2154" s="58">
        <v>1878</v>
      </c>
      <c r="L2154" s="58">
        <v>1342</v>
      </c>
      <c r="M2154" s="59">
        <v>10</v>
      </c>
      <c r="N2154" s="59">
        <v>10</v>
      </c>
      <c r="O2154" s="59" t="s">
        <v>3578</v>
      </c>
      <c r="P2154" s="58">
        <v>219</v>
      </c>
      <c r="Q2154" s="59">
        <v>0</v>
      </c>
      <c r="R2154" s="59">
        <v>43</v>
      </c>
      <c r="S2154" s="60">
        <f>tblJTL[[#This Row],[timeStamp]]/86400000+DATE(1970,1,1)+TIME(9,0,0)</f>
        <v>46296.422770173609</v>
      </c>
      <c r="T2154" s="57">
        <f>tblJTL[[#This Row],[timeStamp]]+tblJTL[[#This Row],[elapsed]]</f>
        <v>1790816927566</v>
      </c>
      <c r="U2154" s="61">
        <f>(tblJTL[[#This Row],[timeStamp]]-'17_分析サンプル'!$E$18)/1000</f>
        <v>527.16300000000001</v>
      </c>
      <c r="V2154" s="57">
        <f>INT(tblJTL[[#This Row],[経過秒]]/60)</f>
        <v>8</v>
      </c>
      <c r="W2154" s="57">
        <f>IF(OR(tblJTL[[#This Row],[success]]=FALSE,tblJTL[[#This Row],[success]]="false"),1,0)</f>
        <v>0</v>
      </c>
      <c r="X2154" s="57">
        <f>IF(AND(tblJTL[[#This Row],[経過秒]]&gt;='17_分析サンプル'!$E$11,tblJTL[[#This Row],[経過秒]]&lt;'17_分析サンプル'!$E$12),1,0)</f>
        <v>1</v>
      </c>
    </row>
    <row r="2155" spans="2:24" ht="14.4" x14ac:dyDescent="0.3">
      <c r="B2155" s="57">
        <v>1790816927465</v>
      </c>
      <c r="C2155" s="58">
        <v>106</v>
      </c>
      <c r="D2155" s="59" t="s">
        <v>1658</v>
      </c>
      <c r="E2155" s="59" t="s">
        <v>1577</v>
      </c>
      <c r="F2155" s="59" t="s">
        <v>2275</v>
      </c>
      <c r="G2155" s="59" t="s">
        <v>3587</v>
      </c>
      <c r="H2155" s="59" t="s">
        <v>2281</v>
      </c>
      <c r="I2155" s="59" t="b">
        <v>1</v>
      </c>
      <c r="J2155" s="59"/>
      <c r="K2155" s="58">
        <v>1893</v>
      </c>
      <c r="L2155" s="58">
        <v>1342</v>
      </c>
      <c r="M2155" s="59">
        <v>10</v>
      </c>
      <c r="N2155" s="59">
        <v>10</v>
      </c>
      <c r="O2155" s="59" t="s">
        <v>3578</v>
      </c>
      <c r="P2155" s="58">
        <v>102</v>
      </c>
      <c r="Q2155" s="59">
        <v>0</v>
      </c>
      <c r="R2155" s="59">
        <v>0</v>
      </c>
      <c r="S2155" s="60">
        <f>tblJTL[[#This Row],[timeStamp]]/86400000+DATE(1970,1,1)+TIME(9,0,0)</f>
        <v>46296.422771585647</v>
      </c>
      <c r="T2155" s="57">
        <f>tblJTL[[#This Row],[timeStamp]]+tblJTL[[#This Row],[elapsed]]</f>
        <v>1790816927571</v>
      </c>
      <c r="U2155" s="61">
        <f>(tblJTL[[#This Row],[timeStamp]]-'17_分析サンプル'!$E$18)/1000</f>
        <v>527.28499999999997</v>
      </c>
      <c r="V2155" s="57">
        <f>INT(tblJTL[[#This Row],[経過秒]]/60)</f>
        <v>8</v>
      </c>
      <c r="W2155" s="57">
        <f>IF(OR(tblJTL[[#This Row],[success]]=FALSE,tblJTL[[#This Row],[success]]="false"),1,0)</f>
        <v>0</v>
      </c>
      <c r="X2155" s="57">
        <f>IF(AND(tblJTL[[#This Row],[経過秒]]&gt;='17_分析サンプル'!$E$11,tblJTL[[#This Row],[経過秒]]&lt;'17_分析サンプル'!$E$12),1,0)</f>
        <v>1</v>
      </c>
    </row>
    <row r="2156" spans="2:24" ht="14.4" x14ac:dyDescent="0.3">
      <c r="B2156" s="57">
        <v>1790816927520</v>
      </c>
      <c r="C2156" s="58">
        <v>196</v>
      </c>
      <c r="D2156" s="59" t="s">
        <v>1677</v>
      </c>
      <c r="E2156" s="59" t="s">
        <v>3579</v>
      </c>
      <c r="F2156" s="59" t="s">
        <v>3580</v>
      </c>
      <c r="G2156" s="59" t="s">
        <v>3583</v>
      </c>
      <c r="H2156" s="59" t="s">
        <v>2281</v>
      </c>
      <c r="I2156" s="59" t="b">
        <v>1</v>
      </c>
      <c r="J2156" s="59"/>
      <c r="K2156" s="58">
        <v>415</v>
      </c>
      <c r="L2156" s="58">
        <v>1478</v>
      </c>
      <c r="M2156" s="59">
        <v>10</v>
      </c>
      <c r="N2156" s="59">
        <v>10</v>
      </c>
      <c r="O2156" s="59" t="s">
        <v>3581</v>
      </c>
      <c r="P2156" s="58">
        <v>190</v>
      </c>
      <c r="Q2156" s="59">
        <v>0</v>
      </c>
      <c r="R2156" s="59">
        <v>0</v>
      </c>
      <c r="S2156" s="60">
        <f>tblJTL[[#This Row],[timeStamp]]/86400000+DATE(1970,1,1)+TIME(9,0,0)</f>
        <v>46296.422772222228</v>
      </c>
      <c r="T2156" s="57">
        <f>tblJTL[[#This Row],[timeStamp]]+tblJTL[[#This Row],[elapsed]]</f>
        <v>1790816927716</v>
      </c>
      <c r="U2156" s="61">
        <f>(tblJTL[[#This Row],[timeStamp]]-'17_分析サンプル'!$E$18)/1000</f>
        <v>527.34</v>
      </c>
      <c r="V2156" s="57">
        <f>INT(tblJTL[[#This Row],[経過秒]]/60)</f>
        <v>8</v>
      </c>
      <c r="W2156" s="57">
        <f>IF(OR(tblJTL[[#This Row],[success]]=FALSE,tblJTL[[#This Row],[success]]="false"),1,0)</f>
        <v>0</v>
      </c>
      <c r="X2156" s="57">
        <f>IF(AND(tblJTL[[#This Row],[経過秒]]&gt;='17_分析サンプル'!$E$11,tblJTL[[#This Row],[経過秒]]&lt;'17_分析サンプル'!$E$12),1,0)</f>
        <v>1</v>
      </c>
    </row>
    <row r="2157" spans="2:24" ht="14.4" x14ac:dyDescent="0.3">
      <c r="B2157" s="57">
        <v>1790816927697</v>
      </c>
      <c r="C2157" s="58">
        <v>209</v>
      </c>
      <c r="D2157" s="59" t="s">
        <v>1677</v>
      </c>
      <c r="E2157" s="59" t="s">
        <v>3579</v>
      </c>
      <c r="F2157" s="59" t="s">
        <v>3580</v>
      </c>
      <c r="G2157" s="59" t="s">
        <v>3589</v>
      </c>
      <c r="H2157" s="59" t="s">
        <v>2281</v>
      </c>
      <c r="I2157" s="59" t="b">
        <v>1</v>
      </c>
      <c r="J2157" s="59"/>
      <c r="K2157" s="58">
        <v>428</v>
      </c>
      <c r="L2157" s="58">
        <v>1478</v>
      </c>
      <c r="M2157" s="59">
        <v>10</v>
      </c>
      <c r="N2157" s="59">
        <v>10</v>
      </c>
      <c r="O2157" s="59" t="s">
        <v>3581</v>
      </c>
      <c r="P2157" s="58">
        <v>207</v>
      </c>
      <c r="Q2157" s="59">
        <v>0</v>
      </c>
      <c r="R2157" s="59">
        <v>0</v>
      </c>
      <c r="S2157" s="60">
        <f>tblJTL[[#This Row],[timeStamp]]/86400000+DATE(1970,1,1)+TIME(9,0,0)</f>
        <v>46296.422774270832</v>
      </c>
      <c r="T2157" s="57">
        <f>tblJTL[[#This Row],[timeStamp]]+tblJTL[[#This Row],[elapsed]]</f>
        <v>1790816927906</v>
      </c>
      <c r="U2157" s="61">
        <f>(tblJTL[[#This Row],[timeStamp]]-'17_分析サンプル'!$E$18)/1000</f>
        <v>527.51700000000005</v>
      </c>
      <c r="V2157" s="57">
        <f>INT(tblJTL[[#This Row],[経過秒]]/60)</f>
        <v>8</v>
      </c>
      <c r="W2157" s="57">
        <f>IF(OR(tblJTL[[#This Row],[success]]=FALSE,tblJTL[[#This Row],[success]]="false"),1,0)</f>
        <v>0</v>
      </c>
      <c r="X2157" s="57">
        <f>IF(AND(tblJTL[[#This Row],[経過秒]]&gt;='17_分析サンプル'!$E$11,tblJTL[[#This Row],[経過秒]]&lt;'17_分析サンプル'!$E$12),1,0)</f>
        <v>1</v>
      </c>
    </row>
    <row r="2158" spans="2:24" ht="14.4" x14ac:dyDescent="0.3">
      <c r="B2158" s="57">
        <v>1790816927766</v>
      </c>
      <c r="C2158" s="58">
        <v>173</v>
      </c>
      <c r="D2158" s="59" t="s">
        <v>1677</v>
      </c>
      <c r="E2158" s="59" t="s">
        <v>3579</v>
      </c>
      <c r="F2158" s="59" t="s">
        <v>3580</v>
      </c>
      <c r="G2158" s="59" t="s">
        <v>3586</v>
      </c>
      <c r="H2158" s="59" t="s">
        <v>2281</v>
      </c>
      <c r="I2158" s="59" t="b">
        <v>1</v>
      </c>
      <c r="J2158" s="59"/>
      <c r="K2158" s="58">
        <v>410</v>
      </c>
      <c r="L2158" s="58">
        <v>1478</v>
      </c>
      <c r="M2158" s="59">
        <v>10</v>
      </c>
      <c r="N2158" s="59">
        <v>10</v>
      </c>
      <c r="O2158" s="59" t="s">
        <v>3581</v>
      </c>
      <c r="P2158" s="58">
        <v>168</v>
      </c>
      <c r="Q2158" s="59">
        <v>0</v>
      </c>
      <c r="R2158" s="59">
        <v>0</v>
      </c>
      <c r="S2158" s="60">
        <f>tblJTL[[#This Row],[timeStamp]]/86400000+DATE(1970,1,1)+TIME(9,0,0)</f>
        <v>46296.422775069441</v>
      </c>
      <c r="T2158" s="57">
        <f>tblJTL[[#This Row],[timeStamp]]+tblJTL[[#This Row],[elapsed]]</f>
        <v>1790816927939</v>
      </c>
      <c r="U2158" s="61">
        <f>(tblJTL[[#This Row],[timeStamp]]-'17_分析サンプル'!$E$18)/1000</f>
        <v>527.58600000000001</v>
      </c>
      <c r="V2158" s="57">
        <f>INT(tblJTL[[#This Row],[経過秒]]/60)</f>
        <v>8</v>
      </c>
      <c r="W2158" s="57">
        <f>IF(OR(tblJTL[[#This Row],[success]]=FALSE,tblJTL[[#This Row],[success]]="false"),1,0)</f>
        <v>0</v>
      </c>
      <c r="X2158" s="57">
        <f>IF(AND(tblJTL[[#This Row],[経過秒]]&gt;='17_分析サンプル'!$E$11,tblJTL[[#This Row],[経過秒]]&lt;'17_分析サンプル'!$E$12),1,0)</f>
        <v>1</v>
      </c>
    </row>
    <row r="2159" spans="2:24" ht="14.4" x14ac:dyDescent="0.3">
      <c r="B2159" s="57">
        <v>1790816928393</v>
      </c>
      <c r="C2159" s="58">
        <v>48</v>
      </c>
      <c r="D2159" s="59" t="s">
        <v>1658</v>
      </c>
      <c r="E2159" s="59" t="s">
        <v>1577</v>
      </c>
      <c r="F2159" s="59" t="s">
        <v>2275</v>
      </c>
      <c r="G2159" s="59" t="s">
        <v>3582</v>
      </c>
      <c r="H2159" s="59" t="s">
        <v>2281</v>
      </c>
      <c r="I2159" s="59" t="b">
        <v>1</v>
      </c>
      <c r="J2159" s="59"/>
      <c r="K2159" s="58">
        <v>1874</v>
      </c>
      <c r="L2159" s="58">
        <v>1342</v>
      </c>
      <c r="M2159" s="59">
        <v>10</v>
      </c>
      <c r="N2159" s="59">
        <v>10</v>
      </c>
      <c r="O2159" s="59" t="s">
        <v>3578</v>
      </c>
      <c r="P2159" s="58">
        <v>40</v>
      </c>
      <c r="Q2159" s="59">
        <v>0</v>
      </c>
      <c r="R2159" s="59">
        <v>0</v>
      </c>
      <c r="S2159" s="60">
        <f>tblJTL[[#This Row],[timeStamp]]/86400000+DATE(1970,1,1)+TIME(9,0,0)</f>
        <v>46296.422782326394</v>
      </c>
      <c r="T2159" s="57">
        <f>tblJTL[[#This Row],[timeStamp]]+tblJTL[[#This Row],[elapsed]]</f>
        <v>1790816928441</v>
      </c>
      <c r="U2159" s="61">
        <f>(tblJTL[[#This Row],[timeStamp]]-'17_分析サンプル'!$E$18)/1000</f>
        <v>528.21299999999997</v>
      </c>
      <c r="V2159" s="57">
        <f>INT(tblJTL[[#This Row],[経過秒]]/60)</f>
        <v>8</v>
      </c>
      <c r="W2159" s="57">
        <f>IF(OR(tblJTL[[#This Row],[success]]=FALSE,tblJTL[[#This Row],[success]]="false"),1,0)</f>
        <v>0</v>
      </c>
      <c r="X2159" s="57">
        <f>IF(AND(tblJTL[[#This Row],[経過秒]]&gt;='17_分析サンプル'!$E$11,tblJTL[[#This Row],[経過秒]]&lt;'17_分析サンプル'!$E$12),1,0)</f>
        <v>1</v>
      </c>
    </row>
    <row r="2160" spans="2:24" ht="14.4" x14ac:dyDescent="0.3">
      <c r="B2160" s="57">
        <v>1790816928362</v>
      </c>
      <c r="C2160" s="58">
        <v>90</v>
      </c>
      <c r="D2160" s="59" t="s">
        <v>1658</v>
      </c>
      <c r="E2160" s="59" t="s">
        <v>1577</v>
      </c>
      <c r="F2160" s="59" t="s">
        <v>2275</v>
      </c>
      <c r="G2160" s="59" t="s">
        <v>3577</v>
      </c>
      <c r="H2160" s="59" t="s">
        <v>2281</v>
      </c>
      <c r="I2160" s="59" t="b">
        <v>1</v>
      </c>
      <c r="J2160" s="59"/>
      <c r="K2160" s="58">
        <v>1838</v>
      </c>
      <c r="L2160" s="58">
        <v>1342</v>
      </c>
      <c r="M2160" s="59">
        <v>10</v>
      </c>
      <c r="N2160" s="59">
        <v>10</v>
      </c>
      <c r="O2160" s="59" t="s">
        <v>3578</v>
      </c>
      <c r="P2160" s="58">
        <v>86</v>
      </c>
      <c r="Q2160" s="59">
        <v>0</v>
      </c>
      <c r="R2160" s="59">
        <v>0</v>
      </c>
      <c r="S2160" s="60">
        <f>tblJTL[[#This Row],[timeStamp]]/86400000+DATE(1970,1,1)+TIME(9,0,0)</f>
        <v>46296.422781967594</v>
      </c>
      <c r="T2160" s="57">
        <f>tblJTL[[#This Row],[timeStamp]]+tblJTL[[#This Row],[elapsed]]</f>
        <v>1790816928452</v>
      </c>
      <c r="U2160" s="61">
        <f>(tblJTL[[#This Row],[timeStamp]]-'17_分析サンプル'!$E$18)/1000</f>
        <v>528.18200000000002</v>
      </c>
      <c r="V2160" s="57">
        <f>INT(tblJTL[[#This Row],[経過秒]]/60)</f>
        <v>8</v>
      </c>
      <c r="W2160" s="57">
        <f>IF(OR(tblJTL[[#This Row],[success]]=FALSE,tblJTL[[#This Row],[success]]="false"),1,0)</f>
        <v>0</v>
      </c>
      <c r="X2160" s="57">
        <f>IF(AND(tblJTL[[#This Row],[経過秒]]&gt;='17_分析サンプル'!$E$11,tblJTL[[#This Row],[経過秒]]&lt;'17_分析サンプル'!$E$12),1,0)</f>
        <v>1</v>
      </c>
    </row>
    <row r="2161" spans="2:24" ht="14.4" x14ac:dyDescent="0.3">
      <c r="B2161" s="57">
        <v>1790816928662</v>
      </c>
      <c r="C2161" s="58">
        <v>144</v>
      </c>
      <c r="D2161" s="59" t="s">
        <v>1658</v>
      </c>
      <c r="E2161" s="59" t="s">
        <v>1577</v>
      </c>
      <c r="F2161" s="59" t="s">
        <v>2275</v>
      </c>
      <c r="G2161" s="59" t="s">
        <v>2278</v>
      </c>
      <c r="H2161" s="59" t="s">
        <v>2281</v>
      </c>
      <c r="I2161" s="59" t="b">
        <v>1</v>
      </c>
      <c r="J2161" s="59"/>
      <c r="K2161" s="58">
        <v>1846</v>
      </c>
      <c r="L2161" s="58">
        <v>1342</v>
      </c>
      <c r="M2161" s="59">
        <v>10</v>
      </c>
      <c r="N2161" s="59">
        <v>10</v>
      </c>
      <c r="O2161" s="59" t="s">
        <v>3578</v>
      </c>
      <c r="P2161" s="58">
        <v>138</v>
      </c>
      <c r="Q2161" s="59">
        <v>0</v>
      </c>
      <c r="R2161" s="59">
        <v>0</v>
      </c>
      <c r="S2161" s="60">
        <f>tblJTL[[#This Row],[timeStamp]]/86400000+DATE(1970,1,1)+TIME(9,0,0)</f>
        <v>46296.42278543982</v>
      </c>
      <c r="T2161" s="57">
        <f>tblJTL[[#This Row],[timeStamp]]+tblJTL[[#This Row],[elapsed]]</f>
        <v>1790816928806</v>
      </c>
      <c r="U2161" s="61">
        <f>(tblJTL[[#This Row],[timeStamp]]-'17_分析サンプル'!$E$18)/1000</f>
        <v>528.48199999999997</v>
      </c>
      <c r="V2161" s="57">
        <f>INT(tblJTL[[#This Row],[経過秒]]/60)</f>
        <v>8</v>
      </c>
      <c r="W2161" s="57">
        <f>IF(OR(tblJTL[[#This Row],[success]]=FALSE,tblJTL[[#This Row],[success]]="false"),1,0)</f>
        <v>0</v>
      </c>
      <c r="X2161" s="57">
        <f>IF(AND(tblJTL[[#This Row],[経過秒]]&gt;='17_分析サンプル'!$E$11,tblJTL[[#This Row],[経過秒]]&lt;'17_分析サンプル'!$E$12),1,0)</f>
        <v>1</v>
      </c>
    </row>
    <row r="2162" spans="2:24" ht="14.4" x14ac:dyDescent="0.3">
      <c r="B2162" s="57">
        <v>1790816928741</v>
      </c>
      <c r="C2162" s="58">
        <v>123</v>
      </c>
      <c r="D2162" s="59" t="s">
        <v>1658</v>
      </c>
      <c r="E2162" s="59" t="s">
        <v>1577</v>
      </c>
      <c r="F2162" s="59" t="s">
        <v>2275</v>
      </c>
      <c r="G2162" s="59" t="s">
        <v>3583</v>
      </c>
      <c r="H2162" s="59" t="s">
        <v>2281</v>
      </c>
      <c r="I2162" s="59" t="b">
        <v>1</v>
      </c>
      <c r="J2162" s="59"/>
      <c r="K2162" s="58">
        <v>1872</v>
      </c>
      <c r="L2162" s="58">
        <v>1342</v>
      </c>
      <c r="M2162" s="59">
        <v>10</v>
      </c>
      <c r="N2162" s="59">
        <v>10</v>
      </c>
      <c r="O2162" s="59" t="s">
        <v>3578</v>
      </c>
      <c r="P2162" s="58">
        <v>119</v>
      </c>
      <c r="Q2162" s="59">
        <v>0</v>
      </c>
      <c r="R2162" s="59">
        <v>0</v>
      </c>
      <c r="S2162" s="60">
        <f>tblJTL[[#This Row],[timeStamp]]/86400000+DATE(1970,1,1)+TIME(9,0,0)</f>
        <v>46296.422786354167</v>
      </c>
      <c r="T2162" s="57">
        <f>tblJTL[[#This Row],[timeStamp]]+tblJTL[[#This Row],[elapsed]]</f>
        <v>1790816928864</v>
      </c>
      <c r="U2162" s="61">
        <f>(tblJTL[[#This Row],[timeStamp]]-'17_分析サンプル'!$E$18)/1000</f>
        <v>528.56100000000004</v>
      </c>
      <c r="V2162" s="57">
        <f>INT(tblJTL[[#This Row],[経過秒]]/60)</f>
        <v>8</v>
      </c>
      <c r="W2162" s="57">
        <f>IF(OR(tblJTL[[#This Row],[success]]=FALSE,tblJTL[[#This Row],[success]]="false"),1,0)</f>
        <v>0</v>
      </c>
      <c r="X2162" s="57">
        <f>IF(AND(tblJTL[[#This Row],[経過秒]]&gt;='17_分析サンプル'!$E$11,tblJTL[[#This Row],[経過秒]]&lt;'17_分析サンプル'!$E$12),1,0)</f>
        <v>1</v>
      </c>
    </row>
    <row r="2163" spans="2:24" ht="14.4" x14ac:dyDescent="0.3">
      <c r="B2163" s="57">
        <v>1790816929140</v>
      </c>
      <c r="C2163" s="58">
        <v>235</v>
      </c>
      <c r="D2163" s="59" t="s">
        <v>1677</v>
      </c>
      <c r="E2163" s="59" t="s">
        <v>3579</v>
      </c>
      <c r="F2163" s="59" t="s">
        <v>3580</v>
      </c>
      <c r="G2163" s="59" t="s">
        <v>3584</v>
      </c>
      <c r="H2163" s="59" t="s">
        <v>2281</v>
      </c>
      <c r="I2163" s="59" t="b">
        <v>1</v>
      </c>
      <c r="J2163" s="59"/>
      <c r="K2163" s="58">
        <v>432</v>
      </c>
      <c r="L2163" s="58">
        <v>1478</v>
      </c>
      <c r="M2163" s="59">
        <v>10</v>
      </c>
      <c r="N2163" s="59">
        <v>10</v>
      </c>
      <c r="O2163" s="59" t="s">
        <v>3581</v>
      </c>
      <c r="P2163" s="58">
        <v>233</v>
      </c>
      <c r="Q2163" s="59">
        <v>0</v>
      </c>
      <c r="R2163" s="59">
        <v>0</v>
      </c>
      <c r="S2163" s="60">
        <f>tblJTL[[#This Row],[timeStamp]]/86400000+DATE(1970,1,1)+TIME(9,0,0)</f>
        <v>46296.422790972225</v>
      </c>
      <c r="T2163" s="57">
        <f>tblJTL[[#This Row],[timeStamp]]+tblJTL[[#This Row],[elapsed]]</f>
        <v>1790816929375</v>
      </c>
      <c r="U2163" s="61">
        <f>(tblJTL[[#This Row],[timeStamp]]-'17_分析サンプル'!$E$18)/1000</f>
        <v>528.96</v>
      </c>
      <c r="V2163" s="57">
        <f>INT(tblJTL[[#This Row],[経過秒]]/60)</f>
        <v>8</v>
      </c>
      <c r="W2163" s="57">
        <f>IF(OR(tblJTL[[#This Row],[success]]=FALSE,tblJTL[[#This Row],[success]]="false"),1,0)</f>
        <v>0</v>
      </c>
      <c r="X2163" s="57">
        <f>IF(AND(tblJTL[[#This Row],[経過秒]]&gt;='17_分析サンプル'!$E$11,tblJTL[[#This Row],[経過秒]]&lt;'17_分析サンプル'!$E$12),1,0)</f>
        <v>1</v>
      </c>
    </row>
    <row r="2164" spans="2:24" ht="14.4" x14ac:dyDescent="0.3">
      <c r="B2164" s="57">
        <v>1790816929653</v>
      </c>
      <c r="C2164" s="58">
        <v>192</v>
      </c>
      <c r="D2164" s="59" t="s">
        <v>1677</v>
      </c>
      <c r="E2164" s="59" t="s">
        <v>3579</v>
      </c>
      <c r="F2164" s="59" t="s">
        <v>3580</v>
      </c>
      <c r="G2164" s="59" t="s">
        <v>3588</v>
      </c>
      <c r="H2164" s="59" t="s">
        <v>2281</v>
      </c>
      <c r="I2164" s="59" t="b">
        <v>1</v>
      </c>
      <c r="J2164" s="59"/>
      <c r="K2164" s="58">
        <v>411</v>
      </c>
      <c r="L2164" s="58">
        <v>1478</v>
      </c>
      <c r="M2164" s="59">
        <v>10</v>
      </c>
      <c r="N2164" s="59">
        <v>10</v>
      </c>
      <c r="O2164" s="59" t="s">
        <v>3581</v>
      </c>
      <c r="P2164" s="58">
        <v>185</v>
      </c>
      <c r="Q2164" s="59">
        <v>0</v>
      </c>
      <c r="R2164" s="59">
        <v>0</v>
      </c>
      <c r="S2164" s="60">
        <f>tblJTL[[#This Row],[timeStamp]]/86400000+DATE(1970,1,1)+TIME(9,0,0)</f>
        <v>46296.422796909726</v>
      </c>
      <c r="T2164" s="57">
        <f>tblJTL[[#This Row],[timeStamp]]+tblJTL[[#This Row],[elapsed]]</f>
        <v>1790816929845</v>
      </c>
      <c r="U2164" s="61">
        <f>(tblJTL[[#This Row],[timeStamp]]-'17_分析サンプル'!$E$18)/1000</f>
        <v>529.47299999999996</v>
      </c>
      <c r="V2164" s="57">
        <f>INT(tblJTL[[#This Row],[経過秒]]/60)</f>
        <v>8</v>
      </c>
      <c r="W2164" s="57">
        <f>IF(OR(tblJTL[[#This Row],[success]]=FALSE,tblJTL[[#This Row],[success]]="false"),1,0)</f>
        <v>0</v>
      </c>
      <c r="X2164" s="57">
        <f>IF(AND(tblJTL[[#This Row],[経過秒]]&gt;='17_分析サンプル'!$E$11,tblJTL[[#This Row],[経過秒]]&lt;'17_分析サンプル'!$E$12),1,0)</f>
        <v>1</v>
      </c>
    </row>
    <row r="2165" spans="2:24" ht="14.4" x14ac:dyDescent="0.3">
      <c r="B2165" s="57">
        <v>1790816929813</v>
      </c>
      <c r="C2165" s="58">
        <v>207</v>
      </c>
      <c r="D2165" s="59" t="s">
        <v>1677</v>
      </c>
      <c r="E2165" s="59" t="s">
        <v>3579</v>
      </c>
      <c r="F2165" s="59" t="s">
        <v>3580</v>
      </c>
      <c r="G2165" s="59" t="s">
        <v>3577</v>
      </c>
      <c r="H2165" s="59" t="s">
        <v>2281</v>
      </c>
      <c r="I2165" s="59" t="b">
        <v>1</v>
      </c>
      <c r="J2165" s="59"/>
      <c r="K2165" s="58">
        <v>435</v>
      </c>
      <c r="L2165" s="58">
        <v>1478</v>
      </c>
      <c r="M2165" s="59">
        <v>10</v>
      </c>
      <c r="N2165" s="59">
        <v>10</v>
      </c>
      <c r="O2165" s="59" t="s">
        <v>3581</v>
      </c>
      <c r="P2165" s="58">
        <v>200</v>
      </c>
      <c r="Q2165" s="59">
        <v>0</v>
      </c>
      <c r="R2165" s="59">
        <v>0</v>
      </c>
      <c r="S2165" s="60">
        <f>tblJTL[[#This Row],[timeStamp]]/86400000+DATE(1970,1,1)+TIME(9,0,0)</f>
        <v>46296.422798761574</v>
      </c>
      <c r="T2165" s="57">
        <f>tblJTL[[#This Row],[timeStamp]]+tblJTL[[#This Row],[elapsed]]</f>
        <v>1790816930020</v>
      </c>
      <c r="U2165" s="61">
        <f>(tblJTL[[#This Row],[timeStamp]]-'17_分析サンプル'!$E$18)/1000</f>
        <v>529.63300000000004</v>
      </c>
      <c r="V2165" s="57">
        <f>INT(tblJTL[[#This Row],[経過秒]]/60)</f>
        <v>8</v>
      </c>
      <c r="W2165" s="57">
        <f>IF(OR(tblJTL[[#This Row],[success]]=FALSE,tblJTL[[#This Row],[success]]="false"),1,0)</f>
        <v>0</v>
      </c>
      <c r="X2165" s="57">
        <f>IF(AND(tblJTL[[#This Row],[経過秒]]&gt;='17_分析サンプル'!$E$11,tblJTL[[#This Row],[経過秒]]&lt;'17_分析サンプル'!$E$12),1,0)</f>
        <v>1</v>
      </c>
    </row>
    <row r="2166" spans="2:24" ht="14.4" x14ac:dyDescent="0.3">
      <c r="B2166" s="57">
        <v>1790816929976</v>
      </c>
      <c r="C2166" s="58">
        <v>195</v>
      </c>
      <c r="D2166" s="59" t="s">
        <v>1677</v>
      </c>
      <c r="E2166" s="59" t="s">
        <v>3579</v>
      </c>
      <c r="F2166" s="59" t="s">
        <v>3580</v>
      </c>
      <c r="G2166" s="59" t="s">
        <v>3587</v>
      </c>
      <c r="H2166" s="59" t="s">
        <v>2281</v>
      </c>
      <c r="I2166" s="59" t="b">
        <v>1</v>
      </c>
      <c r="J2166" s="59"/>
      <c r="K2166" s="58">
        <v>410</v>
      </c>
      <c r="L2166" s="58">
        <v>1478</v>
      </c>
      <c r="M2166" s="59">
        <v>10</v>
      </c>
      <c r="N2166" s="59">
        <v>10</v>
      </c>
      <c r="O2166" s="59" t="s">
        <v>3581</v>
      </c>
      <c r="P2166" s="58">
        <v>190</v>
      </c>
      <c r="Q2166" s="59">
        <v>0</v>
      </c>
      <c r="R2166" s="59">
        <v>0</v>
      </c>
      <c r="S2166" s="60">
        <f>tblJTL[[#This Row],[timeStamp]]/86400000+DATE(1970,1,1)+TIME(9,0,0)</f>
        <v>46296.42280064815</v>
      </c>
      <c r="T2166" s="57">
        <f>tblJTL[[#This Row],[timeStamp]]+tblJTL[[#This Row],[elapsed]]</f>
        <v>1790816930171</v>
      </c>
      <c r="U2166" s="61">
        <f>(tblJTL[[#This Row],[timeStamp]]-'17_分析サンプル'!$E$18)/1000</f>
        <v>529.79600000000005</v>
      </c>
      <c r="V2166" s="57">
        <f>INT(tblJTL[[#This Row],[経過秒]]/60)</f>
        <v>8</v>
      </c>
      <c r="W2166" s="57">
        <f>IF(OR(tblJTL[[#This Row],[success]]=FALSE,tblJTL[[#This Row],[success]]="false"),1,0)</f>
        <v>0</v>
      </c>
      <c r="X2166" s="57">
        <f>IF(AND(tblJTL[[#This Row],[経過秒]]&gt;='17_分析サンプル'!$E$11,tblJTL[[#This Row],[経過秒]]&lt;'17_分析サンプル'!$E$12),1,0)</f>
        <v>1</v>
      </c>
    </row>
    <row r="2167" spans="2:24" ht="14.4" x14ac:dyDescent="0.3">
      <c r="B2167" s="57">
        <v>1790816930284</v>
      </c>
      <c r="C2167" s="58">
        <v>172</v>
      </c>
      <c r="D2167" s="59" t="s">
        <v>1658</v>
      </c>
      <c r="E2167" s="59" t="s">
        <v>1577</v>
      </c>
      <c r="F2167" s="59" t="s">
        <v>2275</v>
      </c>
      <c r="G2167" s="59" t="s">
        <v>3586</v>
      </c>
      <c r="H2167" s="59" t="s">
        <v>2281</v>
      </c>
      <c r="I2167" s="59" t="b">
        <v>1</v>
      </c>
      <c r="J2167" s="59"/>
      <c r="K2167" s="58">
        <v>1896</v>
      </c>
      <c r="L2167" s="58">
        <v>1342</v>
      </c>
      <c r="M2167" s="59">
        <v>10</v>
      </c>
      <c r="N2167" s="59">
        <v>10</v>
      </c>
      <c r="O2167" s="59" t="s">
        <v>3578</v>
      </c>
      <c r="P2167" s="58">
        <v>164</v>
      </c>
      <c r="Q2167" s="59">
        <v>0</v>
      </c>
      <c r="R2167" s="59">
        <v>45</v>
      </c>
      <c r="S2167" s="60">
        <f>tblJTL[[#This Row],[timeStamp]]/86400000+DATE(1970,1,1)+TIME(9,0,0)</f>
        <v>46296.422804212962</v>
      </c>
      <c r="T2167" s="57">
        <f>tblJTL[[#This Row],[timeStamp]]+tblJTL[[#This Row],[elapsed]]</f>
        <v>1790816930456</v>
      </c>
      <c r="U2167" s="61">
        <f>(tblJTL[[#This Row],[timeStamp]]-'17_分析サンプル'!$E$18)/1000</f>
        <v>530.10400000000004</v>
      </c>
      <c r="V2167" s="57">
        <f>INT(tblJTL[[#This Row],[経過秒]]/60)</f>
        <v>8</v>
      </c>
      <c r="W2167" s="57">
        <f>IF(OR(tblJTL[[#This Row],[success]]=FALSE,tblJTL[[#This Row],[success]]="false"),1,0)</f>
        <v>0</v>
      </c>
      <c r="X2167" s="57">
        <f>IF(AND(tblJTL[[#This Row],[経過秒]]&gt;='17_分析サンプル'!$E$11,tblJTL[[#This Row],[経過秒]]&lt;'17_分析サンプル'!$E$12),1,0)</f>
        <v>1</v>
      </c>
    </row>
    <row r="2168" spans="2:24" ht="14.4" x14ac:dyDescent="0.3">
      <c r="B2168" s="57">
        <v>1790816930363</v>
      </c>
      <c r="C2168" s="58">
        <v>206</v>
      </c>
      <c r="D2168" s="59" t="s">
        <v>1677</v>
      </c>
      <c r="E2168" s="59" t="s">
        <v>3579</v>
      </c>
      <c r="F2168" s="59" t="s">
        <v>3580</v>
      </c>
      <c r="G2168" s="59" t="s">
        <v>3585</v>
      </c>
      <c r="H2168" s="59" t="s">
        <v>2281</v>
      </c>
      <c r="I2168" s="59" t="b">
        <v>1</v>
      </c>
      <c r="J2168" s="59"/>
      <c r="K2168" s="58">
        <v>438</v>
      </c>
      <c r="L2168" s="58">
        <v>1478</v>
      </c>
      <c r="M2168" s="59">
        <v>10</v>
      </c>
      <c r="N2168" s="59">
        <v>10</v>
      </c>
      <c r="O2168" s="59" t="s">
        <v>3581</v>
      </c>
      <c r="P2168" s="58">
        <v>204</v>
      </c>
      <c r="Q2168" s="59">
        <v>0</v>
      </c>
      <c r="R2168" s="59">
        <v>0</v>
      </c>
      <c r="S2168" s="60">
        <f>tblJTL[[#This Row],[timeStamp]]/86400000+DATE(1970,1,1)+TIME(9,0,0)</f>
        <v>46296.422805127309</v>
      </c>
      <c r="T2168" s="57">
        <f>tblJTL[[#This Row],[timeStamp]]+tblJTL[[#This Row],[elapsed]]</f>
        <v>1790816930569</v>
      </c>
      <c r="U2168" s="61">
        <f>(tblJTL[[#This Row],[timeStamp]]-'17_分析サンプル'!$E$18)/1000</f>
        <v>530.18299999999999</v>
      </c>
      <c r="V2168" s="57">
        <f>INT(tblJTL[[#This Row],[経過秒]]/60)</f>
        <v>8</v>
      </c>
      <c r="W2168" s="57">
        <f>IF(OR(tblJTL[[#This Row],[success]]=FALSE,tblJTL[[#This Row],[success]]="false"),1,0)</f>
        <v>0</v>
      </c>
      <c r="X2168" s="57">
        <f>IF(AND(tblJTL[[#This Row],[経過秒]]&gt;='17_分析サンプル'!$E$11,tblJTL[[#This Row],[経過秒]]&lt;'17_分析サンプル'!$E$12),1,0)</f>
        <v>1</v>
      </c>
    </row>
    <row r="2169" spans="2:24" ht="14.4" x14ac:dyDescent="0.3">
      <c r="B2169" s="57">
        <v>1790816930529</v>
      </c>
      <c r="C2169" s="58">
        <v>99</v>
      </c>
      <c r="D2169" s="59" t="s">
        <v>1658</v>
      </c>
      <c r="E2169" s="59" t="s">
        <v>1577</v>
      </c>
      <c r="F2169" s="59" t="s">
        <v>2275</v>
      </c>
      <c r="G2169" s="59" t="s">
        <v>3589</v>
      </c>
      <c r="H2169" s="59" t="s">
        <v>2281</v>
      </c>
      <c r="I2169" s="59" t="b">
        <v>1</v>
      </c>
      <c r="J2169" s="59"/>
      <c r="K2169" s="58">
        <v>1843</v>
      </c>
      <c r="L2169" s="58">
        <v>1342</v>
      </c>
      <c r="M2169" s="59">
        <v>10</v>
      </c>
      <c r="N2169" s="59">
        <v>10</v>
      </c>
      <c r="O2169" s="59" t="s">
        <v>3578</v>
      </c>
      <c r="P2169" s="58">
        <v>92</v>
      </c>
      <c r="Q2169" s="59">
        <v>0</v>
      </c>
      <c r="R2169" s="59">
        <v>0</v>
      </c>
      <c r="S2169" s="60">
        <f>tblJTL[[#This Row],[timeStamp]]/86400000+DATE(1970,1,1)+TIME(9,0,0)</f>
        <v>46296.422807048613</v>
      </c>
      <c r="T2169" s="57">
        <f>tblJTL[[#This Row],[timeStamp]]+tblJTL[[#This Row],[elapsed]]</f>
        <v>1790816930628</v>
      </c>
      <c r="U2169" s="61">
        <f>(tblJTL[[#This Row],[timeStamp]]-'17_分析サンプル'!$E$18)/1000</f>
        <v>530.34900000000005</v>
      </c>
      <c r="V2169" s="57">
        <f>INT(tblJTL[[#This Row],[経過秒]]/60)</f>
        <v>8</v>
      </c>
      <c r="W2169" s="57">
        <f>IF(OR(tblJTL[[#This Row],[success]]=FALSE,tblJTL[[#This Row],[success]]="false"),1,0)</f>
        <v>0</v>
      </c>
      <c r="X2169" s="57">
        <f>IF(AND(tblJTL[[#This Row],[経過秒]]&gt;='17_分析サンプル'!$E$11,tblJTL[[#This Row],[経過秒]]&lt;'17_分析サンプル'!$E$12),1,0)</f>
        <v>1</v>
      </c>
    </row>
    <row r="2170" spans="2:24" ht="14.4" x14ac:dyDescent="0.3">
      <c r="B2170" s="57">
        <v>1790816930529</v>
      </c>
      <c r="C2170" s="58">
        <v>218</v>
      </c>
      <c r="D2170" s="59" t="s">
        <v>1677</v>
      </c>
      <c r="E2170" s="59" t="s">
        <v>3579</v>
      </c>
      <c r="F2170" s="59" t="s">
        <v>3580</v>
      </c>
      <c r="G2170" s="59" t="s">
        <v>2278</v>
      </c>
      <c r="H2170" s="59" t="s">
        <v>2281</v>
      </c>
      <c r="I2170" s="59" t="b">
        <v>1</v>
      </c>
      <c r="J2170" s="59"/>
      <c r="K2170" s="58">
        <v>417</v>
      </c>
      <c r="L2170" s="58">
        <v>1478</v>
      </c>
      <c r="M2170" s="59">
        <v>10</v>
      </c>
      <c r="N2170" s="59">
        <v>10</v>
      </c>
      <c r="O2170" s="59" t="s">
        <v>3581</v>
      </c>
      <c r="P2170" s="58">
        <v>212</v>
      </c>
      <c r="Q2170" s="59">
        <v>0</v>
      </c>
      <c r="R2170" s="59">
        <v>0</v>
      </c>
      <c r="S2170" s="60">
        <f>tblJTL[[#This Row],[timeStamp]]/86400000+DATE(1970,1,1)+TIME(9,0,0)</f>
        <v>46296.422807048613</v>
      </c>
      <c r="T2170" s="57">
        <f>tblJTL[[#This Row],[timeStamp]]+tblJTL[[#This Row],[elapsed]]</f>
        <v>1790816930747</v>
      </c>
      <c r="U2170" s="61">
        <f>(tblJTL[[#This Row],[timeStamp]]-'17_分析サンプル'!$E$18)/1000</f>
        <v>530.34900000000005</v>
      </c>
      <c r="V2170" s="57">
        <f>INT(tblJTL[[#This Row],[経過秒]]/60)</f>
        <v>8</v>
      </c>
      <c r="W2170" s="57">
        <f>IF(OR(tblJTL[[#This Row],[success]]=FALSE,tblJTL[[#This Row],[success]]="false"),1,0)</f>
        <v>0</v>
      </c>
      <c r="X2170" s="57">
        <f>IF(AND(tblJTL[[#This Row],[経過秒]]&gt;='17_分析サンプル'!$E$11,tblJTL[[#This Row],[経過秒]]&lt;'17_分析サンプル'!$E$12),1,0)</f>
        <v>1</v>
      </c>
    </row>
    <row r="2171" spans="2:24" ht="14.4" x14ac:dyDescent="0.3">
      <c r="B2171" s="57">
        <v>1790816930695</v>
      </c>
      <c r="C2171" s="58">
        <v>153</v>
      </c>
      <c r="D2171" s="59" t="s">
        <v>1658</v>
      </c>
      <c r="E2171" s="59" t="s">
        <v>1577</v>
      </c>
      <c r="F2171" s="59" t="s">
        <v>2275</v>
      </c>
      <c r="G2171" s="59" t="s">
        <v>3584</v>
      </c>
      <c r="H2171" s="59" t="s">
        <v>2281</v>
      </c>
      <c r="I2171" s="59" t="b">
        <v>1</v>
      </c>
      <c r="J2171" s="59"/>
      <c r="K2171" s="58">
        <v>1900</v>
      </c>
      <c r="L2171" s="58">
        <v>1342</v>
      </c>
      <c r="M2171" s="59">
        <v>10</v>
      </c>
      <c r="N2171" s="59">
        <v>10</v>
      </c>
      <c r="O2171" s="59" t="s">
        <v>3578</v>
      </c>
      <c r="P2171" s="58">
        <v>148</v>
      </c>
      <c r="Q2171" s="59">
        <v>0</v>
      </c>
      <c r="R2171" s="59">
        <v>0</v>
      </c>
      <c r="S2171" s="60">
        <f>tblJTL[[#This Row],[timeStamp]]/86400000+DATE(1970,1,1)+TIME(9,0,0)</f>
        <v>46296.422808969903</v>
      </c>
      <c r="T2171" s="57">
        <f>tblJTL[[#This Row],[timeStamp]]+tblJTL[[#This Row],[elapsed]]</f>
        <v>1790816930848</v>
      </c>
      <c r="U2171" s="61">
        <f>(tblJTL[[#This Row],[timeStamp]]-'17_分析サンプル'!$E$18)/1000</f>
        <v>530.51499999999999</v>
      </c>
      <c r="V2171" s="57">
        <f>INT(tblJTL[[#This Row],[経過秒]]/60)</f>
        <v>8</v>
      </c>
      <c r="W2171" s="57">
        <f>IF(OR(tblJTL[[#This Row],[success]]=FALSE,tblJTL[[#This Row],[success]]="false"),1,0)</f>
        <v>0</v>
      </c>
      <c r="X2171" s="57">
        <f>IF(AND(tblJTL[[#This Row],[経過秒]]&gt;='17_分析サンプル'!$E$11,tblJTL[[#This Row],[経過秒]]&lt;'17_分析サンプル'!$E$12),1,0)</f>
        <v>1</v>
      </c>
    </row>
    <row r="2172" spans="2:24" ht="14.4" x14ac:dyDescent="0.3">
      <c r="B2172" s="57">
        <v>1790816930673</v>
      </c>
      <c r="C2172" s="58">
        <v>220</v>
      </c>
      <c r="D2172" s="59" t="s">
        <v>1677</v>
      </c>
      <c r="E2172" s="59" t="s">
        <v>3579</v>
      </c>
      <c r="F2172" s="59" t="s">
        <v>3580</v>
      </c>
      <c r="G2172" s="59" t="s">
        <v>3582</v>
      </c>
      <c r="H2172" s="59" t="s">
        <v>2281</v>
      </c>
      <c r="I2172" s="59" t="b">
        <v>1</v>
      </c>
      <c r="J2172" s="59"/>
      <c r="K2172" s="58">
        <v>411</v>
      </c>
      <c r="L2172" s="58">
        <v>1478</v>
      </c>
      <c r="M2172" s="59">
        <v>10</v>
      </c>
      <c r="N2172" s="59">
        <v>10</v>
      </c>
      <c r="O2172" s="59" t="s">
        <v>3581</v>
      </c>
      <c r="P2172" s="58">
        <v>218</v>
      </c>
      <c r="Q2172" s="59">
        <v>0</v>
      </c>
      <c r="R2172" s="59">
        <v>0</v>
      </c>
      <c r="S2172" s="60">
        <f>tblJTL[[#This Row],[timeStamp]]/86400000+DATE(1970,1,1)+TIME(9,0,0)</f>
        <v>46296.422808715273</v>
      </c>
      <c r="T2172" s="57">
        <f>tblJTL[[#This Row],[timeStamp]]+tblJTL[[#This Row],[elapsed]]</f>
        <v>1790816930893</v>
      </c>
      <c r="U2172" s="61">
        <f>(tblJTL[[#This Row],[timeStamp]]-'17_分析サンプル'!$E$18)/1000</f>
        <v>530.49300000000005</v>
      </c>
      <c r="V2172" s="57">
        <f>INT(tblJTL[[#This Row],[経過秒]]/60)</f>
        <v>8</v>
      </c>
      <c r="W2172" s="57">
        <f>IF(OR(tblJTL[[#This Row],[success]]=FALSE,tblJTL[[#This Row],[success]]="false"),1,0)</f>
        <v>0</v>
      </c>
      <c r="X2172" s="57">
        <f>IF(AND(tblJTL[[#This Row],[経過秒]]&gt;='17_分析サンプル'!$E$11,tblJTL[[#This Row],[経過秒]]&lt;'17_分析サンプル'!$E$12),1,0)</f>
        <v>1</v>
      </c>
    </row>
    <row r="2173" spans="2:24" ht="14.4" x14ac:dyDescent="0.3">
      <c r="B2173" s="57">
        <v>1790816930790</v>
      </c>
      <c r="C2173" s="58">
        <v>200</v>
      </c>
      <c r="D2173" s="59" t="s">
        <v>1677</v>
      </c>
      <c r="E2173" s="59" t="s">
        <v>3579</v>
      </c>
      <c r="F2173" s="59" t="s">
        <v>3580</v>
      </c>
      <c r="G2173" s="59" t="s">
        <v>3583</v>
      </c>
      <c r="H2173" s="59" t="s">
        <v>2281</v>
      </c>
      <c r="I2173" s="59" t="b">
        <v>1</v>
      </c>
      <c r="J2173" s="59"/>
      <c r="K2173" s="58">
        <v>438</v>
      </c>
      <c r="L2173" s="58">
        <v>1478</v>
      </c>
      <c r="M2173" s="59">
        <v>10</v>
      </c>
      <c r="N2173" s="59">
        <v>10</v>
      </c>
      <c r="O2173" s="59" t="s">
        <v>3581</v>
      </c>
      <c r="P2173" s="58">
        <v>197</v>
      </c>
      <c r="Q2173" s="59">
        <v>0</v>
      </c>
      <c r="R2173" s="59">
        <v>0</v>
      </c>
      <c r="S2173" s="60">
        <f>tblJTL[[#This Row],[timeStamp]]/86400000+DATE(1970,1,1)+TIME(9,0,0)</f>
        <v>46296.422810069445</v>
      </c>
      <c r="T2173" s="57">
        <f>tblJTL[[#This Row],[timeStamp]]+tblJTL[[#This Row],[elapsed]]</f>
        <v>1790816930990</v>
      </c>
      <c r="U2173" s="61">
        <f>(tblJTL[[#This Row],[timeStamp]]-'17_分析サンプル'!$E$18)/1000</f>
        <v>530.61</v>
      </c>
      <c r="V2173" s="57">
        <f>INT(tblJTL[[#This Row],[経過秒]]/60)</f>
        <v>8</v>
      </c>
      <c r="W2173" s="57">
        <f>IF(OR(tblJTL[[#This Row],[success]]=FALSE,tblJTL[[#This Row],[success]]="false"),1,0)</f>
        <v>0</v>
      </c>
      <c r="X2173" s="57">
        <f>IF(AND(tblJTL[[#This Row],[経過秒]]&gt;='17_分析サンプル'!$E$11,tblJTL[[#This Row],[経過秒]]&lt;'17_分析サンプル'!$E$12),1,0)</f>
        <v>1</v>
      </c>
    </row>
    <row r="2174" spans="2:24" ht="14.4" x14ac:dyDescent="0.3">
      <c r="B2174" s="57">
        <v>1790816931569</v>
      </c>
      <c r="C2174" s="58">
        <v>127</v>
      </c>
      <c r="D2174" s="59" t="s">
        <v>1658</v>
      </c>
      <c r="E2174" s="59" t="s">
        <v>1577</v>
      </c>
      <c r="F2174" s="59" t="s">
        <v>2275</v>
      </c>
      <c r="G2174" s="59" t="s">
        <v>3588</v>
      </c>
      <c r="H2174" s="59" t="s">
        <v>2281</v>
      </c>
      <c r="I2174" s="59" t="b">
        <v>1</v>
      </c>
      <c r="J2174" s="59"/>
      <c r="K2174" s="58">
        <v>1828</v>
      </c>
      <c r="L2174" s="58">
        <v>1342</v>
      </c>
      <c r="M2174" s="59">
        <v>10</v>
      </c>
      <c r="N2174" s="59">
        <v>10</v>
      </c>
      <c r="O2174" s="59" t="s">
        <v>3578</v>
      </c>
      <c r="P2174" s="58">
        <v>125</v>
      </c>
      <c r="Q2174" s="59">
        <v>0</v>
      </c>
      <c r="R2174" s="59">
        <v>0</v>
      </c>
      <c r="S2174" s="60">
        <f>tblJTL[[#This Row],[timeStamp]]/86400000+DATE(1970,1,1)+TIME(9,0,0)</f>
        <v>46296.422819085652</v>
      </c>
      <c r="T2174" s="57">
        <f>tblJTL[[#This Row],[timeStamp]]+tblJTL[[#This Row],[elapsed]]</f>
        <v>1790816931696</v>
      </c>
      <c r="U2174" s="61">
        <f>(tblJTL[[#This Row],[timeStamp]]-'17_分析サンプル'!$E$18)/1000</f>
        <v>531.38900000000001</v>
      </c>
      <c r="V2174" s="57">
        <f>INT(tblJTL[[#This Row],[経過秒]]/60)</f>
        <v>8</v>
      </c>
      <c r="W2174" s="57">
        <f>IF(OR(tblJTL[[#This Row],[success]]=FALSE,tblJTL[[#This Row],[success]]="false"),1,0)</f>
        <v>0</v>
      </c>
      <c r="X2174" s="57">
        <f>IF(AND(tblJTL[[#This Row],[経過秒]]&gt;='17_分析サンプル'!$E$11,tblJTL[[#This Row],[経過秒]]&lt;'17_分析サンプル'!$E$12),1,0)</f>
        <v>1</v>
      </c>
    </row>
    <row r="2175" spans="2:24" ht="14.4" x14ac:dyDescent="0.3">
      <c r="B2175" s="57">
        <v>1790816931615</v>
      </c>
      <c r="C2175" s="58">
        <v>273</v>
      </c>
      <c r="D2175" s="59" t="s">
        <v>1677</v>
      </c>
      <c r="E2175" s="59" t="s">
        <v>3579</v>
      </c>
      <c r="F2175" s="59" t="s">
        <v>3580</v>
      </c>
      <c r="G2175" s="59" t="s">
        <v>3586</v>
      </c>
      <c r="H2175" s="59" t="s">
        <v>2281</v>
      </c>
      <c r="I2175" s="59" t="b">
        <v>1</v>
      </c>
      <c r="J2175" s="59"/>
      <c r="K2175" s="58">
        <v>413</v>
      </c>
      <c r="L2175" s="58">
        <v>1478</v>
      </c>
      <c r="M2175" s="59">
        <v>10</v>
      </c>
      <c r="N2175" s="59">
        <v>10</v>
      </c>
      <c r="O2175" s="59" t="s">
        <v>3581</v>
      </c>
      <c r="P2175" s="58">
        <v>269</v>
      </c>
      <c r="Q2175" s="59">
        <v>0</v>
      </c>
      <c r="R2175" s="59">
        <v>0</v>
      </c>
      <c r="S2175" s="60">
        <f>tblJTL[[#This Row],[timeStamp]]/86400000+DATE(1970,1,1)+TIME(9,0,0)</f>
        <v>46296.422819618056</v>
      </c>
      <c r="T2175" s="57">
        <f>tblJTL[[#This Row],[timeStamp]]+tblJTL[[#This Row],[elapsed]]</f>
        <v>1790816931888</v>
      </c>
      <c r="U2175" s="61">
        <f>(tblJTL[[#This Row],[timeStamp]]-'17_分析サンプル'!$E$18)/1000</f>
        <v>531.43499999999995</v>
      </c>
      <c r="V2175" s="57">
        <f>INT(tblJTL[[#This Row],[経過秒]]/60)</f>
        <v>8</v>
      </c>
      <c r="W2175" s="57">
        <f>IF(OR(tblJTL[[#This Row],[success]]=FALSE,tblJTL[[#This Row],[success]]="false"),1,0)</f>
        <v>0</v>
      </c>
      <c r="X2175" s="57">
        <f>IF(AND(tblJTL[[#This Row],[経過秒]]&gt;='17_分析サンプル'!$E$11,tblJTL[[#This Row],[経過秒]]&lt;'17_分析サンプル'!$E$12),1,0)</f>
        <v>1</v>
      </c>
    </row>
    <row r="2176" spans="2:24" ht="14.4" x14ac:dyDescent="0.3">
      <c r="B2176" s="57">
        <v>1790816932018</v>
      </c>
      <c r="C2176" s="58">
        <v>277</v>
      </c>
      <c r="D2176" s="59" t="s">
        <v>1677</v>
      </c>
      <c r="E2176" s="59" t="s">
        <v>3579</v>
      </c>
      <c r="F2176" s="59" t="s">
        <v>3580</v>
      </c>
      <c r="G2176" s="59" t="s">
        <v>3589</v>
      </c>
      <c r="H2176" s="59" t="s">
        <v>2281</v>
      </c>
      <c r="I2176" s="59" t="b">
        <v>1</v>
      </c>
      <c r="J2176" s="59"/>
      <c r="K2176" s="58">
        <v>427</v>
      </c>
      <c r="L2176" s="58">
        <v>1478</v>
      </c>
      <c r="M2176" s="59">
        <v>10</v>
      </c>
      <c r="N2176" s="59">
        <v>10</v>
      </c>
      <c r="O2176" s="59" t="s">
        <v>3581</v>
      </c>
      <c r="P2176" s="58">
        <v>270</v>
      </c>
      <c r="Q2176" s="59">
        <v>0</v>
      </c>
      <c r="R2176" s="59">
        <v>0</v>
      </c>
      <c r="S2176" s="60">
        <f>tblJTL[[#This Row],[timeStamp]]/86400000+DATE(1970,1,1)+TIME(9,0,0)</f>
        <v>46296.422824282403</v>
      </c>
      <c r="T2176" s="57">
        <f>tblJTL[[#This Row],[timeStamp]]+tblJTL[[#This Row],[elapsed]]</f>
        <v>1790816932295</v>
      </c>
      <c r="U2176" s="61">
        <f>(tblJTL[[#This Row],[timeStamp]]-'17_分析サンプル'!$E$18)/1000</f>
        <v>531.83799999999997</v>
      </c>
      <c r="V2176" s="57">
        <f>INT(tblJTL[[#This Row],[経過秒]]/60)</f>
        <v>8</v>
      </c>
      <c r="W2176" s="57">
        <f>IF(OR(tblJTL[[#This Row],[success]]=FALSE,tblJTL[[#This Row],[success]]="false"),1,0)</f>
        <v>0</v>
      </c>
      <c r="X2176" s="57">
        <f>IF(AND(tblJTL[[#This Row],[経過秒]]&gt;='17_分析サンプル'!$E$11,tblJTL[[#This Row],[経過秒]]&lt;'17_分析サンプル'!$E$12),1,0)</f>
        <v>1</v>
      </c>
    </row>
    <row r="2177" spans="2:24" ht="14.4" x14ac:dyDescent="0.3">
      <c r="B2177" s="57">
        <v>1790816932282</v>
      </c>
      <c r="C2177" s="58">
        <v>130</v>
      </c>
      <c r="D2177" s="59" t="s">
        <v>1658</v>
      </c>
      <c r="E2177" s="59" t="s">
        <v>1577</v>
      </c>
      <c r="F2177" s="59" t="s">
        <v>2275</v>
      </c>
      <c r="G2177" s="59" t="s">
        <v>3577</v>
      </c>
      <c r="H2177" s="59" t="s">
        <v>2281</v>
      </c>
      <c r="I2177" s="59" t="b">
        <v>1</v>
      </c>
      <c r="J2177" s="59"/>
      <c r="K2177" s="58">
        <v>1827</v>
      </c>
      <c r="L2177" s="58">
        <v>1342</v>
      </c>
      <c r="M2177" s="59">
        <v>10</v>
      </c>
      <c r="N2177" s="59">
        <v>10</v>
      </c>
      <c r="O2177" s="59" t="s">
        <v>3578</v>
      </c>
      <c r="P2177" s="58">
        <v>128</v>
      </c>
      <c r="Q2177" s="59">
        <v>0</v>
      </c>
      <c r="R2177" s="59">
        <v>0</v>
      </c>
      <c r="S2177" s="60">
        <f>tblJTL[[#This Row],[timeStamp]]/86400000+DATE(1970,1,1)+TIME(9,0,0)</f>
        <v>46296.422827337963</v>
      </c>
      <c r="T2177" s="57">
        <f>tblJTL[[#This Row],[timeStamp]]+tblJTL[[#This Row],[elapsed]]</f>
        <v>1790816932412</v>
      </c>
      <c r="U2177" s="61">
        <f>(tblJTL[[#This Row],[timeStamp]]-'17_分析サンプル'!$E$18)/1000</f>
        <v>532.10199999999998</v>
      </c>
      <c r="V2177" s="57">
        <f>INT(tblJTL[[#This Row],[経過秒]]/60)</f>
        <v>8</v>
      </c>
      <c r="W2177" s="57">
        <f>IF(OR(tblJTL[[#This Row],[success]]=FALSE,tblJTL[[#This Row],[success]]="false"),1,0)</f>
        <v>0</v>
      </c>
      <c r="X2177" s="57">
        <f>IF(AND(tblJTL[[#This Row],[経過秒]]&gt;='17_分析サンプル'!$E$11,tblJTL[[#This Row],[経過秒]]&lt;'17_分析サンプル'!$E$12),1,0)</f>
        <v>1</v>
      </c>
    </row>
    <row r="2178" spans="2:24" ht="14.4" x14ac:dyDescent="0.3">
      <c r="B2178" s="57">
        <v>1790816932691</v>
      </c>
      <c r="C2178" s="58">
        <v>96</v>
      </c>
      <c r="D2178" s="59" t="s">
        <v>1658</v>
      </c>
      <c r="E2178" s="59" t="s">
        <v>1577</v>
      </c>
      <c r="F2178" s="59" t="s">
        <v>2275</v>
      </c>
      <c r="G2178" s="59" t="s">
        <v>3582</v>
      </c>
      <c r="H2178" s="59" t="s">
        <v>2281</v>
      </c>
      <c r="I2178" s="59" t="b">
        <v>1</v>
      </c>
      <c r="J2178" s="59"/>
      <c r="K2178" s="58">
        <v>1825</v>
      </c>
      <c r="L2178" s="58">
        <v>1342</v>
      </c>
      <c r="M2178" s="59">
        <v>10</v>
      </c>
      <c r="N2178" s="59">
        <v>10</v>
      </c>
      <c r="O2178" s="59" t="s">
        <v>3578</v>
      </c>
      <c r="P2178" s="58">
        <v>90</v>
      </c>
      <c r="Q2178" s="59">
        <v>0</v>
      </c>
      <c r="R2178" s="59">
        <v>0</v>
      </c>
      <c r="S2178" s="60">
        <f>tblJTL[[#This Row],[timeStamp]]/86400000+DATE(1970,1,1)+TIME(9,0,0)</f>
        <v>46296.422832071759</v>
      </c>
      <c r="T2178" s="57">
        <f>tblJTL[[#This Row],[timeStamp]]+tblJTL[[#This Row],[elapsed]]</f>
        <v>1790816932787</v>
      </c>
      <c r="U2178" s="61">
        <f>(tblJTL[[#This Row],[timeStamp]]-'17_分析サンプル'!$E$18)/1000</f>
        <v>532.51099999999997</v>
      </c>
      <c r="V2178" s="57">
        <f>INT(tblJTL[[#This Row],[経過秒]]/60)</f>
        <v>8</v>
      </c>
      <c r="W2178" s="57">
        <f>IF(OR(tblJTL[[#This Row],[success]]=FALSE,tblJTL[[#This Row],[success]]="false"),1,0)</f>
        <v>0</v>
      </c>
      <c r="X2178" s="57">
        <f>IF(AND(tblJTL[[#This Row],[経過秒]]&gt;='17_分析サンプル'!$E$11,tblJTL[[#This Row],[経過秒]]&lt;'17_分析サンプル'!$E$12),1,0)</f>
        <v>1</v>
      </c>
    </row>
    <row r="2179" spans="2:24" ht="14.4" x14ac:dyDescent="0.3">
      <c r="B2179" s="57">
        <v>1790816932895</v>
      </c>
      <c r="C2179" s="58">
        <v>118</v>
      </c>
      <c r="D2179" s="59" t="s">
        <v>1658</v>
      </c>
      <c r="E2179" s="59" t="s">
        <v>1577</v>
      </c>
      <c r="F2179" s="59" t="s">
        <v>2275</v>
      </c>
      <c r="G2179" s="59" t="s">
        <v>3587</v>
      </c>
      <c r="H2179" s="59" t="s">
        <v>2281</v>
      </c>
      <c r="I2179" s="59" t="b">
        <v>1</v>
      </c>
      <c r="J2179" s="59"/>
      <c r="K2179" s="58">
        <v>1888</v>
      </c>
      <c r="L2179" s="58">
        <v>1342</v>
      </c>
      <c r="M2179" s="59">
        <v>10</v>
      </c>
      <c r="N2179" s="59">
        <v>10</v>
      </c>
      <c r="O2179" s="59" t="s">
        <v>3578</v>
      </c>
      <c r="P2179" s="58">
        <v>111</v>
      </c>
      <c r="Q2179" s="59">
        <v>0</v>
      </c>
      <c r="R2179" s="59">
        <v>0</v>
      </c>
      <c r="S2179" s="60">
        <f>tblJTL[[#This Row],[timeStamp]]/86400000+DATE(1970,1,1)+TIME(9,0,0)</f>
        <v>46296.422834432873</v>
      </c>
      <c r="T2179" s="57">
        <f>tblJTL[[#This Row],[timeStamp]]+tblJTL[[#This Row],[elapsed]]</f>
        <v>1790816933013</v>
      </c>
      <c r="U2179" s="61">
        <f>(tblJTL[[#This Row],[timeStamp]]-'17_分析サンプル'!$E$18)/1000</f>
        <v>532.71500000000003</v>
      </c>
      <c r="V2179" s="57">
        <f>INT(tblJTL[[#This Row],[経過秒]]/60)</f>
        <v>8</v>
      </c>
      <c r="W2179" s="57">
        <f>IF(OR(tblJTL[[#This Row],[success]]=FALSE,tblJTL[[#This Row],[success]]="false"),1,0)</f>
        <v>0</v>
      </c>
      <c r="X2179" s="57">
        <f>IF(AND(tblJTL[[#This Row],[経過秒]]&gt;='17_分析サンプル'!$E$11,tblJTL[[#This Row],[経過秒]]&lt;'17_分析サンプル'!$E$12),1,0)</f>
        <v>1</v>
      </c>
    </row>
    <row r="2180" spans="2:24" ht="14.4" x14ac:dyDescent="0.3">
      <c r="B2180" s="57">
        <v>1790816933084</v>
      </c>
      <c r="C2180" s="58">
        <v>146</v>
      </c>
      <c r="D2180" s="59" t="s">
        <v>1658</v>
      </c>
      <c r="E2180" s="59" t="s">
        <v>1577</v>
      </c>
      <c r="F2180" s="59" t="s">
        <v>2275</v>
      </c>
      <c r="G2180" s="59" t="s">
        <v>3585</v>
      </c>
      <c r="H2180" s="59" t="s">
        <v>2281</v>
      </c>
      <c r="I2180" s="59" t="b">
        <v>1</v>
      </c>
      <c r="J2180" s="59"/>
      <c r="K2180" s="58">
        <v>1865</v>
      </c>
      <c r="L2180" s="58">
        <v>1342</v>
      </c>
      <c r="M2180" s="59">
        <v>10</v>
      </c>
      <c r="N2180" s="59">
        <v>10</v>
      </c>
      <c r="O2180" s="59" t="s">
        <v>3578</v>
      </c>
      <c r="P2180" s="58">
        <v>142</v>
      </c>
      <c r="Q2180" s="59">
        <v>0</v>
      </c>
      <c r="R2180" s="59">
        <v>0</v>
      </c>
      <c r="S2180" s="60">
        <f>tblJTL[[#This Row],[timeStamp]]/86400000+DATE(1970,1,1)+TIME(9,0,0)</f>
        <v>46296.422836620375</v>
      </c>
      <c r="T2180" s="57">
        <f>tblJTL[[#This Row],[timeStamp]]+tblJTL[[#This Row],[elapsed]]</f>
        <v>1790816933230</v>
      </c>
      <c r="U2180" s="61">
        <f>(tblJTL[[#This Row],[timeStamp]]-'17_分析サンプル'!$E$18)/1000</f>
        <v>532.904</v>
      </c>
      <c r="V2180" s="57">
        <f>INT(tblJTL[[#This Row],[経過秒]]/60)</f>
        <v>8</v>
      </c>
      <c r="W2180" s="57">
        <f>IF(OR(tblJTL[[#This Row],[success]]=FALSE,tblJTL[[#This Row],[success]]="false"),1,0)</f>
        <v>0</v>
      </c>
      <c r="X2180" s="57">
        <f>IF(AND(tblJTL[[#This Row],[経過秒]]&gt;='17_分析サンプル'!$E$11,tblJTL[[#This Row],[経過秒]]&lt;'17_分析サンプル'!$E$12),1,0)</f>
        <v>1</v>
      </c>
    </row>
    <row r="2181" spans="2:24" ht="14.4" x14ac:dyDescent="0.3">
      <c r="B2181" s="57">
        <v>1790816933196</v>
      </c>
      <c r="C2181" s="58">
        <v>109</v>
      </c>
      <c r="D2181" s="59" t="s">
        <v>1658</v>
      </c>
      <c r="E2181" s="59" t="s">
        <v>1577</v>
      </c>
      <c r="F2181" s="59" t="s">
        <v>2275</v>
      </c>
      <c r="G2181" s="59" t="s">
        <v>2278</v>
      </c>
      <c r="H2181" s="59" t="s">
        <v>2281</v>
      </c>
      <c r="I2181" s="59" t="b">
        <v>1</v>
      </c>
      <c r="J2181" s="59"/>
      <c r="K2181" s="58">
        <v>1826</v>
      </c>
      <c r="L2181" s="58">
        <v>1342</v>
      </c>
      <c r="M2181" s="59">
        <v>10</v>
      </c>
      <c r="N2181" s="59">
        <v>10</v>
      </c>
      <c r="O2181" s="59" t="s">
        <v>3578</v>
      </c>
      <c r="P2181" s="58">
        <v>107</v>
      </c>
      <c r="Q2181" s="59">
        <v>0</v>
      </c>
      <c r="R2181" s="59">
        <v>0</v>
      </c>
      <c r="S2181" s="60">
        <f>tblJTL[[#This Row],[timeStamp]]/86400000+DATE(1970,1,1)+TIME(9,0,0)</f>
        <v>46296.422837916667</v>
      </c>
      <c r="T2181" s="57">
        <f>tblJTL[[#This Row],[timeStamp]]+tblJTL[[#This Row],[elapsed]]</f>
        <v>1790816933305</v>
      </c>
      <c r="U2181" s="61">
        <f>(tblJTL[[#This Row],[timeStamp]]-'17_分析サンプル'!$E$18)/1000</f>
        <v>533.01599999999996</v>
      </c>
      <c r="V2181" s="57">
        <f>INT(tblJTL[[#This Row],[経過秒]]/60)</f>
        <v>8</v>
      </c>
      <c r="W2181" s="57">
        <f>IF(OR(tblJTL[[#This Row],[success]]=FALSE,tblJTL[[#This Row],[success]]="false"),1,0)</f>
        <v>0</v>
      </c>
      <c r="X2181" s="57">
        <f>IF(AND(tblJTL[[#This Row],[経過秒]]&gt;='17_分析サンプル'!$E$11,tblJTL[[#This Row],[経過秒]]&lt;'17_分析サンプル'!$E$12),1,0)</f>
        <v>1</v>
      </c>
    </row>
    <row r="2182" spans="2:24" ht="14.4" x14ac:dyDescent="0.3">
      <c r="B2182" s="57">
        <v>1790816933686</v>
      </c>
      <c r="C2182" s="58">
        <v>195</v>
      </c>
      <c r="D2182" s="59" t="s">
        <v>1677</v>
      </c>
      <c r="E2182" s="59" t="s">
        <v>3579</v>
      </c>
      <c r="F2182" s="59" t="s">
        <v>3580</v>
      </c>
      <c r="G2182" s="59" t="s">
        <v>3584</v>
      </c>
      <c r="H2182" s="59" t="s">
        <v>2281</v>
      </c>
      <c r="I2182" s="59" t="b">
        <v>1</v>
      </c>
      <c r="J2182" s="59"/>
      <c r="K2182" s="58">
        <v>430</v>
      </c>
      <c r="L2182" s="58">
        <v>1478</v>
      </c>
      <c r="M2182" s="59">
        <v>10</v>
      </c>
      <c r="N2182" s="59">
        <v>10</v>
      </c>
      <c r="O2182" s="59" t="s">
        <v>3581</v>
      </c>
      <c r="P2182" s="58">
        <v>187</v>
      </c>
      <c r="Q2182" s="59">
        <v>0</v>
      </c>
      <c r="R2182" s="59">
        <v>0</v>
      </c>
      <c r="S2182" s="60">
        <f>tblJTL[[#This Row],[timeStamp]]/86400000+DATE(1970,1,1)+TIME(9,0,0)</f>
        <v>46296.422843587963</v>
      </c>
      <c r="T2182" s="57">
        <f>tblJTL[[#This Row],[timeStamp]]+tblJTL[[#This Row],[elapsed]]</f>
        <v>1790816933881</v>
      </c>
      <c r="U2182" s="61">
        <f>(tblJTL[[#This Row],[timeStamp]]-'17_分析サンプル'!$E$18)/1000</f>
        <v>533.50599999999997</v>
      </c>
      <c r="V2182" s="57">
        <f>INT(tblJTL[[#This Row],[経過秒]]/60)</f>
        <v>8</v>
      </c>
      <c r="W2182" s="57">
        <f>IF(OR(tblJTL[[#This Row],[success]]=FALSE,tblJTL[[#This Row],[success]]="false"),1,0)</f>
        <v>0</v>
      </c>
      <c r="X2182" s="57">
        <f>IF(AND(tblJTL[[#This Row],[経過秒]]&gt;='17_分析サンプル'!$E$11,tblJTL[[#This Row],[経過秒]]&lt;'17_分析サンプル'!$E$12),1,0)</f>
        <v>1</v>
      </c>
    </row>
    <row r="2183" spans="2:24" ht="14.4" x14ac:dyDescent="0.3">
      <c r="B2183" s="57">
        <v>1790816933876</v>
      </c>
      <c r="C2183" s="58">
        <v>213</v>
      </c>
      <c r="D2183" s="59" t="s">
        <v>1658</v>
      </c>
      <c r="E2183" s="59" t="s">
        <v>1577</v>
      </c>
      <c r="F2183" s="59" t="s">
        <v>2275</v>
      </c>
      <c r="G2183" s="59" t="s">
        <v>3583</v>
      </c>
      <c r="H2183" s="59" t="s">
        <v>2281</v>
      </c>
      <c r="I2183" s="59" t="b">
        <v>1</v>
      </c>
      <c r="J2183" s="59"/>
      <c r="K2183" s="58">
        <v>1871</v>
      </c>
      <c r="L2183" s="58">
        <v>1342</v>
      </c>
      <c r="M2183" s="59">
        <v>10</v>
      </c>
      <c r="N2183" s="59">
        <v>10</v>
      </c>
      <c r="O2183" s="59" t="s">
        <v>3578</v>
      </c>
      <c r="P2183" s="58">
        <v>209</v>
      </c>
      <c r="Q2183" s="59">
        <v>0</v>
      </c>
      <c r="R2183" s="59">
        <v>0</v>
      </c>
      <c r="S2183" s="60">
        <f>tblJTL[[#This Row],[timeStamp]]/86400000+DATE(1970,1,1)+TIME(9,0,0)</f>
        <v>46296.422845787034</v>
      </c>
      <c r="T2183" s="57">
        <f>tblJTL[[#This Row],[timeStamp]]+tblJTL[[#This Row],[elapsed]]</f>
        <v>1790816934089</v>
      </c>
      <c r="U2183" s="61">
        <f>(tblJTL[[#This Row],[timeStamp]]-'17_分析サンプル'!$E$18)/1000</f>
        <v>533.69600000000003</v>
      </c>
      <c r="V2183" s="57">
        <f>INT(tblJTL[[#This Row],[経過秒]]/60)</f>
        <v>8</v>
      </c>
      <c r="W2183" s="57">
        <f>IF(OR(tblJTL[[#This Row],[success]]=FALSE,tblJTL[[#This Row],[success]]="false"),1,0)</f>
        <v>0</v>
      </c>
      <c r="X2183" s="57">
        <f>IF(AND(tblJTL[[#This Row],[経過秒]]&gt;='17_分析サンプル'!$E$11,tblJTL[[#This Row],[経過秒]]&lt;'17_分析サンプル'!$E$12),1,0)</f>
        <v>1</v>
      </c>
    </row>
    <row r="2184" spans="2:24" ht="14.4" x14ac:dyDescent="0.3">
      <c r="B2184" s="57">
        <v>1790816934069</v>
      </c>
      <c r="C2184" s="58">
        <v>190</v>
      </c>
      <c r="D2184" s="59" t="s">
        <v>1677</v>
      </c>
      <c r="E2184" s="59" t="s">
        <v>3579</v>
      </c>
      <c r="F2184" s="59" t="s">
        <v>3580</v>
      </c>
      <c r="G2184" s="59" t="s">
        <v>3588</v>
      </c>
      <c r="H2184" s="59" t="s">
        <v>2281</v>
      </c>
      <c r="I2184" s="59" t="b">
        <v>1</v>
      </c>
      <c r="J2184" s="59"/>
      <c r="K2184" s="58">
        <v>415</v>
      </c>
      <c r="L2184" s="58">
        <v>1478</v>
      </c>
      <c r="M2184" s="59">
        <v>10</v>
      </c>
      <c r="N2184" s="59">
        <v>10</v>
      </c>
      <c r="O2184" s="59" t="s">
        <v>3581</v>
      </c>
      <c r="P2184" s="58">
        <v>185</v>
      </c>
      <c r="Q2184" s="59">
        <v>0</v>
      </c>
      <c r="R2184" s="59">
        <v>0</v>
      </c>
      <c r="S2184" s="60">
        <f>tblJTL[[#This Row],[timeStamp]]/86400000+DATE(1970,1,1)+TIME(9,0,0)</f>
        <v>46296.422848020833</v>
      </c>
      <c r="T2184" s="57">
        <f>tblJTL[[#This Row],[timeStamp]]+tblJTL[[#This Row],[elapsed]]</f>
        <v>1790816934259</v>
      </c>
      <c r="U2184" s="61">
        <f>(tblJTL[[#This Row],[timeStamp]]-'17_分析サンプル'!$E$18)/1000</f>
        <v>533.88900000000001</v>
      </c>
      <c r="V2184" s="57">
        <f>INT(tblJTL[[#This Row],[経過秒]]/60)</f>
        <v>8</v>
      </c>
      <c r="W2184" s="57">
        <f>IF(OR(tblJTL[[#This Row],[success]]=FALSE,tblJTL[[#This Row],[success]]="false"),1,0)</f>
        <v>0</v>
      </c>
      <c r="X2184" s="57">
        <f>IF(AND(tblJTL[[#This Row],[経過秒]]&gt;='17_分析サンプル'!$E$11,tblJTL[[#This Row],[経過秒]]&lt;'17_分析サンプル'!$E$12),1,0)</f>
        <v>1</v>
      </c>
    </row>
    <row r="2185" spans="2:24" ht="14.4" x14ac:dyDescent="0.3">
      <c r="B2185" s="57">
        <v>1790816934189</v>
      </c>
      <c r="C2185" s="58">
        <v>192</v>
      </c>
      <c r="D2185" s="59" t="s">
        <v>1677</v>
      </c>
      <c r="E2185" s="59" t="s">
        <v>3579</v>
      </c>
      <c r="F2185" s="59" t="s">
        <v>3580</v>
      </c>
      <c r="G2185" s="59" t="s">
        <v>3577</v>
      </c>
      <c r="H2185" s="59" t="s">
        <v>2281</v>
      </c>
      <c r="I2185" s="59" t="b">
        <v>1</v>
      </c>
      <c r="J2185" s="59"/>
      <c r="K2185" s="58">
        <v>428</v>
      </c>
      <c r="L2185" s="58">
        <v>1478</v>
      </c>
      <c r="M2185" s="59">
        <v>10</v>
      </c>
      <c r="N2185" s="59">
        <v>10</v>
      </c>
      <c r="O2185" s="59" t="s">
        <v>3581</v>
      </c>
      <c r="P2185" s="58">
        <v>184</v>
      </c>
      <c r="Q2185" s="59">
        <v>0</v>
      </c>
      <c r="R2185" s="59">
        <v>0</v>
      </c>
      <c r="S2185" s="60">
        <f>tblJTL[[#This Row],[timeStamp]]/86400000+DATE(1970,1,1)+TIME(9,0,0)</f>
        <v>46296.422849409719</v>
      </c>
      <c r="T2185" s="57">
        <f>tblJTL[[#This Row],[timeStamp]]+tblJTL[[#This Row],[elapsed]]</f>
        <v>1790816934381</v>
      </c>
      <c r="U2185" s="61">
        <f>(tblJTL[[#This Row],[timeStamp]]-'17_分析サンプル'!$E$18)/1000</f>
        <v>534.00900000000001</v>
      </c>
      <c r="V2185" s="57">
        <f>INT(tblJTL[[#This Row],[経過秒]]/60)</f>
        <v>8</v>
      </c>
      <c r="W2185" s="57">
        <f>IF(OR(tblJTL[[#This Row],[success]]=FALSE,tblJTL[[#This Row],[success]]="false"),1,0)</f>
        <v>0</v>
      </c>
      <c r="X2185" s="57">
        <f>IF(AND(tblJTL[[#This Row],[経過秒]]&gt;='17_分析サンプル'!$E$11,tblJTL[[#This Row],[経過秒]]&lt;'17_分析サンプル'!$E$12),1,0)</f>
        <v>1</v>
      </c>
    </row>
    <row r="2186" spans="2:24" ht="14.4" x14ac:dyDescent="0.3">
      <c r="B2186" s="57">
        <v>1790816934395</v>
      </c>
      <c r="C2186" s="58">
        <v>112</v>
      </c>
      <c r="D2186" s="59" t="s">
        <v>1658</v>
      </c>
      <c r="E2186" s="59" t="s">
        <v>1577</v>
      </c>
      <c r="F2186" s="59" t="s">
        <v>2275</v>
      </c>
      <c r="G2186" s="59" t="s">
        <v>3586</v>
      </c>
      <c r="H2186" s="59" t="s">
        <v>2281</v>
      </c>
      <c r="I2186" s="59" t="b">
        <v>1</v>
      </c>
      <c r="J2186" s="59"/>
      <c r="K2186" s="58">
        <v>1889</v>
      </c>
      <c r="L2186" s="58">
        <v>1342</v>
      </c>
      <c r="M2186" s="59">
        <v>10</v>
      </c>
      <c r="N2186" s="59">
        <v>10</v>
      </c>
      <c r="O2186" s="59" t="s">
        <v>3578</v>
      </c>
      <c r="P2186" s="58">
        <v>107</v>
      </c>
      <c r="Q2186" s="59">
        <v>0</v>
      </c>
      <c r="R2186" s="59">
        <v>0</v>
      </c>
      <c r="S2186" s="60">
        <f>tblJTL[[#This Row],[timeStamp]]/86400000+DATE(1970,1,1)+TIME(9,0,0)</f>
        <v>46296.422851793977</v>
      </c>
      <c r="T2186" s="57">
        <f>tblJTL[[#This Row],[timeStamp]]+tblJTL[[#This Row],[elapsed]]</f>
        <v>1790816934507</v>
      </c>
      <c r="U2186" s="61">
        <f>(tblJTL[[#This Row],[timeStamp]]-'17_分析サンプル'!$E$18)/1000</f>
        <v>534.21500000000003</v>
      </c>
      <c r="V2186" s="57">
        <f>INT(tblJTL[[#This Row],[経過秒]]/60)</f>
        <v>8</v>
      </c>
      <c r="W2186" s="57">
        <f>IF(OR(tblJTL[[#This Row],[success]]=FALSE,tblJTL[[#This Row],[success]]="false"),1,0)</f>
        <v>0</v>
      </c>
      <c r="X2186" s="57">
        <f>IF(AND(tblJTL[[#This Row],[経過秒]]&gt;='17_分析サンプル'!$E$11,tblJTL[[#This Row],[経過秒]]&lt;'17_分析サンプル'!$E$12),1,0)</f>
        <v>1</v>
      </c>
    </row>
    <row r="2187" spans="2:24" ht="14.4" x14ac:dyDescent="0.3">
      <c r="B2187" s="57">
        <v>1790816934425</v>
      </c>
      <c r="C2187" s="58">
        <v>112</v>
      </c>
      <c r="D2187" s="59" t="s">
        <v>1677</v>
      </c>
      <c r="E2187" s="59" t="s">
        <v>3579</v>
      </c>
      <c r="F2187" s="59" t="s">
        <v>3580</v>
      </c>
      <c r="G2187" s="59" t="s">
        <v>2278</v>
      </c>
      <c r="H2187" s="59" t="s">
        <v>2281</v>
      </c>
      <c r="I2187" s="59" t="b">
        <v>1</v>
      </c>
      <c r="J2187" s="59"/>
      <c r="K2187" s="58">
        <v>410</v>
      </c>
      <c r="L2187" s="58">
        <v>1478</v>
      </c>
      <c r="M2187" s="59">
        <v>10</v>
      </c>
      <c r="N2187" s="59">
        <v>10</v>
      </c>
      <c r="O2187" s="59" t="s">
        <v>3581</v>
      </c>
      <c r="P2187" s="58">
        <v>107</v>
      </c>
      <c r="Q2187" s="59">
        <v>0</v>
      </c>
      <c r="R2187" s="59">
        <v>0</v>
      </c>
      <c r="S2187" s="60">
        <f>tblJTL[[#This Row],[timeStamp]]/86400000+DATE(1970,1,1)+TIME(9,0,0)</f>
        <v>46296.422852141201</v>
      </c>
      <c r="T2187" s="57">
        <f>tblJTL[[#This Row],[timeStamp]]+tblJTL[[#This Row],[elapsed]]</f>
        <v>1790816934537</v>
      </c>
      <c r="U2187" s="61">
        <f>(tblJTL[[#This Row],[timeStamp]]-'17_分析サンプル'!$E$18)/1000</f>
        <v>534.245</v>
      </c>
      <c r="V2187" s="57">
        <f>INT(tblJTL[[#This Row],[経過秒]]/60)</f>
        <v>8</v>
      </c>
      <c r="W2187" s="57">
        <f>IF(OR(tblJTL[[#This Row],[success]]=FALSE,tblJTL[[#This Row],[success]]="false"),1,0)</f>
        <v>0</v>
      </c>
      <c r="X2187" s="57">
        <f>IF(AND(tblJTL[[#This Row],[経過秒]]&gt;='17_分析サンプル'!$E$11,tblJTL[[#This Row],[経過秒]]&lt;'17_分析サンプル'!$E$12),1,0)</f>
        <v>1</v>
      </c>
    </row>
    <row r="2188" spans="2:24" ht="14.4" x14ac:dyDescent="0.3">
      <c r="B2188" s="57">
        <v>1790816934402</v>
      </c>
      <c r="C2188" s="58">
        <v>162</v>
      </c>
      <c r="D2188" s="59" t="s">
        <v>1677</v>
      </c>
      <c r="E2188" s="59" t="s">
        <v>3579</v>
      </c>
      <c r="F2188" s="59" t="s">
        <v>3580</v>
      </c>
      <c r="G2188" s="59" t="s">
        <v>3582</v>
      </c>
      <c r="H2188" s="59" t="s">
        <v>2281</v>
      </c>
      <c r="I2188" s="59" t="b">
        <v>1</v>
      </c>
      <c r="J2188" s="59"/>
      <c r="K2188" s="58">
        <v>429</v>
      </c>
      <c r="L2188" s="58">
        <v>1478</v>
      </c>
      <c r="M2188" s="59">
        <v>10</v>
      </c>
      <c r="N2188" s="59">
        <v>10</v>
      </c>
      <c r="O2188" s="59" t="s">
        <v>3581</v>
      </c>
      <c r="P2188" s="58">
        <v>159</v>
      </c>
      <c r="Q2188" s="59">
        <v>0</v>
      </c>
      <c r="R2188" s="59">
        <v>0</v>
      </c>
      <c r="S2188" s="60">
        <f>tblJTL[[#This Row],[timeStamp]]/86400000+DATE(1970,1,1)+TIME(9,0,0)</f>
        <v>46296.422851875002</v>
      </c>
      <c r="T2188" s="57">
        <f>tblJTL[[#This Row],[timeStamp]]+tblJTL[[#This Row],[elapsed]]</f>
        <v>1790816934564</v>
      </c>
      <c r="U2188" s="61">
        <f>(tblJTL[[#This Row],[timeStamp]]-'17_分析サンプル'!$E$18)/1000</f>
        <v>534.22199999999998</v>
      </c>
      <c r="V2188" s="57">
        <f>INT(tblJTL[[#This Row],[経過秒]]/60)</f>
        <v>8</v>
      </c>
      <c r="W2188" s="57">
        <f>IF(OR(tblJTL[[#This Row],[success]]=FALSE,tblJTL[[#This Row],[success]]="false"),1,0)</f>
        <v>0</v>
      </c>
      <c r="X2188" s="57">
        <f>IF(AND(tblJTL[[#This Row],[経過秒]]&gt;='17_分析サンプル'!$E$11,tblJTL[[#This Row],[経過秒]]&lt;'17_分析サンプル'!$E$12),1,0)</f>
        <v>1</v>
      </c>
    </row>
    <row r="2189" spans="2:24" ht="14.4" x14ac:dyDescent="0.3">
      <c r="B2189" s="57">
        <v>1790816934541</v>
      </c>
      <c r="C2189" s="58">
        <v>151</v>
      </c>
      <c r="D2189" s="59" t="s">
        <v>1658</v>
      </c>
      <c r="E2189" s="59" t="s">
        <v>1577</v>
      </c>
      <c r="F2189" s="59" t="s">
        <v>2275</v>
      </c>
      <c r="G2189" s="59" t="s">
        <v>3589</v>
      </c>
      <c r="H2189" s="59" t="s">
        <v>2281</v>
      </c>
      <c r="I2189" s="59" t="b">
        <v>1</v>
      </c>
      <c r="J2189" s="59"/>
      <c r="K2189" s="58">
        <v>1847</v>
      </c>
      <c r="L2189" s="58">
        <v>1342</v>
      </c>
      <c r="M2189" s="59">
        <v>10</v>
      </c>
      <c r="N2189" s="59">
        <v>10</v>
      </c>
      <c r="O2189" s="59" t="s">
        <v>3578</v>
      </c>
      <c r="P2189" s="58">
        <v>149</v>
      </c>
      <c r="Q2189" s="59">
        <v>0</v>
      </c>
      <c r="R2189" s="59">
        <v>0</v>
      </c>
      <c r="S2189" s="60">
        <f>tblJTL[[#This Row],[timeStamp]]/86400000+DATE(1970,1,1)+TIME(9,0,0)</f>
        <v>46296.422853483797</v>
      </c>
      <c r="T2189" s="57">
        <f>tblJTL[[#This Row],[timeStamp]]+tblJTL[[#This Row],[elapsed]]</f>
        <v>1790816934692</v>
      </c>
      <c r="U2189" s="61">
        <f>(tblJTL[[#This Row],[timeStamp]]-'17_分析サンプル'!$E$18)/1000</f>
        <v>534.36099999999999</v>
      </c>
      <c r="V2189" s="57">
        <f>INT(tblJTL[[#This Row],[経過秒]]/60)</f>
        <v>8</v>
      </c>
      <c r="W2189" s="57">
        <f>IF(OR(tblJTL[[#This Row],[success]]=FALSE,tblJTL[[#This Row],[success]]="false"),1,0)</f>
        <v>0</v>
      </c>
      <c r="X2189" s="57">
        <f>IF(AND(tblJTL[[#This Row],[経過秒]]&gt;='17_分析サンプル'!$E$11,tblJTL[[#This Row],[経過秒]]&lt;'17_分析サンプル'!$E$12),1,0)</f>
        <v>1</v>
      </c>
    </row>
    <row r="2190" spans="2:24" ht="14.4" x14ac:dyDescent="0.3">
      <c r="B2190" s="57">
        <v>1790816934900</v>
      </c>
      <c r="C2190" s="58">
        <v>96</v>
      </c>
      <c r="D2190" s="59" t="s">
        <v>1658</v>
      </c>
      <c r="E2190" s="59" t="s">
        <v>1577</v>
      </c>
      <c r="F2190" s="59" t="s">
        <v>2275</v>
      </c>
      <c r="G2190" s="59" t="s">
        <v>3584</v>
      </c>
      <c r="H2190" s="59" t="s">
        <v>2281</v>
      </c>
      <c r="I2190" s="59" t="b">
        <v>1</v>
      </c>
      <c r="J2190" s="59"/>
      <c r="K2190" s="58">
        <v>1840</v>
      </c>
      <c r="L2190" s="58">
        <v>1342</v>
      </c>
      <c r="M2190" s="59">
        <v>10</v>
      </c>
      <c r="N2190" s="59">
        <v>10</v>
      </c>
      <c r="O2190" s="59" t="s">
        <v>3578</v>
      </c>
      <c r="P2190" s="58">
        <v>89</v>
      </c>
      <c r="Q2190" s="59">
        <v>0</v>
      </c>
      <c r="R2190" s="59">
        <v>0</v>
      </c>
      <c r="S2190" s="60">
        <f>tblJTL[[#This Row],[timeStamp]]/86400000+DATE(1970,1,1)+TIME(9,0,0)</f>
        <v>46296.422857638885</v>
      </c>
      <c r="T2190" s="57">
        <f>tblJTL[[#This Row],[timeStamp]]+tblJTL[[#This Row],[elapsed]]</f>
        <v>1790816934996</v>
      </c>
      <c r="U2190" s="61">
        <f>(tblJTL[[#This Row],[timeStamp]]-'17_分析サンプル'!$E$18)/1000</f>
        <v>534.72</v>
      </c>
      <c r="V2190" s="57">
        <f>INT(tblJTL[[#This Row],[経過秒]]/60)</f>
        <v>8</v>
      </c>
      <c r="W2190" s="57">
        <f>IF(OR(tblJTL[[#This Row],[success]]=FALSE,tblJTL[[#This Row],[success]]="false"),1,0)</f>
        <v>0</v>
      </c>
      <c r="X2190" s="57">
        <f>IF(AND(tblJTL[[#This Row],[経過秒]]&gt;='17_分析サンプル'!$E$11,tblJTL[[#This Row],[経過秒]]&lt;'17_分析サンプル'!$E$12),1,0)</f>
        <v>1</v>
      </c>
    </row>
    <row r="2191" spans="2:24" ht="14.4" x14ac:dyDescent="0.3">
      <c r="B2191" s="57">
        <v>1790816935841</v>
      </c>
      <c r="C2191" s="58">
        <v>100</v>
      </c>
      <c r="D2191" s="59" t="s">
        <v>1658</v>
      </c>
      <c r="E2191" s="59" t="s">
        <v>1577</v>
      </c>
      <c r="F2191" s="59" t="s">
        <v>2275</v>
      </c>
      <c r="G2191" s="59" t="s">
        <v>3588</v>
      </c>
      <c r="H2191" s="59" t="s">
        <v>2281</v>
      </c>
      <c r="I2191" s="59" t="b">
        <v>1</v>
      </c>
      <c r="J2191" s="59"/>
      <c r="K2191" s="58">
        <v>1889</v>
      </c>
      <c r="L2191" s="58">
        <v>1342</v>
      </c>
      <c r="M2191" s="59">
        <v>10</v>
      </c>
      <c r="N2191" s="59">
        <v>10</v>
      </c>
      <c r="O2191" s="59" t="s">
        <v>3578</v>
      </c>
      <c r="P2191" s="58">
        <v>98</v>
      </c>
      <c r="Q2191" s="59">
        <v>0</v>
      </c>
      <c r="R2191" s="59">
        <v>0</v>
      </c>
      <c r="S2191" s="60">
        <f>tblJTL[[#This Row],[timeStamp]]/86400000+DATE(1970,1,1)+TIME(9,0,0)</f>
        <v>46296.422868530091</v>
      </c>
      <c r="T2191" s="57">
        <f>tblJTL[[#This Row],[timeStamp]]+tblJTL[[#This Row],[elapsed]]</f>
        <v>1790816935941</v>
      </c>
      <c r="U2191" s="61">
        <f>(tblJTL[[#This Row],[timeStamp]]-'17_分析サンプル'!$E$18)/1000</f>
        <v>535.66099999999994</v>
      </c>
      <c r="V2191" s="57">
        <f>INT(tblJTL[[#This Row],[経過秒]]/60)</f>
        <v>8</v>
      </c>
      <c r="W2191" s="57">
        <f>IF(OR(tblJTL[[#This Row],[success]]=FALSE,tblJTL[[#This Row],[success]]="false"),1,0)</f>
        <v>0</v>
      </c>
      <c r="X2191" s="57">
        <f>IF(AND(tblJTL[[#This Row],[経過秒]]&gt;='17_分析サンプル'!$E$11,tblJTL[[#This Row],[経過秒]]&lt;'17_分析サンプル'!$E$12),1,0)</f>
        <v>1</v>
      </c>
    </row>
    <row r="2192" spans="2:24" ht="14.4" x14ac:dyDescent="0.3">
      <c r="B2192" s="57">
        <v>1790816935642</v>
      </c>
      <c r="C2192" s="58">
        <v>368</v>
      </c>
      <c r="D2192" s="59" t="s">
        <v>1677</v>
      </c>
      <c r="E2192" s="59" t="s">
        <v>3579</v>
      </c>
      <c r="F2192" s="59" t="s">
        <v>3580</v>
      </c>
      <c r="G2192" s="59" t="s">
        <v>3587</v>
      </c>
      <c r="H2192" s="59" t="s">
        <v>2281</v>
      </c>
      <c r="I2192" s="59" t="b">
        <v>1</v>
      </c>
      <c r="J2192" s="59"/>
      <c r="K2192" s="58">
        <v>422</v>
      </c>
      <c r="L2192" s="58">
        <v>1478</v>
      </c>
      <c r="M2192" s="59">
        <v>10</v>
      </c>
      <c r="N2192" s="59">
        <v>10</v>
      </c>
      <c r="O2192" s="59" t="s">
        <v>3581</v>
      </c>
      <c r="P2192" s="58">
        <v>366</v>
      </c>
      <c r="Q2192" s="59">
        <v>0</v>
      </c>
      <c r="R2192" s="59">
        <v>52</v>
      </c>
      <c r="S2192" s="60">
        <f>tblJTL[[#This Row],[timeStamp]]/86400000+DATE(1970,1,1)+TIME(9,0,0)</f>
        <v>46296.422866226851</v>
      </c>
      <c r="T2192" s="57">
        <f>tblJTL[[#This Row],[timeStamp]]+tblJTL[[#This Row],[elapsed]]</f>
        <v>1790816936010</v>
      </c>
      <c r="U2192" s="61">
        <f>(tblJTL[[#This Row],[timeStamp]]-'17_分析サンプル'!$E$18)/1000</f>
        <v>535.46199999999999</v>
      </c>
      <c r="V2192" s="57">
        <f>INT(tblJTL[[#This Row],[経過秒]]/60)</f>
        <v>8</v>
      </c>
      <c r="W2192" s="57">
        <f>IF(OR(tblJTL[[#This Row],[success]]=FALSE,tblJTL[[#This Row],[success]]="false"),1,0)</f>
        <v>0</v>
      </c>
      <c r="X2192" s="57">
        <f>IF(AND(tblJTL[[#This Row],[経過秒]]&gt;='17_分析サンプル'!$E$11,tblJTL[[#This Row],[経過秒]]&lt;'17_分析サンプル'!$E$12),1,0)</f>
        <v>1</v>
      </c>
    </row>
    <row r="2193" spans="2:24" ht="14.4" x14ac:dyDescent="0.3">
      <c r="B2193" s="57">
        <v>1790816935845</v>
      </c>
      <c r="C2193" s="58">
        <v>172</v>
      </c>
      <c r="D2193" s="59" t="s">
        <v>1677</v>
      </c>
      <c r="E2193" s="59" t="s">
        <v>3579</v>
      </c>
      <c r="F2193" s="59" t="s">
        <v>3580</v>
      </c>
      <c r="G2193" s="59" t="s">
        <v>3583</v>
      </c>
      <c r="H2193" s="59" t="s">
        <v>2281</v>
      </c>
      <c r="I2193" s="59" t="b">
        <v>1</v>
      </c>
      <c r="J2193" s="59"/>
      <c r="K2193" s="58">
        <v>423</v>
      </c>
      <c r="L2193" s="58">
        <v>1478</v>
      </c>
      <c r="M2193" s="59">
        <v>10</v>
      </c>
      <c r="N2193" s="59">
        <v>10</v>
      </c>
      <c r="O2193" s="59" t="s">
        <v>3581</v>
      </c>
      <c r="P2193" s="58">
        <v>168</v>
      </c>
      <c r="Q2193" s="59">
        <v>0</v>
      </c>
      <c r="R2193" s="59">
        <v>0</v>
      </c>
      <c r="S2193" s="60">
        <f>tblJTL[[#This Row],[timeStamp]]/86400000+DATE(1970,1,1)+TIME(9,0,0)</f>
        <v>46296.422868576388</v>
      </c>
      <c r="T2193" s="57">
        <f>tblJTL[[#This Row],[timeStamp]]+tblJTL[[#This Row],[elapsed]]</f>
        <v>1790816936017</v>
      </c>
      <c r="U2193" s="61">
        <f>(tblJTL[[#This Row],[timeStamp]]-'17_分析サンプル'!$E$18)/1000</f>
        <v>535.66499999999996</v>
      </c>
      <c r="V2193" s="57">
        <f>INT(tblJTL[[#This Row],[経過秒]]/60)</f>
        <v>8</v>
      </c>
      <c r="W2193" s="57">
        <f>IF(OR(tblJTL[[#This Row],[success]]=FALSE,tblJTL[[#This Row],[success]]="false"),1,0)</f>
        <v>0</v>
      </c>
      <c r="X2193" s="57">
        <f>IF(AND(tblJTL[[#This Row],[経過秒]]&gt;='17_分析サンプル'!$E$11,tblJTL[[#This Row],[経過秒]]&lt;'17_分析サンプル'!$E$12),1,0)</f>
        <v>1</v>
      </c>
    </row>
    <row r="2194" spans="2:24" ht="14.4" x14ac:dyDescent="0.3">
      <c r="B2194" s="57">
        <v>1790816935740</v>
      </c>
      <c r="C2194" s="58">
        <v>357</v>
      </c>
      <c r="D2194" s="59" t="s">
        <v>1677</v>
      </c>
      <c r="E2194" s="59" t="s">
        <v>3579</v>
      </c>
      <c r="F2194" s="59" t="s">
        <v>3580</v>
      </c>
      <c r="G2194" s="59" t="s">
        <v>3585</v>
      </c>
      <c r="H2194" s="59" t="s">
        <v>2281</v>
      </c>
      <c r="I2194" s="59" t="b">
        <v>1</v>
      </c>
      <c r="J2194" s="59"/>
      <c r="K2194" s="58">
        <v>432</v>
      </c>
      <c r="L2194" s="58">
        <v>1478</v>
      </c>
      <c r="M2194" s="59">
        <v>10</v>
      </c>
      <c r="N2194" s="59">
        <v>10</v>
      </c>
      <c r="O2194" s="59" t="s">
        <v>3581</v>
      </c>
      <c r="P2194" s="58">
        <v>349</v>
      </c>
      <c r="Q2194" s="59">
        <v>0</v>
      </c>
      <c r="R2194" s="59">
        <v>0</v>
      </c>
      <c r="S2194" s="60">
        <f>tblJTL[[#This Row],[timeStamp]]/86400000+DATE(1970,1,1)+TIME(9,0,0)</f>
        <v>46296.422867361107</v>
      </c>
      <c r="T2194" s="57">
        <f>tblJTL[[#This Row],[timeStamp]]+tblJTL[[#This Row],[elapsed]]</f>
        <v>1790816936097</v>
      </c>
      <c r="U2194" s="61">
        <f>(tblJTL[[#This Row],[timeStamp]]-'17_分析サンプル'!$E$18)/1000</f>
        <v>535.55999999999995</v>
      </c>
      <c r="V2194" s="57">
        <f>INT(tblJTL[[#This Row],[経過秒]]/60)</f>
        <v>8</v>
      </c>
      <c r="W2194" s="57">
        <f>IF(OR(tblJTL[[#This Row],[success]]=FALSE,tblJTL[[#This Row],[success]]="false"),1,0)</f>
        <v>0</v>
      </c>
      <c r="X2194" s="57">
        <f>IF(AND(tblJTL[[#This Row],[経過秒]]&gt;='17_分析サンプル'!$E$11,tblJTL[[#This Row],[経過秒]]&lt;'17_分析サンプル'!$E$12),1,0)</f>
        <v>1</v>
      </c>
    </row>
    <row r="2195" spans="2:24" ht="14.4" x14ac:dyDescent="0.3">
      <c r="B2195" s="57">
        <v>1790816936049</v>
      </c>
      <c r="C2195" s="58">
        <v>121</v>
      </c>
      <c r="D2195" s="59" t="s">
        <v>1677</v>
      </c>
      <c r="E2195" s="59" t="s">
        <v>3579</v>
      </c>
      <c r="F2195" s="59" t="s">
        <v>3580</v>
      </c>
      <c r="G2195" s="59" t="s">
        <v>3589</v>
      </c>
      <c r="H2195" s="59" t="s">
        <v>2281</v>
      </c>
      <c r="I2195" s="59" t="b">
        <v>1</v>
      </c>
      <c r="J2195" s="59"/>
      <c r="K2195" s="58">
        <v>413</v>
      </c>
      <c r="L2195" s="58">
        <v>1478</v>
      </c>
      <c r="M2195" s="59">
        <v>10</v>
      </c>
      <c r="N2195" s="59">
        <v>10</v>
      </c>
      <c r="O2195" s="59" t="s">
        <v>3581</v>
      </c>
      <c r="P2195" s="58">
        <v>117</v>
      </c>
      <c r="Q2195" s="59">
        <v>0</v>
      </c>
      <c r="R2195" s="59">
        <v>0</v>
      </c>
      <c r="S2195" s="60">
        <f>tblJTL[[#This Row],[timeStamp]]/86400000+DATE(1970,1,1)+TIME(9,0,0)</f>
        <v>46296.422870937502</v>
      </c>
      <c r="T2195" s="57">
        <f>tblJTL[[#This Row],[timeStamp]]+tblJTL[[#This Row],[elapsed]]</f>
        <v>1790816936170</v>
      </c>
      <c r="U2195" s="61">
        <f>(tblJTL[[#This Row],[timeStamp]]-'17_分析サンプル'!$E$18)/1000</f>
        <v>535.86900000000003</v>
      </c>
      <c r="V2195" s="57">
        <f>INT(tblJTL[[#This Row],[経過秒]]/60)</f>
        <v>8</v>
      </c>
      <c r="W2195" s="57">
        <f>IF(OR(tblJTL[[#This Row],[success]]=FALSE,tblJTL[[#This Row],[success]]="false"),1,0)</f>
        <v>0</v>
      </c>
      <c r="X2195" s="57">
        <f>IF(AND(tblJTL[[#This Row],[経過秒]]&gt;='17_分析サンプル'!$E$11,tblJTL[[#This Row],[経過秒]]&lt;'17_分析サンプル'!$E$12),1,0)</f>
        <v>1</v>
      </c>
    </row>
    <row r="2196" spans="2:24" ht="14.4" x14ac:dyDescent="0.3">
      <c r="B2196" s="57">
        <v>1790816936603</v>
      </c>
      <c r="C2196" s="58">
        <v>102</v>
      </c>
      <c r="D2196" s="59" t="s">
        <v>1658</v>
      </c>
      <c r="E2196" s="59" t="s">
        <v>1577</v>
      </c>
      <c r="F2196" s="59" t="s">
        <v>2275</v>
      </c>
      <c r="G2196" s="59" t="s">
        <v>3582</v>
      </c>
      <c r="H2196" s="59" t="s">
        <v>2281</v>
      </c>
      <c r="I2196" s="59" t="b">
        <v>1</v>
      </c>
      <c r="J2196" s="59"/>
      <c r="K2196" s="58">
        <v>1847</v>
      </c>
      <c r="L2196" s="58">
        <v>1342</v>
      </c>
      <c r="M2196" s="59">
        <v>10</v>
      </c>
      <c r="N2196" s="59">
        <v>10</v>
      </c>
      <c r="O2196" s="59" t="s">
        <v>3578</v>
      </c>
      <c r="P2196" s="58">
        <v>97</v>
      </c>
      <c r="Q2196" s="59">
        <v>0</v>
      </c>
      <c r="R2196" s="59">
        <v>0</v>
      </c>
      <c r="S2196" s="60">
        <f>tblJTL[[#This Row],[timeStamp]]/86400000+DATE(1970,1,1)+TIME(9,0,0)</f>
        <v>46296.422877349542</v>
      </c>
      <c r="T2196" s="57">
        <f>tblJTL[[#This Row],[timeStamp]]+tblJTL[[#This Row],[elapsed]]</f>
        <v>1790816936705</v>
      </c>
      <c r="U2196" s="61">
        <f>(tblJTL[[#This Row],[timeStamp]]-'17_分析サンプル'!$E$18)/1000</f>
        <v>536.423</v>
      </c>
      <c r="V2196" s="57">
        <f>INT(tblJTL[[#This Row],[経過秒]]/60)</f>
        <v>8</v>
      </c>
      <c r="W2196" s="57">
        <f>IF(OR(tblJTL[[#This Row],[success]]=FALSE,tblJTL[[#This Row],[success]]="false"),1,0)</f>
        <v>0</v>
      </c>
      <c r="X2196" s="57">
        <f>IF(AND(tblJTL[[#This Row],[経過秒]]&gt;='17_分析サンプル'!$E$11,tblJTL[[#This Row],[経過秒]]&lt;'17_分析サンプル'!$E$12),1,0)</f>
        <v>1</v>
      </c>
    </row>
    <row r="2197" spans="2:24" ht="14.4" x14ac:dyDescent="0.3">
      <c r="B2197" s="57">
        <v>1790816936701</v>
      </c>
      <c r="C2197" s="58">
        <v>134</v>
      </c>
      <c r="D2197" s="59" t="s">
        <v>1658</v>
      </c>
      <c r="E2197" s="59" t="s">
        <v>1577</v>
      </c>
      <c r="F2197" s="59" t="s">
        <v>2275</v>
      </c>
      <c r="G2197" s="59" t="s">
        <v>3577</v>
      </c>
      <c r="H2197" s="59" t="s">
        <v>2281</v>
      </c>
      <c r="I2197" s="59" t="b">
        <v>1</v>
      </c>
      <c r="J2197" s="59"/>
      <c r="K2197" s="58">
        <v>1887</v>
      </c>
      <c r="L2197" s="58">
        <v>1342</v>
      </c>
      <c r="M2197" s="59">
        <v>10</v>
      </c>
      <c r="N2197" s="59">
        <v>10</v>
      </c>
      <c r="O2197" s="59" t="s">
        <v>3578</v>
      </c>
      <c r="P2197" s="58">
        <v>128</v>
      </c>
      <c r="Q2197" s="59">
        <v>0</v>
      </c>
      <c r="R2197" s="59">
        <v>0</v>
      </c>
      <c r="S2197" s="60">
        <f>tblJTL[[#This Row],[timeStamp]]/86400000+DATE(1970,1,1)+TIME(9,0,0)</f>
        <v>46296.422878483798</v>
      </c>
      <c r="T2197" s="57">
        <f>tblJTL[[#This Row],[timeStamp]]+tblJTL[[#This Row],[elapsed]]</f>
        <v>1790816936835</v>
      </c>
      <c r="U2197" s="61">
        <f>(tblJTL[[#This Row],[timeStamp]]-'17_分析サンプル'!$E$18)/1000</f>
        <v>536.52099999999996</v>
      </c>
      <c r="V2197" s="57">
        <f>INT(tblJTL[[#This Row],[経過秒]]/60)</f>
        <v>8</v>
      </c>
      <c r="W2197" s="57">
        <f>IF(OR(tblJTL[[#This Row],[success]]=FALSE,tblJTL[[#This Row],[success]]="false"),1,0)</f>
        <v>0</v>
      </c>
      <c r="X2197" s="57">
        <f>IF(AND(tblJTL[[#This Row],[経過秒]]&gt;='17_分析サンプル'!$E$11,tblJTL[[#This Row],[経過秒]]&lt;'17_分析サンプル'!$E$12),1,0)</f>
        <v>1</v>
      </c>
    </row>
    <row r="2198" spans="2:24" ht="14.4" x14ac:dyDescent="0.3">
      <c r="B2198" s="57">
        <v>1790816936726</v>
      </c>
      <c r="C2198" s="58">
        <v>166</v>
      </c>
      <c r="D2198" s="59" t="s">
        <v>1677</v>
      </c>
      <c r="E2198" s="59" t="s">
        <v>3579</v>
      </c>
      <c r="F2198" s="59" t="s">
        <v>3580</v>
      </c>
      <c r="G2198" s="59" t="s">
        <v>3586</v>
      </c>
      <c r="H2198" s="59" t="s">
        <v>2281</v>
      </c>
      <c r="I2198" s="59" t="b">
        <v>1</v>
      </c>
      <c r="J2198" s="59"/>
      <c r="K2198" s="58">
        <v>431</v>
      </c>
      <c r="L2198" s="58">
        <v>1478</v>
      </c>
      <c r="M2198" s="59">
        <v>10</v>
      </c>
      <c r="N2198" s="59">
        <v>10</v>
      </c>
      <c r="O2198" s="59" t="s">
        <v>3581</v>
      </c>
      <c r="P2198" s="58">
        <v>163</v>
      </c>
      <c r="Q2198" s="59">
        <v>0</v>
      </c>
      <c r="R2198" s="59">
        <v>0</v>
      </c>
      <c r="S2198" s="60">
        <f>tblJTL[[#This Row],[timeStamp]]/86400000+DATE(1970,1,1)+TIME(9,0,0)</f>
        <v>46296.422878773148</v>
      </c>
      <c r="T2198" s="57">
        <f>tblJTL[[#This Row],[timeStamp]]+tblJTL[[#This Row],[elapsed]]</f>
        <v>1790816936892</v>
      </c>
      <c r="U2198" s="61">
        <f>(tblJTL[[#This Row],[timeStamp]]-'17_分析サンプル'!$E$18)/1000</f>
        <v>536.54600000000005</v>
      </c>
      <c r="V2198" s="57">
        <f>INT(tblJTL[[#This Row],[経過秒]]/60)</f>
        <v>8</v>
      </c>
      <c r="W2198" s="57">
        <f>IF(OR(tblJTL[[#This Row],[success]]=FALSE,tblJTL[[#This Row],[success]]="false"),1,0)</f>
        <v>0</v>
      </c>
      <c r="X2198" s="57">
        <f>IF(AND(tblJTL[[#This Row],[経過秒]]&gt;='17_分析サンプル'!$E$11,tblJTL[[#This Row],[経過秒]]&lt;'17_分析サンプル'!$E$12),1,0)</f>
        <v>1</v>
      </c>
    </row>
    <row r="2199" spans="2:24" ht="14.4" x14ac:dyDescent="0.3">
      <c r="B2199" s="57">
        <v>1790816936933</v>
      </c>
      <c r="C2199" s="58">
        <v>87</v>
      </c>
      <c r="D2199" s="59" t="s">
        <v>1658</v>
      </c>
      <c r="E2199" s="59" t="s">
        <v>1577</v>
      </c>
      <c r="F2199" s="59" t="s">
        <v>2275</v>
      </c>
      <c r="G2199" s="59" t="s">
        <v>2278</v>
      </c>
      <c r="H2199" s="59" t="s">
        <v>2281</v>
      </c>
      <c r="I2199" s="59" t="b">
        <v>1</v>
      </c>
      <c r="J2199" s="59"/>
      <c r="K2199" s="58">
        <v>1856</v>
      </c>
      <c r="L2199" s="58">
        <v>1342</v>
      </c>
      <c r="M2199" s="59">
        <v>10</v>
      </c>
      <c r="N2199" s="59">
        <v>10</v>
      </c>
      <c r="O2199" s="59" t="s">
        <v>3578</v>
      </c>
      <c r="P2199" s="58">
        <v>83</v>
      </c>
      <c r="Q2199" s="59">
        <v>0</v>
      </c>
      <c r="R2199" s="59">
        <v>0</v>
      </c>
      <c r="S2199" s="60">
        <f>tblJTL[[#This Row],[timeStamp]]/86400000+DATE(1970,1,1)+TIME(9,0,0)</f>
        <v>46296.422881168983</v>
      </c>
      <c r="T2199" s="57">
        <f>tblJTL[[#This Row],[timeStamp]]+tblJTL[[#This Row],[elapsed]]</f>
        <v>1790816937020</v>
      </c>
      <c r="U2199" s="61">
        <f>(tblJTL[[#This Row],[timeStamp]]-'17_分析サンプル'!$E$18)/1000</f>
        <v>536.75300000000004</v>
      </c>
      <c r="V2199" s="57">
        <f>INT(tblJTL[[#This Row],[経過秒]]/60)</f>
        <v>8</v>
      </c>
      <c r="W2199" s="57">
        <f>IF(OR(tblJTL[[#This Row],[success]]=FALSE,tblJTL[[#This Row],[success]]="false"),1,0)</f>
        <v>0</v>
      </c>
      <c r="X2199" s="57">
        <f>IF(AND(tblJTL[[#This Row],[経過秒]]&gt;='17_分析サンプル'!$E$11,tblJTL[[#This Row],[経過秒]]&lt;'17_分析サンプル'!$E$12),1,0)</f>
        <v>1</v>
      </c>
    </row>
    <row r="2200" spans="2:24" ht="14.4" x14ac:dyDescent="0.3">
      <c r="B2200" s="57">
        <v>1790816937564</v>
      </c>
      <c r="C2200" s="58">
        <v>123</v>
      </c>
      <c r="D2200" s="59" t="s">
        <v>1658</v>
      </c>
      <c r="E2200" s="59" t="s">
        <v>1577</v>
      </c>
      <c r="F2200" s="59" t="s">
        <v>2275</v>
      </c>
      <c r="G2200" s="59" t="s">
        <v>3589</v>
      </c>
      <c r="H2200" s="59" t="s">
        <v>2281</v>
      </c>
      <c r="I2200" s="59" t="b">
        <v>1</v>
      </c>
      <c r="J2200" s="59"/>
      <c r="K2200" s="58">
        <v>1841</v>
      </c>
      <c r="L2200" s="58">
        <v>1342</v>
      </c>
      <c r="M2200" s="59">
        <v>10</v>
      </c>
      <c r="N2200" s="59">
        <v>10</v>
      </c>
      <c r="O2200" s="59" t="s">
        <v>3578</v>
      </c>
      <c r="P2200" s="58">
        <v>117</v>
      </c>
      <c r="Q2200" s="59">
        <v>0</v>
      </c>
      <c r="R2200" s="59">
        <v>0</v>
      </c>
      <c r="S2200" s="60">
        <f>tblJTL[[#This Row],[timeStamp]]/86400000+DATE(1970,1,1)+TIME(9,0,0)</f>
        <v>46296.422888472225</v>
      </c>
      <c r="T2200" s="57">
        <f>tblJTL[[#This Row],[timeStamp]]+tblJTL[[#This Row],[elapsed]]</f>
        <v>1790816937687</v>
      </c>
      <c r="U2200" s="61">
        <f>(tblJTL[[#This Row],[timeStamp]]-'17_分析サンプル'!$E$18)/1000</f>
        <v>537.38400000000001</v>
      </c>
      <c r="V2200" s="57">
        <f>INT(tblJTL[[#This Row],[経過秒]]/60)</f>
        <v>8</v>
      </c>
      <c r="W2200" s="57">
        <f>IF(OR(tblJTL[[#This Row],[success]]=FALSE,tblJTL[[#This Row],[success]]="false"),1,0)</f>
        <v>0</v>
      </c>
      <c r="X2200" s="57">
        <f>IF(AND(tblJTL[[#This Row],[経過秒]]&gt;='17_分析サンプル'!$E$11,tblJTL[[#This Row],[経過秒]]&lt;'17_分析サンプル'!$E$12),1,0)</f>
        <v>1</v>
      </c>
    </row>
    <row r="2201" spans="2:24" ht="14.4" x14ac:dyDescent="0.3">
      <c r="B2201" s="57">
        <v>1790816937667</v>
      </c>
      <c r="C2201" s="58">
        <v>198</v>
      </c>
      <c r="D2201" s="59" t="s">
        <v>1677</v>
      </c>
      <c r="E2201" s="59" t="s">
        <v>3579</v>
      </c>
      <c r="F2201" s="59" t="s">
        <v>3580</v>
      </c>
      <c r="G2201" s="59" t="s">
        <v>3588</v>
      </c>
      <c r="H2201" s="59" t="s">
        <v>2281</v>
      </c>
      <c r="I2201" s="59" t="b">
        <v>1</v>
      </c>
      <c r="J2201" s="59"/>
      <c r="K2201" s="58">
        <v>413</v>
      </c>
      <c r="L2201" s="58">
        <v>1478</v>
      </c>
      <c r="M2201" s="59">
        <v>10</v>
      </c>
      <c r="N2201" s="59">
        <v>10</v>
      </c>
      <c r="O2201" s="59" t="s">
        <v>3581</v>
      </c>
      <c r="P2201" s="58">
        <v>193</v>
      </c>
      <c r="Q2201" s="59">
        <v>0</v>
      </c>
      <c r="R2201" s="59">
        <v>0</v>
      </c>
      <c r="S2201" s="60">
        <f>tblJTL[[#This Row],[timeStamp]]/86400000+DATE(1970,1,1)+TIME(9,0,0)</f>
        <v>46296.422889664347</v>
      </c>
      <c r="T2201" s="57">
        <f>tblJTL[[#This Row],[timeStamp]]+tblJTL[[#This Row],[elapsed]]</f>
        <v>1790816937865</v>
      </c>
      <c r="U2201" s="61">
        <f>(tblJTL[[#This Row],[timeStamp]]-'17_分析サンプル'!$E$18)/1000</f>
        <v>537.48699999999997</v>
      </c>
      <c r="V2201" s="57">
        <f>INT(tblJTL[[#This Row],[経過秒]]/60)</f>
        <v>8</v>
      </c>
      <c r="W2201" s="57">
        <f>IF(OR(tblJTL[[#This Row],[success]]=FALSE,tblJTL[[#This Row],[success]]="false"),1,0)</f>
        <v>0</v>
      </c>
      <c r="X2201" s="57">
        <f>IF(AND(tblJTL[[#This Row],[経過秒]]&gt;='17_分析サンプル'!$E$11,tblJTL[[#This Row],[経過秒]]&lt;'17_分析サンプル'!$E$12),1,0)</f>
        <v>1</v>
      </c>
    </row>
    <row r="2202" spans="2:24" ht="14.4" x14ac:dyDescent="0.3">
      <c r="B2202" s="57">
        <v>1790816937689</v>
      </c>
      <c r="C2202" s="58">
        <v>178</v>
      </c>
      <c r="D2202" s="59" t="s">
        <v>1658</v>
      </c>
      <c r="E2202" s="59" t="s">
        <v>1577</v>
      </c>
      <c r="F2202" s="59" t="s">
        <v>2275</v>
      </c>
      <c r="G2202" s="59" t="s">
        <v>3587</v>
      </c>
      <c r="H2202" s="59" t="s">
        <v>2281</v>
      </c>
      <c r="I2202" s="59" t="b">
        <v>1</v>
      </c>
      <c r="J2202" s="59"/>
      <c r="K2202" s="58">
        <v>1900</v>
      </c>
      <c r="L2202" s="58">
        <v>1342</v>
      </c>
      <c r="M2202" s="59">
        <v>10</v>
      </c>
      <c r="N2202" s="59">
        <v>10</v>
      </c>
      <c r="O2202" s="59" t="s">
        <v>3578</v>
      </c>
      <c r="P2202" s="58">
        <v>175</v>
      </c>
      <c r="Q2202" s="59">
        <v>0</v>
      </c>
      <c r="R2202" s="59">
        <v>0</v>
      </c>
      <c r="S2202" s="60">
        <f>tblJTL[[#This Row],[timeStamp]]/86400000+DATE(1970,1,1)+TIME(9,0,0)</f>
        <v>46296.422889918977</v>
      </c>
      <c r="T2202" s="57">
        <f>tblJTL[[#This Row],[timeStamp]]+tblJTL[[#This Row],[elapsed]]</f>
        <v>1790816937867</v>
      </c>
      <c r="U2202" s="61">
        <f>(tblJTL[[#This Row],[timeStamp]]-'17_分析サンプル'!$E$18)/1000</f>
        <v>537.50900000000001</v>
      </c>
      <c r="V2202" s="57">
        <f>INT(tblJTL[[#This Row],[経過秒]]/60)</f>
        <v>8</v>
      </c>
      <c r="W2202" s="57">
        <f>IF(OR(tblJTL[[#This Row],[success]]=FALSE,tblJTL[[#This Row],[success]]="false"),1,0)</f>
        <v>0</v>
      </c>
      <c r="X2202" s="57">
        <f>IF(AND(tblJTL[[#This Row],[経過秒]]&gt;='17_分析サンプル'!$E$11,tblJTL[[#This Row],[経過秒]]&lt;'17_分析サンプル'!$E$12),1,0)</f>
        <v>1</v>
      </c>
    </row>
    <row r="2203" spans="2:24" ht="14.4" x14ac:dyDescent="0.3">
      <c r="B2203" s="57">
        <v>1790816937783</v>
      </c>
      <c r="C2203" s="58">
        <v>98</v>
      </c>
      <c r="D2203" s="59" t="s">
        <v>1658</v>
      </c>
      <c r="E2203" s="59" t="s">
        <v>1577</v>
      </c>
      <c r="F2203" s="59" t="s">
        <v>2275</v>
      </c>
      <c r="G2203" s="59" t="s">
        <v>3583</v>
      </c>
      <c r="H2203" s="59" t="s">
        <v>2281</v>
      </c>
      <c r="I2203" s="59" t="b">
        <v>1</v>
      </c>
      <c r="J2203" s="59"/>
      <c r="K2203" s="58">
        <v>1843</v>
      </c>
      <c r="L2203" s="58">
        <v>1342</v>
      </c>
      <c r="M2203" s="59">
        <v>10</v>
      </c>
      <c r="N2203" s="59">
        <v>10</v>
      </c>
      <c r="O2203" s="59" t="s">
        <v>3578</v>
      </c>
      <c r="P2203" s="58">
        <v>92</v>
      </c>
      <c r="Q2203" s="59">
        <v>0</v>
      </c>
      <c r="R2203" s="59">
        <v>0</v>
      </c>
      <c r="S2203" s="60">
        <f>tblJTL[[#This Row],[timeStamp]]/86400000+DATE(1970,1,1)+TIME(9,0,0)</f>
        <v>46296.422891006943</v>
      </c>
      <c r="T2203" s="57">
        <f>tblJTL[[#This Row],[timeStamp]]+tblJTL[[#This Row],[elapsed]]</f>
        <v>1790816937881</v>
      </c>
      <c r="U2203" s="61">
        <f>(tblJTL[[#This Row],[timeStamp]]-'17_分析サンプル'!$E$18)/1000</f>
        <v>537.60299999999995</v>
      </c>
      <c r="V2203" s="57">
        <f>INT(tblJTL[[#This Row],[経過秒]]/60)</f>
        <v>8</v>
      </c>
      <c r="W2203" s="57">
        <f>IF(OR(tblJTL[[#This Row],[success]]=FALSE,tblJTL[[#This Row],[success]]="false"),1,0)</f>
        <v>0</v>
      </c>
      <c r="X2203" s="57">
        <f>IF(AND(tblJTL[[#This Row],[経過秒]]&gt;='17_分析サンプル'!$E$11,tblJTL[[#This Row],[経過秒]]&lt;'17_分析サンプル'!$E$12),1,0)</f>
        <v>1</v>
      </c>
    </row>
    <row r="2204" spans="2:24" ht="14.4" x14ac:dyDescent="0.3">
      <c r="B2204" s="57">
        <v>1790816938071</v>
      </c>
      <c r="C2204" s="58">
        <v>218</v>
      </c>
      <c r="D2204" s="59" t="s">
        <v>1677</v>
      </c>
      <c r="E2204" s="59" t="s">
        <v>3579</v>
      </c>
      <c r="F2204" s="59" t="s">
        <v>3580</v>
      </c>
      <c r="G2204" s="59" t="s">
        <v>2278</v>
      </c>
      <c r="H2204" s="59" t="s">
        <v>2281</v>
      </c>
      <c r="I2204" s="59" t="b">
        <v>1</v>
      </c>
      <c r="J2204" s="59"/>
      <c r="K2204" s="58">
        <v>432</v>
      </c>
      <c r="L2204" s="58">
        <v>1478</v>
      </c>
      <c r="M2204" s="59">
        <v>10</v>
      </c>
      <c r="N2204" s="59">
        <v>10</v>
      </c>
      <c r="O2204" s="59" t="s">
        <v>3581</v>
      </c>
      <c r="P2204" s="58">
        <v>214</v>
      </c>
      <c r="Q2204" s="59">
        <v>0</v>
      </c>
      <c r="R2204" s="59">
        <v>0</v>
      </c>
      <c r="S2204" s="60">
        <f>tblJTL[[#This Row],[timeStamp]]/86400000+DATE(1970,1,1)+TIME(9,0,0)</f>
        <v>46296.422894340278</v>
      </c>
      <c r="T2204" s="57">
        <f>tblJTL[[#This Row],[timeStamp]]+tblJTL[[#This Row],[elapsed]]</f>
        <v>1790816938289</v>
      </c>
      <c r="U2204" s="61">
        <f>(tblJTL[[#This Row],[timeStamp]]-'17_分析サンプル'!$E$18)/1000</f>
        <v>537.89099999999996</v>
      </c>
      <c r="V2204" s="57">
        <f>INT(tblJTL[[#This Row],[経過秒]]/60)</f>
        <v>8</v>
      </c>
      <c r="W2204" s="57">
        <f>IF(OR(tblJTL[[#This Row],[success]]=FALSE,tblJTL[[#This Row],[success]]="false"),1,0)</f>
        <v>0</v>
      </c>
      <c r="X2204" s="57">
        <f>IF(AND(tblJTL[[#This Row],[経過秒]]&gt;='17_分析サンプル'!$E$11,tblJTL[[#This Row],[経過秒]]&lt;'17_分析サンプル'!$E$12),1,0)</f>
        <v>1</v>
      </c>
    </row>
    <row r="2205" spans="2:24" ht="14.4" x14ac:dyDescent="0.3">
      <c r="B2205" s="57">
        <v>1790816938370</v>
      </c>
      <c r="C2205" s="58">
        <v>89</v>
      </c>
      <c r="D2205" s="59" t="s">
        <v>1658</v>
      </c>
      <c r="E2205" s="59" t="s">
        <v>1577</v>
      </c>
      <c r="F2205" s="59" t="s">
        <v>2275</v>
      </c>
      <c r="G2205" s="59" t="s">
        <v>3586</v>
      </c>
      <c r="H2205" s="59" t="s">
        <v>2281</v>
      </c>
      <c r="I2205" s="59" t="b">
        <v>1</v>
      </c>
      <c r="J2205" s="59"/>
      <c r="K2205" s="58">
        <v>1826</v>
      </c>
      <c r="L2205" s="58">
        <v>1342</v>
      </c>
      <c r="M2205" s="59">
        <v>10</v>
      </c>
      <c r="N2205" s="59">
        <v>10</v>
      </c>
      <c r="O2205" s="59" t="s">
        <v>3578</v>
      </c>
      <c r="P2205" s="58">
        <v>81</v>
      </c>
      <c r="Q2205" s="59">
        <v>0</v>
      </c>
      <c r="R2205" s="59">
        <v>0</v>
      </c>
      <c r="S2205" s="60">
        <f>tblJTL[[#This Row],[timeStamp]]/86400000+DATE(1970,1,1)+TIME(9,0,0)</f>
        <v>46296.422897800927</v>
      </c>
      <c r="T2205" s="57">
        <f>tblJTL[[#This Row],[timeStamp]]+tblJTL[[#This Row],[elapsed]]</f>
        <v>1790816938459</v>
      </c>
      <c r="U2205" s="61">
        <f>(tblJTL[[#This Row],[timeStamp]]-'17_分析サンプル'!$E$18)/1000</f>
        <v>538.19000000000005</v>
      </c>
      <c r="V2205" s="57">
        <f>INT(tblJTL[[#This Row],[経過秒]]/60)</f>
        <v>8</v>
      </c>
      <c r="W2205" s="57">
        <f>IF(OR(tblJTL[[#This Row],[success]]=FALSE,tblJTL[[#This Row],[success]]="false"),1,0)</f>
        <v>0</v>
      </c>
      <c r="X2205" s="57">
        <f>IF(AND(tblJTL[[#This Row],[経過秒]]&gt;='17_分析サンプル'!$E$11,tblJTL[[#This Row],[経過秒]]&lt;'17_分析サンプル'!$E$12),1,0)</f>
        <v>1</v>
      </c>
    </row>
    <row r="2206" spans="2:24" ht="14.4" x14ac:dyDescent="0.3">
      <c r="B2206" s="57">
        <v>1790816937735</v>
      </c>
      <c r="C2206" s="58">
        <v>732</v>
      </c>
      <c r="D2206" s="59" t="s">
        <v>1677</v>
      </c>
      <c r="E2206" s="59" t="s">
        <v>3579</v>
      </c>
      <c r="F2206" s="59" t="s">
        <v>3580</v>
      </c>
      <c r="G2206" s="59" t="s">
        <v>3584</v>
      </c>
      <c r="H2206" s="59" t="s">
        <v>2281</v>
      </c>
      <c r="I2206" s="59" t="b">
        <v>1</v>
      </c>
      <c r="J2206" s="59"/>
      <c r="K2206" s="58">
        <v>433</v>
      </c>
      <c r="L2206" s="58">
        <v>1478</v>
      </c>
      <c r="M2206" s="59">
        <v>10</v>
      </c>
      <c r="N2206" s="59">
        <v>10</v>
      </c>
      <c r="O2206" s="59" t="s">
        <v>3581</v>
      </c>
      <c r="P2206" s="58">
        <v>724</v>
      </c>
      <c r="Q2206" s="59">
        <v>0</v>
      </c>
      <c r="R2206" s="59">
        <v>0</v>
      </c>
      <c r="S2206" s="60">
        <f>tblJTL[[#This Row],[timeStamp]]/86400000+DATE(1970,1,1)+TIME(9,0,0)</f>
        <v>46296.422890451388</v>
      </c>
      <c r="T2206" s="57">
        <f>tblJTL[[#This Row],[timeStamp]]+tblJTL[[#This Row],[elapsed]]</f>
        <v>1790816938467</v>
      </c>
      <c r="U2206" s="61">
        <f>(tblJTL[[#This Row],[timeStamp]]-'17_分析サンプル'!$E$18)/1000</f>
        <v>537.55499999999995</v>
      </c>
      <c r="V2206" s="57">
        <f>INT(tblJTL[[#This Row],[経過秒]]/60)</f>
        <v>8</v>
      </c>
      <c r="W2206" s="57">
        <f>IF(OR(tblJTL[[#This Row],[success]]=FALSE,tblJTL[[#This Row],[success]]="false"),1,0)</f>
        <v>0</v>
      </c>
      <c r="X2206" s="57">
        <f>IF(AND(tblJTL[[#This Row],[経過秒]]&gt;='17_分析サンプル'!$E$11,tblJTL[[#This Row],[経過秒]]&lt;'17_分析サンプル'!$E$12),1,0)</f>
        <v>1</v>
      </c>
    </row>
    <row r="2207" spans="2:24" ht="14.4" x14ac:dyDescent="0.3">
      <c r="B2207" s="57">
        <v>1790816938470</v>
      </c>
      <c r="C2207" s="58">
        <v>214</v>
      </c>
      <c r="D2207" s="59" t="s">
        <v>1677</v>
      </c>
      <c r="E2207" s="59" t="s">
        <v>3579</v>
      </c>
      <c r="F2207" s="59" t="s">
        <v>3580</v>
      </c>
      <c r="G2207" s="59" t="s">
        <v>3582</v>
      </c>
      <c r="H2207" s="59" t="s">
        <v>2281</v>
      </c>
      <c r="I2207" s="59" t="b">
        <v>1</v>
      </c>
      <c r="J2207" s="59"/>
      <c r="K2207" s="58">
        <v>421</v>
      </c>
      <c r="L2207" s="58">
        <v>1478</v>
      </c>
      <c r="M2207" s="59">
        <v>10</v>
      </c>
      <c r="N2207" s="59">
        <v>10</v>
      </c>
      <c r="O2207" s="59" t="s">
        <v>3581</v>
      </c>
      <c r="P2207" s="58">
        <v>210</v>
      </c>
      <c r="Q2207" s="59">
        <v>0</v>
      </c>
      <c r="R2207" s="59">
        <v>0</v>
      </c>
      <c r="S2207" s="60">
        <f>tblJTL[[#This Row],[timeStamp]]/86400000+DATE(1970,1,1)+TIME(9,0,0)</f>
        <v>46296.422898958335</v>
      </c>
      <c r="T2207" s="57">
        <f>tblJTL[[#This Row],[timeStamp]]+tblJTL[[#This Row],[elapsed]]</f>
        <v>1790816938684</v>
      </c>
      <c r="U2207" s="61">
        <f>(tblJTL[[#This Row],[timeStamp]]-'17_分析サンプル'!$E$18)/1000</f>
        <v>538.29</v>
      </c>
      <c r="V2207" s="57">
        <f>INT(tblJTL[[#This Row],[経過秒]]/60)</f>
        <v>8</v>
      </c>
      <c r="W2207" s="57">
        <f>IF(OR(tblJTL[[#This Row],[success]]=FALSE,tblJTL[[#This Row],[success]]="false"),1,0)</f>
        <v>0</v>
      </c>
      <c r="X2207" s="57">
        <f>IF(AND(tblJTL[[#This Row],[経過秒]]&gt;='17_分析サンプル'!$E$11,tblJTL[[#This Row],[経過秒]]&lt;'17_分析サンプル'!$E$12),1,0)</f>
        <v>1</v>
      </c>
    </row>
    <row r="2208" spans="2:24" ht="14.4" x14ac:dyDescent="0.3">
      <c r="B2208" s="57">
        <v>1790816939053</v>
      </c>
      <c r="C2208" s="58">
        <v>142</v>
      </c>
      <c r="D2208" s="59" t="s">
        <v>1658</v>
      </c>
      <c r="E2208" s="59" t="s">
        <v>1577</v>
      </c>
      <c r="F2208" s="59" t="s">
        <v>2275</v>
      </c>
      <c r="G2208" s="59" t="s">
        <v>3585</v>
      </c>
      <c r="H2208" s="59" t="s">
        <v>2281</v>
      </c>
      <c r="I2208" s="59" t="b">
        <v>1</v>
      </c>
      <c r="J2208" s="59"/>
      <c r="K2208" s="58">
        <v>1859</v>
      </c>
      <c r="L2208" s="58">
        <v>1342</v>
      </c>
      <c r="M2208" s="59">
        <v>10</v>
      </c>
      <c r="N2208" s="59">
        <v>10</v>
      </c>
      <c r="O2208" s="59" t="s">
        <v>3578</v>
      </c>
      <c r="P2208" s="58">
        <v>136</v>
      </c>
      <c r="Q2208" s="59">
        <v>0</v>
      </c>
      <c r="R2208" s="59">
        <v>0</v>
      </c>
      <c r="S2208" s="60">
        <f>tblJTL[[#This Row],[timeStamp]]/86400000+DATE(1970,1,1)+TIME(9,0,0)</f>
        <v>46296.422905706015</v>
      </c>
      <c r="T2208" s="57">
        <f>tblJTL[[#This Row],[timeStamp]]+tblJTL[[#This Row],[elapsed]]</f>
        <v>1790816939195</v>
      </c>
      <c r="U2208" s="61">
        <f>(tblJTL[[#This Row],[timeStamp]]-'17_分析サンプル'!$E$18)/1000</f>
        <v>538.87300000000005</v>
      </c>
      <c r="V2208" s="57">
        <f>INT(tblJTL[[#This Row],[経過秒]]/60)</f>
        <v>8</v>
      </c>
      <c r="W2208" s="57">
        <f>IF(OR(tblJTL[[#This Row],[success]]=FALSE,tblJTL[[#This Row],[success]]="false"),1,0)</f>
        <v>0</v>
      </c>
      <c r="X2208" s="57">
        <f>IF(AND(tblJTL[[#This Row],[経過秒]]&gt;='17_分析サンプル'!$E$11,tblJTL[[#This Row],[経過秒]]&lt;'17_分析サンプル'!$E$12),1,0)</f>
        <v>1</v>
      </c>
    </row>
    <row r="2209" spans="2:24" ht="14.4" x14ac:dyDescent="0.3">
      <c r="B2209" s="57">
        <v>1790816939028</v>
      </c>
      <c r="C2209" s="58">
        <v>234</v>
      </c>
      <c r="D2209" s="59" t="s">
        <v>1677</v>
      </c>
      <c r="E2209" s="59" t="s">
        <v>3579</v>
      </c>
      <c r="F2209" s="59" t="s">
        <v>3580</v>
      </c>
      <c r="G2209" s="59" t="s">
        <v>3587</v>
      </c>
      <c r="H2209" s="59" t="s">
        <v>2281</v>
      </c>
      <c r="I2209" s="59" t="b">
        <v>1</v>
      </c>
      <c r="J2209" s="59"/>
      <c r="K2209" s="58">
        <v>433</v>
      </c>
      <c r="L2209" s="58">
        <v>1478</v>
      </c>
      <c r="M2209" s="59">
        <v>10</v>
      </c>
      <c r="N2209" s="59">
        <v>10</v>
      </c>
      <c r="O2209" s="59" t="s">
        <v>3581</v>
      </c>
      <c r="P2209" s="58">
        <v>231</v>
      </c>
      <c r="Q2209" s="59">
        <v>0</v>
      </c>
      <c r="R2209" s="59">
        <v>0</v>
      </c>
      <c r="S2209" s="60">
        <f>tblJTL[[#This Row],[timeStamp]]/86400000+DATE(1970,1,1)+TIME(9,0,0)</f>
        <v>46296.422905416664</v>
      </c>
      <c r="T2209" s="57">
        <f>tblJTL[[#This Row],[timeStamp]]+tblJTL[[#This Row],[elapsed]]</f>
        <v>1790816939262</v>
      </c>
      <c r="U2209" s="61">
        <f>(tblJTL[[#This Row],[timeStamp]]-'17_分析サンプル'!$E$18)/1000</f>
        <v>538.84799999999996</v>
      </c>
      <c r="V2209" s="57">
        <f>INT(tblJTL[[#This Row],[経過秒]]/60)</f>
        <v>8</v>
      </c>
      <c r="W2209" s="57">
        <f>IF(OR(tblJTL[[#This Row],[success]]=FALSE,tblJTL[[#This Row],[success]]="false"),1,0)</f>
        <v>0</v>
      </c>
      <c r="X2209" s="57">
        <f>IF(AND(tblJTL[[#This Row],[経過秒]]&gt;='17_分析サンプル'!$E$11,tblJTL[[#This Row],[経過秒]]&lt;'17_分析サンプル'!$E$12),1,0)</f>
        <v>1</v>
      </c>
    </row>
    <row r="2210" spans="2:24" ht="14.4" x14ac:dyDescent="0.3">
      <c r="B2210" s="57">
        <v>1790816939542</v>
      </c>
      <c r="C2210" s="58">
        <v>185</v>
      </c>
      <c r="D2210" s="59" t="s">
        <v>1677</v>
      </c>
      <c r="E2210" s="59" t="s">
        <v>3579</v>
      </c>
      <c r="F2210" s="59" t="s">
        <v>3580</v>
      </c>
      <c r="G2210" s="59" t="s">
        <v>3577</v>
      </c>
      <c r="H2210" s="59" t="s">
        <v>2281</v>
      </c>
      <c r="I2210" s="59" t="b">
        <v>1</v>
      </c>
      <c r="J2210" s="59"/>
      <c r="K2210" s="58">
        <v>434</v>
      </c>
      <c r="L2210" s="58">
        <v>1478</v>
      </c>
      <c r="M2210" s="59">
        <v>10</v>
      </c>
      <c r="N2210" s="59">
        <v>10</v>
      </c>
      <c r="O2210" s="59" t="s">
        <v>3581</v>
      </c>
      <c r="P2210" s="58">
        <v>178</v>
      </c>
      <c r="Q2210" s="59">
        <v>0</v>
      </c>
      <c r="R2210" s="59">
        <v>0</v>
      </c>
      <c r="S2210" s="60">
        <f>tblJTL[[#This Row],[timeStamp]]/86400000+DATE(1970,1,1)+TIME(9,0,0)</f>
        <v>46296.422911365742</v>
      </c>
      <c r="T2210" s="57">
        <f>tblJTL[[#This Row],[timeStamp]]+tblJTL[[#This Row],[elapsed]]</f>
        <v>1790816939727</v>
      </c>
      <c r="U2210" s="61">
        <f>(tblJTL[[#This Row],[timeStamp]]-'17_分析サンプル'!$E$18)/1000</f>
        <v>539.36199999999997</v>
      </c>
      <c r="V2210" s="57">
        <f>INT(tblJTL[[#This Row],[経過秒]]/60)</f>
        <v>8</v>
      </c>
      <c r="W2210" s="57">
        <f>IF(OR(tblJTL[[#This Row],[success]]=FALSE,tblJTL[[#This Row],[success]]="false"),1,0)</f>
        <v>0</v>
      </c>
      <c r="X2210" s="57">
        <f>IF(AND(tblJTL[[#This Row],[経過秒]]&gt;='17_分析サンプル'!$E$11,tblJTL[[#This Row],[経過秒]]&lt;'17_分析サンプル'!$E$12),1,0)</f>
        <v>1</v>
      </c>
    </row>
    <row r="2211" spans="2:24" ht="14.4" x14ac:dyDescent="0.3">
      <c r="B2211" s="57">
        <v>1790816939829</v>
      </c>
      <c r="C2211" s="58">
        <v>221</v>
      </c>
      <c r="D2211" s="59" t="s">
        <v>1677</v>
      </c>
      <c r="E2211" s="59" t="s">
        <v>3579</v>
      </c>
      <c r="F2211" s="59" t="s">
        <v>3580</v>
      </c>
      <c r="G2211" s="59" t="s">
        <v>3586</v>
      </c>
      <c r="H2211" s="59" t="s">
        <v>2281</v>
      </c>
      <c r="I2211" s="59" t="b">
        <v>1</v>
      </c>
      <c r="J2211" s="59"/>
      <c r="K2211" s="58">
        <v>427</v>
      </c>
      <c r="L2211" s="58">
        <v>1478</v>
      </c>
      <c r="M2211" s="59">
        <v>10</v>
      </c>
      <c r="N2211" s="59">
        <v>10</v>
      </c>
      <c r="O2211" s="59" t="s">
        <v>3581</v>
      </c>
      <c r="P2211" s="58">
        <v>219</v>
      </c>
      <c r="Q2211" s="59">
        <v>0</v>
      </c>
      <c r="R2211" s="59">
        <v>0</v>
      </c>
      <c r="S2211" s="60">
        <f>tblJTL[[#This Row],[timeStamp]]/86400000+DATE(1970,1,1)+TIME(9,0,0)</f>
        <v>46296.4229146875</v>
      </c>
      <c r="T2211" s="57">
        <f>tblJTL[[#This Row],[timeStamp]]+tblJTL[[#This Row],[elapsed]]</f>
        <v>1790816940050</v>
      </c>
      <c r="U2211" s="61">
        <f>(tblJTL[[#This Row],[timeStamp]]-'17_分析サンプル'!$E$18)/1000</f>
        <v>539.649</v>
      </c>
      <c r="V2211" s="57">
        <f>INT(tblJTL[[#This Row],[経過秒]]/60)</f>
        <v>8</v>
      </c>
      <c r="W2211" s="57">
        <f>IF(OR(tblJTL[[#This Row],[success]]=FALSE,tblJTL[[#This Row],[success]]="false"),1,0)</f>
        <v>0</v>
      </c>
      <c r="X2211" s="57">
        <f>IF(AND(tblJTL[[#This Row],[経過秒]]&gt;='17_分析サンプル'!$E$11,tblJTL[[#This Row],[経過秒]]&lt;'17_分析サンプル'!$E$12),1,0)</f>
        <v>1</v>
      </c>
    </row>
    <row r="2212" spans="2:24" ht="14.4" x14ac:dyDescent="0.3">
      <c r="B2212" s="57">
        <v>1790816939985</v>
      </c>
      <c r="C2212" s="58">
        <v>148</v>
      </c>
      <c r="D2212" s="59" t="s">
        <v>1658</v>
      </c>
      <c r="E2212" s="59" t="s">
        <v>1577</v>
      </c>
      <c r="F2212" s="59" t="s">
        <v>2275</v>
      </c>
      <c r="G2212" s="59" t="s">
        <v>3588</v>
      </c>
      <c r="H2212" s="59" t="s">
        <v>2281</v>
      </c>
      <c r="I2212" s="59" t="b">
        <v>1</v>
      </c>
      <c r="J2212" s="59"/>
      <c r="K2212" s="58">
        <v>1900</v>
      </c>
      <c r="L2212" s="58">
        <v>1342</v>
      </c>
      <c r="M2212" s="59">
        <v>10</v>
      </c>
      <c r="N2212" s="59">
        <v>10</v>
      </c>
      <c r="O2212" s="59" t="s">
        <v>3578</v>
      </c>
      <c r="P2212" s="58">
        <v>141</v>
      </c>
      <c r="Q2212" s="59">
        <v>0</v>
      </c>
      <c r="R2212" s="59">
        <v>0</v>
      </c>
      <c r="S2212" s="60">
        <f>tblJTL[[#This Row],[timeStamp]]/86400000+DATE(1970,1,1)+TIME(9,0,0)</f>
        <v>46296.422916493058</v>
      </c>
      <c r="T2212" s="57">
        <f>tblJTL[[#This Row],[timeStamp]]+tblJTL[[#This Row],[elapsed]]</f>
        <v>1790816940133</v>
      </c>
      <c r="U2212" s="61">
        <f>(tblJTL[[#This Row],[timeStamp]]-'17_分析サンプル'!$E$18)/1000</f>
        <v>539.80499999999995</v>
      </c>
      <c r="V2212" s="57">
        <f>INT(tblJTL[[#This Row],[経過秒]]/60)</f>
        <v>8</v>
      </c>
      <c r="W2212" s="57">
        <f>IF(OR(tblJTL[[#This Row],[success]]=FALSE,tblJTL[[#This Row],[success]]="false"),1,0)</f>
        <v>0</v>
      </c>
      <c r="X2212" s="57">
        <f>IF(AND(tblJTL[[#This Row],[経過秒]]&gt;='17_分析サンプル'!$E$11,tblJTL[[#This Row],[経過秒]]&lt;'17_分析サンプル'!$E$12),1,0)</f>
        <v>1</v>
      </c>
    </row>
    <row r="2213" spans="2:24" ht="14.4" x14ac:dyDescent="0.3">
      <c r="B2213" s="57">
        <v>1790816940293</v>
      </c>
      <c r="C2213" s="58">
        <v>172</v>
      </c>
      <c r="D2213" s="59" t="s">
        <v>1658</v>
      </c>
      <c r="E2213" s="59" t="s">
        <v>1577</v>
      </c>
      <c r="F2213" s="59" t="s">
        <v>2275</v>
      </c>
      <c r="G2213" s="59" t="s">
        <v>2278</v>
      </c>
      <c r="H2213" s="59" t="s">
        <v>2281</v>
      </c>
      <c r="I2213" s="59" t="b">
        <v>1</v>
      </c>
      <c r="J2213" s="59"/>
      <c r="K2213" s="58">
        <v>1874</v>
      </c>
      <c r="L2213" s="58">
        <v>1342</v>
      </c>
      <c r="M2213" s="59">
        <v>10</v>
      </c>
      <c r="N2213" s="59">
        <v>10</v>
      </c>
      <c r="O2213" s="59" t="s">
        <v>3578</v>
      </c>
      <c r="P2213" s="58">
        <v>170</v>
      </c>
      <c r="Q2213" s="59">
        <v>0</v>
      </c>
      <c r="R2213" s="59">
        <v>0</v>
      </c>
      <c r="S2213" s="60">
        <f>tblJTL[[#This Row],[timeStamp]]/86400000+DATE(1970,1,1)+TIME(9,0,0)</f>
        <v>46296.42292005787</v>
      </c>
      <c r="T2213" s="57">
        <f>tblJTL[[#This Row],[timeStamp]]+tblJTL[[#This Row],[elapsed]]</f>
        <v>1790816940465</v>
      </c>
      <c r="U2213" s="61">
        <f>(tblJTL[[#This Row],[timeStamp]]-'17_分析サンプル'!$E$18)/1000</f>
        <v>540.11300000000006</v>
      </c>
      <c r="V2213" s="57">
        <f>INT(tblJTL[[#This Row],[経過秒]]/60)</f>
        <v>9</v>
      </c>
      <c r="W2213" s="57">
        <f>IF(OR(tblJTL[[#This Row],[success]]=FALSE,tblJTL[[#This Row],[success]]="false"),1,0)</f>
        <v>0</v>
      </c>
      <c r="X2213" s="57">
        <f>IF(AND(tblJTL[[#This Row],[経過秒]]&gt;='17_分析サンプル'!$E$11,tblJTL[[#This Row],[経過秒]]&lt;'17_分析サンプル'!$E$12),1,0)</f>
        <v>0</v>
      </c>
    </row>
    <row r="2214" spans="2:24" ht="14.4" x14ac:dyDescent="0.3">
      <c r="B2214" s="57">
        <v>1790816940389</v>
      </c>
      <c r="C2214" s="58">
        <v>84</v>
      </c>
      <c r="D2214" s="59" t="s">
        <v>1658</v>
      </c>
      <c r="E2214" s="59" t="s">
        <v>1577</v>
      </c>
      <c r="F2214" s="59" t="s">
        <v>2275</v>
      </c>
      <c r="G2214" s="59" t="s">
        <v>3582</v>
      </c>
      <c r="H2214" s="59" t="s">
        <v>2281</v>
      </c>
      <c r="I2214" s="59" t="b">
        <v>1</v>
      </c>
      <c r="J2214" s="59"/>
      <c r="K2214" s="58">
        <v>1848</v>
      </c>
      <c r="L2214" s="58">
        <v>1342</v>
      </c>
      <c r="M2214" s="59">
        <v>10</v>
      </c>
      <c r="N2214" s="59">
        <v>10</v>
      </c>
      <c r="O2214" s="59" t="s">
        <v>3578</v>
      </c>
      <c r="P2214" s="58">
        <v>82</v>
      </c>
      <c r="Q2214" s="59">
        <v>0</v>
      </c>
      <c r="R2214" s="59">
        <v>0</v>
      </c>
      <c r="S2214" s="60">
        <f>tblJTL[[#This Row],[timeStamp]]/86400000+DATE(1970,1,1)+TIME(9,0,0)</f>
        <v>46296.422921168982</v>
      </c>
      <c r="T2214" s="57">
        <f>tblJTL[[#This Row],[timeStamp]]+tblJTL[[#This Row],[elapsed]]</f>
        <v>1790816940473</v>
      </c>
      <c r="U2214" s="61">
        <f>(tblJTL[[#This Row],[timeStamp]]-'17_分析サンプル'!$E$18)/1000</f>
        <v>540.20899999999995</v>
      </c>
      <c r="V2214" s="57">
        <f>INT(tblJTL[[#This Row],[経過秒]]/60)</f>
        <v>9</v>
      </c>
      <c r="W2214" s="57">
        <f>IF(OR(tblJTL[[#This Row],[success]]=FALSE,tblJTL[[#This Row],[success]]="false"),1,0)</f>
        <v>0</v>
      </c>
      <c r="X2214" s="57">
        <f>IF(AND(tblJTL[[#This Row],[経過秒]]&gt;='17_分析サンプル'!$E$11,tblJTL[[#This Row],[経過秒]]&lt;'17_分析サンプル'!$E$12),1,0)</f>
        <v>0</v>
      </c>
    </row>
    <row r="2215" spans="2:24" ht="14.4" x14ac:dyDescent="0.3">
      <c r="B2215" s="57">
        <v>1790816940441</v>
      </c>
      <c r="C2215" s="58">
        <v>141</v>
      </c>
      <c r="D2215" s="59" t="s">
        <v>1677</v>
      </c>
      <c r="E2215" s="59" t="s">
        <v>3579</v>
      </c>
      <c r="F2215" s="59" t="s">
        <v>3580</v>
      </c>
      <c r="G2215" s="59" t="s">
        <v>3589</v>
      </c>
      <c r="H2215" s="59" t="s">
        <v>2281</v>
      </c>
      <c r="I2215" s="59" t="b">
        <v>1</v>
      </c>
      <c r="J2215" s="59"/>
      <c r="K2215" s="58">
        <v>431</v>
      </c>
      <c r="L2215" s="58">
        <v>1478</v>
      </c>
      <c r="M2215" s="59">
        <v>10</v>
      </c>
      <c r="N2215" s="59">
        <v>10</v>
      </c>
      <c r="O2215" s="59" t="s">
        <v>3581</v>
      </c>
      <c r="P2215" s="58">
        <v>137</v>
      </c>
      <c r="Q2215" s="59">
        <v>0</v>
      </c>
      <c r="R2215" s="59">
        <v>0</v>
      </c>
      <c r="S2215" s="60">
        <f>tblJTL[[#This Row],[timeStamp]]/86400000+DATE(1970,1,1)+TIME(9,0,0)</f>
        <v>46296.422921770834</v>
      </c>
      <c r="T2215" s="57">
        <f>tblJTL[[#This Row],[timeStamp]]+tblJTL[[#This Row],[elapsed]]</f>
        <v>1790816940582</v>
      </c>
      <c r="U2215" s="61">
        <f>(tblJTL[[#This Row],[timeStamp]]-'17_分析サンプル'!$E$18)/1000</f>
        <v>540.26099999999997</v>
      </c>
      <c r="V2215" s="57">
        <f>INT(tblJTL[[#This Row],[経過秒]]/60)</f>
        <v>9</v>
      </c>
      <c r="W2215" s="57">
        <f>IF(OR(tblJTL[[#This Row],[success]]=FALSE,tblJTL[[#This Row],[success]]="false"),1,0)</f>
        <v>0</v>
      </c>
      <c r="X2215" s="57">
        <f>IF(AND(tblJTL[[#This Row],[経過秒]]&gt;='17_分析サンプル'!$E$11,tblJTL[[#This Row],[経過秒]]&lt;'17_分析サンプル'!$E$12),1,0)</f>
        <v>0</v>
      </c>
    </row>
    <row r="2216" spans="2:24" ht="14.4" x14ac:dyDescent="0.3">
      <c r="B2216" s="57">
        <v>1790816940694</v>
      </c>
      <c r="C2216" s="58">
        <v>199</v>
      </c>
      <c r="D2216" s="59" t="s">
        <v>1677</v>
      </c>
      <c r="E2216" s="59" t="s">
        <v>3579</v>
      </c>
      <c r="F2216" s="59" t="s">
        <v>3580</v>
      </c>
      <c r="G2216" s="59" t="s">
        <v>3583</v>
      </c>
      <c r="H2216" s="59" t="s">
        <v>2281</v>
      </c>
      <c r="I2216" s="59" t="b">
        <v>1</v>
      </c>
      <c r="J2216" s="59"/>
      <c r="K2216" s="58">
        <v>420</v>
      </c>
      <c r="L2216" s="58">
        <v>1478</v>
      </c>
      <c r="M2216" s="59">
        <v>10</v>
      </c>
      <c r="N2216" s="59">
        <v>10</v>
      </c>
      <c r="O2216" s="59" t="s">
        <v>3581</v>
      </c>
      <c r="P2216" s="58">
        <v>196</v>
      </c>
      <c r="Q2216" s="59">
        <v>0</v>
      </c>
      <c r="R2216" s="59">
        <v>0</v>
      </c>
      <c r="S2216" s="60">
        <f>tblJTL[[#This Row],[timeStamp]]/86400000+DATE(1970,1,1)+TIME(9,0,0)</f>
        <v>46296.422924699073</v>
      </c>
      <c r="T2216" s="57">
        <f>tblJTL[[#This Row],[timeStamp]]+tblJTL[[#This Row],[elapsed]]</f>
        <v>1790816940893</v>
      </c>
      <c r="U2216" s="61">
        <f>(tblJTL[[#This Row],[timeStamp]]-'17_分析サンプル'!$E$18)/1000</f>
        <v>540.51400000000001</v>
      </c>
      <c r="V2216" s="57">
        <f>INT(tblJTL[[#This Row],[経過秒]]/60)</f>
        <v>9</v>
      </c>
      <c r="W2216" s="57">
        <f>IF(OR(tblJTL[[#This Row],[success]]=FALSE,tblJTL[[#This Row],[success]]="false"),1,0)</f>
        <v>0</v>
      </c>
      <c r="X2216" s="57">
        <f>IF(AND(tblJTL[[#This Row],[経過秒]]&gt;='17_分析サンプル'!$E$11,tblJTL[[#This Row],[経過秒]]&lt;'17_分析サンプル'!$E$12),1,0)</f>
        <v>0</v>
      </c>
    </row>
    <row r="2217" spans="2:24" ht="14.4" x14ac:dyDescent="0.3">
      <c r="B2217" s="57">
        <v>1790816940905</v>
      </c>
      <c r="C2217" s="58">
        <v>274</v>
      </c>
      <c r="D2217" s="59" t="s">
        <v>1677</v>
      </c>
      <c r="E2217" s="59" t="s">
        <v>3579</v>
      </c>
      <c r="F2217" s="59" t="s">
        <v>3580</v>
      </c>
      <c r="G2217" s="59" t="s">
        <v>3585</v>
      </c>
      <c r="H2217" s="59" t="s">
        <v>2281</v>
      </c>
      <c r="I2217" s="59" t="b">
        <v>1</v>
      </c>
      <c r="J2217" s="59"/>
      <c r="K2217" s="58">
        <v>419</v>
      </c>
      <c r="L2217" s="58">
        <v>1478</v>
      </c>
      <c r="M2217" s="59">
        <v>10</v>
      </c>
      <c r="N2217" s="59">
        <v>10</v>
      </c>
      <c r="O2217" s="59" t="s">
        <v>3581</v>
      </c>
      <c r="P2217" s="58">
        <v>269</v>
      </c>
      <c r="Q2217" s="59">
        <v>0</v>
      </c>
      <c r="R2217" s="59">
        <v>0</v>
      </c>
      <c r="S2217" s="60">
        <f>tblJTL[[#This Row],[timeStamp]]/86400000+DATE(1970,1,1)+TIME(9,0,0)</f>
        <v>46296.422927141204</v>
      </c>
      <c r="T2217" s="57">
        <f>tblJTL[[#This Row],[timeStamp]]+tblJTL[[#This Row],[elapsed]]</f>
        <v>1790816941179</v>
      </c>
      <c r="U2217" s="61">
        <f>(tblJTL[[#This Row],[timeStamp]]-'17_分析サンプル'!$E$18)/1000</f>
        <v>540.72500000000002</v>
      </c>
      <c r="V2217" s="57">
        <f>INT(tblJTL[[#This Row],[経過秒]]/60)</f>
        <v>9</v>
      </c>
      <c r="W2217" s="57">
        <f>IF(OR(tblJTL[[#This Row],[success]]=FALSE,tblJTL[[#This Row],[success]]="false"),1,0)</f>
        <v>0</v>
      </c>
      <c r="X2217" s="57">
        <f>IF(AND(tblJTL[[#This Row],[経過秒]]&gt;='17_分析サンプル'!$E$11,tblJTL[[#This Row],[経過秒]]&lt;'17_分析サンプル'!$E$12),1,0)</f>
        <v>0</v>
      </c>
    </row>
    <row r="2218" spans="2:24" ht="14.4" x14ac:dyDescent="0.3">
      <c r="B2218" s="57">
        <v>1790816941179</v>
      </c>
      <c r="C2218" s="58">
        <v>115</v>
      </c>
      <c r="D2218" s="59" t="s">
        <v>1658</v>
      </c>
      <c r="E2218" s="59" t="s">
        <v>1577</v>
      </c>
      <c r="F2218" s="59" t="s">
        <v>2275</v>
      </c>
      <c r="G2218" s="59" t="s">
        <v>3584</v>
      </c>
      <c r="H2218" s="59" t="s">
        <v>2281</v>
      </c>
      <c r="I2218" s="59" t="b">
        <v>1</v>
      </c>
      <c r="J2218" s="59"/>
      <c r="K2218" s="58">
        <v>1892</v>
      </c>
      <c r="L2218" s="58">
        <v>1342</v>
      </c>
      <c r="M2218" s="59">
        <v>10</v>
      </c>
      <c r="N2218" s="59">
        <v>10</v>
      </c>
      <c r="O2218" s="59" t="s">
        <v>3578</v>
      </c>
      <c r="P2218" s="58">
        <v>113</v>
      </c>
      <c r="Q2218" s="59">
        <v>0</v>
      </c>
      <c r="R2218" s="59">
        <v>0</v>
      </c>
      <c r="S2218" s="60">
        <f>tblJTL[[#This Row],[timeStamp]]/86400000+DATE(1970,1,1)+TIME(9,0,0)</f>
        <v>46296.422930312503</v>
      </c>
      <c r="T2218" s="57">
        <f>tblJTL[[#This Row],[timeStamp]]+tblJTL[[#This Row],[elapsed]]</f>
        <v>1790816941294</v>
      </c>
      <c r="U2218" s="61">
        <f>(tblJTL[[#This Row],[timeStamp]]-'17_分析サンプル'!$E$18)/1000</f>
        <v>540.99900000000002</v>
      </c>
      <c r="V2218" s="57">
        <f>INT(tblJTL[[#This Row],[経過秒]]/60)</f>
        <v>9</v>
      </c>
      <c r="W2218" s="57">
        <f>IF(OR(tblJTL[[#This Row],[success]]=FALSE,tblJTL[[#This Row],[success]]="false"),1,0)</f>
        <v>0</v>
      </c>
      <c r="X2218" s="57">
        <f>IF(AND(tblJTL[[#This Row],[経過秒]]&gt;='17_分析サンプル'!$E$11,tblJTL[[#This Row],[経過秒]]&lt;'17_分析サンプル'!$E$12),1,0)</f>
        <v>0</v>
      </c>
    </row>
    <row r="2219" spans="2:24" ht="14.4" x14ac:dyDescent="0.3">
      <c r="B2219" s="57">
        <v>1790816941182</v>
      </c>
      <c r="C2219" s="58">
        <v>113</v>
      </c>
      <c r="D2219" s="59" t="s">
        <v>1658</v>
      </c>
      <c r="E2219" s="59" t="s">
        <v>1577</v>
      </c>
      <c r="F2219" s="59" t="s">
        <v>2275</v>
      </c>
      <c r="G2219" s="59" t="s">
        <v>3587</v>
      </c>
      <c r="H2219" s="59" t="s">
        <v>2281</v>
      </c>
      <c r="I2219" s="59" t="b">
        <v>1</v>
      </c>
      <c r="J2219" s="59"/>
      <c r="K2219" s="58">
        <v>1837</v>
      </c>
      <c r="L2219" s="58">
        <v>1342</v>
      </c>
      <c r="M2219" s="59">
        <v>10</v>
      </c>
      <c r="N2219" s="59">
        <v>10</v>
      </c>
      <c r="O2219" s="59" t="s">
        <v>3578</v>
      </c>
      <c r="P2219" s="58">
        <v>108</v>
      </c>
      <c r="Q2219" s="59">
        <v>0</v>
      </c>
      <c r="R2219" s="59">
        <v>0</v>
      </c>
      <c r="S2219" s="60">
        <f>tblJTL[[#This Row],[timeStamp]]/86400000+DATE(1970,1,1)+TIME(9,0,0)</f>
        <v>46296.422930347224</v>
      </c>
      <c r="T2219" s="57">
        <f>tblJTL[[#This Row],[timeStamp]]+tblJTL[[#This Row],[elapsed]]</f>
        <v>1790816941295</v>
      </c>
      <c r="U2219" s="61">
        <f>(tblJTL[[#This Row],[timeStamp]]-'17_分析サンプル'!$E$18)/1000</f>
        <v>541.00199999999995</v>
      </c>
      <c r="V2219" s="57">
        <f>INT(tblJTL[[#This Row],[経過秒]]/60)</f>
        <v>9</v>
      </c>
      <c r="W2219" s="57">
        <f>IF(OR(tblJTL[[#This Row],[success]]=FALSE,tblJTL[[#This Row],[success]]="false"),1,0)</f>
        <v>0</v>
      </c>
      <c r="X2219" s="57">
        <f>IF(AND(tblJTL[[#This Row],[経過秒]]&gt;='17_分析サンプル'!$E$11,tblJTL[[#This Row],[経過秒]]&lt;'17_分析サンプル'!$E$12),1,0)</f>
        <v>0</v>
      </c>
    </row>
    <row r="2220" spans="2:24" ht="14.4" x14ac:dyDescent="0.3">
      <c r="B2220" s="57">
        <v>1790816941660</v>
      </c>
      <c r="C2220" s="58">
        <v>249</v>
      </c>
      <c r="D2220" s="59" t="s">
        <v>1677</v>
      </c>
      <c r="E2220" s="59" t="s">
        <v>3579</v>
      </c>
      <c r="F2220" s="59" t="s">
        <v>3580</v>
      </c>
      <c r="G2220" s="59" t="s">
        <v>3582</v>
      </c>
      <c r="H2220" s="59" t="s">
        <v>2281</v>
      </c>
      <c r="I2220" s="59" t="b">
        <v>1</v>
      </c>
      <c r="J2220" s="59"/>
      <c r="K2220" s="58">
        <v>429</v>
      </c>
      <c r="L2220" s="58">
        <v>1478</v>
      </c>
      <c r="M2220" s="59">
        <v>10</v>
      </c>
      <c r="N2220" s="59">
        <v>10</v>
      </c>
      <c r="O2220" s="59" t="s">
        <v>3581</v>
      </c>
      <c r="P2220" s="58">
        <v>246</v>
      </c>
      <c r="Q2220" s="59">
        <v>0</v>
      </c>
      <c r="R2220" s="59">
        <v>0</v>
      </c>
      <c r="S2220" s="60">
        <f>tblJTL[[#This Row],[timeStamp]]/86400000+DATE(1970,1,1)+TIME(9,0,0)</f>
        <v>46296.422935879629</v>
      </c>
      <c r="T2220" s="57">
        <f>tblJTL[[#This Row],[timeStamp]]+tblJTL[[#This Row],[elapsed]]</f>
        <v>1790816941909</v>
      </c>
      <c r="U2220" s="61">
        <f>(tblJTL[[#This Row],[timeStamp]]-'17_分析サンプル'!$E$18)/1000</f>
        <v>541.48</v>
      </c>
      <c r="V2220" s="57">
        <f>INT(tblJTL[[#This Row],[経過秒]]/60)</f>
        <v>9</v>
      </c>
      <c r="W2220" s="57">
        <f>IF(OR(tblJTL[[#This Row],[success]]=FALSE,tblJTL[[#This Row],[success]]="false"),1,0)</f>
        <v>0</v>
      </c>
      <c r="X2220" s="57">
        <f>IF(AND(tblJTL[[#This Row],[経過秒]]&gt;='17_分析サンプル'!$E$11,tblJTL[[#This Row],[経過秒]]&lt;'17_分析サンプル'!$E$12),1,0)</f>
        <v>0</v>
      </c>
    </row>
    <row r="2221" spans="2:24" ht="14.4" x14ac:dyDescent="0.3">
      <c r="B2221" s="57">
        <v>1790816941954</v>
      </c>
      <c r="C2221" s="58">
        <v>244</v>
      </c>
      <c r="D2221" s="59" t="s">
        <v>1677</v>
      </c>
      <c r="E2221" s="59" t="s">
        <v>3579</v>
      </c>
      <c r="F2221" s="59" t="s">
        <v>3580</v>
      </c>
      <c r="G2221" s="59" t="s">
        <v>3588</v>
      </c>
      <c r="H2221" s="59" t="s">
        <v>2281</v>
      </c>
      <c r="I2221" s="59" t="b">
        <v>1</v>
      </c>
      <c r="J2221" s="59"/>
      <c r="K2221" s="58">
        <v>422</v>
      </c>
      <c r="L2221" s="58">
        <v>1478</v>
      </c>
      <c r="M2221" s="59">
        <v>10</v>
      </c>
      <c r="N2221" s="59">
        <v>10</v>
      </c>
      <c r="O2221" s="59" t="s">
        <v>3581</v>
      </c>
      <c r="P2221" s="58">
        <v>239</v>
      </c>
      <c r="Q2221" s="59">
        <v>0</v>
      </c>
      <c r="R2221" s="59">
        <v>48</v>
      </c>
      <c r="S2221" s="60">
        <f>tblJTL[[#This Row],[timeStamp]]/86400000+DATE(1970,1,1)+TIME(9,0,0)</f>
        <v>46296.422939282405</v>
      </c>
      <c r="T2221" s="57">
        <f>tblJTL[[#This Row],[timeStamp]]+tblJTL[[#This Row],[elapsed]]</f>
        <v>1790816942198</v>
      </c>
      <c r="U2221" s="61">
        <f>(tblJTL[[#This Row],[timeStamp]]-'17_分析サンプル'!$E$18)/1000</f>
        <v>541.774</v>
      </c>
      <c r="V2221" s="57">
        <f>INT(tblJTL[[#This Row],[経過秒]]/60)</f>
        <v>9</v>
      </c>
      <c r="W2221" s="57">
        <f>IF(OR(tblJTL[[#This Row],[success]]=FALSE,tblJTL[[#This Row],[success]]="false"),1,0)</f>
        <v>0</v>
      </c>
      <c r="X2221" s="57">
        <f>IF(AND(tblJTL[[#This Row],[経過秒]]&gt;='17_分析サンプル'!$E$11,tblJTL[[#This Row],[経過秒]]&lt;'17_分析サンプル'!$E$12),1,0)</f>
        <v>0</v>
      </c>
    </row>
    <row r="2222" spans="2:24" ht="14.4" x14ac:dyDescent="0.3">
      <c r="B2222" s="57">
        <v>1790816942198</v>
      </c>
      <c r="C2222" s="58">
        <v>137</v>
      </c>
      <c r="D2222" s="59" t="s">
        <v>1658</v>
      </c>
      <c r="E2222" s="59" t="s">
        <v>1577</v>
      </c>
      <c r="F2222" s="59" t="s">
        <v>2275</v>
      </c>
      <c r="G2222" s="59" t="s">
        <v>3585</v>
      </c>
      <c r="H2222" s="59" t="s">
        <v>2281</v>
      </c>
      <c r="I2222" s="59" t="b">
        <v>1</v>
      </c>
      <c r="J2222" s="59"/>
      <c r="K2222" s="58">
        <v>1871</v>
      </c>
      <c r="L2222" s="58">
        <v>1342</v>
      </c>
      <c r="M2222" s="59">
        <v>10</v>
      </c>
      <c r="N2222" s="59">
        <v>10</v>
      </c>
      <c r="O2222" s="59" t="s">
        <v>3578</v>
      </c>
      <c r="P2222" s="58">
        <v>132</v>
      </c>
      <c r="Q2222" s="59">
        <v>0</v>
      </c>
      <c r="R2222" s="59">
        <v>0</v>
      </c>
      <c r="S2222" s="60">
        <f>tblJTL[[#This Row],[timeStamp]]/86400000+DATE(1970,1,1)+TIME(9,0,0)</f>
        <v>46296.422942106481</v>
      </c>
      <c r="T2222" s="57">
        <f>tblJTL[[#This Row],[timeStamp]]+tblJTL[[#This Row],[elapsed]]</f>
        <v>1790816942335</v>
      </c>
      <c r="U2222" s="61">
        <f>(tblJTL[[#This Row],[timeStamp]]-'17_分析サンプル'!$E$18)/1000</f>
        <v>542.01800000000003</v>
      </c>
      <c r="V2222" s="57">
        <f>INT(tblJTL[[#This Row],[経過秒]]/60)</f>
        <v>9</v>
      </c>
      <c r="W2222" s="57">
        <f>IF(OR(tblJTL[[#This Row],[success]]=FALSE,tblJTL[[#This Row],[success]]="false"),1,0)</f>
        <v>0</v>
      </c>
      <c r="X2222" s="57">
        <f>IF(AND(tblJTL[[#This Row],[経過秒]]&gt;='17_分析サンプル'!$E$11,tblJTL[[#This Row],[経過秒]]&lt;'17_分析サンプル'!$E$12),1,0)</f>
        <v>0</v>
      </c>
    </row>
    <row r="2223" spans="2:24" ht="14.4" x14ac:dyDescent="0.3">
      <c r="B2223" s="57">
        <v>1790816942359</v>
      </c>
      <c r="C2223" s="58">
        <v>96</v>
      </c>
      <c r="D2223" s="59" t="s">
        <v>1658</v>
      </c>
      <c r="E2223" s="59" t="s">
        <v>1577</v>
      </c>
      <c r="F2223" s="59" t="s">
        <v>2275</v>
      </c>
      <c r="G2223" s="59" t="s">
        <v>3589</v>
      </c>
      <c r="H2223" s="59" t="s">
        <v>2281</v>
      </c>
      <c r="I2223" s="59" t="b">
        <v>1</v>
      </c>
      <c r="J2223" s="59"/>
      <c r="K2223" s="58">
        <v>1898</v>
      </c>
      <c r="L2223" s="58">
        <v>1342</v>
      </c>
      <c r="M2223" s="59">
        <v>10</v>
      </c>
      <c r="N2223" s="59">
        <v>10</v>
      </c>
      <c r="O2223" s="59" t="s">
        <v>3578</v>
      </c>
      <c r="P2223" s="58">
        <v>90</v>
      </c>
      <c r="Q2223" s="59">
        <v>0</v>
      </c>
      <c r="R2223" s="59">
        <v>0</v>
      </c>
      <c r="S2223" s="60">
        <f>tblJTL[[#This Row],[timeStamp]]/86400000+DATE(1970,1,1)+TIME(9,0,0)</f>
        <v>46296.422943969912</v>
      </c>
      <c r="T2223" s="57">
        <f>tblJTL[[#This Row],[timeStamp]]+tblJTL[[#This Row],[elapsed]]</f>
        <v>1790816942455</v>
      </c>
      <c r="U2223" s="61">
        <f>(tblJTL[[#This Row],[timeStamp]]-'17_分析サンプル'!$E$18)/1000</f>
        <v>542.17899999999997</v>
      </c>
      <c r="V2223" s="57">
        <f>INT(tblJTL[[#This Row],[経過秒]]/60)</f>
        <v>9</v>
      </c>
      <c r="W2223" s="57">
        <f>IF(OR(tblJTL[[#This Row],[success]]=FALSE,tblJTL[[#This Row],[success]]="false"),1,0)</f>
        <v>0</v>
      </c>
      <c r="X2223" s="57">
        <f>IF(AND(tblJTL[[#This Row],[経過秒]]&gt;='17_分析サンプル'!$E$11,tblJTL[[#This Row],[経過秒]]&lt;'17_分析サンプル'!$E$12),1,0)</f>
        <v>0</v>
      </c>
    </row>
    <row r="2224" spans="2:24" ht="14.4" x14ac:dyDescent="0.3">
      <c r="B2224" s="57">
        <v>1790816942628</v>
      </c>
      <c r="C2224" s="58">
        <v>110</v>
      </c>
      <c r="D2224" s="59" t="s">
        <v>1658</v>
      </c>
      <c r="E2224" s="59" t="s">
        <v>1577</v>
      </c>
      <c r="F2224" s="59" t="s">
        <v>2275</v>
      </c>
      <c r="G2224" s="59" t="s">
        <v>3586</v>
      </c>
      <c r="H2224" s="59" t="s">
        <v>2281</v>
      </c>
      <c r="I2224" s="59" t="b">
        <v>1</v>
      </c>
      <c r="J2224" s="59"/>
      <c r="K2224" s="58">
        <v>1881</v>
      </c>
      <c r="L2224" s="58">
        <v>1342</v>
      </c>
      <c r="M2224" s="59">
        <v>10</v>
      </c>
      <c r="N2224" s="59">
        <v>10</v>
      </c>
      <c r="O2224" s="59" t="s">
        <v>3578</v>
      </c>
      <c r="P2224" s="58">
        <v>106</v>
      </c>
      <c r="Q2224" s="59">
        <v>0</v>
      </c>
      <c r="R2224" s="59">
        <v>0</v>
      </c>
      <c r="S2224" s="60">
        <f>tblJTL[[#This Row],[timeStamp]]/86400000+DATE(1970,1,1)+TIME(9,0,0)</f>
        <v>46296.422947083338</v>
      </c>
      <c r="T2224" s="57">
        <f>tblJTL[[#This Row],[timeStamp]]+tblJTL[[#This Row],[elapsed]]</f>
        <v>1790816942738</v>
      </c>
      <c r="U2224" s="61">
        <f>(tblJTL[[#This Row],[timeStamp]]-'17_分析サンプル'!$E$18)/1000</f>
        <v>542.44799999999998</v>
      </c>
      <c r="V2224" s="57">
        <f>INT(tblJTL[[#This Row],[経過秒]]/60)</f>
        <v>9</v>
      </c>
      <c r="W2224" s="57">
        <f>IF(OR(tblJTL[[#This Row],[success]]=FALSE,tblJTL[[#This Row],[success]]="false"),1,0)</f>
        <v>0</v>
      </c>
      <c r="X2224" s="57">
        <f>IF(AND(tblJTL[[#This Row],[経過秒]]&gt;='17_分析サンプル'!$E$11,tblJTL[[#This Row],[経過秒]]&lt;'17_分析サンプル'!$E$12),1,0)</f>
        <v>0</v>
      </c>
    </row>
    <row r="2225" spans="2:24" ht="14.4" x14ac:dyDescent="0.3">
      <c r="B2225" s="57">
        <v>1790816942677</v>
      </c>
      <c r="C2225" s="58">
        <v>88</v>
      </c>
      <c r="D2225" s="59" t="s">
        <v>1658</v>
      </c>
      <c r="E2225" s="59" t="s">
        <v>1577</v>
      </c>
      <c r="F2225" s="59" t="s">
        <v>2275</v>
      </c>
      <c r="G2225" s="59" t="s">
        <v>3577</v>
      </c>
      <c r="H2225" s="59" t="s">
        <v>2281</v>
      </c>
      <c r="I2225" s="59" t="b">
        <v>1</v>
      </c>
      <c r="J2225" s="59"/>
      <c r="K2225" s="58">
        <v>1859</v>
      </c>
      <c r="L2225" s="58">
        <v>1342</v>
      </c>
      <c r="M2225" s="59">
        <v>10</v>
      </c>
      <c r="N2225" s="59">
        <v>10</v>
      </c>
      <c r="O2225" s="59" t="s">
        <v>3578</v>
      </c>
      <c r="P2225" s="58">
        <v>82</v>
      </c>
      <c r="Q2225" s="59">
        <v>0</v>
      </c>
      <c r="R2225" s="59">
        <v>0</v>
      </c>
      <c r="S2225" s="60">
        <f>tblJTL[[#This Row],[timeStamp]]/86400000+DATE(1970,1,1)+TIME(9,0,0)</f>
        <v>46296.422947650462</v>
      </c>
      <c r="T2225" s="57">
        <f>tblJTL[[#This Row],[timeStamp]]+tblJTL[[#This Row],[elapsed]]</f>
        <v>1790816942765</v>
      </c>
      <c r="U2225" s="61">
        <f>(tblJTL[[#This Row],[timeStamp]]-'17_分析サンプル'!$E$18)/1000</f>
        <v>542.49699999999996</v>
      </c>
      <c r="V2225" s="57">
        <f>INT(tblJTL[[#This Row],[経過秒]]/60)</f>
        <v>9</v>
      </c>
      <c r="W2225" s="57">
        <f>IF(OR(tblJTL[[#This Row],[success]]=FALSE,tblJTL[[#This Row],[success]]="false"),1,0)</f>
        <v>0</v>
      </c>
      <c r="X2225" s="57">
        <f>IF(AND(tblJTL[[#This Row],[経過秒]]&gt;='17_分析サンプル'!$E$11,tblJTL[[#This Row],[経過秒]]&lt;'17_分析サンプル'!$E$12),1,0)</f>
        <v>0</v>
      </c>
    </row>
    <row r="2226" spans="2:24" ht="14.4" x14ac:dyDescent="0.3">
      <c r="B2226" s="57">
        <v>1790816942829</v>
      </c>
      <c r="C2226" s="58">
        <v>246</v>
      </c>
      <c r="D2226" s="59" t="s">
        <v>1677</v>
      </c>
      <c r="E2226" s="59" t="s">
        <v>3579</v>
      </c>
      <c r="F2226" s="59" t="s">
        <v>3580</v>
      </c>
      <c r="G2226" s="59" t="s">
        <v>3584</v>
      </c>
      <c r="H2226" s="59" t="s">
        <v>2281</v>
      </c>
      <c r="I2226" s="59" t="b">
        <v>1</v>
      </c>
      <c r="J2226" s="59"/>
      <c r="K2226" s="58">
        <v>416</v>
      </c>
      <c r="L2226" s="58">
        <v>1478</v>
      </c>
      <c r="M2226" s="59">
        <v>10</v>
      </c>
      <c r="N2226" s="59">
        <v>10</v>
      </c>
      <c r="O2226" s="59" t="s">
        <v>3581</v>
      </c>
      <c r="P2226" s="58">
        <v>239</v>
      </c>
      <c r="Q2226" s="59">
        <v>0</v>
      </c>
      <c r="R2226" s="59">
        <v>0</v>
      </c>
      <c r="S2226" s="60">
        <f>tblJTL[[#This Row],[timeStamp]]/86400000+DATE(1970,1,1)+TIME(9,0,0)</f>
        <v>46296.422949409724</v>
      </c>
      <c r="T2226" s="57">
        <f>tblJTL[[#This Row],[timeStamp]]+tblJTL[[#This Row],[elapsed]]</f>
        <v>1790816943075</v>
      </c>
      <c r="U2226" s="61">
        <f>(tblJTL[[#This Row],[timeStamp]]-'17_分析サンプル'!$E$18)/1000</f>
        <v>542.649</v>
      </c>
      <c r="V2226" s="57">
        <f>INT(tblJTL[[#This Row],[経過秒]]/60)</f>
        <v>9</v>
      </c>
      <c r="W2226" s="57">
        <f>IF(OR(tblJTL[[#This Row],[success]]=FALSE,tblJTL[[#This Row],[success]]="false"),1,0)</f>
        <v>0</v>
      </c>
      <c r="X2226" s="57">
        <f>IF(AND(tblJTL[[#This Row],[経過秒]]&gt;='17_分析サンプル'!$E$11,tblJTL[[#This Row],[経過秒]]&lt;'17_分析サンプル'!$E$12),1,0)</f>
        <v>0</v>
      </c>
    </row>
    <row r="2227" spans="2:24" ht="14.4" x14ac:dyDescent="0.3">
      <c r="B2227" s="57">
        <v>1790816943802</v>
      </c>
      <c r="C2227" s="58">
        <v>134</v>
      </c>
      <c r="D2227" s="59" t="s">
        <v>1658</v>
      </c>
      <c r="E2227" s="59" t="s">
        <v>1577</v>
      </c>
      <c r="F2227" s="59" t="s">
        <v>2275</v>
      </c>
      <c r="G2227" s="59" t="s">
        <v>3583</v>
      </c>
      <c r="H2227" s="59" t="s">
        <v>2281</v>
      </c>
      <c r="I2227" s="59" t="b">
        <v>1</v>
      </c>
      <c r="J2227" s="59"/>
      <c r="K2227" s="58">
        <v>1873</v>
      </c>
      <c r="L2227" s="58">
        <v>1342</v>
      </c>
      <c r="M2227" s="59">
        <v>10</v>
      </c>
      <c r="N2227" s="59">
        <v>10</v>
      </c>
      <c r="O2227" s="59" t="s">
        <v>3578</v>
      </c>
      <c r="P2227" s="58">
        <v>126</v>
      </c>
      <c r="Q2227" s="59">
        <v>0</v>
      </c>
      <c r="R2227" s="59">
        <v>0</v>
      </c>
      <c r="S2227" s="60">
        <f>tblJTL[[#This Row],[timeStamp]]/86400000+DATE(1970,1,1)+TIME(9,0,0)</f>
        <v>46296.422960671298</v>
      </c>
      <c r="T2227" s="57">
        <f>tblJTL[[#This Row],[timeStamp]]+tblJTL[[#This Row],[elapsed]]</f>
        <v>1790816943936</v>
      </c>
      <c r="U2227" s="61">
        <f>(tblJTL[[#This Row],[timeStamp]]-'17_分析サンプル'!$E$18)/1000</f>
        <v>543.62199999999996</v>
      </c>
      <c r="V2227" s="57">
        <f>INT(tblJTL[[#This Row],[経過秒]]/60)</f>
        <v>9</v>
      </c>
      <c r="W2227" s="57">
        <f>IF(OR(tblJTL[[#This Row],[success]]=FALSE,tblJTL[[#This Row],[success]]="false"),1,0)</f>
        <v>0</v>
      </c>
      <c r="X2227" s="57">
        <f>IF(AND(tblJTL[[#This Row],[経過秒]]&gt;='17_分析サンプル'!$E$11,tblJTL[[#This Row],[経過秒]]&lt;'17_分析サンプル'!$E$12),1,0)</f>
        <v>0</v>
      </c>
    </row>
    <row r="2228" spans="2:24" ht="14.4" x14ac:dyDescent="0.3">
      <c r="B2228" s="57">
        <v>1790816943901</v>
      </c>
      <c r="C2228" s="58">
        <v>156</v>
      </c>
      <c r="D2228" s="59" t="s">
        <v>1658</v>
      </c>
      <c r="E2228" s="59" t="s">
        <v>1577</v>
      </c>
      <c r="F2228" s="59" t="s">
        <v>2275</v>
      </c>
      <c r="G2228" s="59" t="s">
        <v>3588</v>
      </c>
      <c r="H2228" s="59" t="s">
        <v>2281</v>
      </c>
      <c r="I2228" s="59" t="b">
        <v>1</v>
      </c>
      <c r="J2228" s="59"/>
      <c r="K2228" s="58">
        <v>1893</v>
      </c>
      <c r="L2228" s="58">
        <v>1342</v>
      </c>
      <c r="M2228" s="59">
        <v>10</v>
      </c>
      <c r="N2228" s="59">
        <v>10</v>
      </c>
      <c r="O2228" s="59" t="s">
        <v>3578</v>
      </c>
      <c r="P2228" s="58">
        <v>149</v>
      </c>
      <c r="Q2228" s="59">
        <v>0</v>
      </c>
      <c r="R2228" s="59">
        <v>0</v>
      </c>
      <c r="S2228" s="60">
        <f>tblJTL[[#This Row],[timeStamp]]/86400000+DATE(1970,1,1)+TIME(9,0,0)</f>
        <v>46296.42296181713</v>
      </c>
      <c r="T2228" s="57">
        <f>tblJTL[[#This Row],[timeStamp]]+tblJTL[[#This Row],[elapsed]]</f>
        <v>1790816944057</v>
      </c>
      <c r="U2228" s="61">
        <f>(tblJTL[[#This Row],[timeStamp]]-'17_分析サンプル'!$E$18)/1000</f>
        <v>543.721</v>
      </c>
      <c r="V2228" s="57">
        <f>INT(tblJTL[[#This Row],[経過秒]]/60)</f>
        <v>9</v>
      </c>
      <c r="W2228" s="57">
        <f>IF(OR(tblJTL[[#This Row],[success]]=FALSE,tblJTL[[#This Row],[success]]="false"),1,0)</f>
        <v>0</v>
      </c>
      <c r="X2228" s="57">
        <f>IF(AND(tblJTL[[#This Row],[経過秒]]&gt;='17_分析サンプル'!$E$11,tblJTL[[#This Row],[経過秒]]&lt;'17_分析サンプル'!$E$12),1,0)</f>
        <v>0</v>
      </c>
    </row>
    <row r="2229" spans="2:24" ht="14.4" x14ac:dyDescent="0.3">
      <c r="B2229" s="57">
        <v>1790816943948</v>
      </c>
      <c r="C2229" s="58">
        <v>221</v>
      </c>
      <c r="D2229" s="59" t="s">
        <v>1677</v>
      </c>
      <c r="E2229" s="59" t="s">
        <v>3579</v>
      </c>
      <c r="F2229" s="59" t="s">
        <v>3580</v>
      </c>
      <c r="G2229" s="59" t="s">
        <v>3589</v>
      </c>
      <c r="H2229" s="59" t="s">
        <v>2281</v>
      </c>
      <c r="I2229" s="59" t="b">
        <v>1</v>
      </c>
      <c r="J2229" s="59"/>
      <c r="K2229" s="58">
        <v>418</v>
      </c>
      <c r="L2229" s="58">
        <v>1478</v>
      </c>
      <c r="M2229" s="59">
        <v>10</v>
      </c>
      <c r="N2229" s="59">
        <v>10</v>
      </c>
      <c r="O2229" s="59" t="s">
        <v>3581</v>
      </c>
      <c r="P2229" s="58">
        <v>216</v>
      </c>
      <c r="Q2229" s="59">
        <v>0</v>
      </c>
      <c r="R2229" s="59">
        <v>0</v>
      </c>
      <c r="S2229" s="60">
        <f>tblJTL[[#This Row],[timeStamp]]/86400000+DATE(1970,1,1)+TIME(9,0,0)</f>
        <v>46296.42296236111</v>
      </c>
      <c r="T2229" s="57">
        <f>tblJTL[[#This Row],[timeStamp]]+tblJTL[[#This Row],[elapsed]]</f>
        <v>1790816944169</v>
      </c>
      <c r="U2229" s="61">
        <f>(tblJTL[[#This Row],[timeStamp]]-'17_分析サンプル'!$E$18)/1000</f>
        <v>543.76800000000003</v>
      </c>
      <c r="V2229" s="57">
        <f>INT(tblJTL[[#This Row],[経過秒]]/60)</f>
        <v>9</v>
      </c>
      <c r="W2229" s="57">
        <f>IF(OR(tblJTL[[#This Row],[success]]=FALSE,tblJTL[[#This Row],[success]]="false"),1,0)</f>
        <v>0</v>
      </c>
      <c r="X2229" s="57">
        <f>IF(AND(tblJTL[[#This Row],[経過秒]]&gt;='17_分析サンプル'!$E$11,tblJTL[[#This Row],[経過秒]]&lt;'17_分析サンプル'!$E$12),1,0)</f>
        <v>0</v>
      </c>
    </row>
    <row r="2230" spans="2:24" ht="14.4" x14ac:dyDescent="0.3">
      <c r="B2230" s="57">
        <v>1790816944106</v>
      </c>
      <c r="C2230" s="58">
        <v>92</v>
      </c>
      <c r="D2230" s="59" t="s">
        <v>1658</v>
      </c>
      <c r="E2230" s="59" t="s">
        <v>1577</v>
      </c>
      <c r="F2230" s="59" t="s">
        <v>2275</v>
      </c>
      <c r="G2230" s="59" t="s">
        <v>3584</v>
      </c>
      <c r="H2230" s="59" t="s">
        <v>2281</v>
      </c>
      <c r="I2230" s="59" t="b">
        <v>1</v>
      </c>
      <c r="J2230" s="59"/>
      <c r="K2230" s="58">
        <v>1900</v>
      </c>
      <c r="L2230" s="58">
        <v>1342</v>
      </c>
      <c r="M2230" s="59">
        <v>10</v>
      </c>
      <c r="N2230" s="59">
        <v>10</v>
      </c>
      <c r="O2230" s="59" t="s">
        <v>3578</v>
      </c>
      <c r="P2230" s="58">
        <v>84</v>
      </c>
      <c r="Q2230" s="59">
        <v>0</v>
      </c>
      <c r="R2230" s="59">
        <v>0</v>
      </c>
      <c r="S2230" s="60">
        <f>tblJTL[[#This Row],[timeStamp]]/86400000+DATE(1970,1,1)+TIME(9,0,0)</f>
        <v>46296.422964189813</v>
      </c>
      <c r="T2230" s="57">
        <f>tblJTL[[#This Row],[timeStamp]]+tblJTL[[#This Row],[elapsed]]</f>
        <v>1790816944198</v>
      </c>
      <c r="U2230" s="61">
        <f>(tblJTL[[#This Row],[timeStamp]]-'17_分析サンプル'!$E$18)/1000</f>
        <v>543.92600000000004</v>
      </c>
      <c r="V2230" s="57">
        <f>INT(tblJTL[[#This Row],[経過秒]]/60)</f>
        <v>9</v>
      </c>
      <c r="W2230" s="57">
        <f>IF(OR(tblJTL[[#This Row],[success]]=FALSE,tblJTL[[#This Row],[success]]="false"),1,0)</f>
        <v>0</v>
      </c>
      <c r="X2230" s="57">
        <f>IF(AND(tblJTL[[#This Row],[経過秒]]&gt;='17_分析サンプル'!$E$11,tblJTL[[#This Row],[経過秒]]&lt;'17_分析サンプル'!$E$12),1,0)</f>
        <v>0</v>
      </c>
    </row>
    <row r="2231" spans="2:24" ht="14.4" x14ac:dyDescent="0.3">
      <c r="B2231" s="57">
        <v>1790816944234</v>
      </c>
      <c r="C2231" s="58">
        <v>184</v>
      </c>
      <c r="D2231" s="59" t="s">
        <v>1677</v>
      </c>
      <c r="E2231" s="59" t="s">
        <v>3579</v>
      </c>
      <c r="F2231" s="59" t="s">
        <v>3580</v>
      </c>
      <c r="G2231" s="59" t="s">
        <v>3586</v>
      </c>
      <c r="H2231" s="59" t="s">
        <v>2281</v>
      </c>
      <c r="I2231" s="59" t="b">
        <v>1</v>
      </c>
      <c r="J2231" s="59"/>
      <c r="K2231" s="58">
        <v>439</v>
      </c>
      <c r="L2231" s="58">
        <v>1478</v>
      </c>
      <c r="M2231" s="59">
        <v>10</v>
      </c>
      <c r="N2231" s="59">
        <v>10</v>
      </c>
      <c r="O2231" s="59" t="s">
        <v>3581</v>
      </c>
      <c r="P2231" s="58">
        <v>180</v>
      </c>
      <c r="Q2231" s="59">
        <v>0</v>
      </c>
      <c r="R2231" s="59">
        <v>0</v>
      </c>
      <c r="S2231" s="60">
        <f>tblJTL[[#This Row],[timeStamp]]/86400000+DATE(1970,1,1)+TIME(9,0,0)</f>
        <v>46296.4229656713</v>
      </c>
      <c r="T2231" s="57">
        <f>tblJTL[[#This Row],[timeStamp]]+tblJTL[[#This Row],[elapsed]]</f>
        <v>1790816944418</v>
      </c>
      <c r="U2231" s="61">
        <f>(tblJTL[[#This Row],[timeStamp]]-'17_分析サンプル'!$E$18)/1000</f>
        <v>544.05399999999997</v>
      </c>
      <c r="V2231" s="57">
        <f>INT(tblJTL[[#This Row],[経過秒]]/60)</f>
        <v>9</v>
      </c>
      <c r="W2231" s="57">
        <f>IF(OR(tblJTL[[#This Row],[success]]=FALSE,tblJTL[[#This Row],[success]]="false"),1,0)</f>
        <v>0</v>
      </c>
      <c r="X2231" s="57">
        <f>IF(AND(tblJTL[[#This Row],[経過秒]]&gt;='17_分析サンプル'!$E$11,tblJTL[[#This Row],[経過秒]]&lt;'17_分析サンプル'!$E$12),1,0)</f>
        <v>0</v>
      </c>
    </row>
    <row r="2232" spans="2:24" ht="14.4" x14ac:dyDescent="0.3">
      <c r="B2232" s="57">
        <v>1790816944263</v>
      </c>
      <c r="C2232" s="58">
        <v>302</v>
      </c>
      <c r="D2232" s="59" t="s">
        <v>1677</v>
      </c>
      <c r="E2232" s="59" t="s">
        <v>3579</v>
      </c>
      <c r="F2232" s="59" t="s">
        <v>3580</v>
      </c>
      <c r="G2232" s="59" t="s">
        <v>3587</v>
      </c>
      <c r="H2232" s="59" t="s">
        <v>2281</v>
      </c>
      <c r="I2232" s="59" t="b">
        <v>1</v>
      </c>
      <c r="J2232" s="59"/>
      <c r="K2232" s="58">
        <v>436</v>
      </c>
      <c r="L2232" s="58">
        <v>1478</v>
      </c>
      <c r="M2232" s="59">
        <v>10</v>
      </c>
      <c r="N2232" s="59">
        <v>10</v>
      </c>
      <c r="O2232" s="59" t="s">
        <v>3581</v>
      </c>
      <c r="P2232" s="58">
        <v>298</v>
      </c>
      <c r="Q2232" s="59">
        <v>0</v>
      </c>
      <c r="R2232" s="59">
        <v>0</v>
      </c>
      <c r="S2232" s="60">
        <f>tblJTL[[#This Row],[timeStamp]]/86400000+DATE(1970,1,1)+TIME(9,0,0)</f>
        <v>46296.42296600694</v>
      </c>
      <c r="T2232" s="57">
        <f>tblJTL[[#This Row],[timeStamp]]+tblJTL[[#This Row],[elapsed]]</f>
        <v>1790816944565</v>
      </c>
      <c r="U2232" s="61">
        <f>(tblJTL[[#This Row],[timeStamp]]-'17_分析サンプル'!$E$18)/1000</f>
        <v>544.08299999999997</v>
      </c>
      <c r="V2232" s="57">
        <f>INT(tblJTL[[#This Row],[経過秒]]/60)</f>
        <v>9</v>
      </c>
      <c r="W2232" s="57">
        <f>IF(OR(tblJTL[[#This Row],[success]]=FALSE,tblJTL[[#This Row],[success]]="false"),1,0)</f>
        <v>0</v>
      </c>
      <c r="X2232" s="57">
        <f>IF(AND(tblJTL[[#This Row],[経過秒]]&gt;='17_分析サンプル'!$E$11,tblJTL[[#This Row],[経過秒]]&lt;'17_分析サンプル'!$E$12),1,0)</f>
        <v>0</v>
      </c>
    </row>
    <row r="2233" spans="2:24" ht="14.4" x14ac:dyDescent="0.3">
      <c r="B2233" s="57">
        <v>1790816944378</v>
      </c>
      <c r="C2233" s="58">
        <v>295</v>
      </c>
      <c r="D2233" s="59" t="s">
        <v>1677</v>
      </c>
      <c r="E2233" s="59" t="s">
        <v>3579</v>
      </c>
      <c r="F2233" s="59" t="s">
        <v>3580</v>
      </c>
      <c r="G2233" s="59" t="s">
        <v>3585</v>
      </c>
      <c r="H2233" s="59" t="s">
        <v>2281</v>
      </c>
      <c r="I2233" s="59" t="b">
        <v>1</v>
      </c>
      <c r="J2233" s="59"/>
      <c r="K2233" s="58">
        <v>437</v>
      </c>
      <c r="L2233" s="58">
        <v>1478</v>
      </c>
      <c r="M2233" s="59">
        <v>10</v>
      </c>
      <c r="N2233" s="59">
        <v>10</v>
      </c>
      <c r="O2233" s="59" t="s">
        <v>3581</v>
      </c>
      <c r="P2233" s="58">
        <v>288</v>
      </c>
      <c r="Q2233" s="59">
        <v>0</v>
      </c>
      <c r="R2233" s="59">
        <v>0</v>
      </c>
      <c r="S2233" s="60">
        <f>tblJTL[[#This Row],[timeStamp]]/86400000+DATE(1970,1,1)+TIME(9,0,0)</f>
        <v>46296.42296733796</v>
      </c>
      <c r="T2233" s="57">
        <f>tblJTL[[#This Row],[timeStamp]]+tblJTL[[#This Row],[elapsed]]</f>
        <v>1790816944673</v>
      </c>
      <c r="U2233" s="61">
        <f>(tblJTL[[#This Row],[timeStamp]]-'17_分析サンプル'!$E$18)/1000</f>
        <v>544.19799999999998</v>
      </c>
      <c r="V2233" s="57">
        <f>INT(tblJTL[[#This Row],[経過秒]]/60)</f>
        <v>9</v>
      </c>
      <c r="W2233" s="57">
        <f>IF(OR(tblJTL[[#This Row],[success]]=FALSE,tblJTL[[#This Row],[success]]="false"),1,0)</f>
        <v>0</v>
      </c>
      <c r="X2233" s="57">
        <f>IF(AND(tblJTL[[#This Row],[経過秒]]&gt;='17_分析サンプル'!$E$11,tblJTL[[#This Row],[経過秒]]&lt;'17_分析サンプル'!$E$12),1,0)</f>
        <v>0</v>
      </c>
    </row>
    <row r="2234" spans="2:24" ht="14.4" x14ac:dyDescent="0.3">
      <c r="B2234" s="57">
        <v>1790816944652</v>
      </c>
      <c r="C2234" s="58">
        <v>109</v>
      </c>
      <c r="D2234" s="59" t="s">
        <v>1658</v>
      </c>
      <c r="E2234" s="59" t="s">
        <v>1577</v>
      </c>
      <c r="F2234" s="59" t="s">
        <v>2275</v>
      </c>
      <c r="G2234" s="59" t="s">
        <v>3582</v>
      </c>
      <c r="H2234" s="59" t="s">
        <v>2281</v>
      </c>
      <c r="I2234" s="59" t="b">
        <v>1</v>
      </c>
      <c r="J2234" s="59"/>
      <c r="K2234" s="58">
        <v>1851</v>
      </c>
      <c r="L2234" s="58">
        <v>1342</v>
      </c>
      <c r="M2234" s="59">
        <v>10</v>
      </c>
      <c r="N2234" s="59">
        <v>10</v>
      </c>
      <c r="O2234" s="59" t="s">
        <v>3578</v>
      </c>
      <c r="P2234" s="58">
        <v>101</v>
      </c>
      <c r="Q2234" s="59">
        <v>0</v>
      </c>
      <c r="R2234" s="59">
        <v>0</v>
      </c>
      <c r="S2234" s="60">
        <f>tblJTL[[#This Row],[timeStamp]]/86400000+DATE(1970,1,1)+TIME(9,0,0)</f>
        <v>46296.422970509258</v>
      </c>
      <c r="T2234" s="57">
        <f>tblJTL[[#This Row],[timeStamp]]+tblJTL[[#This Row],[elapsed]]</f>
        <v>1790816944761</v>
      </c>
      <c r="U2234" s="61">
        <f>(tblJTL[[#This Row],[timeStamp]]-'17_分析サンプル'!$E$18)/1000</f>
        <v>544.47199999999998</v>
      </c>
      <c r="V2234" s="57">
        <f>INT(tblJTL[[#This Row],[経過秒]]/60)</f>
        <v>9</v>
      </c>
      <c r="W2234" s="57">
        <f>IF(OR(tblJTL[[#This Row],[success]]=FALSE,tblJTL[[#This Row],[success]]="false"),1,0)</f>
        <v>0</v>
      </c>
      <c r="X2234" s="57">
        <f>IF(AND(tblJTL[[#This Row],[経過秒]]&gt;='17_分析サンプル'!$E$11,tblJTL[[#This Row],[経過秒]]&lt;'17_分析サンプル'!$E$12),1,0)</f>
        <v>0</v>
      </c>
    </row>
    <row r="2235" spans="2:24" ht="14.4" x14ac:dyDescent="0.3">
      <c r="B2235" s="57">
        <v>1790816943277</v>
      </c>
      <c r="C2235" s="58">
        <v>2057</v>
      </c>
      <c r="D2235" s="59" t="s">
        <v>1677</v>
      </c>
      <c r="E2235" s="59" t="s">
        <v>3579</v>
      </c>
      <c r="F2235" s="59" t="s">
        <v>3580</v>
      </c>
      <c r="G2235" s="59" t="s">
        <v>2278</v>
      </c>
      <c r="H2235" s="59" t="s">
        <v>2281</v>
      </c>
      <c r="I2235" s="59" t="b">
        <v>1</v>
      </c>
      <c r="J2235" s="59"/>
      <c r="K2235" s="58">
        <v>423</v>
      </c>
      <c r="L2235" s="58">
        <v>1478</v>
      </c>
      <c r="M2235" s="59">
        <v>10</v>
      </c>
      <c r="N2235" s="59">
        <v>10</v>
      </c>
      <c r="O2235" s="59" t="s">
        <v>3581</v>
      </c>
      <c r="P2235" s="58">
        <v>2051</v>
      </c>
      <c r="Q2235" s="59">
        <v>0</v>
      </c>
      <c r="R2235" s="59">
        <v>0</v>
      </c>
      <c r="S2235" s="60">
        <f>tblJTL[[#This Row],[timeStamp]]/86400000+DATE(1970,1,1)+TIME(9,0,0)</f>
        <v>46296.422954594906</v>
      </c>
      <c r="T2235" s="57">
        <f>tblJTL[[#This Row],[timeStamp]]+tblJTL[[#This Row],[elapsed]]</f>
        <v>1790816945334</v>
      </c>
      <c r="U2235" s="61">
        <f>(tblJTL[[#This Row],[timeStamp]]-'17_分析サンプル'!$E$18)/1000</f>
        <v>543.09699999999998</v>
      </c>
      <c r="V2235" s="57">
        <f>INT(tblJTL[[#This Row],[経過秒]]/60)</f>
        <v>9</v>
      </c>
      <c r="W2235" s="57">
        <f>IF(OR(tblJTL[[#This Row],[success]]=FALSE,tblJTL[[#This Row],[success]]="false"),1,0)</f>
        <v>0</v>
      </c>
      <c r="X2235" s="57">
        <f>IF(AND(tblJTL[[#This Row],[経過秒]]&gt;='17_分析サンプル'!$E$11,tblJTL[[#This Row],[経過秒]]&lt;'17_分析サンプル'!$E$12),1,0)</f>
        <v>0</v>
      </c>
    </row>
    <row r="2236" spans="2:24" ht="14.4" x14ac:dyDescent="0.3">
      <c r="B2236" s="57">
        <v>1790816945473</v>
      </c>
      <c r="C2236" s="58">
        <v>277</v>
      </c>
      <c r="D2236" s="59" t="s">
        <v>1677</v>
      </c>
      <c r="E2236" s="59" t="s">
        <v>3579</v>
      </c>
      <c r="F2236" s="59" t="s">
        <v>3580</v>
      </c>
      <c r="G2236" s="59" t="s">
        <v>3584</v>
      </c>
      <c r="H2236" s="59" t="s">
        <v>2281</v>
      </c>
      <c r="I2236" s="59" t="b">
        <v>1</v>
      </c>
      <c r="J2236" s="59"/>
      <c r="K2236" s="58">
        <v>410</v>
      </c>
      <c r="L2236" s="58">
        <v>1478</v>
      </c>
      <c r="M2236" s="59">
        <v>10</v>
      </c>
      <c r="N2236" s="59">
        <v>10</v>
      </c>
      <c r="O2236" s="59" t="s">
        <v>3581</v>
      </c>
      <c r="P2236" s="58">
        <v>270</v>
      </c>
      <c r="Q2236" s="59">
        <v>0</v>
      </c>
      <c r="R2236" s="59">
        <v>0</v>
      </c>
      <c r="S2236" s="60">
        <f>tblJTL[[#This Row],[timeStamp]]/86400000+DATE(1970,1,1)+TIME(9,0,0)</f>
        <v>46296.422980011572</v>
      </c>
      <c r="T2236" s="57">
        <f>tblJTL[[#This Row],[timeStamp]]+tblJTL[[#This Row],[elapsed]]</f>
        <v>1790816945750</v>
      </c>
      <c r="U2236" s="61">
        <f>(tblJTL[[#This Row],[timeStamp]]-'17_分析サンプル'!$E$18)/1000</f>
        <v>545.29300000000001</v>
      </c>
      <c r="V2236" s="57">
        <f>INT(tblJTL[[#This Row],[経過秒]]/60)</f>
        <v>9</v>
      </c>
      <c r="W2236" s="57">
        <f>IF(OR(tblJTL[[#This Row],[success]]=FALSE,tblJTL[[#This Row],[success]]="false"),1,0)</f>
        <v>0</v>
      </c>
      <c r="X2236" s="57">
        <f>IF(AND(tblJTL[[#This Row],[経過秒]]&gt;='17_分析サンプル'!$E$11,tblJTL[[#This Row],[経過秒]]&lt;'17_分析サンプル'!$E$12),1,0)</f>
        <v>0</v>
      </c>
    </row>
    <row r="2237" spans="2:24" ht="14.4" x14ac:dyDescent="0.3">
      <c r="B2237" s="57">
        <v>1790816945513</v>
      </c>
      <c r="C2237" s="58">
        <v>247</v>
      </c>
      <c r="D2237" s="59" t="s">
        <v>1677</v>
      </c>
      <c r="E2237" s="59" t="s">
        <v>3579</v>
      </c>
      <c r="F2237" s="59" t="s">
        <v>3580</v>
      </c>
      <c r="G2237" s="59" t="s">
        <v>3577</v>
      </c>
      <c r="H2237" s="59" t="s">
        <v>2281</v>
      </c>
      <c r="I2237" s="59" t="b">
        <v>1</v>
      </c>
      <c r="J2237" s="59"/>
      <c r="K2237" s="58">
        <v>414</v>
      </c>
      <c r="L2237" s="58">
        <v>1478</v>
      </c>
      <c r="M2237" s="59">
        <v>10</v>
      </c>
      <c r="N2237" s="59">
        <v>10</v>
      </c>
      <c r="O2237" s="59" t="s">
        <v>3581</v>
      </c>
      <c r="P2237" s="58">
        <v>243</v>
      </c>
      <c r="Q2237" s="59">
        <v>0</v>
      </c>
      <c r="R2237" s="59">
        <v>0</v>
      </c>
      <c r="S2237" s="60">
        <f>tblJTL[[#This Row],[timeStamp]]/86400000+DATE(1970,1,1)+TIME(9,0,0)</f>
        <v>46296.422980474541</v>
      </c>
      <c r="T2237" s="57">
        <f>tblJTL[[#This Row],[timeStamp]]+tblJTL[[#This Row],[elapsed]]</f>
        <v>1790816945760</v>
      </c>
      <c r="U2237" s="61">
        <f>(tblJTL[[#This Row],[timeStamp]]-'17_分析サンプル'!$E$18)/1000</f>
        <v>545.33299999999997</v>
      </c>
      <c r="V2237" s="57">
        <f>INT(tblJTL[[#This Row],[経過秒]]/60)</f>
        <v>9</v>
      </c>
      <c r="W2237" s="57">
        <f>IF(OR(tblJTL[[#This Row],[success]]=FALSE,tblJTL[[#This Row],[success]]="false"),1,0)</f>
        <v>0</v>
      </c>
      <c r="X2237" s="57">
        <f>IF(AND(tblJTL[[#This Row],[経過秒]]&gt;='17_分析サンプル'!$E$11,tblJTL[[#This Row],[経過秒]]&lt;'17_分析サンプル'!$E$12),1,0)</f>
        <v>0</v>
      </c>
    </row>
    <row r="2238" spans="2:24" ht="14.4" x14ac:dyDescent="0.3">
      <c r="B2238" s="57">
        <v>1790816946008</v>
      </c>
      <c r="C2238" s="58">
        <v>124</v>
      </c>
      <c r="D2238" s="59" t="s">
        <v>1658</v>
      </c>
      <c r="E2238" s="59" t="s">
        <v>1577</v>
      </c>
      <c r="F2238" s="59" t="s">
        <v>2275</v>
      </c>
      <c r="G2238" s="59" t="s">
        <v>3587</v>
      </c>
      <c r="H2238" s="59" t="s">
        <v>2281</v>
      </c>
      <c r="I2238" s="59" t="b">
        <v>1</v>
      </c>
      <c r="J2238" s="59"/>
      <c r="K2238" s="58">
        <v>1842</v>
      </c>
      <c r="L2238" s="58">
        <v>1342</v>
      </c>
      <c r="M2238" s="59">
        <v>10</v>
      </c>
      <c r="N2238" s="59">
        <v>10</v>
      </c>
      <c r="O2238" s="59" t="s">
        <v>3578</v>
      </c>
      <c r="P2238" s="58">
        <v>118</v>
      </c>
      <c r="Q2238" s="59">
        <v>0</v>
      </c>
      <c r="R2238" s="59">
        <v>0</v>
      </c>
      <c r="S2238" s="60">
        <f>tblJTL[[#This Row],[timeStamp]]/86400000+DATE(1970,1,1)+TIME(9,0,0)</f>
        <v>46296.422986203703</v>
      </c>
      <c r="T2238" s="57">
        <f>tblJTL[[#This Row],[timeStamp]]+tblJTL[[#This Row],[elapsed]]</f>
        <v>1790816946132</v>
      </c>
      <c r="U2238" s="61">
        <f>(tblJTL[[#This Row],[timeStamp]]-'17_分析サンプル'!$E$18)/1000</f>
        <v>545.82799999999997</v>
      </c>
      <c r="V2238" s="57">
        <f>INT(tblJTL[[#This Row],[経過秒]]/60)</f>
        <v>9</v>
      </c>
      <c r="W2238" s="57">
        <f>IF(OR(tblJTL[[#This Row],[success]]=FALSE,tblJTL[[#This Row],[success]]="false"),1,0)</f>
        <v>0</v>
      </c>
      <c r="X2238" s="57">
        <f>IF(AND(tblJTL[[#This Row],[経過秒]]&gt;='17_分析サンプル'!$E$11,tblJTL[[#This Row],[経過秒]]&lt;'17_分析サンプル'!$E$12),1,0)</f>
        <v>0</v>
      </c>
    </row>
    <row r="2239" spans="2:24" ht="14.4" x14ac:dyDescent="0.3">
      <c r="B2239" s="57">
        <v>1790816945972</v>
      </c>
      <c r="C2239" s="58">
        <v>172</v>
      </c>
      <c r="D2239" s="59" t="s">
        <v>1677</v>
      </c>
      <c r="E2239" s="59" t="s">
        <v>3579</v>
      </c>
      <c r="F2239" s="59" t="s">
        <v>3580</v>
      </c>
      <c r="G2239" s="59" t="s">
        <v>3583</v>
      </c>
      <c r="H2239" s="59" t="s">
        <v>2281</v>
      </c>
      <c r="I2239" s="59" t="b">
        <v>1</v>
      </c>
      <c r="J2239" s="59"/>
      <c r="K2239" s="58">
        <v>416</v>
      </c>
      <c r="L2239" s="58">
        <v>1478</v>
      </c>
      <c r="M2239" s="59">
        <v>10</v>
      </c>
      <c r="N2239" s="59">
        <v>10</v>
      </c>
      <c r="O2239" s="59" t="s">
        <v>3581</v>
      </c>
      <c r="P2239" s="58">
        <v>167</v>
      </c>
      <c r="Q2239" s="59">
        <v>0</v>
      </c>
      <c r="R2239" s="59">
        <v>0</v>
      </c>
      <c r="S2239" s="60">
        <f>tblJTL[[#This Row],[timeStamp]]/86400000+DATE(1970,1,1)+TIME(9,0,0)</f>
        <v>46296.422985787038</v>
      </c>
      <c r="T2239" s="57">
        <f>tblJTL[[#This Row],[timeStamp]]+tblJTL[[#This Row],[elapsed]]</f>
        <v>1790816946144</v>
      </c>
      <c r="U2239" s="61">
        <f>(tblJTL[[#This Row],[timeStamp]]-'17_分析サンプル'!$E$18)/1000</f>
        <v>545.79200000000003</v>
      </c>
      <c r="V2239" s="57">
        <f>INT(tblJTL[[#This Row],[経過秒]]/60)</f>
        <v>9</v>
      </c>
      <c r="W2239" s="57">
        <f>IF(OR(tblJTL[[#This Row],[success]]=FALSE,tblJTL[[#This Row],[success]]="false"),1,0)</f>
        <v>0</v>
      </c>
      <c r="X2239" s="57">
        <f>IF(AND(tblJTL[[#This Row],[経過秒]]&gt;='17_分析サンプル'!$E$11,tblJTL[[#This Row],[経過秒]]&lt;'17_分析サンプル'!$E$12),1,0)</f>
        <v>0</v>
      </c>
    </row>
    <row r="2240" spans="2:24" ht="14.4" x14ac:dyDescent="0.3">
      <c r="B2240" s="57">
        <v>1790816946144</v>
      </c>
      <c r="C2240" s="58">
        <v>304</v>
      </c>
      <c r="D2240" s="59" t="s">
        <v>1677</v>
      </c>
      <c r="E2240" s="59" t="s">
        <v>3579</v>
      </c>
      <c r="F2240" s="59" t="s">
        <v>3580</v>
      </c>
      <c r="G2240" s="59" t="s">
        <v>3588</v>
      </c>
      <c r="H2240" s="59" t="s">
        <v>2281</v>
      </c>
      <c r="I2240" s="59" t="b">
        <v>1</v>
      </c>
      <c r="J2240" s="59"/>
      <c r="K2240" s="58">
        <v>431</v>
      </c>
      <c r="L2240" s="58">
        <v>1478</v>
      </c>
      <c r="M2240" s="59">
        <v>10</v>
      </c>
      <c r="N2240" s="59">
        <v>10</v>
      </c>
      <c r="O2240" s="59" t="s">
        <v>3581</v>
      </c>
      <c r="P2240" s="58">
        <v>301</v>
      </c>
      <c r="Q2240" s="59">
        <v>0</v>
      </c>
      <c r="R2240" s="59">
        <v>0</v>
      </c>
      <c r="S2240" s="60">
        <f>tblJTL[[#This Row],[timeStamp]]/86400000+DATE(1970,1,1)+TIME(9,0,0)</f>
        <v>46296.422987777776</v>
      </c>
      <c r="T2240" s="57">
        <f>tblJTL[[#This Row],[timeStamp]]+tblJTL[[#This Row],[elapsed]]</f>
        <v>1790816946448</v>
      </c>
      <c r="U2240" s="61">
        <f>(tblJTL[[#This Row],[timeStamp]]-'17_分析サンプル'!$E$18)/1000</f>
        <v>545.96400000000006</v>
      </c>
      <c r="V2240" s="57">
        <f>INT(tblJTL[[#This Row],[経過秒]]/60)</f>
        <v>9</v>
      </c>
      <c r="W2240" s="57">
        <f>IF(OR(tblJTL[[#This Row],[success]]=FALSE,tblJTL[[#This Row],[success]]="false"),1,0)</f>
        <v>0</v>
      </c>
      <c r="X2240" s="57">
        <f>IF(AND(tblJTL[[#This Row],[経過秒]]&gt;='17_分析サンプル'!$E$11,tblJTL[[#This Row],[経過秒]]&lt;'17_分析サンプル'!$E$12),1,0)</f>
        <v>0</v>
      </c>
    </row>
    <row r="2241" spans="2:24" ht="14.4" x14ac:dyDescent="0.3">
      <c r="B2241" s="57">
        <v>1790816946441</v>
      </c>
      <c r="C2241" s="58">
        <v>123</v>
      </c>
      <c r="D2241" s="59" t="s">
        <v>1658</v>
      </c>
      <c r="E2241" s="59" t="s">
        <v>1577</v>
      </c>
      <c r="F2241" s="59" t="s">
        <v>2275</v>
      </c>
      <c r="G2241" s="59" t="s">
        <v>3589</v>
      </c>
      <c r="H2241" s="59" t="s">
        <v>2281</v>
      </c>
      <c r="I2241" s="59" t="b">
        <v>1</v>
      </c>
      <c r="J2241" s="59"/>
      <c r="K2241" s="58">
        <v>1830</v>
      </c>
      <c r="L2241" s="58">
        <v>1342</v>
      </c>
      <c r="M2241" s="59">
        <v>10</v>
      </c>
      <c r="N2241" s="59">
        <v>10</v>
      </c>
      <c r="O2241" s="59" t="s">
        <v>3578</v>
      </c>
      <c r="P2241" s="58">
        <v>116</v>
      </c>
      <c r="Q2241" s="59">
        <v>0</v>
      </c>
      <c r="R2241" s="59">
        <v>0</v>
      </c>
      <c r="S2241" s="60">
        <f>tblJTL[[#This Row],[timeStamp]]/86400000+DATE(1970,1,1)+TIME(9,0,0)</f>
        <v>46296.42299121528</v>
      </c>
      <c r="T2241" s="57">
        <f>tblJTL[[#This Row],[timeStamp]]+tblJTL[[#This Row],[elapsed]]</f>
        <v>1790816946564</v>
      </c>
      <c r="U2241" s="61">
        <f>(tblJTL[[#This Row],[timeStamp]]-'17_分析サンプル'!$E$18)/1000</f>
        <v>546.26099999999997</v>
      </c>
      <c r="V2241" s="57">
        <f>INT(tblJTL[[#This Row],[経過秒]]/60)</f>
        <v>9</v>
      </c>
      <c r="W2241" s="57">
        <f>IF(OR(tblJTL[[#This Row],[success]]=FALSE,tblJTL[[#This Row],[success]]="false"),1,0)</f>
        <v>0</v>
      </c>
      <c r="X2241" s="57">
        <f>IF(AND(tblJTL[[#This Row],[経過秒]]&gt;='17_分析サンプル'!$E$11,tblJTL[[#This Row],[経過秒]]&lt;'17_分析サンプル'!$E$12),1,0)</f>
        <v>0</v>
      </c>
    </row>
    <row r="2242" spans="2:24" ht="14.4" x14ac:dyDescent="0.3">
      <c r="B2242" s="57">
        <v>1790816946812</v>
      </c>
      <c r="C2242" s="58">
        <v>112</v>
      </c>
      <c r="D2242" s="59" t="s">
        <v>1658</v>
      </c>
      <c r="E2242" s="59" t="s">
        <v>1577</v>
      </c>
      <c r="F2242" s="59" t="s">
        <v>2275</v>
      </c>
      <c r="G2242" s="59" t="s">
        <v>3586</v>
      </c>
      <c r="H2242" s="59" t="s">
        <v>2281</v>
      </c>
      <c r="I2242" s="59" t="b">
        <v>1</v>
      </c>
      <c r="J2242" s="59"/>
      <c r="K2242" s="58">
        <v>1848</v>
      </c>
      <c r="L2242" s="58">
        <v>1342</v>
      </c>
      <c r="M2242" s="59">
        <v>10</v>
      </c>
      <c r="N2242" s="59">
        <v>10</v>
      </c>
      <c r="O2242" s="59" t="s">
        <v>3578</v>
      </c>
      <c r="P2242" s="58">
        <v>106</v>
      </c>
      <c r="Q2242" s="59">
        <v>0</v>
      </c>
      <c r="R2242" s="59">
        <v>0</v>
      </c>
      <c r="S2242" s="60">
        <f>tblJTL[[#This Row],[timeStamp]]/86400000+DATE(1970,1,1)+TIME(9,0,0)</f>
        <v>46296.42299550926</v>
      </c>
      <c r="T2242" s="57">
        <f>tblJTL[[#This Row],[timeStamp]]+tblJTL[[#This Row],[elapsed]]</f>
        <v>1790816946924</v>
      </c>
      <c r="U2242" s="61">
        <f>(tblJTL[[#This Row],[timeStamp]]-'17_分析サンプル'!$E$18)/1000</f>
        <v>546.63199999999995</v>
      </c>
      <c r="V2242" s="57">
        <f>INT(tblJTL[[#This Row],[経過秒]]/60)</f>
        <v>9</v>
      </c>
      <c r="W2242" s="57">
        <f>IF(OR(tblJTL[[#This Row],[success]]=FALSE,tblJTL[[#This Row],[success]]="false"),1,0)</f>
        <v>0</v>
      </c>
      <c r="X2242" s="57">
        <f>IF(AND(tblJTL[[#This Row],[経過秒]]&gt;='17_分析サンプル'!$E$11,tblJTL[[#This Row],[経過秒]]&lt;'17_分析サンプル'!$E$12),1,0)</f>
        <v>0</v>
      </c>
    </row>
    <row r="2243" spans="2:24" ht="14.4" x14ac:dyDescent="0.3">
      <c r="B2243" s="57">
        <v>1790816946886</v>
      </c>
      <c r="C2243" s="58">
        <v>60</v>
      </c>
      <c r="D2243" s="59" t="s">
        <v>1658</v>
      </c>
      <c r="E2243" s="59" t="s">
        <v>1577</v>
      </c>
      <c r="F2243" s="59" t="s">
        <v>2275</v>
      </c>
      <c r="G2243" s="59" t="s">
        <v>3585</v>
      </c>
      <c r="H2243" s="59" t="s">
        <v>2281</v>
      </c>
      <c r="I2243" s="59" t="b">
        <v>1</v>
      </c>
      <c r="J2243" s="59"/>
      <c r="K2243" s="58">
        <v>1855</v>
      </c>
      <c r="L2243" s="58">
        <v>1342</v>
      </c>
      <c r="M2243" s="59">
        <v>10</v>
      </c>
      <c r="N2243" s="59">
        <v>10</v>
      </c>
      <c r="O2243" s="59" t="s">
        <v>3578</v>
      </c>
      <c r="P2243" s="58">
        <v>53</v>
      </c>
      <c r="Q2243" s="59">
        <v>0</v>
      </c>
      <c r="R2243" s="59">
        <v>0</v>
      </c>
      <c r="S2243" s="60">
        <f>tblJTL[[#This Row],[timeStamp]]/86400000+DATE(1970,1,1)+TIME(9,0,0)</f>
        <v>46296.422996365742</v>
      </c>
      <c r="T2243" s="57">
        <f>tblJTL[[#This Row],[timeStamp]]+tblJTL[[#This Row],[elapsed]]</f>
        <v>1790816946946</v>
      </c>
      <c r="U2243" s="61">
        <f>(tblJTL[[#This Row],[timeStamp]]-'17_分析サンプル'!$E$18)/1000</f>
        <v>546.70600000000002</v>
      </c>
      <c r="V2243" s="57">
        <f>INT(tblJTL[[#This Row],[経過秒]]/60)</f>
        <v>9</v>
      </c>
      <c r="W2243" s="57">
        <f>IF(OR(tblJTL[[#This Row],[success]]=FALSE,tblJTL[[#This Row],[success]]="false"),1,0)</f>
        <v>0</v>
      </c>
      <c r="X2243" s="57">
        <f>IF(AND(tblJTL[[#This Row],[経過秒]]&gt;='17_分析サンプル'!$E$11,tblJTL[[#This Row],[経過秒]]&lt;'17_分析サンプル'!$E$12),1,0)</f>
        <v>0</v>
      </c>
    </row>
    <row r="2244" spans="2:24" ht="14.4" x14ac:dyDescent="0.3">
      <c r="B2244" s="57">
        <v>1790816947309</v>
      </c>
      <c r="C2244" s="58">
        <v>180</v>
      </c>
      <c r="D2244" s="59" t="s">
        <v>1658</v>
      </c>
      <c r="E2244" s="59" t="s">
        <v>1577</v>
      </c>
      <c r="F2244" s="59" t="s">
        <v>2275</v>
      </c>
      <c r="G2244" s="59" t="s">
        <v>3577</v>
      </c>
      <c r="H2244" s="59" t="s">
        <v>2281</v>
      </c>
      <c r="I2244" s="59" t="b">
        <v>1</v>
      </c>
      <c r="J2244" s="59"/>
      <c r="K2244" s="58">
        <v>1900</v>
      </c>
      <c r="L2244" s="58">
        <v>1342</v>
      </c>
      <c r="M2244" s="59">
        <v>10</v>
      </c>
      <c r="N2244" s="59">
        <v>10</v>
      </c>
      <c r="O2244" s="59" t="s">
        <v>3578</v>
      </c>
      <c r="P2244" s="58">
        <v>177</v>
      </c>
      <c r="Q2244" s="59">
        <v>0</v>
      </c>
      <c r="R2244" s="59">
        <v>0</v>
      </c>
      <c r="S2244" s="60">
        <f>tblJTL[[#This Row],[timeStamp]]/86400000+DATE(1970,1,1)+TIME(9,0,0)</f>
        <v>46296.423001261574</v>
      </c>
      <c r="T2244" s="57">
        <f>tblJTL[[#This Row],[timeStamp]]+tblJTL[[#This Row],[elapsed]]</f>
        <v>1790816947489</v>
      </c>
      <c r="U2244" s="61">
        <f>(tblJTL[[#This Row],[timeStamp]]-'17_分析サンプル'!$E$18)/1000</f>
        <v>547.12900000000002</v>
      </c>
      <c r="V2244" s="57">
        <f>INT(tblJTL[[#This Row],[経過秒]]/60)</f>
        <v>9</v>
      </c>
      <c r="W2244" s="57">
        <f>IF(OR(tblJTL[[#This Row],[success]]=FALSE,tblJTL[[#This Row],[success]]="false"),1,0)</f>
        <v>0</v>
      </c>
      <c r="X2244" s="57">
        <f>IF(AND(tblJTL[[#This Row],[経過秒]]&gt;='17_分析サンプル'!$E$11,tblJTL[[#This Row],[経過秒]]&lt;'17_分析サンプル'!$E$12),1,0)</f>
        <v>0</v>
      </c>
    </row>
    <row r="2245" spans="2:24" ht="14.4" x14ac:dyDescent="0.3">
      <c r="B2245" s="57">
        <v>1790816947618</v>
      </c>
      <c r="C2245" s="58">
        <v>118</v>
      </c>
      <c r="D2245" s="59" t="s">
        <v>1658</v>
      </c>
      <c r="E2245" s="59" t="s">
        <v>1577</v>
      </c>
      <c r="F2245" s="59" t="s">
        <v>2275</v>
      </c>
      <c r="G2245" s="59" t="s">
        <v>2278</v>
      </c>
      <c r="H2245" s="59" t="s">
        <v>2281</v>
      </c>
      <c r="I2245" s="59" t="b">
        <v>1</v>
      </c>
      <c r="J2245" s="59"/>
      <c r="K2245" s="58">
        <v>1847</v>
      </c>
      <c r="L2245" s="58">
        <v>1342</v>
      </c>
      <c r="M2245" s="59">
        <v>10</v>
      </c>
      <c r="N2245" s="59">
        <v>10</v>
      </c>
      <c r="O2245" s="59" t="s">
        <v>3578</v>
      </c>
      <c r="P2245" s="58">
        <v>111</v>
      </c>
      <c r="Q2245" s="59">
        <v>0</v>
      </c>
      <c r="R2245" s="59">
        <v>0</v>
      </c>
      <c r="S2245" s="60">
        <f>tblJTL[[#This Row],[timeStamp]]/86400000+DATE(1970,1,1)+TIME(9,0,0)</f>
        <v>46296.423004837961</v>
      </c>
      <c r="T2245" s="57">
        <f>tblJTL[[#This Row],[timeStamp]]+tblJTL[[#This Row],[elapsed]]</f>
        <v>1790816947736</v>
      </c>
      <c r="U2245" s="61">
        <f>(tblJTL[[#This Row],[timeStamp]]-'17_分析サンプル'!$E$18)/1000</f>
        <v>547.43799999999999</v>
      </c>
      <c r="V2245" s="57">
        <f>INT(tblJTL[[#This Row],[経過秒]]/60)</f>
        <v>9</v>
      </c>
      <c r="W2245" s="57">
        <f>IF(OR(tblJTL[[#This Row],[success]]=FALSE,tblJTL[[#This Row],[success]]="false"),1,0)</f>
        <v>0</v>
      </c>
      <c r="X2245" s="57">
        <f>IF(AND(tblJTL[[#This Row],[経過秒]]&gt;='17_分析サンプル'!$E$11,tblJTL[[#This Row],[経過秒]]&lt;'17_分析サンプル'!$E$12),1,0)</f>
        <v>0</v>
      </c>
    </row>
    <row r="2246" spans="2:24" ht="14.4" x14ac:dyDescent="0.3">
      <c r="B2246" s="57">
        <v>1790816947522</v>
      </c>
      <c r="C2246" s="58">
        <v>249</v>
      </c>
      <c r="D2246" s="59" t="s">
        <v>1677</v>
      </c>
      <c r="E2246" s="59" t="s">
        <v>3579</v>
      </c>
      <c r="F2246" s="59" t="s">
        <v>3580</v>
      </c>
      <c r="G2246" s="59" t="s">
        <v>3582</v>
      </c>
      <c r="H2246" s="59" t="s">
        <v>2281</v>
      </c>
      <c r="I2246" s="59" t="b">
        <v>1</v>
      </c>
      <c r="J2246" s="59"/>
      <c r="K2246" s="58">
        <v>410</v>
      </c>
      <c r="L2246" s="58">
        <v>1478</v>
      </c>
      <c r="M2246" s="59">
        <v>10</v>
      </c>
      <c r="N2246" s="59">
        <v>10</v>
      </c>
      <c r="O2246" s="59" t="s">
        <v>3581</v>
      </c>
      <c r="P2246" s="58">
        <v>241</v>
      </c>
      <c r="Q2246" s="59">
        <v>0</v>
      </c>
      <c r="R2246" s="59">
        <v>0</v>
      </c>
      <c r="S2246" s="60">
        <f>tblJTL[[#This Row],[timeStamp]]/86400000+DATE(1970,1,1)+TIME(9,0,0)</f>
        <v>46296.423003726857</v>
      </c>
      <c r="T2246" s="57">
        <f>tblJTL[[#This Row],[timeStamp]]+tblJTL[[#This Row],[elapsed]]</f>
        <v>1790816947771</v>
      </c>
      <c r="U2246" s="61">
        <f>(tblJTL[[#This Row],[timeStamp]]-'17_分析サンプル'!$E$18)/1000</f>
        <v>547.34199999999998</v>
      </c>
      <c r="V2246" s="57">
        <f>INT(tblJTL[[#This Row],[経過秒]]/60)</f>
        <v>9</v>
      </c>
      <c r="W2246" s="57">
        <f>IF(OR(tblJTL[[#This Row],[success]]=FALSE,tblJTL[[#This Row],[success]]="false"),1,0)</f>
        <v>0</v>
      </c>
      <c r="X2246" s="57">
        <f>IF(AND(tblJTL[[#This Row],[経過秒]]&gt;='17_分析サンプル'!$E$11,tblJTL[[#This Row],[経過秒]]&lt;'17_分析サンプル'!$E$12),1,0)</f>
        <v>0</v>
      </c>
    </row>
    <row r="2247" spans="2:24" ht="14.4" x14ac:dyDescent="0.3">
      <c r="B2247" s="57">
        <v>1790816947905</v>
      </c>
      <c r="C2247" s="58">
        <v>74</v>
      </c>
      <c r="D2247" s="59" t="s">
        <v>1658</v>
      </c>
      <c r="E2247" s="59" t="s">
        <v>1577</v>
      </c>
      <c r="F2247" s="59" t="s">
        <v>2275</v>
      </c>
      <c r="G2247" s="59" t="s">
        <v>3588</v>
      </c>
      <c r="H2247" s="59" t="s">
        <v>2281</v>
      </c>
      <c r="I2247" s="59" t="b">
        <v>1</v>
      </c>
      <c r="J2247" s="59"/>
      <c r="K2247" s="58">
        <v>1849</v>
      </c>
      <c r="L2247" s="58">
        <v>1342</v>
      </c>
      <c r="M2247" s="59">
        <v>10</v>
      </c>
      <c r="N2247" s="59">
        <v>10</v>
      </c>
      <c r="O2247" s="59" t="s">
        <v>3578</v>
      </c>
      <c r="P2247" s="58">
        <v>69</v>
      </c>
      <c r="Q2247" s="59">
        <v>0</v>
      </c>
      <c r="R2247" s="59">
        <v>0</v>
      </c>
      <c r="S2247" s="60">
        <f>tblJTL[[#This Row],[timeStamp]]/86400000+DATE(1970,1,1)+TIME(9,0,0)</f>
        <v>46296.42300815972</v>
      </c>
      <c r="T2247" s="57">
        <f>tblJTL[[#This Row],[timeStamp]]+tblJTL[[#This Row],[elapsed]]</f>
        <v>1790816947979</v>
      </c>
      <c r="U2247" s="61">
        <f>(tblJTL[[#This Row],[timeStamp]]-'17_分析サンプル'!$E$18)/1000</f>
        <v>547.72500000000002</v>
      </c>
      <c r="V2247" s="57">
        <f>INT(tblJTL[[#This Row],[経過秒]]/60)</f>
        <v>9</v>
      </c>
      <c r="W2247" s="57">
        <f>IF(OR(tblJTL[[#This Row],[success]]=FALSE,tblJTL[[#This Row],[success]]="false"),1,0)</f>
        <v>0</v>
      </c>
      <c r="X2247" s="57">
        <f>IF(AND(tblJTL[[#This Row],[経過秒]]&gt;='17_分析サンプル'!$E$11,tblJTL[[#This Row],[経過秒]]&lt;'17_分析サンプル'!$E$12),1,0)</f>
        <v>0</v>
      </c>
    </row>
    <row r="2248" spans="2:24" ht="14.4" x14ac:dyDescent="0.3">
      <c r="B2248" s="57">
        <v>1790816948061</v>
      </c>
      <c r="C2248" s="58">
        <v>96</v>
      </c>
      <c r="D2248" s="59" t="s">
        <v>1658</v>
      </c>
      <c r="E2248" s="59" t="s">
        <v>1577</v>
      </c>
      <c r="F2248" s="59" t="s">
        <v>2275</v>
      </c>
      <c r="G2248" s="59" t="s">
        <v>3584</v>
      </c>
      <c r="H2248" s="59" t="s">
        <v>2281</v>
      </c>
      <c r="I2248" s="59" t="b">
        <v>1</v>
      </c>
      <c r="J2248" s="59"/>
      <c r="K2248" s="58">
        <v>1875</v>
      </c>
      <c r="L2248" s="58">
        <v>1342</v>
      </c>
      <c r="M2248" s="59">
        <v>10</v>
      </c>
      <c r="N2248" s="59">
        <v>10</v>
      </c>
      <c r="O2248" s="59" t="s">
        <v>3578</v>
      </c>
      <c r="P2248" s="58">
        <v>93</v>
      </c>
      <c r="Q2248" s="59">
        <v>0</v>
      </c>
      <c r="R2248" s="59">
        <v>0</v>
      </c>
      <c r="S2248" s="60">
        <f>tblJTL[[#This Row],[timeStamp]]/86400000+DATE(1970,1,1)+TIME(9,0,0)</f>
        <v>46296.423009965278</v>
      </c>
      <c r="T2248" s="57">
        <f>tblJTL[[#This Row],[timeStamp]]+tblJTL[[#This Row],[elapsed]]</f>
        <v>1790816948157</v>
      </c>
      <c r="U2248" s="61">
        <f>(tblJTL[[#This Row],[timeStamp]]-'17_分析サンプル'!$E$18)/1000</f>
        <v>547.88099999999997</v>
      </c>
      <c r="V2248" s="57">
        <f>INT(tblJTL[[#This Row],[経過秒]]/60)</f>
        <v>9</v>
      </c>
      <c r="W2248" s="57">
        <f>IF(OR(tblJTL[[#This Row],[success]]=FALSE,tblJTL[[#This Row],[success]]="false"),1,0)</f>
        <v>0</v>
      </c>
      <c r="X2248" s="57">
        <f>IF(AND(tblJTL[[#This Row],[経過秒]]&gt;='17_分析サンプル'!$E$11,tblJTL[[#This Row],[経過秒]]&lt;'17_分析サンプル'!$E$12),1,0)</f>
        <v>0</v>
      </c>
    </row>
    <row r="2249" spans="2:24" ht="14.4" x14ac:dyDescent="0.3">
      <c r="B2249" s="57">
        <v>1790816948806</v>
      </c>
      <c r="C2249" s="58">
        <v>98</v>
      </c>
      <c r="D2249" s="59" t="s">
        <v>1658</v>
      </c>
      <c r="E2249" s="59" t="s">
        <v>1577</v>
      </c>
      <c r="F2249" s="59" t="s">
        <v>2275</v>
      </c>
      <c r="G2249" s="59" t="s">
        <v>3583</v>
      </c>
      <c r="H2249" s="59" t="s">
        <v>2281</v>
      </c>
      <c r="I2249" s="59" t="b">
        <v>1</v>
      </c>
      <c r="J2249" s="59"/>
      <c r="K2249" s="58">
        <v>1860</v>
      </c>
      <c r="L2249" s="58">
        <v>1342</v>
      </c>
      <c r="M2249" s="59">
        <v>10</v>
      </c>
      <c r="N2249" s="59">
        <v>10</v>
      </c>
      <c r="O2249" s="59" t="s">
        <v>3578</v>
      </c>
      <c r="P2249" s="58">
        <v>94</v>
      </c>
      <c r="Q2249" s="59">
        <v>0</v>
      </c>
      <c r="R2249" s="59">
        <v>0</v>
      </c>
      <c r="S2249" s="60">
        <f>tblJTL[[#This Row],[timeStamp]]/86400000+DATE(1970,1,1)+TIME(9,0,0)</f>
        <v>46296.423018587964</v>
      </c>
      <c r="T2249" s="57">
        <f>tblJTL[[#This Row],[timeStamp]]+tblJTL[[#This Row],[elapsed]]</f>
        <v>1790816948904</v>
      </c>
      <c r="U2249" s="61">
        <f>(tblJTL[[#This Row],[timeStamp]]-'17_分析サンプル'!$E$18)/1000</f>
        <v>548.62599999999998</v>
      </c>
      <c r="V2249" s="57">
        <f>INT(tblJTL[[#This Row],[経過秒]]/60)</f>
        <v>9</v>
      </c>
      <c r="W2249" s="57">
        <f>IF(OR(tblJTL[[#This Row],[success]]=FALSE,tblJTL[[#This Row],[success]]="false"),1,0)</f>
        <v>0</v>
      </c>
      <c r="X2249" s="57">
        <f>IF(AND(tblJTL[[#This Row],[経過秒]]&gt;='17_分析サンプル'!$E$11,tblJTL[[#This Row],[経過秒]]&lt;'17_分析サンプル'!$E$12),1,0)</f>
        <v>0</v>
      </c>
    </row>
    <row r="2250" spans="2:24" ht="14.4" x14ac:dyDescent="0.3">
      <c r="B2250" s="57">
        <v>1790816948852</v>
      </c>
      <c r="C2250" s="58">
        <v>285</v>
      </c>
      <c r="D2250" s="59" t="s">
        <v>1677</v>
      </c>
      <c r="E2250" s="59" t="s">
        <v>3579</v>
      </c>
      <c r="F2250" s="59" t="s">
        <v>3580</v>
      </c>
      <c r="G2250" s="59" t="s">
        <v>3589</v>
      </c>
      <c r="H2250" s="59" t="s">
        <v>2281</v>
      </c>
      <c r="I2250" s="59" t="b">
        <v>1</v>
      </c>
      <c r="J2250" s="59"/>
      <c r="K2250" s="58">
        <v>418</v>
      </c>
      <c r="L2250" s="58">
        <v>1478</v>
      </c>
      <c r="M2250" s="59">
        <v>10</v>
      </c>
      <c r="N2250" s="59">
        <v>10</v>
      </c>
      <c r="O2250" s="59" t="s">
        <v>3581</v>
      </c>
      <c r="P2250" s="58">
        <v>280</v>
      </c>
      <c r="Q2250" s="59">
        <v>0</v>
      </c>
      <c r="R2250" s="59">
        <v>65</v>
      </c>
      <c r="S2250" s="60">
        <f>tblJTL[[#This Row],[timeStamp]]/86400000+DATE(1970,1,1)+TIME(9,0,0)</f>
        <v>46296.423019120368</v>
      </c>
      <c r="T2250" s="57">
        <f>tblJTL[[#This Row],[timeStamp]]+tblJTL[[#This Row],[elapsed]]</f>
        <v>1790816949137</v>
      </c>
      <c r="U2250" s="61">
        <f>(tblJTL[[#This Row],[timeStamp]]-'17_分析サンプル'!$E$18)/1000</f>
        <v>548.67200000000003</v>
      </c>
      <c r="V2250" s="57">
        <f>INT(tblJTL[[#This Row],[経過秒]]/60)</f>
        <v>9</v>
      </c>
      <c r="W2250" s="57">
        <f>IF(OR(tblJTL[[#This Row],[success]]=FALSE,tblJTL[[#This Row],[success]]="false"),1,0)</f>
        <v>0</v>
      </c>
      <c r="X2250" s="57">
        <f>IF(AND(tblJTL[[#This Row],[経過秒]]&gt;='17_分析サンプル'!$E$11,tblJTL[[#This Row],[経過秒]]&lt;'17_分析サンプル'!$E$12),1,0)</f>
        <v>0</v>
      </c>
    </row>
    <row r="2251" spans="2:24" ht="14.4" x14ac:dyDescent="0.3">
      <c r="B2251" s="57">
        <v>1790816949174</v>
      </c>
      <c r="C2251" s="58">
        <v>77</v>
      </c>
      <c r="D2251" s="59" t="s">
        <v>1658</v>
      </c>
      <c r="E2251" s="59" t="s">
        <v>1577</v>
      </c>
      <c r="F2251" s="59" t="s">
        <v>2275</v>
      </c>
      <c r="G2251" s="59" t="s">
        <v>3582</v>
      </c>
      <c r="H2251" s="59" t="s">
        <v>2281</v>
      </c>
      <c r="I2251" s="59" t="b">
        <v>1</v>
      </c>
      <c r="J2251" s="59"/>
      <c r="K2251" s="58">
        <v>1875</v>
      </c>
      <c r="L2251" s="58">
        <v>1342</v>
      </c>
      <c r="M2251" s="59">
        <v>10</v>
      </c>
      <c r="N2251" s="59">
        <v>10</v>
      </c>
      <c r="O2251" s="59" t="s">
        <v>3578</v>
      </c>
      <c r="P2251" s="58">
        <v>70</v>
      </c>
      <c r="Q2251" s="59">
        <v>0</v>
      </c>
      <c r="R2251" s="59">
        <v>0</v>
      </c>
      <c r="S2251" s="60">
        <f>tblJTL[[#This Row],[timeStamp]]/86400000+DATE(1970,1,1)+TIME(9,0,0)</f>
        <v>46296.423022847222</v>
      </c>
      <c r="T2251" s="57">
        <f>tblJTL[[#This Row],[timeStamp]]+tblJTL[[#This Row],[elapsed]]</f>
        <v>1790816949251</v>
      </c>
      <c r="U2251" s="61">
        <f>(tblJTL[[#This Row],[timeStamp]]-'17_分析サンプル'!$E$18)/1000</f>
        <v>548.99400000000003</v>
      </c>
      <c r="V2251" s="57">
        <f>INT(tblJTL[[#This Row],[経過秒]]/60)</f>
        <v>9</v>
      </c>
      <c r="W2251" s="57">
        <f>IF(OR(tblJTL[[#This Row],[success]]=FALSE,tblJTL[[#This Row],[success]]="false"),1,0)</f>
        <v>0</v>
      </c>
      <c r="X2251" s="57">
        <f>IF(AND(tblJTL[[#This Row],[経過秒]]&gt;='17_分析サンプル'!$E$11,tblJTL[[#This Row],[経過秒]]&lt;'17_分析サンプル'!$E$12),1,0)</f>
        <v>0</v>
      </c>
    </row>
    <row r="2252" spans="2:24" ht="14.4" x14ac:dyDescent="0.3">
      <c r="B2252" s="57">
        <v>1790816949047</v>
      </c>
      <c r="C2252" s="58">
        <v>285</v>
      </c>
      <c r="D2252" s="59" t="s">
        <v>1677</v>
      </c>
      <c r="E2252" s="59" t="s">
        <v>3579</v>
      </c>
      <c r="F2252" s="59" t="s">
        <v>3580</v>
      </c>
      <c r="G2252" s="59" t="s">
        <v>3577</v>
      </c>
      <c r="H2252" s="59" t="s">
        <v>2281</v>
      </c>
      <c r="I2252" s="59" t="b">
        <v>1</v>
      </c>
      <c r="J2252" s="59"/>
      <c r="K2252" s="58">
        <v>438</v>
      </c>
      <c r="L2252" s="58">
        <v>1478</v>
      </c>
      <c r="M2252" s="59">
        <v>10</v>
      </c>
      <c r="N2252" s="59">
        <v>10</v>
      </c>
      <c r="O2252" s="59" t="s">
        <v>3581</v>
      </c>
      <c r="P2252" s="58">
        <v>282</v>
      </c>
      <c r="Q2252" s="59">
        <v>0</v>
      </c>
      <c r="R2252" s="59">
        <v>0</v>
      </c>
      <c r="S2252" s="60">
        <f>tblJTL[[#This Row],[timeStamp]]/86400000+DATE(1970,1,1)+TIME(9,0,0)</f>
        <v>46296.423021377312</v>
      </c>
      <c r="T2252" s="57">
        <f>tblJTL[[#This Row],[timeStamp]]+tblJTL[[#This Row],[elapsed]]</f>
        <v>1790816949332</v>
      </c>
      <c r="U2252" s="61">
        <f>(tblJTL[[#This Row],[timeStamp]]-'17_分析サンプル'!$E$18)/1000</f>
        <v>548.86699999999996</v>
      </c>
      <c r="V2252" s="57">
        <f>INT(tblJTL[[#This Row],[経過秒]]/60)</f>
        <v>9</v>
      </c>
      <c r="W2252" s="57">
        <f>IF(OR(tblJTL[[#This Row],[success]]=FALSE,tblJTL[[#This Row],[success]]="false"),1,0)</f>
        <v>0</v>
      </c>
      <c r="X2252" s="57">
        <f>IF(AND(tblJTL[[#This Row],[経過秒]]&gt;='17_分析サンプル'!$E$11,tblJTL[[#This Row],[経過秒]]&lt;'17_分析サンプル'!$E$12),1,0)</f>
        <v>0</v>
      </c>
    </row>
    <row r="2253" spans="2:24" ht="14.4" x14ac:dyDescent="0.3">
      <c r="B2253" s="57">
        <v>1790816948718</v>
      </c>
      <c r="C2253" s="58">
        <v>728</v>
      </c>
      <c r="D2253" s="59" t="s">
        <v>1677</v>
      </c>
      <c r="E2253" s="59" t="s">
        <v>3579</v>
      </c>
      <c r="F2253" s="59" t="s">
        <v>3580</v>
      </c>
      <c r="G2253" s="59" t="s">
        <v>3587</v>
      </c>
      <c r="H2253" s="59" t="s">
        <v>2281</v>
      </c>
      <c r="I2253" s="59" t="b">
        <v>1</v>
      </c>
      <c r="J2253" s="59"/>
      <c r="K2253" s="58">
        <v>413</v>
      </c>
      <c r="L2253" s="58">
        <v>1478</v>
      </c>
      <c r="M2253" s="59">
        <v>10</v>
      </c>
      <c r="N2253" s="59">
        <v>10</v>
      </c>
      <c r="O2253" s="59" t="s">
        <v>3581</v>
      </c>
      <c r="P2253" s="58">
        <v>723</v>
      </c>
      <c r="Q2253" s="59">
        <v>0</v>
      </c>
      <c r="R2253" s="59">
        <v>0</v>
      </c>
      <c r="S2253" s="60">
        <f>tblJTL[[#This Row],[timeStamp]]/86400000+DATE(1970,1,1)+TIME(9,0,0)</f>
        <v>46296.423017569439</v>
      </c>
      <c r="T2253" s="57">
        <f>tblJTL[[#This Row],[timeStamp]]+tblJTL[[#This Row],[elapsed]]</f>
        <v>1790816949446</v>
      </c>
      <c r="U2253" s="61">
        <f>(tblJTL[[#This Row],[timeStamp]]-'17_分析サンプル'!$E$18)/1000</f>
        <v>548.53800000000001</v>
      </c>
      <c r="V2253" s="57">
        <f>INT(tblJTL[[#This Row],[経過秒]]/60)</f>
        <v>9</v>
      </c>
      <c r="W2253" s="57">
        <f>IF(OR(tblJTL[[#This Row],[success]]=FALSE,tblJTL[[#This Row],[success]]="false"),1,0)</f>
        <v>0</v>
      </c>
      <c r="X2253" s="57">
        <f>IF(AND(tblJTL[[#This Row],[経過秒]]&gt;='17_分析サンプル'!$E$11,tblJTL[[#This Row],[経過秒]]&lt;'17_分析サンプル'!$E$12),1,0)</f>
        <v>0</v>
      </c>
    </row>
    <row r="2254" spans="2:24" ht="14.4" x14ac:dyDescent="0.3">
      <c r="B2254" s="57">
        <v>1790816949450</v>
      </c>
      <c r="C2254" s="58">
        <v>322</v>
      </c>
      <c r="D2254" s="59" t="s">
        <v>1677</v>
      </c>
      <c r="E2254" s="59" t="s">
        <v>3579</v>
      </c>
      <c r="F2254" s="59" t="s">
        <v>3580</v>
      </c>
      <c r="G2254" s="59" t="s">
        <v>3586</v>
      </c>
      <c r="H2254" s="59" t="s">
        <v>2281</v>
      </c>
      <c r="I2254" s="59" t="b">
        <v>1</v>
      </c>
      <c r="J2254" s="59"/>
      <c r="K2254" s="58">
        <v>434</v>
      </c>
      <c r="L2254" s="58">
        <v>1478</v>
      </c>
      <c r="M2254" s="59">
        <v>10</v>
      </c>
      <c r="N2254" s="59">
        <v>10</v>
      </c>
      <c r="O2254" s="59" t="s">
        <v>3581</v>
      </c>
      <c r="P2254" s="58">
        <v>314</v>
      </c>
      <c r="Q2254" s="59">
        <v>0</v>
      </c>
      <c r="R2254" s="59">
        <v>0</v>
      </c>
      <c r="S2254" s="60">
        <f>tblJTL[[#This Row],[timeStamp]]/86400000+DATE(1970,1,1)+TIME(9,0,0)</f>
        <v>46296.423026041666</v>
      </c>
      <c r="T2254" s="57">
        <f>tblJTL[[#This Row],[timeStamp]]+tblJTL[[#This Row],[elapsed]]</f>
        <v>1790816949772</v>
      </c>
      <c r="U2254" s="61">
        <f>(tblJTL[[#This Row],[timeStamp]]-'17_分析サンプル'!$E$18)/1000</f>
        <v>549.27</v>
      </c>
      <c r="V2254" s="57">
        <f>INT(tblJTL[[#This Row],[経過秒]]/60)</f>
        <v>9</v>
      </c>
      <c r="W2254" s="57">
        <f>IF(OR(tblJTL[[#This Row],[success]]=FALSE,tblJTL[[#This Row],[success]]="false"),1,0)</f>
        <v>0</v>
      </c>
      <c r="X2254" s="57">
        <f>IF(AND(tblJTL[[#This Row],[経過秒]]&gt;='17_分析サンプル'!$E$11,tblJTL[[#This Row],[経過秒]]&lt;'17_分析サンプル'!$E$12),1,0)</f>
        <v>0</v>
      </c>
    </row>
    <row r="2255" spans="2:24" ht="14.4" x14ac:dyDescent="0.3">
      <c r="B2255" s="57">
        <v>1790816949614</v>
      </c>
      <c r="C2255" s="58">
        <v>251</v>
      </c>
      <c r="D2255" s="59" t="s">
        <v>1677</v>
      </c>
      <c r="E2255" s="59" t="s">
        <v>3579</v>
      </c>
      <c r="F2255" s="59" t="s">
        <v>3580</v>
      </c>
      <c r="G2255" s="59" t="s">
        <v>3585</v>
      </c>
      <c r="H2255" s="59" t="s">
        <v>2281</v>
      </c>
      <c r="I2255" s="59" t="b">
        <v>1</v>
      </c>
      <c r="J2255" s="59"/>
      <c r="K2255" s="58">
        <v>416</v>
      </c>
      <c r="L2255" s="58">
        <v>1478</v>
      </c>
      <c r="M2255" s="59">
        <v>10</v>
      </c>
      <c r="N2255" s="59">
        <v>10</v>
      </c>
      <c r="O2255" s="59" t="s">
        <v>3581</v>
      </c>
      <c r="P2255" s="58">
        <v>246</v>
      </c>
      <c r="Q2255" s="59">
        <v>0</v>
      </c>
      <c r="R2255" s="59">
        <v>0</v>
      </c>
      <c r="S2255" s="60">
        <f>tblJTL[[#This Row],[timeStamp]]/86400000+DATE(1970,1,1)+TIME(9,0,0)</f>
        <v>46296.423027939818</v>
      </c>
      <c r="T2255" s="57">
        <f>tblJTL[[#This Row],[timeStamp]]+tblJTL[[#This Row],[elapsed]]</f>
        <v>1790816949865</v>
      </c>
      <c r="U2255" s="61">
        <f>(tblJTL[[#This Row],[timeStamp]]-'17_分析サンプル'!$E$18)/1000</f>
        <v>549.43399999999997</v>
      </c>
      <c r="V2255" s="57">
        <f>INT(tblJTL[[#This Row],[経過秒]]/60)</f>
        <v>9</v>
      </c>
      <c r="W2255" s="57">
        <f>IF(OR(tblJTL[[#This Row],[success]]=FALSE,tblJTL[[#This Row],[success]]="false"),1,0)</f>
        <v>0</v>
      </c>
      <c r="X2255" s="57">
        <f>IF(AND(tblJTL[[#This Row],[経過秒]]&gt;='17_分析サンプル'!$E$11,tblJTL[[#This Row],[経過秒]]&lt;'17_分析サンプル'!$E$12),1,0)</f>
        <v>0</v>
      </c>
    </row>
    <row r="2256" spans="2:24" ht="14.4" x14ac:dyDescent="0.3">
      <c r="B2256" s="57">
        <v>1790816949773</v>
      </c>
      <c r="C2256" s="58">
        <v>291</v>
      </c>
      <c r="D2256" s="59" t="s">
        <v>1677</v>
      </c>
      <c r="E2256" s="59" t="s">
        <v>3579</v>
      </c>
      <c r="F2256" s="59" t="s">
        <v>3580</v>
      </c>
      <c r="G2256" s="59" t="s">
        <v>2278</v>
      </c>
      <c r="H2256" s="59" t="s">
        <v>2281</v>
      </c>
      <c r="I2256" s="59" t="b">
        <v>1</v>
      </c>
      <c r="J2256" s="59"/>
      <c r="K2256" s="58">
        <v>427</v>
      </c>
      <c r="L2256" s="58">
        <v>1478</v>
      </c>
      <c r="M2256" s="59">
        <v>10</v>
      </c>
      <c r="N2256" s="59">
        <v>10</v>
      </c>
      <c r="O2256" s="59" t="s">
        <v>3581</v>
      </c>
      <c r="P2256" s="58">
        <v>284</v>
      </c>
      <c r="Q2256" s="59">
        <v>0</v>
      </c>
      <c r="R2256" s="59">
        <v>0</v>
      </c>
      <c r="S2256" s="60">
        <f>tblJTL[[#This Row],[timeStamp]]/86400000+DATE(1970,1,1)+TIME(9,0,0)</f>
        <v>46296.423029780097</v>
      </c>
      <c r="T2256" s="57">
        <f>tblJTL[[#This Row],[timeStamp]]+tblJTL[[#This Row],[elapsed]]</f>
        <v>1790816950064</v>
      </c>
      <c r="U2256" s="61">
        <f>(tblJTL[[#This Row],[timeStamp]]-'17_分析サンプル'!$E$18)/1000</f>
        <v>549.59299999999996</v>
      </c>
      <c r="V2256" s="57">
        <f>INT(tblJTL[[#This Row],[経過秒]]/60)</f>
        <v>9</v>
      </c>
      <c r="W2256" s="57">
        <f>IF(OR(tblJTL[[#This Row],[success]]=FALSE,tblJTL[[#This Row],[success]]="false"),1,0)</f>
        <v>0</v>
      </c>
      <c r="X2256" s="57">
        <f>IF(AND(tblJTL[[#This Row],[経過秒]]&gt;='17_分析サンプル'!$E$11,tblJTL[[#This Row],[経過秒]]&lt;'17_分析サンプル'!$E$12),1,0)</f>
        <v>0</v>
      </c>
    </row>
    <row r="2257" spans="2:24" ht="14.4" x14ac:dyDescent="0.3">
      <c r="B2257" s="57">
        <v>1790816950170</v>
      </c>
      <c r="C2257" s="58">
        <v>143</v>
      </c>
      <c r="D2257" s="59" t="s">
        <v>1677</v>
      </c>
      <c r="E2257" s="59" t="s">
        <v>3579</v>
      </c>
      <c r="F2257" s="59" t="s">
        <v>3580</v>
      </c>
      <c r="G2257" s="59" t="s">
        <v>3584</v>
      </c>
      <c r="H2257" s="59" t="s">
        <v>2281</v>
      </c>
      <c r="I2257" s="59" t="b">
        <v>1</v>
      </c>
      <c r="J2257" s="59"/>
      <c r="K2257" s="58">
        <v>417</v>
      </c>
      <c r="L2257" s="58">
        <v>1478</v>
      </c>
      <c r="M2257" s="59">
        <v>10</v>
      </c>
      <c r="N2257" s="59">
        <v>10</v>
      </c>
      <c r="O2257" s="59" t="s">
        <v>3581</v>
      </c>
      <c r="P2257" s="58">
        <v>136</v>
      </c>
      <c r="Q2257" s="59">
        <v>0</v>
      </c>
      <c r="R2257" s="59">
        <v>0</v>
      </c>
      <c r="S2257" s="60">
        <f>tblJTL[[#This Row],[timeStamp]]/86400000+DATE(1970,1,1)+TIME(9,0,0)</f>
        <v>46296.423034374995</v>
      </c>
      <c r="T2257" s="57">
        <f>tblJTL[[#This Row],[timeStamp]]+tblJTL[[#This Row],[elapsed]]</f>
        <v>1790816950313</v>
      </c>
      <c r="U2257" s="61">
        <f>(tblJTL[[#This Row],[timeStamp]]-'17_分析サンプル'!$E$18)/1000</f>
        <v>549.99</v>
      </c>
      <c r="V2257" s="57">
        <f>INT(tblJTL[[#This Row],[経過秒]]/60)</f>
        <v>9</v>
      </c>
      <c r="W2257" s="57">
        <f>IF(OR(tblJTL[[#This Row],[success]]=FALSE,tblJTL[[#This Row],[success]]="false"),1,0)</f>
        <v>0</v>
      </c>
      <c r="X2257" s="57">
        <f>IF(AND(tblJTL[[#This Row],[経過秒]]&gt;='17_分析サンプル'!$E$11,tblJTL[[#This Row],[経過秒]]&lt;'17_分析サンプル'!$E$12),1,0)</f>
        <v>0</v>
      </c>
    </row>
    <row r="2258" spans="2:24" ht="14.4" x14ac:dyDescent="0.3">
      <c r="B2258" s="57">
        <v>1790816950839</v>
      </c>
      <c r="C2258" s="58">
        <v>199</v>
      </c>
      <c r="D2258" s="59" t="s">
        <v>1677</v>
      </c>
      <c r="E2258" s="59" t="s">
        <v>3579</v>
      </c>
      <c r="F2258" s="59" t="s">
        <v>3580</v>
      </c>
      <c r="G2258" s="59" t="s">
        <v>3588</v>
      </c>
      <c r="H2258" s="59" t="s">
        <v>2281</v>
      </c>
      <c r="I2258" s="59" t="b">
        <v>1</v>
      </c>
      <c r="J2258" s="59"/>
      <c r="K2258" s="58">
        <v>413</v>
      </c>
      <c r="L2258" s="58">
        <v>1478</v>
      </c>
      <c r="M2258" s="59">
        <v>10</v>
      </c>
      <c r="N2258" s="59">
        <v>10</v>
      </c>
      <c r="O2258" s="59" t="s">
        <v>3581</v>
      </c>
      <c r="P2258" s="58">
        <v>194</v>
      </c>
      <c r="Q2258" s="59">
        <v>0</v>
      </c>
      <c r="R2258" s="59">
        <v>0</v>
      </c>
      <c r="S2258" s="60">
        <f>tblJTL[[#This Row],[timeStamp]]/86400000+DATE(1970,1,1)+TIME(9,0,0)</f>
        <v>46296.423042118055</v>
      </c>
      <c r="T2258" s="57">
        <f>tblJTL[[#This Row],[timeStamp]]+tblJTL[[#This Row],[elapsed]]</f>
        <v>1790816951038</v>
      </c>
      <c r="U2258" s="61">
        <f>(tblJTL[[#This Row],[timeStamp]]-'17_分析サンプル'!$E$18)/1000</f>
        <v>550.65899999999999</v>
      </c>
      <c r="V2258" s="57">
        <f>INT(tblJTL[[#This Row],[経過秒]]/60)</f>
        <v>9</v>
      </c>
      <c r="W2258" s="57">
        <f>IF(OR(tblJTL[[#This Row],[success]]=FALSE,tblJTL[[#This Row],[success]]="false"),1,0)</f>
        <v>0</v>
      </c>
      <c r="X2258" s="57">
        <f>IF(AND(tblJTL[[#This Row],[経過秒]]&gt;='17_分析サンプル'!$E$11,tblJTL[[#This Row],[経過秒]]&lt;'17_分析サンプル'!$E$12),1,0)</f>
        <v>0</v>
      </c>
    </row>
    <row r="2259" spans="2:24" ht="14.4" x14ac:dyDescent="0.3">
      <c r="B2259" s="57">
        <v>1790816951082</v>
      </c>
      <c r="C2259" s="58">
        <v>75</v>
      </c>
      <c r="D2259" s="59" t="s">
        <v>1658</v>
      </c>
      <c r="E2259" s="59" t="s">
        <v>1577</v>
      </c>
      <c r="F2259" s="59" t="s">
        <v>2275</v>
      </c>
      <c r="G2259" s="59" t="s">
        <v>3586</v>
      </c>
      <c r="H2259" s="59" t="s">
        <v>2281</v>
      </c>
      <c r="I2259" s="59" t="b">
        <v>1</v>
      </c>
      <c r="J2259" s="59"/>
      <c r="K2259" s="58">
        <v>1830</v>
      </c>
      <c r="L2259" s="58">
        <v>1342</v>
      </c>
      <c r="M2259" s="59">
        <v>10</v>
      </c>
      <c r="N2259" s="59">
        <v>10</v>
      </c>
      <c r="O2259" s="59" t="s">
        <v>3578</v>
      </c>
      <c r="P2259" s="58">
        <v>69</v>
      </c>
      <c r="Q2259" s="59">
        <v>0</v>
      </c>
      <c r="R2259" s="59">
        <v>0</v>
      </c>
      <c r="S2259" s="60">
        <f>tblJTL[[#This Row],[timeStamp]]/86400000+DATE(1970,1,1)+TIME(9,0,0)</f>
        <v>46296.423044930554</v>
      </c>
      <c r="T2259" s="57">
        <f>tblJTL[[#This Row],[timeStamp]]+tblJTL[[#This Row],[elapsed]]</f>
        <v>1790816951157</v>
      </c>
      <c r="U2259" s="61">
        <f>(tblJTL[[#This Row],[timeStamp]]-'17_分析サンプル'!$E$18)/1000</f>
        <v>550.90200000000004</v>
      </c>
      <c r="V2259" s="57">
        <f>INT(tblJTL[[#This Row],[経過秒]]/60)</f>
        <v>9</v>
      </c>
      <c r="W2259" s="57">
        <f>IF(OR(tblJTL[[#This Row],[success]]=FALSE,tblJTL[[#This Row],[success]]="false"),1,0)</f>
        <v>0</v>
      </c>
      <c r="X2259" s="57">
        <f>IF(AND(tblJTL[[#This Row],[経過秒]]&gt;='17_分析サンプル'!$E$11,tblJTL[[#This Row],[経過秒]]&lt;'17_分析サンプル'!$E$12),1,0)</f>
        <v>0</v>
      </c>
    </row>
    <row r="2260" spans="2:24" ht="14.4" x14ac:dyDescent="0.3">
      <c r="B2260" s="57">
        <v>1790816951092</v>
      </c>
      <c r="C2260" s="58">
        <v>129</v>
      </c>
      <c r="D2260" s="59" t="s">
        <v>1658</v>
      </c>
      <c r="E2260" s="59" t="s">
        <v>1577</v>
      </c>
      <c r="F2260" s="59" t="s">
        <v>2275</v>
      </c>
      <c r="G2260" s="59" t="s">
        <v>3589</v>
      </c>
      <c r="H2260" s="59" t="s">
        <v>2281</v>
      </c>
      <c r="I2260" s="59" t="b">
        <v>1</v>
      </c>
      <c r="J2260" s="59"/>
      <c r="K2260" s="58">
        <v>1858</v>
      </c>
      <c r="L2260" s="58">
        <v>1342</v>
      </c>
      <c r="M2260" s="59">
        <v>10</v>
      </c>
      <c r="N2260" s="59">
        <v>10</v>
      </c>
      <c r="O2260" s="59" t="s">
        <v>3578</v>
      </c>
      <c r="P2260" s="58">
        <v>122</v>
      </c>
      <c r="Q2260" s="59">
        <v>0</v>
      </c>
      <c r="R2260" s="59">
        <v>0</v>
      </c>
      <c r="S2260" s="60">
        <f>tblJTL[[#This Row],[timeStamp]]/86400000+DATE(1970,1,1)+TIME(9,0,0)</f>
        <v>46296.423045046293</v>
      </c>
      <c r="T2260" s="57">
        <f>tblJTL[[#This Row],[timeStamp]]+tblJTL[[#This Row],[elapsed]]</f>
        <v>1790816951221</v>
      </c>
      <c r="U2260" s="61">
        <f>(tblJTL[[#This Row],[timeStamp]]-'17_分析サンプル'!$E$18)/1000</f>
        <v>550.91200000000003</v>
      </c>
      <c r="V2260" s="57">
        <f>INT(tblJTL[[#This Row],[経過秒]]/60)</f>
        <v>9</v>
      </c>
      <c r="W2260" s="57">
        <f>IF(OR(tblJTL[[#This Row],[success]]=FALSE,tblJTL[[#This Row],[success]]="false"),1,0)</f>
        <v>0</v>
      </c>
      <c r="X2260" s="57">
        <f>IF(AND(tblJTL[[#This Row],[経過秒]]&gt;='17_分析サンプル'!$E$11,tblJTL[[#This Row],[経過秒]]&lt;'17_分析サンプル'!$E$12),1,0)</f>
        <v>0</v>
      </c>
    </row>
    <row r="2261" spans="2:24" ht="14.4" x14ac:dyDescent="0.3">
      <c r="B2261" s="57">
        <v>1790816951022</v>
      </c>
      <c r="C2261" s="58">
        <v>349</v>
      </c>
      <c r="D2261" s="59" t="s">
        <v>1677</v>
      </c>
      <c r="E2261" s="59" t="s">
        <v>3579</v>
      </c>
      <c r="F2261" s="59" t="s">
        <v>3580</v>
      </c>
      <c r="G2261" s="59" t="s">
        <v>3583</v>
      </c>
      <c r="H2261" s="59" t="s">
        <v>2281</v>
      </c>
      <c r="I2261" s="59" t="b">
        <v>1</v>
      </c>
      <c r="J2261" s="59"/>
      <c r="K2261" s="58">
        <v>426</v>
      </c>
      <c r="L2261" s="58">
        <v>1478</v>
      </c>
      <c r="M2261" s="59">
        <v>10</v>
      </c>
      <c r="N2261" s="59">
        <v>10</v>
      </c>
      <c r="O2261" s="59" t="s">
        <v>3581</v>
      </c>
      <c r="P2261" s="58">
        <v>344</v>
      </c>
      <c r="Q2261" s="59">
        <v>0</v>
      </c>
      <c r="R2261" s="59">
        <v>0</v>
      </c>
      <c r="S2261" s="60">
        <f>tblJTL[[#This Row],[timeStamp]]/86400000+DATE(1970,1,1)+TIME(9,0,0)</f>
        <v>46296.423044236115</v>
      </c>
      <c r="T2261" s="57">
        <f>tblJTL[[#This Row],[timeStamp]]+tblJTL[[#This Row],[elapsed]]</f>
        <v>1790816951371</v>
      </c>
      <c r="U2261" s="61">
        <f>(tblJTL[[#This Row],[timeStamp]]-'17_分析サンプル'!$E$18)/1000</f>
        <v>550.84199999999998</v>
      </c>
      <c r="V2261" s="57">
        <f>INT(tblJTL[[#This Row],[経過秒]]/60)</f>
        <v>9</v>
      </c>
      <c r="W2261" s="57">
        <f>IF(OR(tblJTL[[#This Row],[success]]=FALSE,tblJTL[[#This Row],[success]]="false"),1,0)</f>
        <v>0</v>
      </c>
      <c r="X2261" s="57">
        <f>IF(AND(tblJTL[[#This Row],[経過秒]]&gt;='17_分析サンプル'!$E$11,tblJTL[[#This Row],[経過秒]]&lt;'17_分析サンプル'!$E$12),1,0)</f>
        <v>0</v>
      </c>
    </row>
    <row r="2262" spans="2:24" ht="14.4" x14ac:dyDescent="0.3">
      <c r="B2262" s="57">
        <v>1790816951498</v>
      </c>
      <c r="C2262" s="58">
        <v>197</v>
      </c>
      <c r="D2262" s="59" t="s">
        <v>1658</v>
      </c>
      <c r="E2262" s="59" t="s">
        <v>1577</v>
      </c>
      <c r="F2262" s="59" t="s">
        <v>2275</v>
      </c>
      <c r="G2262" s="59" t="s">
        <v>3585</v>
      </c>
      <c r="H2262" s="59" t="s">
        <v>2281</v>
      </c>
      <c r="I2262" s="59" t="b">
        <v>1</v>
      </c>
      <c r="J2262" s="59"/>
      <c r="K2262" s="58">
        <v>1890</v>
      </c>
      <c r="L2262" s="58">
        <v>1342</v>
      </c>
      <c r="M2262" s="59">
        <v>10</v>
      </c>
      <c r="N2262" s="59">
        <v>10</v>
      </c>
      <c r="O2262" s="59" t="s">
        <v>3578</v>
      </c>
      <c r="P2262" s="58">
        <v>189</v>
      </c>
      <c r="Q2262" s="59">
        <v>0</v>
      </c>
      <c r="R2262" s="59">
        <v>0</v>
      </c>
      <c r="S2262" s="60">
        <f>tblJTL[[#This Row],[timeStamp]]/86400000+DATE(1970,1,1)+TIME(9,0,0)</f>
        <v>46296.423049745368</v>
      </c>
      <c r="T2262" s="57">
        <f>tblJTL[[#This Row],[timeStamp]]+tblJTL[[#This Row],[elapsed]]</f>
        <v>1790816951695</v>
      </c>
      <c r="U2262" s="61">
        <f>(tblJTL[[#This Row],[timeStamp]]-'17_分析サンプル'!$E$18)/1000</f>
        <v>551.31799999999998</v>
      </c>
      <c r="V2262" s="57">
        <f>INT(tblJTL[[#This Row],[経過秒]]/60)</f>
        <v>9</v>
      </c>
      <c r="W2262" s="57">
        <f>IF(OR(tblJTL[[#This Row],[success]]=FALSE,tblJTL[[#This Row],[success]]="false"),1,0)</f>
        <v>0</v>
      </c>
      <c r="X2262" s="57">
        <f>IF(AND(tblJTL[[#This Row],[経過秒]]&gt;='17_分析サンプル'!$E$11,tblJTL[[#This Row],[経過秒]]&lt;'17_分析サンプル'!$E$12),1,0)</f>
        <v>0</v>
      </c>
    </row>
    <row r="2263" spans="2:24" ht="14.4" x14ac:dyDescent="0.3">
      <c r="B2263" s="57">
        <v>1790816951662</v>
      </c>
      <c r="C2263" s="58">
        <v>140</v>
      </c>
      <c r="D2263" s="59" t="s">
        <v>1658</v>
      </c>
      <c r="E2263" s="59" t="s">
        <v>1577</v>
      </c>
      <c r="F2263" s="59" t="s">
        <v>2275</v>
      </c>
      <c r="G2263" s="59" t="s">
        <v>3577</v>
      </c>
      <c r="H2263" s="59" t="s">
        <v>2281</v>
      </c>
      <c r="I2263" s="59" t="b">
        <v>1</v>
      </c>
      <c r="J2263" s="59"/>
      <c r="K2263" s="58">
        <v>1837</v>
      </c>
      <c r="L2263" s="58">
        <v>1342</v>
      </c>
      <c r="M2263" s="59">
        <v>10</v>
      </c>
      <c r="N2263" s="59">
        <v>10</v>
      </c>
      <c r="O2263" s="59" t="s">
        <v>3578</v>
      </c>
      <c r="P2263" s="58">
        <v>134</v>
      </c>
      <c r="Q2263" s="59">
        <v>0</v>
      </c>
      <c r="R2263" s="59">
        <v>41</v>
      </c>
      <c r="S2263" s="60">
        <f>tblJTL[[#This Row],[timeStamp]]/86400000+DATE(1970,1,1)+TIME(9,0,0)</f>
        <v>46296.42305164352</v>
      </c>
      <c r="T2263" s="57">
        <f>tblJTL[[#This Row],[timeStamp]]+tblJTL[[#This Row],[elapsed]]</f>
        <v>1790816951802</v>
      </c>
      <c r="U2263" s="61">
        <f>(tblJTL[[#This Row],[timeStamp]]-'17_分析サンプル'!$E$18)/1000</f>
        <v>551.48199999999997</v>
      </c>
      <c r="V2263" s="57">
        <f>INT(tblJTL[[#This Row],[経過秒]]/60)</f>
        <v>9</v>
      </c>
      <c r="W2263" s="57">
        <f>IF(OR(tblJTL[[#This Row],[success]]=FALSE,tblJTL[[#This Row],[success]]="false"),1,0)</f>
        <v>0</v>
      </c>
      <c r="X2263" s="57">
        <f>IF(AND(tblJTL[[#This Row],[経過秒]]&gt;='17_分析サンプル'!$E$11,tblJTL[[#This Row],[経過秒]]&lt;'17_分析サンプル'!$E$12),1,0)</f>
        <v>0</v>
      </c>
    </row>
    <row r="2264" spans="2:24" ht="14.4" x14ac:dyDescent="0.3">
      <c r="B2264" s="57">
        <v>1790816951954</v>
      </c>
      <c r="C2264" s="58">
        <v>110</v>
      </c>
      <c r="D2264" s="59" t="s">
        <v>1658</v>
      </c>
      <c r="E2264" s="59" t="s">
        <v>1577</v>
      </c>
      <c r="F2264" s="59" t="s">
        <v>2275</v>
      </c>
      <c r="G2264" s="59" t="s">
        <v>3587</v>
      </c>
      <c r="H2264" s="59" t="s">
        <v>2281</v>
      </c>
      <c r="I2264" s="59" t="b">
        <v>1</v>
      </c>
      <c r="J2264" s="59"/>
      <c r="K2264" s="58">
        <v>1856</v>
      </c>
      <c r="L2264" s="58">
        <v>1342</v>
      </c>
      <c r="M2264" s="59">
        <v>10</v>
      </c>
      <c r="N2264" s="59">
        <v>10</v>
      </c>
      <c r="O2264" s="59" t="s">
        <v>3578</v>
      </c>
      <c r="P2264" s="58">
        <v>103</v>
      </c>
      <c r="Q2264" s="59">
        <v>0</v>
      </c>
      <c r="R2264" s="59">
        <v>0</v>
      </c>
      <c r="S2264" s="60">
        <f>tblJTL[[#This Row],[timeStamp]]/86400000+DATE(1970,1,1)+TIME(9,0,0)</f>
        <v>46296.423055023144</v>
      </c>
      <c r="T2264" s="57">
        <f>tblJTL[[#This Row],[timeStamp]]+tblJTL[[#This Row],[elapsed]]</f>
        <v>1790816952064</v>
      </c>
      <c r="U2264" s="61">
        <f>(tblJTL[[#This Row],[timeStamp]]-'17_分析サンプル'!$E$18)/1000</f>
        <v>551.774</v>
      </c>
      <c r="V2264" s="57">
        <f>INT(tblJTL[[#This Row],[経過秒]]/60)</f>
        <v>9</v>
      </c>
      <c r="W2264" s="57">
        <f>IF(OR(tblJTL[[#This Row],[success]]=FALSE,tblJTL[[#This Row],[success]]="false"),1,0)</f>
        <v>0</v>
      </c>
      <c r="X2264" s="57">
        <f>IF(AND(tblJTL[[#This Row],[経過秒]]&gt;='17_分析サンプル'!$E$11,tblJTL[[#This Row],[経過秒]]&lt;'17_分析サンプル'!$E$12),1,0)</f>
        <v>0</v>
      </c>
    </row>
    <row r="2265" spans="2:24" ht="14.4" x14ac:dyDescent="0.3">
      <c r="B2265" s="57">
        <v>1790816952093</v>
      </c>
      <c r="C2265" s="58">
        <v>485</v>
      </c>
      <c r="D2265" s="59" t="s">
        <v>1677</v>
      </c>
      <c r="E2265" s="59" t="s">
        <v>3579</v>
      </c>
      <c r="F2265" s="59" t="s">
        <v>3580</v>
      </c>
      <c r="G2265" s="59" t="s">
        <v>3582</v>
      </c>
      <c r="H2265" s="59" t="s">
        <v>2281</v>
      </c>
      <c r="I2265" s="59" t="b">
        <v>1</v>
      </c>
      <c r="J2265" s="59"/>
      <c r="K2265" s="58">
        <v>439</v>
      </c>
      <c r="L2265" s="58">
        <v>1478</v>
      </c>
      <c r="M2265" s="59">
        <v>10</v>
      </c>
      <c r="N2265" s="59">
        <v>10</v>
      </c>
      <c r="O2265" s="59" t="s">
        <v>3581</v>
      </c>
      <c r="P2265" s="58">
        <v>481</v>
      </c>
      <c r="Q2265" s="59">
        <v>0</v>
      </c>
      <c r="R2265" s="59">
        <v>0</v>
      </c>
      <c r="S2265" s="60">
        <f>tblJTL[[#This Row],[timeStamp]]/86400000+DATE(1970,1,1)+TIME(9,0,0)</f>
        <v>46296.423056631946</v>
      </c>
      <c r="T2265" s="57">
        <f>tblJTL[[#This Row],[timeStamp]]+tblJTL[[#This Row],[elapsed]]</f>
        <v>1790816952578</v>
      </c>
      <c r="U2265" s="61">
        <f>(tblJTL[[#This Row],[timeStamp]]-'17_分析サンプル'!$E$18)/1000</f>
        <v>551.91300000000001</v>
      </c>
      <c r="V2265" s="57">
        <f>INT(tblJTL[[#This Row],[経過秒]]/60)</f>
        <v>9</v>
      </c>
      <c r="W2265" s="57">
        <f>IF(OR(tblJTL[[#This Row],[success]]=FALSE,tblJTL[[#This Row],[success]]="false"),1,0)</f>
        <v>0</v>
      </c>
      <c r="X2265" s="57">
        <f>IF(AND(tblJTL[[#This Row],[経過秒]]&gt;='17_分析サンプル'!$E$11,tblJTL[[#This Row],[経過秒]]&lt;'17_分析サンプル'!$E$12),1,0)</f>
        <v>0</v>
      </c>
    </row>
    <row r="2266" spans="2:24" ht="14.4" x14ac:dyDescent="0.3">
      <c r="B2266" s="57">
        <v>1790816952658</v>
      </c>
      <c r="C2266" s="58">
        <v>90</v>
      </c>
      <c r="D2266" s="59" t="s">
        <v>1658</v>
      </c>
      <c r="E2266" s="59" t="s">
        <v>1577</v>
      </c>
      <c r="F2266" s="59" t="s">
        <v>2275</v>
      </c>
      <c r="G2266" s="59" t="s">
        <v>3584</v>
      </c>
      <c r="H2266" s="59" t="s">
        <v>2281</v>
      </c>
      <c r="I2266" s="59" t="b">
        <v>1</v>
      </c>
      <c r="J2266" s="59"/>
      <c r="K2266" s="58">
        <v>1854</v>
      </c>
      <c r="L2266" s="58">
        <v>1342</v>
      </c>
      <c r="M2266" s="59">
        <v>10</v>
      </c>
      <c r="N2266" s="59">
        <v>10</v>
      </c>
      <c r="O2266" s="59" t="s">
        <v>3578</v>
      </c>
      <c r="P2266" s="58">
        <v>88</v>
      </c>
      <c r="Q2266" s="59">
        <v>0</v>
      </c>
      <c r="R2266" s="59">
        <v>0</v>
      </c>
      <c r="S2266" s="60">
        <f>tblJTL[[#This Row],[timeStamp]]/86400000+DATE(1970,1,1)+TIME(9,0,0)</f>
        <v>46296.4230631713</v>
      </c>
      <c r="T2266" s="57">
        <f>tblJTL[[#This Row],[timeStamp]]+tblJTL[[#This Row],[elapsed]]</f>
        <v>1790816952748</v>
      </c>
      <c r="U2266" s="61">
        <f>(tblJTL[[#This Row],[timeStamp]]-'17_分析サンプル'!$E$18)/1000</f>
        <v>552.47799999999995</v>
      </c>
      <c r="V2266" s="57">
        <f>INT(tblJTL[[#This Row],[経過秒]]/60)</f>
        <v>9</v>
      </c>
      <c r="W2266" s="57">
        <f>IF(OR(tblJTL[[#This Row],[success]]=FALSE,tblJTL[[#This Row],[success]]="false"),1,0)</f>
        <v>0</v>
      </c>
      <c r="X2266" s="57">
        <f>IF(AND(tblJTL[[#This Row],[経過秒]]&gt;='17_分析サンプル'!$E$11,tblJTL[[#This Row],[経過秒]]&lt;'17_分析サンプル'!$E$12),1,0)</f>
        <v>0</v>
      </c>
    </row>
    <row r="2267" spans="2:24" ht="14.4" x14ac:dyDescent="0.3">
      <c r="B2267" s="57">
        <v>1790816952994</v>
      </c>
      <c r="C2267" s="58">
        <v>89</v>
      </c>
      <c r="D2267" s="59" t="s">
        <v>1658</v>
      </c>
      <c r="E2267" s="59" t="s">
        <v>1577</v>
      </c>
      <c r="F2267" s="59" t="s">
        <v>2275</v>
      </c>
      <c r="G2267" s="59" t="s">
        <v>2278</v>
      </c>
      <c r="H2267" s="59" t="s">
        <v>2281</v>
      </c>
      <c r="I2267" s="59" t="b">
        <v>1</v>
      </c>
      <c r="J2267" s="59"/>
      <c r="K2267" s="58">
        <v>1852</v>
      </c>
      <c r="L2267" s="58">
        <v>1342</v>
      </c>
      <c r="M2267" s="59">
        <v>10</v>
      </c>
      <c r="N2267" s="59">
        <v>10</v>
      </c>
      <c r="O2267" s="59" t="s">
        <v>3578</v>
      </c>
      <c r="P2267" s="58">
        <v>87</v>
      </c>
      <c r="Q2267" s="59">
        <v>0</v>
      </c>
      <c r="R2267" s="59">
        <v>0</v>
      </c>
      <c r="S2267" s="60">
        <f>tblJTL[[#This Row],[timeStamp]]/86400000+DATE(1970,1,1)+TIME(9,0,0)</f>
        <v>46296.423067060183</v>
      </c>
      <c r="T2267" s="57">
        <f>tblJTL[[#This Row],[timeStamp]]+tblJTL[[#This Row],[elapsed]]</f>
        <v>1790816953083</v>
      </c>
      <c r="U2267" s="61">
        <f>(tblJTL[[#This Row],[timeStamp]]-'17_分析サンプル'!$E$18)/1000</f>
        <v>552.81399999999996</v>
      </c>
      <c r="V2267" s="57">
        <f>INT(tblJTL[[#This Row],[経過秒]]/60)</f>
        <v>9</v>
      </c>
      <c r="W2267" s="57">
        <f>IF(OR(tblJTL[[#This Row],[success]]=FALSE,tblJTL[[#This Row],[success]]="false"),1,0)</f>
        <v>0</v>
      </c>
      <c r="X2267" s="57">
        <f>IF(AND(tblJTL[[#This Row],[経過秒]]&gt;='17_分析サンプル'!$E$11,tblJTL[[#This Row],[経過秒]]&lt;'17_分析サンプル'!$E$12),1,0)</f>
        <v>0</v>
      </c>
    </row>
    <row r="2268" spans="2:24" ht="14.4" x14ac:dyDescent="0.3">
      <c r="B2268" s="57">
        <v>1790816952850</v>
      </c>
      <c r="C2268" s="58">
        <v>331</v>
      </c>
      <c r="D2268" s="59" t="s">
        <v>1677</v>
      </c>
      <c r="E2268" s="59" t="s">
        <v>3579</v>
      </c>
      <c r="F2268" s="59" t="s">
        <v>3580</v>
      </c>
      <c r="G2268" s="59" t="s">
        <v>3589</v>
      </c>
      <c r="H2268" s="59" t="s">
        <v>2281</v>
      </c>
      <c r="I2268" s="59" t="b">
        <v>1</v>
      </c>
      <c r="J2268" s="59"/>
      <c r="K2268" s="58">
        <v>430</v>
      </c>
      <c r="L2268" s="58">
        <v>1478</v>
      </c>
      <c r="M2268" s="59">
        <v>10</v>
      </c>
      <c r="N2268" s="59">
        <v>10</v>
      </c>
      <c r="O2268" s="59" t="s">
        <v>3581</v>
      </c>
      <c r="P2268" s="58">
        <v>325</v>
      </c>
      <c r="Q2268" s="59">
        <v>0</v>
      </c>
      <c r="R2268" s="59">
        <v>0</v>
      </c>
      <c r="S2268" s="60">
        <f>tblJTL[[#This Row],[timeStamp]]/86400000+DATE(1970,1,1)+TIME(9,0,0)</f>
        <v>46296.423065393523</v>
      </c>
      <c r="T2268" s="57">
        <f>tblJTL[[#This Row],[timeStamp]]+tblJTL[[#This Row],[elapsed]]</f>
        <v>1790816953181</v>
      </c>
      <c r="U2268" s="61">
        <f>(tblJTL[[#This Row],[timeStamp]]-'17_分析サンプル'!$E$18)/1000</f>
        <v>552.66999999999996</v>
      </c>
      <c r="V2268" s="57">
        <f>INT(tblJTL[[#This Row],[経過秒]]/60)</f>
        <v>9</v>
      </c>
      <c r="W2268" s="57">
        <f>IF(OR(tblJTL[[#This Row],[success]]=FALSE,tblJTL[[#This Row],[success]]="false"),1,0)</f>
        <v>0</v>
      </c>
      <c r="X2268" s="57">
        <f>IF(AND(tblJTL[[#This Row],[経過秒]]&gt;='17_分析サンプル'!$E$11,tblJTL[[#This Row],[経過秒]]&lt;'17_分析サンプル'!$E$12),1,0)</f>
        <v>0</v>
      </c>
    </row>
    <row r="2269" spans="2:24" ht="14.4" x14ac:dyDescent="0.3">
      <c r="B2269" s="57">
        <v>1790816953007</v>
      </c>
      <c r="C2269" s="58">
        <v>179</v>
      </c>
      <c r="D2269" s="59" t="s">
        <v>1658</v>
      </c>
      <c r="E2269" s="59" t="s">
        <v>1577</v>
      </c>
      <c r="F2269" s="59" t="s">
        <v>2275</v>
      </c>
      <c r="G2269" s="59" t="s">
        <v>3583</v>
      </c>
      <c r="H2269" s="59" t="s">
        <v>2281</v>
      </c>
      <c r="I2269" s="59" t="b">
        <v>1</v>
      </c>
      <c r="J2269" s="59"/>
      <c r="K2269" s="58">
        <v>1891</v>
      </c>
      <c r="L2269" s="58">
        <v>1342</v>
      </c>
      <c r="M2269" s="59">
        <v>10</v>
      </c>
      <c r="N2269" s="59">
        <v>10</v>
      </c>
      <c r="O2269" s="59" t="s">
        <v>3578</v>
      </c>
      <c r="P2269" s="58">
        <v>177</v>
      </c>
      <c r="Q2269" s="59">
        <v>0</v>
      </c>
      <c r="R2269" s="59">
        <v>0</v>
      </c>
      <c r="S2269" s="60">
        <f>tblJTL[[#This Row],[timeStamp]]/86400000+DATE(1970,1,1)+TIME(9,0,0)</f>
        <v>46296.42306721065</v>
      </c>
      <c r="T2269" s="57">
        <f>tblJTL[[#This Row],[timeStamp]]+tblJTL[[#This Row],[elapsed]]</f>
        <v>1790816953186</v>
      </c>
      <c r="U2269" s="61">
        <f>(tblJTL[[#This Row],[timeStamp]]-'17_分析サンプル'!$E$18)/1000</f>
        <v>552.827</v>
      </c>
      <c r="V2269" s="57">
        <f>INT(tblJTL[[#This Row],[経過秒]]/60)</f>
        <v>9</v>
      </c>
      <c r="W2269" s="57">
        <f>IF(OR(tblJTL[[#This Row],[success]]=FALSE,tblJTL[[#This Row],[success]]="false"),1,0)</f>
        <v>0</v>
      </c>
      <c r="X2269" s="57">
        <f>IF(AND(tblJTL[[#This Row],[経過秒]]&gt;='17_分析サンプル'!$E$11,tblJTL[[#This Row],[経過秒]]&lt;'17_分析サンプル'!$E$12),1,0)</f>
        <v>0</v>
      </c>
    </row>
    <row r="2270" spans="2:24" ht="14.4" x14ac:dyDescent="0.3">
      <c r="B2270" s="57">
        <v>1790816953494</v>
      </c>
      <c r="C2270" s="58">
        <v>149</v>
      </c>
      <c r="D2270" s="59" t="s">
        <v>1658</v>
      </c>
      <c r="E2270" s="59" t="s">
        <v>1577</v>
      </c>
      <c r="F2270" s="59" t="s">
        <v>2275</v>
      </c>
      <c r="G2270" s="59" t="s">
        <v>3588</v>
      </c>
      <c r="H2270" s="59" t="s">
        <v>2281</v>
      </c>
      <c r="I2270" s="59" t="b">
        <v>1</v>
      </c>
      <c r="J2270" s="59"/>
      <c r="K2270" s="58">
        <v>1852</v>
      </c>
      <c r="L2270" s="58">
        <v>1342</v>
      </c>
      <c r="M2270" s="59">
        <v>10</v>
      </c>
      <c r="N2270" s="59">
        <v>10</v>
      </c>
      <c r="O2270" s="59" t="s">
        <v>3578</v>
      </c>
      <c r="P2270" s="58">
        <v>146</v>
      </c>
      <c r="Q2270" s="59">
        <v>0</v>
      </c>
      <c r="R2270" s="59">
        <v>0</v>
      </c>
      <c r="S2270" s="60">
        <f>tblJTL[[#This Row],[timeStamp]]/86400000+DATE(1970,1,1)+TIME(9,0,0)</f>
        <v>46296.423072847218</v>
      </c>
      <c r="T2270" s="57">
        <f>tblJTL[[#This Row],[timeStamp]]+tblJTL[[#This Row],[elapsed]]</f>
        <v>1790816953643</v>
      </c>
      <c r="U2270" s="61">
        <f>(tblJTL[[#This Row],[timeStamp]]-'17_分析サンプル'!$E$18)/1000</f>
        <v>553.31399999999996</v>
      </c>
      <c r="V2270" s="57">
        <f>INT(tblJTL[[#This Row],[経過秒]]/60)</f>
        <v>9</v>
      </c>
      <c r="W2270" s="57">
        <f>IF(OR(tblJTL[[#This Row],[success]]=FALSE,tblJTL[[#This Row],[success]]="false"),1,0)</f>
        <v>0</v>
      </c>
      <c r="X2270" s="57">
        <f>IF(AND(tblJTL[[#This Row],[経過秒]]&gt;='17_分析サンプル'!$E$11,tblJTL[[#This Row],[経過秒]]&lt;'17_分析サンプル'!$E$12),1,0)</f>
        <v>0</v>
      </c>
    </row>
    <row r="2271" spans="2:24" ht="14.4" x14ac:dyDescent="0.3">
      <c r="B2271" s="57">
        <v>1790816953674</v>
      </c>
      <c r="C2271" s="58">
        <v>155</v>
      </c>
      <c r="D2271" s="59" t="s">
        <v>1658</v>
      </c>
      <c r="E2271" s="59" t="s">
        <v>1577</v>
      </c>
      <c r="F2271" s="59" t="s">
        <v>2275</v>
      </c>
      <c r="G2271" s="59" t="s">
        <v>3582</v>
      </c>
      <c r="H2271" s="59" t="s">
        <v>2281</v>
      </c>
      <c r="I2271" s="59" t="b">
        <v>1</v>
      </c>
      <c r="J2271" s="59"/>
      <c r="K2271" s="58">
        <v>1826</v>
      </c>
      <c r="L2271" s="58">
        <v>1342</v>
      </c>
      <c r="M2271" s="59">
        <v>10</v>
      </c>
      <c r="N2271" s="59">
        <v>10</v>
      </c>
      <c r="O2271" s="59" t="s">
        <v>3578</v>
      </c>
      <c r="P2271" s="58">
        <v>151</v>
      </c>
      <c r="Q2271" s="59">
        <v>0</v>
      </c>
      <c r="R2271" s="59">
        <v>0</v>
      </c>
      <c r="S2271" s="60">
        <f>tblJTL[[#This Row],[timeStamp]]/86400000+DATE(1970,1,1)+TIME(9,0,0)</f>
        <v>46296.423074930557</v>
      </c>
      <c r="T2271" s="57">
        <f>tblJTL[[#This Row],[timeStamp]]+tblJTL[[#This Row],[elapsed]]</f>
        <v>1790816953829</v>
      </c>
      <c r="U2271" s="61">
        <f>(tblJTL[[#This Row],[timeStamp]]-'17_分析サンプル'!$E$18)/1000</f>
        <v>553.49400000000003</v>
      </c>
      <c r="V2271" s="57">
        <f>INT(tblJTL[[#This Row],[経過秒]]/60)</f>
        <v>9</v>
      </c>
      <c r="W2271" s="57">
        <f>IF(OR(tblJTL[[#This Row],[success]]=FALSE,tblJTL[[#This Row],[success]]="false"),1,0)</f>
        <v>0</v>
      </c>
      <c r="X2271" s="57">
        <f>IF(AND(tblJTL[[#This Row],[経過秒]]&gt;='17_分析サンプル'!$E$11,tblJTL[[#This Row],[経過秒]]&lt;'17_分析サンプル'!$E$12),1,0)</f>
        <v>0</v>
      </c>
    </row>
    <row r="2272" spans="2:24" ht="14.4" x14ac:dyDescent="0.3">
      <c r="B2272" s="57">
        <v>1790816953722</v>
      </c>
      <c r="C2272" s="58">
        <v>145</v>
      </c>
      <c r="D2272" s="59" t="s">
        <v>1677</v>
      </c>
      <c r="E2272" s="59" t="s">
        <v>3579</v>
      </c>
      <c r="F2272" s="59" t="s">
        <v>3580</v>
      </c>
      <c r="G2272" s="59" t="s">
        <v>3585</v>
      </c>
      <c r="H2272" s="59" t="s">
        <v>2281</v>
      </c>
      <c r="I2272" s="59" t="b">
        <v>1</v>
      </c>
      <c r="J2272" s="59"/>
      <c r="K2272" s="58">
        <v>431</v>
      </c>
      <c r="L2272" s="58">
        <v>1478</v>
      </c>
      <c r="M2272" s="59">
        <v>10</v>
      </c>
      <c r="N2272" s="59">
        <v>10</v>
      </c>
      <c r="O2272" s="59" t="s">
        <v>3581</v>
      </c>
      <c r="P2272" s="58">
        <v>140</v>
      </c>
      <c r="Q2272" s="59">
        <v>0</v>
      </c>
      <c r="R2272" s="59">
        <v>0</v>
      </c>
      <c r="S2272" s="60">
        <f>tblJTL[[#This Row],[timeStamp]]/86400000+DATE(1970,1,1)+TIME(9,0,0)</f>
        <v>46296.423075486113</v>
      </c>
      <c r="T2272" s="57">
        <f>tblJTL[[#This Row],[timeStamp]]+tblJTL[[#This Row],[elapsed]]</f>
        <v>1790816953867</v>
      </c>
      <c r="U2272" s="61">
        <f>(tblJTL[[#This Row],[timeStamp]]-'17_分析サンプル'!$E$18)/1000</f>
        <v>553.54200000000003</v>
      </c>
      <c r="V2272" s="57">
        <f>INT(tblJTL[[#This Row],[経過秒]]/60)</f>
        <v>9</v>
      </c>
      <c r="W2272" s="57">
        <f>IF(OR(tblJTL[[#This Row],[success]]=FALSE,tblJTL[[#This Row],[success]]="false"),1,0)</f>
        <v>0</v>
      </c>
      <c r="X2272" s="57">
        <f>IF(AND(tblJTL[[#This Row],[経過秒]]&gt;='17_分析サンプル'!$E$11,tblJTL[[#This Row],[経過秒]]&lt;'17_分析サンプル'!$E$12),1,0)</f>
        <v>0</v>
      </c>
    </row>
    <row r="2273" spans="2:24" ht="14.4" x14ac:dyDescent="0.3">
      <c r="B2273" s="57">
        <v>1790816953928</v>
      </c>
      <c r="C2273" s="58">
        <v>263</v>
      </c>
      <c r="D2273" s="59" t="s">
        <v>1677</v>
      </c>
      <c r="E2273" s="59" t="s">
        <v>3579</v>
      </c>
      <c r="F2273" s="59" t="s">
        <v>3580</v>
      </c>
      <c r="G2273" s="59" t="s">
        <v>3586</v>
      </c>
      <c r="H2273" s="59" t="s">
        <v>2281</v>
      </c>
      <c r="I2273" s="59" t="b">
        <v>1</v>
      </c>
      <c r="J2273" s="59"/>
      <c r="K2273" s="58">
        <v>440</v>
      </c>
      <c r="L2273" s="58">
        <v>1478</v>
      </c>
      <c r="M2273" s="59">
        <v>10</v>
      </c>
      <c r="N2273" s="59">
        <v>10</v>
      </c>
      <c r="O2273" s="59" t="s">
        <v>3581</v>
      </c>
      <c r="P2273" s="58">
        <v>259</v>
      </c>
      <c r="Q2273" s="59">
        <v>0</v>
      </c>
      <c r="R2273" s="59">
        <v>0</v>
      </c>
      <c r="S2273" s="60">
        <f>tblJTL[[#This Row],[timeStamp]]/86400000+DATE(1970,1,1)+TIME(9,0,0)</f>
        <v>46296.423077870371</v>
      </c>
      <c r="T2273" s="57">
        <f>tblJTL[[#This Row],[timeStamp]]+tblJTL[[#This Row],[elapsed]]</f>
        <v>1790816954191</v>
      </c>
      <c r="U2273" s="61">
        <f>(tblJTL[[#This Row],[timeStamp]]-'17_分析サンプル'!$E$18)/1000</f>
        <v>553.74800000000005</v>
      </c>
      <c r="V2273" s="57">
        <f>INT(tblJTL[[#This Row],[経過秒]]/60)</f>
        <v>9</v>
      </c>
      <c r="W2273" s="57">
        <f>IF(OR(tblJTL[[#This Row],[success]]=FALSE,tblJTL[[#This Row],[success]]="false"),1,0)</f>
        <v>0</v>
      </c>
      <c r="X2273" s="57">
        <f>IF(AND(tblJTL[[#This Row],[経過秒]]&gt;='17_分析サンプル'!$E$11,tblJTL[[#This Row],[経過秒]]&lt;'17_分析サンプル'!$E$12),1,0)</f>
        <v>0</v>
      </c>
    </row>
    <row r="2274" spans="2:24" ht="14.4" x14ac:dyDescent="0.3">
      <c r="B2274" s="57">
        <v>1790816953942</v>
      </c>
      <c r="C2274" s="58">
        <v>272</v>
      </c>
      <c r="D2274" s="59" t="s">
        <v>1677</v>
      </c>
      <c r="E2274" s="59" t="s">
        <v>3579</v>
      </c>
      <c r="F2274" s="59" t="s">
        <v>3580</v>
      </c>
      <c r="G2274" s="59" t="s">
        <v>3584</v>
      </c>
      <c r="H2274" s="59" t="s">
        <v>2281</v>
      </c>
      <c r="I2274" s="59" t="b">
        <v>1</v>
      </c>
      <c r="J2274" s="59"/>
      <c r="K2274" s="58">
        <v>417</v>
      </c>
      <c r="L2274" s="58">
        <v>1478</v>
      </c>
      <c r="M2274" s="59">
        <v>10</v>
      </c>
      <c r="N2274" s="59">
        <v>10</v>
      </c>
      <c r="O2274" s="59" t="s">
        <v>3581</v>
      </c>
      <c r="P2274" s="58">
        <v>268</v>
      </c>
      <c r="Q2274" s="59">
        <v>0</v>
      </c>
      <c r="R2274" s="59">
        <v>0</v>
      </c>
      <c r="S2274" s="60">
        <f>tblJTL[[#This Row],[timeStamp]]/86400000+DATE(1970,1,1)+TIME(9,0,0)</f>
        <v>46296.423078032407</v>
      </c>
      <c r="T2274" s="57">
        <f>tblJTL[[#This Row],[timeStamp]]+tblJTL[[#This Row],[elapsed]]</f>
        <v>1790816954214</v>
      </c>
      <c r="U2274" s="61">
        <f>(tblJTL[[#This Row],[timeStamp]]-'17_分析サンプル'!$E$18)/1000</f>
        <v>553.76199999999994</v>
      </c>
      <c r="V2274" s="57">
        <f>INT(tblJTL[[#This Row],[経過秒]]/60)</f>
        <v>9</v>
      </c>
      <c r="W2274" s="57">
        <f>IF(OR(tblJTL[[#This Row],[success]]=FALSE,tblJTL[[#This Row],[success]]="false"),1,0)</f>
        <v>0</v>
      </c>
      <c r="X2274" s="57">
        <f>IF(AND(tblJTL[[#This Row],[経過秒]]&gt;='17_分析サンプル'!$E$11,tblJTL[[#This Row],[経過秒]]&lt;'17_分析サンプル'!$E$12),1,0)</f>
        <v>0</v>
      </c>
    </row>
    <row r="2275" spans="2:24" ht="14.4" x14ac:dyDescent="0.3">
      <c r="B2275" s="57">
        <v>1790816954091</v>
      </c>
      <c r="C2275" s="58">
        <v>240</v>
      </c>
      <c r="D2275" s="59" t="s">
        <v>1677</v>
      </c>
      <c r="E2275" s="59" t="s">
        <v>3579</v>
      </c>
      <c r="F2275" s="59" t="s">
        <v>3580</v>
      </c>
      <c r="G2275" s="59" t="s">
        <v>3577</v>
      </c>
      <c r="H2275" s="59" t="s">
        <v>2281</v>
      </c>
      <c r="I2275" s="59" t="b">
        <v>1</v>
      </c>
      <c r="J2275" s="59"/>
      <c r="K2275" s="58">
        <v>430</v>
      </c>
      <c r="L2275" s="58">
        <v>1478</v>
      </c>
      <c r="M2275" s="59">
        <v>10</v>
      </c>
      <c r="N2275" s="59">
        <v>10</v>
      </c>
      <c r="O2275" s="59" t="s">
        <v>3581</v>
      </c>
      <c r="P2275" s="58">
        <v>237</v>
      </c>
      <c r="Q2275" s="59">
        <v>0</v>
      </c>
      <c r="R2275" s="59">
        <v>0</v>
      </c>
      <c r="S2275" s="60">
        <f>tblJTL[[#This Row],[timeStamp]]/86400000+DATE(1970,1,1)+TIME(9,0,0)</f>
        <v>46296.423079756947</v>
      </c>
      <c r="T2275" s="57">
        <f>tblJTL[[#This Row],[timeStamp]]+tblJTL[[#This Row],[elapsed]]</f>
        <v>1790816954331</v>
      </c>
      <c r="U2275" s="61">
        <f>(tblJTL[[#This Row],[timeStamp]]-'17_分析サンプル'!$E$18)/1000</f>
        <v>553.91099999999994</v>
      </c>
      <c r="V2275" s="57">
        <f>INT(tblJTL[[#This Row],[経過秒]]/60)</f>
        <v>9</v>
      </c>
      <c r="W2275" s="57">
        <f>IF(OR(tblJTL[[#This Row],[success]]=FALSE,tblJTL[[#This Row],[success]]="false"),1,0)</f>
        <v>0</v>
      </c>
      <c r="X2275" s="57">
        <f>IF(AND(tblJTL[[#This Row],[経過秒]]&gt;='17_分析サンプル'!$E$11,tblJTL[[#This Row],[経過秒]]&lt;'17_分析サンプル'!$E$12),1,0)</f>
        <v>0</v>
      </c>
    </row>
    <row r="2276" spans="2:24" ht="14.4" x14ac:dyDescent="0.3">
      <c r="B2276" s="57">
        <v>1790816954285</v>
      </c>
      <c r="C2276" s="58">
        <v>204</v>
      </c>
      <c r="D2276" s="59" t="s">
        <v>1677</v>
      </c>
      <c r="E2276" s="59" t="s">
        <v>3579</v>
      </c>
      <c r="F2276" s="59" t="s">
        <v>3580</v>
      </c>
      <c r="G2276" s="59" t="s">
        <v>3583</v>
      </c>
      <c r="H2276" s="59" t="s">
        <v>2281</v>
      </c>
      <c r="I2276" s="59" t="b">
        <v>1</v>
      </c>
      <c r="J2276" s="59"/>
      <c r="K2276" s="58">
        <v>429</v>
      </c>
      <c r="L2276" s="58">
        <v>1478</v>
      </c>
      <c r="M2276" s="59">
        <v>10</v>
      </c>
      <c r="N2276" s="59">
        <v>10</v>
      </c>
      <c r="O2276" s="59" t="s">
        <v>3581</v>
      </c>
      <c r="P2276" s="58">
        <v>201</v>
      </c>
      <c r="Q2276" s="59">
        <v>0</v>
      </c>
      <c r="R2276" s="59">
        <v>0</v>
      </c>
      <c r="S2276" s="60">
        <f>tblJTL[[#This Row],[timeStamp]]/86400000+DATE(1970,1,1)+TIME(9,0,0)</f>
        <v>46296.423082002315</v>
      </c>
      <c r="T2276" s="57">
        <f>tblJTL[[#This Row],[timeStamp]]+tblJTL[[#This Row],[elapsed]]</f>
        <v>1790816954489</v>
      </c>
      <c r="U2276" s="61">
        <f>(tblJTL[[#This Row],[timeStamp]]-'17_分析サンプル'!$E$18)/1000</f>
        <v>554.10500000000002</v>
      </c>
      <c r="V2276" s="57">
        <f>INT(tblJTL[[#This Row],[経過秒]]/60)</f>
        <v>9</v>
      </c>
      <c r="W2276" s="57">
        <f>IF(OR(tblJTL[[#This Row],[success]]=FALSE,tblJTL[[#This Row],[success]]="false"),1,0)</f>
        <v>0</v>
      </c>
      <c r="X2276" s="57">
        <f>IF(AND(tblJTL[[#This Row],[経過秒]]&gt;='17_分析サンプル'!$E$11,tblJTL[[#This Row],[経過秒]]&lt;'17_分析サンプル'!$E$12),1,0)</f>
        <v>0</v>
      </c>
    </row>
    <row r="2277" spans="2:24" ht="14.4" x14ac:dyDescent="0.3">
      <c r="B2277" s="57">
        <v>1790816954542</v>
      </c>
      <c r="C2277" s="58">
        <v>529</v>
      </c>
      <c r="D2277" s="59" t="s">
        <v>1677</v>
      </c>
      <c r="E2277" s="59" t="s">
        <v>3579</v>
      </c>
      <c r="F2277" s="59" t="s">
        <v>3580</v>
      </c>
      <c r="G2277" s="59" t="s">
        <v>3587</v>
      </c>
      <c r="H2277" s="59" t="s">
        <v>2281</v>
      </c>
      <c r="I2277" s="59" t="b">
        <v>1</v>
      </c>
      <c r="J2277" s="59"/>
      <c r="K2277" s="58">
        <v>415</v>
      </c>
      <c r="L2277" s="58">
        <v>1478</v>
      </c>
      <c r="M2277" s="59">
        <v>10</v>
      </c>
      <c r="N2277" s="59">
        <v>10</v>
      </c>
      <c r="O2277" s="59" t="s">
        <v>3581</v>
      </c>
      <c r="P2277" s="58">
        <v>525</v>
      </c>
      <c r="Q2277" s="59">
        <v>0</v>
      </c>
      <c r="R2277" s="59">
        <v>0</v>
      </c>
      <c r="S2277" s="60">
        <f>tblJTL[[#This Row],[timeStamp]]/86400000+DATE(1970,1,1)+TIME(9,0,0)</f>
        <v>46296.42308497685</v>
      </c>
      <c r="T2277" s="57">
        <f>tblJTL[[#This Row],[timeStamp]]+tblJTL[[#This Row],[elapsed]]</f>
        <v>1790816955071</v>
      </c>
      <c r="U2277" s="61">
        <f>(tblJTL[[#This Row],[timeStamp]]-'17_分析サンプル'!$E$18)/1000</f>
        <v>554.36199999999997</v>
      </c>
      <c r="V2277" s="57">
        <f>INT(tblJTL[[#This Row],[経過秒]]/60)</f>
        <v>9</v>
      </c>
      <c r="W2277" s="57">
        <f>IF(OR(tblJTL[[#This Row],[success]]=FALSE,tblJTL[[#This Row],[success]]="false"),1,0)</f>
        <v>0</v>
      </c>
      <c r="X2277" s="57">
        <f>IF(AND(tblJTL[[#This Row],[経過秒]]&gt;='17_分析サンプル'!$E$11,tblJTL[[#This Row],[経過秒]]&lt;'17_分析サンプル'!$E$12),1,0)</f>
        <v>0</v>
      </c>
    </row>
    <row r="2278" spans="2:24" ht="14.4" x14ac:dyDescent="0.3">
      <c r="B2278" s="57">
        <v>1790816955008</v>
      </c>
      <c r="C2278" s="58">
        <v>109</v>
      </c>
      <c r="D2278" s="59" t="s">
        <v>1658</v>
      </c>
      <c r="E2278" s="59" t="s">
        <v>1577</v>
      </c>
      <c r="F2278" s="59" t="s">
        <v>2275</v>
      </c>
      <c r="G2278" s="59" t="s">
        <v>3585</v>
      </c>
      <c r="H2278" s="59" t="s">
        <v>2281</v>
      </c>
      <c r="I2278" s="59" t="b">
        <v>1</v>
      </c>
      <c r="J2278" s="59"/>
      <c r="K2278" s="58">
        <v>1827</v>
      </c>
      <c r="L2278" s="58">
        <v>1342</v>
      </c>
      <c r="M2278" s="59">
        <v>10</v>
      </c>
      <c r="N2278" s="59">
        <v>10</v>
      </c>
      <c r="O2278" s="59" t="s">
        <v>3578</v>
      </c>
      <c r="P2278" s="58">
        <v>104</v>
      </c>
      <c r="Q2278" s="59">
        <v>0</v>
      </c>
      <c r="R2278" s="59">
        <v>0</v>
      </c>
      <c r="S2278" s="60">
        <f>tblJTL[[#This Row],[timeStamp]]/86400000+DATE(1970,1,1)+TIME(9,0,0)</f>
        <v>46296.423090370372</v>
      </c>
      <c r="T2278" s="57">
        <f>tblJTL[[#This Row],[timeStamp]]+tblJTL[[#This Row],[elapsed]]</f>
        <v>1790816955117</v>
      </c>
      <c r="U2278" s="61">
        <f>(tblJTL[[#This Row],[timeStamp]]-'17_分析サンプル'!$E$18)/1000</f>
        <v>554.82799999999997</v>
      </c>
      <c r="V2278" s="57">
        <f>INT(tblJTL[[#This Row],[経過秒]]/60)</f>
        <v>9</v>
      </c>
      <c r="W2278" s="57">
        <f>IF(OR(tblJTL[[#This Row],[success]]=FALSE,tblJTL[[#This Row],[success]]="false"),1,0)</f>
        <v>0</v>
      </c>
      <c r="X2278" s="57">
        <f>IF(AND(tblJTL[[#This Row],[経過秒]]&gt;='17_分析サンプル'!$E$11,tblJTL[[#This Row],[経過秒]]&lt;'17_分析サンプル'!$E$12),1,0)</f>
        <v>0</v>
      </c>
    </row>
    <row r="2279" spans="2:24" ht="14.4" x14ac:dyDescent="0.3">
      <c r="B2279" s="57">
        <v>1790816955271</v>
      </c>
      <c r="C2279" s="58">
        <v>92</v>
      </c>
      <c r="D2279" s="59" t="s">
        <v>1677</v>
      </c>
      <c r="E2279" s="59" t="s">
        <v>3579</v>
      </c>
      <c r="F2279" s="59" t="s">
        <v>3580</v>
      </c>
      <c r="G2279" s="59" t="s">
        <v>2278</v>
      </c>
      <c r="H2279" s="59" t="s">
        <v>2281</v>
      </c>
      <c r="I2279" s="59" t="b">
        <v>1</v>
      </c>
      <c r="J2279" s="59"/>
      <c r="K2279" s="58">
        <v>420</v>
      </c>
      <c r="L2279" s="58">
        <v>1478</v>
      </c>
      <c r="M2279" s="59">
        <v>10</v>
      </c>
      <c r="N2279" s="59">
        <v>10</v>
      </c>
      <c r="O2279" s="59" t="s">
        <v>3581</v>
      </c>
      <c r="P2279" s="58">
        <v>84</v>
      </c>
      <c r="Q2279" s="59">
        <v>0</v>
      </c>
      <c r="R2279" s="59">
        <v>0</v>
      </c>
      <c r="S2279" s="60">
        <f>tblJTL[[#This Row],[timeStamp]]/86400000+DATE(1970,1,1)+TIME(9,0,0)</f>
        <v>46296.423093414356</v>
      </c>
      <c r="T2279" s="57">
        <f>tblJTL[[#This Row],[timeStamp]]+tblJTL[[#This Row],[elapsed]]</f>
        <v>1790816955363</v>
      </c>
      <c r="U2279" s="61">
        <f>(tblJTL[[#This Row],[timeStamp]]-'17_分析サンプル'!$E$18)/1000</f>
        <v>555.09100000000001</v>
      </c>
      <c r="V2279" s="57">
        <f>INT(tblJTL[[#This Row],[経過秒]]/60)</f>
        <v>9</v>
      </c>
      <c r="W2279" s="57">
        <f>IF(OR(tblJTL[[#This Row],[success]]=FALSE,tblJTL[[#This Row],[success]]="false"),1,0)</f>
        <v>0</v>
      </c>
      <c r="X2279" s="57">
        <f>IF(AND(tblJTL[[#This Row],[経過秒]]&gt;='17_分析サンプル'!$E$11,tblJTL[[#This Row],[経過秒]]&lt;'17_分析サンプル'!$E$12),1,0)</f>
        <v>0</v>
      </c>
    </row>
    <row r="2280" spans="2:24" ht="14.4" x14ac:dyDescent="0.3">
      <c r="B2280" s="57">
        <v>1790816955180</v>
      </c>
      <c r="C2280" s="58">
        <v>249</v>
      </c>
      <c r="D2280" s="59" t="s">
        <v>1677</v>
      </c>
      <c r="E2280" s="59" t="s">
        <v>3579</v>
      </c>
      <c r="F2280" s="59" t="s">
        <v>3580</v>
      </c>
      <c r="G2280" s="59" t="s">
        <v>3588</v>
      </c>
      <c r="H2280" s="59" t="s">
        <v>2281</v>
      </c>
      <c r="I2280" s="59" t="b">
        <v>1</v>
      </c>
      <c r="J2280" s="59"/>
      <c r="K2280" s="58">
        <v>425</v>
      </c>
      <c r="L2280" s="58">
        <v>1478</v>
      </c>
      <c r="M2280" s="59">
        <v>10</v>
      </c>
      <c r="N2280" s="59">
        <v>10</v>
      </c>
      <c r="O2280" s="59" t="s">
        <v>3581</v>
      </c>
      <c r="P2280" s="58">
        <v>243</v>
      </c>
      <c r="Q2280" s="59">
        <v>0</v>
      </c>
      <c r="R2280" s="59">
        <v>0</v>
      </c>
      <c r="S2280" s="60">
        <f>tblJTL[[#This Row],[timeStamp]]/86400000+DATE(1970,1,1)+TIME(9,0,0)</f>
        <v>46296.42309236111</v>
      </c>
      <c r="T2280" s="57">
        <f>tblJTL[[#This Row],[timeStamp]]+tblJTL[[#This Row],[elapsed]]</f>
        <v>1790816955429</v>
      </c>
      <c r="U2280" s="61">
        <f>(tblJTL[[#This Row],[timeStamp]]-'17_分析サンプル'!$E$18)/1000</f>
        <v>555</v>
      </c>
      <c r="V2280" s="57">
        <f>INT(tblJTL[[#This Row],[経過秒]]/60)</f>
        <v>9</v>
      </c>
      <c r="W2280" s="57">
        <f>IF(OR(tblJTL[[#This Row],[success]]=FALSE,tblJTL[[#This Row],[success]]="false"),1,0)</f>
        <v>0</v>
      </c>
      <c r="X2280" s="57">
        <f>IF(AND(tblJTL[[#This Row],[経過秒]]&gt;='17_分析サンプル'!$E$11,tblJTL[[#This Row],[経過秒]]&lt;'17_分析サンプル'!$E$12),1,0)</f>
        <v>0</v>
      </c>
    </row>
    <row r="2281" spans="2:24" ht="14.4" x14ac:dyDescent="0.3">
      <c r="B2281" s="57">
        <v>1790816955446</v>
      </c>
      <c r="C2281" s="58">
        <v>110</v>
      </c>
      <c r="D2281" s="59" t="s">
        <v>1658</v>
      </c>
      <c r="E2281" s="59" t="s">
        <v>1577</v>
      </c>
      <c r="F2281" s="59" t="s">
        <v>2275</v>
      </c>
      <c r="G2281" s="59" t="s">
        <v>3589</v>
      </c>
      <c r="H2281" s="59" t="s">
        <v>2281</v>
      </c>
      <c r="I2281" s="59" t="b">
        <v>1</v>
      </c>
      <c r="J2281" s="59"/>
      <c r="K2281" s="58">
        <v>1900</v>
      </c>
      <c r="L2281" s="58">
        <v>1342</v>
      </c>
      <c r="M2281" s="59">
        <v>10</v>
      </c>
      <c r="N2281" s="59">
        <v>10</v>
      </c>
      <c r="O2281" s="59" t="s">
        <v>3578</v>
      </c>
      <c r="P2281" s="58">
        <v>107</v>
      </c>
      <c r="Q2281" s="59">
        <v>0</v>
      </c>
      <c r="R2281" s="59">
        <v>0</v>
      </c>
      <c r="S2281" s="60">
        <f>tblJTL[[#This Row],[timeStamp]]/86400000+DATE(1970,1,1)+TIME(9,0,0)</f>
        <v>46296.423095439815</v>
      </c>
      <c r="T2281" s="57">
        <f>tblJTL[[#This Row],[timeStamp]]+tblJTL[[#This Row],[elapsed]]</f>
        <v>1790816955556</v>
      </c>
      <c r="U2281" s="61">
        <f>(tblJTL[[#This Row],[timeStamp]]-'17_分析サンプル'!$E$18)/1000</f>
        <v>555.26599999999996</v>
      </c>
      <c r="V2281" s="57">
        <f>INT(tblJTL[[#This Row],[経過秒]]/60)</f>
        <v>9</v>
      </c>
      <c r="W2281" s="57">
        <f>IF(OR(tblJTL[[#This Row],[success]]=FALSE,tblJTL[[#This Row],[success]]="false"),1,0)</f>
        <v>0</v>
      </c>
      <c r="X2281" s="57">
        <f>IF(AND(tblJTL[[#This Row],[経過秒]]&gt;='17_分析サンプル'!$E$11,tblJTL[[#This Row],[経過秒]]&lt;'17_分析サンプル'!$E$12),1,0)</f>
        <v>0</v>
      </c>
    </row>
    <row r="2282" spans="2:24" ht="14.4" x14ac:dyDescent="0.3">
      <c r="B2282" s="57">
        <v>1790816955639</v>
      </c>
      <c r="C2282" s="58">
        <v>141</v>
      </c>
      <c r="D2282" s="59" t="s">
        <v>1658</v>
      </c>
      <c r="E2282" s="59" t="s">
        <v>1577</v>
      </c>
      <c r="F2282" s="59" t="s">
        <v>2275</v>
      </c>
      <c r="G2282" s="59" t="s">
        <v>3577</v>
      </c>
      <c r="H2282" s="59" t="s">
        <v>2281</v>
      </c>
      <c r="I2282" s="59" t="b">
        <v>1</v>
      </c>
      <c r="J2282" s="59"/>
      <c r="K2282" s="58">
        <v>1837</v>
      </c>
      <c r="L2282" s="58">
        <v>1342</v>
      </c>
      <c r="M2282" s="59">
        <v>10</v>
      </c>
      <c r="N2282" s="59">
        <v>10</v>
      </c>
      <c r="O2282" s="59" t="s">
        <v>3578</v>
      </c>
      <c r="P2282" s="58">
        <v>135</v>
      </c>
      <c r="Q2282" s="59">
        <v>0</v>
      </c>
      <c r="R2282" s="59">
        <v>0</v>
      </c>
      <c r="S2282" s="60">
        <f>tblJTL[[#This Row],[timeStamp]]/86400000+DATE(1970,1,1)+TIME(9,0,0)</f>
        <v>46296.423097673614</v>
      </c>
      <c r="T2282" s="57">
        <f>tblJTL[[#This Row],[timeStamp]]+tblJTL[[#This Row],[elapsed]]</f>
        <v>1790816955780</v>
      </c>
      <c r="U2282" s="61">
        <f>(tblJTL[[#This Row],[timeStamp]]-'17_分析サンプル'!$E$18)/1000</f>
        <v>555.45899999999995</v>
      </c>
      <c r="V2282" s="57">
        <f>INT(tblJTL[[#This Row],[経過秒]]/60)</f>
        <v>9</v>
      </c>
      <c r="W2282" s="57">
        <f>IF(OR(tblJTL[[#This Row],[success]]=FALSE,tblJTL[[#This Row],[success]]="false"),1,0)</f>
        <v>0</v>
      </c>
      <c r="X2282" s="57">
        <f>IF(AND(tblJTL[[#This Row],[経過秒]]&gt;='17_分析サンプル'!$E$11,tblJTL[[#This Row],[経過秒]]&lt;'17_分析サンプル'!$E$12),1,0)</f>
        <v>0</v>
      </c>
    </row>
    <row r="2283" spans="2:24" ht="14.4" x14ac:dyDescent="0.3">
      <c r="B2283" s="57">
        <v>1790816955893</v>
      </c>
      <c r="C2283" s="58">
        <v>84</v>
      </c>
      <c r="D2283" s="59" t="s">
        <v>1658</v>
      </c>
      <c r="E2283" s="59" t="s">
        <v>1577</v>
      </c>
      <c r="F2283" s="59" t="s">
        <v>2275</v>
      </c>
      <c r="G2283" s="59" t="s">
        <v>3586</v>
      </c>
      <c r="H2283" s="59" t="s">
        <v>2281</v>
      </c>
      <c r="I2283" s="59" t="b">
        <v>1</v>
      </c>
      <c r="J2283" s="59"/>
      <c r="K2283" s="58">
        <v>1871</v>
      </c>
      <c r="L2283" s="58">
        <v>1342</v>
      </c>
      <c r="M2283" s="59">
        <v>10</v>
      </c>
      <c r="N2283" s="59">
        <v>10</v>
      </c>
      <c r="O2283" s="59" t="s">
        <v>3578</v>
      </c>
      <c r="P2283" s="58">
        <v>81</v>
      </c>
      <c r="Q2283" s="59">
        <v>0</v>
      </c>
      <c r="R2283" s="59">
        <v>0</v>
      </c>
      <c r="S2283" s="60">
        <f>tblJTL[[#This Row],[timeStamp]]/86400000+DATE(1970,1,1)+TIME(9,0,0)</f>
        <v>46296.423100613421</v>
      </c>
      <c r="T2283" s="57">
        <f>tblJTL[[#This Row],[timeStamp]]+tblJTL[[#This Row],[elapsed]]</f>
        <v>1790816955977</v>
      </c>
      <c r="U2283" s="61">
        <f>(tblJTL[[#This Row],[timeStamp]]-'17_分析サンプル'!$E$18)/1000</f>
        <v>555.71299999999997</v>
      </c>
      <c r="V2283" s="57">
        <f>INT(tblJTL[[#This Row],[経過秒]]/60)</f>
        <v>9</v>
      </c>
      <c r="W2283" s="57">
        <f>IF(OR(tblJTL[[#This Row],[success]]=FALSE,tblJTL[[#This Row],[success]]="false"),1,0)</f>
        <v>0</v>
      </c>
      <c r="X2283" s="57">
        <f>IF(AND(tblJTL[[#This Row],[経過秒]]&gt;='17_分析サンプル'!$E$11,tblJTL[[#This Row],[経過秒]]&lt;'17_分析サンプル'!$E$12),1,0)</f>
        <v>0</v>
      </c>
    </row>
    <row r="2284" spans="2:24" ht="14.4" x14ac:dyDescent="0.3">
      <c r="B2284" s="57">
        <v>1790816956293</v>
      </c>
      <c r="C2284" s="58">
        <v>193</v>
      </c>
      <c r="D2284" s="59" t="s">
        <v>1677</v>
      </c>
      <c r="E2284" s="59" t="s">
        <v>3579</v>
      </c>
      <c r="F2284" s="59" t="s">
        <v>3580</v>
      </c>
      <c r="G2284" s="59" t="s">
        <v>3582</v>
      </c>
      <c r="H2284" s="59" t="s">
        <v>2281</v>
      </c>
      <c r="I2284" s="59" t="b">
        <v>1</v>
      </c>
      <c r="J2284" s="59"/>
      <c r="K2284" s="58">
        <v>413</v>
      </c>
      <c r="L2284" s="58">
        <v>1478</v>
      </c>
      <c r="M2284" s="59">
        <v>10</v>
      </c>
      <c r="N2284" s="59">
        <v>10</v>
      </c>
      <c r="O2284" s="59" t="s">
        <v>3581</v>
      </c>
      <c r="P2284" s="58">
        <v>186</v>
      </c>
      <c r="Q2284" s="59">
        <v>0</v>
      </c>
      <c r="R2284" s="59">
        <v>0</v>
      </c>
      <c r="S2284" s="60">
        <f>tblJTL[[#This Row],[timeStamp]]/86400000+DATE(1970,1,1)+TIME(9,0,0)</f>
        <v>46296.423105243055</v>
      </c>
      <c r="T2284" s="57">
        <f>tblJTL[[#This Row],[timeStamp]]+tblJTL[[#This Row],[elapsed]]</f>
        <v>1790816956486</v>
      </c>
      <c r="U2284" s="61">
        <f>(tblJTL[[#This Row],[timeStamp]]-'17_分析サンプル'!$E$18)/1000</f>
        <v>556.11300000000006</v>
      </c>
      <c r="V2284" s="57">
        <f>INT(tblJTL[[#This Row],[経過秒]]/60)</f>
        <v>9</v>
      </c>
      <c r="W2284" s="57">
        <f>IF(OR(tblJTL[[#This Row],[success]]=FALSE,tblJTL[[#This Row],[success]]="false"),1,0)</f>
        <v>0</v>
      </c>
      <c r="X2284" s="57">
        <f>IF(AND(tblJTL[[#This Row],[経過秒]]&gt;='17_分析サンプル'!$E$11,tblJTL[[#This Row],[経過秒]]&lt;'17_分析サンプル'!$E$12),1,0)</f>
        <v>0</v>
      </c>
    </row>
    <row r="2285" spans="2:24" ht="14.4" x14ac:dyDescent="0.3">
      <c r="B2285" s="57">
        <v>1790816956577</v>
      </c>
      <c r="C2285" s="58">
        <v>90</v>
      </c>
      <c r="D2285" s="59" t="s">
        <v>1658</v>
      </c>
      <c r="E2285" s="59" t="s">
        <v>1577</v>
      </c>
      <c r="F2285" s="59" t="s">
        <v>2275</v>
      </c>
      <c r="G2285" s="59" t="s">
        <v>3584</v>
      </c>
      <c r="H2285" s="59" t="s">
        <v>2281</v>
      </c>
      <c r="I2285" s="59" t="b">
        <v>1</v>
      </c>
      <c r="J2285" s="59"/>
      <c r="K2285" s="58">
        <v>1868</v>
      </c>
      <c r="L2285" s="58">
        <v>1342</v>
      </c>
      <c r="M2285" s="59">
        <v>10</v>
      </c>
      <c r="N2285" s="59">
        <v>10</v>
      </c>
      <c r="O2285" s="59" t="s">
        <v>3578</v>
      </c>
      <c r="P2285" s="58">
        <v>82</v>
      </c>
      <c r="Q2285" s="59">
        <v>0</v>
      </c>
      <c r="R2285" s="59">
        <v>0</v>
      </c>
      <c r="S2285" s="60">
        <f>tblJTL[[#This Row],[timeStamp]]/86400000+DATE(1970,1,1)+TIME(9,0,0)</f>
        <v>46296.423108530093</v>
      </c>
      <c r="T2285" s="57">
        <f>tblJTL[[#This Row],[timeStamp]]+tblJTL[[#This Row],[elapsed]]</f>
        <v>1790816956667</v>
      </c>
      <c r="U2285" s="61">
        <f>(tblJTL[[#This Row],[timeStamp]]-'17_分析サンプル'!$E$18)/1000</f>
        <v>556.39700000000005</v>
      </c>
      <c r="V2285" s="57">
        <f>INT(tblJTL[[#This Row],[経過秒]]/60)</f>
        <v>9</v>
      </c>
      <c r="W2285" s="57">
        <f>IF(OR(tblJTL[[#This Row],[success]]=FALSE,tblJTL[[#This Row],[success]]="false"),1,0)</f>
        <v>0</v>
      </c>
      <c r="X2285" s="57">
        <f>IF(AND(tblJTL[[#This Row],[経過秒]]&gt;='17_分析サンプル'!$E$11,tblJTL[[#This Row],[経過秒]]&lt;'17_分析サンプル'!$E$12),1,0)</f>
        <v>0</v>
      </c>
    </row>
    <row r="2286" spans="2:24" ht="14.4" x14ac:dyDescent="0.3">
      <c r="B2286" s="57">
        <v>1790816956605</v>
      </c>
      <c r="C2286" s="58">
        <v>142</v>
      </c>
      <c r="D2286" s="59" t="s">
        <v>1658</v>
      </c>
      <c r="E2286" s="59" t="s">
        <v>1577</v>
      </c>
      <c r="F2286" s="59" t="s">
        <v>2275</v>
      </c>
      <c r="G2286" s="59" t="s">
        <v>3588</v>
      </c>
      <c r="H2286" s="59" t="s">
        <v>2281</v>
      </c>
      <c r="I2286" s="59" t="b">
        <v>1</v>
      </c>
      <c r="J2286" s="59"/>
      <c r="K2286" s="58">
        <v>1899</v>
      </c>
      <c r="L2286" s="58">
        <v>1342</v>
      </c>
      <c r="M2286" s="59">
        <v>10</v>
      </c>
      <c r="N2286" s="59">
        <v>10</v>
      </c>
      <c r="O2286" s="59" t="s">
        <v>3578</v>
      </c>
      <c r="P2286" s="58">
        <v>138</v>
      </c>
      <c r="Q2286" s="59">
        <v>0</v>
      </c>
      <c r="R2286" s="59">
        <v>0</v>
      </c>
      <c r="S2286" s="60">
        <f>tblJTL[[#This Row],[timeStamp]]/86400000+DATE(1970,1,1)+TIME(9,0,0)</f>
        <v>46296.423108854171</v>
      </c>
      <c r="T2286" s="57">
        <f>tblJTL[[#This Row],[timeStamp]]+tblJTL[[#This Row],[elapsed]]</f>
        <v>1790816956747</v>
      </c>
      <c r="U2286" s="61">
        <f>(tblJTL[[#This Row],[timeStamp]]-'17_分析サンプル'!$E$18)/1000</f>
        <v>556.42499999999995</v>
      </c>
      <c r="V2286" s="57">
        <f>INT(tblJTL[[#This Row],[経過秒]]/60)</f>
        <v>9</v>
      </c>
      <c r="W2286" s="57">
        <f>IF(OR(tblJTL[[#This Row],[success]]=FALSE,tblJTL[[#This Row],[success]]="false"),1,0)</f>
        <v>0</v>
      </c>
      <c r="X2286" s="57">
        <f>IF(AND(tblJTL[[#This Row],[経過秒]]&gt;='17_分析サンプル'!$E$11,tblJTL[[#This Row],[経過秒]]&lt;'17_分析サンプル'!$E$12),1,0)</f>
        <v>0</v>
      </c>
    </row>
    <row r="2287" spans="2:24" ht="14.4" x14ac:dyDescent="0.3">
      <c r="B2287" s="57">
        <v>1790816957241</v>
      </c>
      <c r="C2287" s="58">
        <v>208</v>
      </c>
      <c r="D2287" s="59" t="s">
        <v>1677</v>
      </c>
      <c r="E2287" s="59" t="s">
        <v>3579</v>
      </c>
      <c r="F2287" s="59" t="s">
        <v>3580</v>
      </c>
      <c r="G2287" s="59" t="s">
        <v>3585</v>
      </c>
      <c r="H2287" s="59" t="s">
        <v>2281</v>
      </c>
      <c r="I2287" s="59" t="b">
        <v>1</v>
      </c>
      <c r="J2287" s="59"/>
      <c r="K2287" s="58">
        <v>420</v>
      </c>
      <c r="L2287" s="58">
        <v>1478</v>
      </c>
      <c r="M2287" s="59">
        <v>10</v>
      </c>
      <c r="N2287" s="59">
        <v>10</v>
      </c>
      <c r="O2287" s="59" t="s">
        <v>3581</v>
      </c>
      <c r="P2287" s="58">
        <v>204</v>
      </c>
      <c r="Q2287" s="59">
        <v>0</v>
      </c>
      <c r="R2287" s="59">
        <v>0</v>
      </c>
      <c r="S2287" s="60">
        <f>tblJTL[[#This Row],[timeStamp]]/86400000+DATE(1970,1,1)+TIME(9,0,0)</f>
        <v>46296.423116215279</v>
      </c>
      <c r="T2287" s="57">
        <f>tblJTL[[#This Row],[timeStamp]]+tblJTL[[#This Row],[elapsed]]</f>
        <v>1790816957449</v>
      </c>
      <c r="U2287" s="61">
        <f>(tblJTL[[#This Row],[timeStamp]]-'17_分析サンプル'!$E$18)/1000</f>
        <v>557.06100000000004</v>
      </c>
      <c r="V2287" s="57">
        <f>INT(tblJTL[[#This Row],[経過秒]]/60)</f>
        <v>9</v>
      </c>
      <c r="W2287" s="57">
        <f>IF(OR(tblJTL[[#This Row],[success]]=FALSE,tblJTL[[#This Row],[success]]="false"),1,0)</f>
        <v>0</v>
      </c>
      <c r="X2287" s="57">
        <f>IF(AND(tblJTL[[#This Row],[経過秒]]&gt;='17_分析サンプル'!$E$11,tblJTL[[#This Row],[経過秒]]&lt;'17_分析サンプル'!$E$12),1,0)</f>
        <v>0</v>
      </c>
    </row>
    <row r="2288" spans="2:24" ht="14.4" x14ac:dyDescent="0.3">
      <c r="B2288" s="57">
        <v>1790816957427</v>
      </c>
      <c r="C2288" s="58">
        <v>98</v>
      </c>
      <c r="D2288" s="59" t="s">
        <v>1658</v>
      </c>
      <c r="E2288" s="59" t="s">
        <v>1577</v>
      </c>
      <c r="F2288" s="59" t="s">
        <v>2275</v>
      </c>
      <c r="G2288" s="59" t="s">
        <v>3583</v>
      </c>
      <c r="H2288" s="59" t="s">
        <v>2281</v>
      </c>
      <c r="I2288" s="59" t="b">
        <v>1</v>
      </c>
      <c r="J2288" s="59"/>
      <c r="K2288" s="58">
        <v>1824</v>
      </c>
      <c r="L2288" s="58">
        <v>1342</v>
      </c>
      <c r="M2288" s="59">
        <v>10</v>
      </c>
      <c r="N2288" s="59">
        <v>10</v>
      </c>
      <c r="O2288" s="59" t="s">
        <v>3578</v>
      </c>
      <c r="P2288" s="58">
        <v>91</v>
      </c>
      <c r="Q2288" s="59">
        <v>0</v>
      </c>
      <c r="R2288" s="59">
        <v>0</v>
      </c>
      <c r="S2288" s="60">
        <f>tblJTL[[#This Row],[timeStamp]]/86400000+DATE(1970,1,1)+TIME(9,0,0)</f>
        <v>46296.423118368053</v>
      </c>
      <c r="T2288" s="57">
        <f>tblJTL[[#This Row],[timeStamp]]+tblJTL[[#This Row],[elapsed]]</f>
        <v>1790816957525</v>
      </c>
      <c r="U2288" s="61">
        <f>(tblJTL[[#This Row],[timeStamp]]-'17_分析サンプル'!$E$18)/1000</f>
        <v>557.24699999999996</v>
      </c>
      <c r="V2288" s="57">
        <f>INT(tblJTL[[#This Row],[経過秒]]/60)</f>
        <v>9</v>
      </c>
      <c r="W2288" s="57">
        <f>IF(OR(tblJTL[[#This Row],[success]]=FALSE,tblJTL[[#This Row],[success]]="false"),1,0)</f>
        <v>0</v>
      </c>
      <c r="X2288" s="57">
        <f>IF(AND(tblJTL[[#This Row],[経過秒]]&gt;='17_分析サンプル'!$E$11,tblJTL[[#This Row],[経過秒]]&lt;'17_分析サンプル'!$E$12),1,0)</f>
        <v>0</v>
      </c>
    </row>
    <row r="2289" spans="2:24" ht="14.4" x14ac:dyDescent="0.3">
      <c r="B2289" s="57">
        <v>1790816957522</v>
      </c>
      <c r="C2289" s="58">
        <v>292</v>
      </c>
      <c r="D2289" s="59" t="s">
        <v>1677</v>
      </c>
      <c r="E2289" s="59" t="s">
        <v>3579</v>
      </c>
      <c r="F2289" s="59" t="s">
        <v>3580</v>
      </c>
      <c r="G2289" s="59" t="s">
        <v>3577</v>
      </c>
      <c r="H2289" s="59" t="s">
        <v>2281</v>
      </c>
      <c r="I2289" s="59" t="b">
        <v>1</v>
      </c>
      <c r="J2289" s="59"/>
      <c r="K2289" s="58">
        <v>420</v>
      </c>
      <c r="L2289" s="58">
        <v>1478</v>
      </c>
      <c r="M2289" s="59">
        <v>10</v>
      </c>
      <c r="N2289" s="59">
        <v>10</v>
      </c>
      <c r="O2289" s="59" t="s">
        <v>3581</v>
      </c>
      <c r="P2289" s="58">
        <v>289</v>
      </c>
      <c r="Q2289" s="59">
        <v>0</v>
      </c>
      <c r="R2289" s="59">
        <v>0</v>
      </c>
      <c r="S2289" s="60">
        <f>tblJTL[[#This Row],[timeStamp]]/86400000+DATE(1970,1,1)+TIME(9,0,0)</f>
        <v>46296.423119467596</v>
      </c>
      <c r="T2289" s="57">
        <f>tblJTL[[#This Row],[timeStamp]]+tblJTL[[#This Row],[elapsed]]</f>
        <v>1790816957814</v>
      </c>
      <c r="U2289" s="61">
        <f>(tblJTL[[#This Row],[timeStamp]]-'17_分析サンプル'!$E$18)/1000</f>
        <v>557.34199999999998</v>
      </c>
      <c r="V2289" s="57">
        <f>INT(tblJTL[[#This Row],[経過秒]]/60)</f>
        <v>9</v>
      </c>
      <c r="W2289" s="57">
        <f>IF(OR(tblJTL[[#This Row],[success]]=FALSE,tblJTL[[#This Row],[success]]="false"),1,0)</f>
        <v>0</v>
      </c>
      <c r="X2289" s="57">
        <f>IF(AND(tblJTL[[#This Row],[経過秒]]&gt;='17_分析サンプル'!$E$11,tblJTL[[#This Row],[経過秒]]&lt;'17_分析サンプル'!$E$12),1,0)</f>
        <v>0</v>
      </c>
    </row>
    <row r="2290" spans="2:24" ht="14.4" x14ac:dyDescent="0.3">
      <c r="B2290" s="57">
        <v>1790816957695</v>
      </c>
      <c r="C2290" s="58">
        <v>188</v>
      </c>
      <c r="D2290" s="59" t="s">
        <v>1677</v>
      </c>
      <c r="E2290" s="59" t="s">
        <v>3579</v>
      </c>
      <c r="F2290" s="59" t="s">
        <v>3580</v>
      </c>
      <c r="G2290" s="59" t="s">
        <v>3584</v>
      </c>
      <c r="H2290" s="59" t="s">
        <v>2281</v>
      </c>
      <c r="I2290" s="59" t="b">
        <v>1</v>
      </c>
      <c r="J2290" s="59"/>
      <c r="K2290" s="58">
        <v>411</v>
      </c>
      <c r="L2290" s="58">
        <v>1478</v>
      </c>
      <c r="M2290" s="59">
        <v>10</v>
      </c>
      <c r="N2290" s="59">
        <v>10</v>
      </c>
      <c r="O2290" s="59" t="s">
        <v>3581</v>
      </c>
      <c r="P2290" s="58">
        <v>180</v>
      </c>
      <c r="Q2290" s="59">
        <v>0</v>
      </c>
      <c r="R2290" s="59">
        <v>0</v>
      </c>
      <c r="S2290" s="60">
        <f>tblJTL[[#This Row],[timeStamp]]/86400000+DATE(1970,1,1)+TIME(9,0,0)</f>
        <v>46296.42312146991</v>
      </c>
      <c r="T2290" s="57">
        <f>tblJTL[[#This Row],[timeStamp]]+tblJTL[[#This Row],[elapsed]]</f>
        <v>1790816957883</v>
      </c>
      <c r="U2290" s="61">
        <f>(tblJTL[[#This Row],[timeStamp]]-'17_分析サンプル'!$E$18)/1000</f>
        <v>557.51499999999999</v>
      </c>
      <c r="V2290" s="57">
        <f>INT(tblJTL[[#This Row],[経過秒]]/60)</f>
        <v>9</v>
      </c>
      <c r="W2290" s="57">
        <f>IF(OR(tblJTL[[#This Row],[success]]=FALSE,tblJTL[[#This Row],[success]]="false"),1,0)</f>
        <v>0</v>
      </c>
      <c r="X2290" s="57">
        <f>IF(AND(tblJTL[[#This Row],[経過秒]]&gt;='17_分析サンプル'!$E$11,tblJTL[[#This Row],[経過秒]]&lt;'17_分析サンプル'!$E$12),1,0)</f>
        <v>0</v>
      </c>
    </row>
    <row r="2291" spans="2:24" ht="14.4" x14ac:dyDescent="0.3">
      <c r="B2291" s="57">
        <v>1790816957842</v>
      </c>
      <c r="C2291" s="58">
        <v>103</v>
      </c>
      <c r="D2291" s="59" t="s">
        <v>1658</v>
      </c>
      <c r="E2291" s="59" t="s">
        <v>1577</v>
      </c>
      <c r="F2291" s="59" t="s">
        <v>2275</v>
      </c>
      <c r="G2291" s="59" t="s">
        <v>3587</v>
      </c>
      <c r="H2291" s="59" t="s">
        <v>2281</v>
      </c>
      <c r="I2291" s="59" t="b">
        <v>1</v>
      </c>
      <c r="J2291" s="59"/>
      <c r="K2291" s="58">
        <v>1825</v>
      </c>
      <c r="L2291" s="58">
        <v>1342</v>
      </c>
      <c r="M2291" s="59">
        <v>10</v>
      </c>
      <c r="N2291" s="59">
        <v>10</v>
      </c>
      <c r="O2291" s="59" t="s">
        <v>3578</v>
      </c>
      <c r="P2291" s="58">
        <v>101</v>
      </c>
      <c r="Q2291" s="59">
        <v>0</v>
      </c>
      <c r="R2291" s="59">
        <v>0</v>
      </c>
      <c r="S2291" s="60">
        <f>tblJTL[[#This Row],[timeStamp]]/86400000+DATE(1970,1,1)+TIME(9,0,0)</f>
        <v>46296.423123171291</v>
      </c>
      <c r="T2291" s="57">
        <f>tblJTL[[#This Row],[timeStamp]]+tblJTL[[#This Row],[elapsed]]</f>
        <v>1790816957945</v>
      </c>
      <c r="U2291" s="61">
        <f>(tblJTL[[#This Row],[timeStamp]]-'17_分析サンプル'!$E$18)/1000</f>
        <v>557.66200000000003</v>
      </c>
      <c r="V2291" s="57">
        <f>INT(tblJTL[[#This Row],[経過秒]]/60)</f>
        <v>9</v>
      </c>
      <c r="W2291" s="57">
        <f>IF(OR(tblJTL[[#This Row],[success]]=FALSE,tblJTL[[#This Row],[success]]="false"),1,0)</f>
        <v>0</v>
      </c>
      <c r="X2291" s="57">
        <f>IF(AND(tblJTL[[#This Row],[経過秒]]&gt;='17_分析サンプル'!$E$11,tblJTL[[#This Row],[経過秒]]&lt;'17_分析サンプル'!$E$12),1,0)</f>
        <v>0</v>
      </c>
    </row>
    <row r="2292" spans="2:24" ht="14.4" x14ac:dyDescent="0.3">
      <c r="B2292" s="57">
        <v>1790816958280</v>
      </c>
      <c r="C2292" s="58">
        <v>79</v>
      </c>
      <c r="D2292" s="59" t="s">
        <v>1658</v>
      </c>
      <c r="E2292" s="59" t="s">
        <v>1577</v>
      </c>
      <c r="F2292" s="59" t="s">
        <v>2275</v>
      </c>
      <c r="G2292" s="59" t="s">
        <v>2278</v>
      </c>
      <c r="H2292" s="59" t="s">
        <v>2281</v>
      </c>
      <c r="I2292" s="59" t="b">
        <v>1</v>
      </c>
      <c r="J2292" s="59"/>
      <c r="K2292" s="58">
        <v>1854</v>
      </c>
      <c r="L2292" s="58">
        <v>1342</v>
      </c>
      <c r="M2292" s="59">
        <v>10</v>
      </c>
      <c r="N2292" s="59">
        <v>10</v>
      </c>
      <c r="O2292" s="59" t="s">
        <v>3578</v>
      </c>
      <c r="P2292" s="58">
        <v>77</v>
      </c>
      <c r="Q2292" s="59">
        <v>0</v>
      </c>
      <c r="R2292" s="59">
        <v>0</v>
      </c>
      <c r="S2292" s="60">
        <f>tblJTL[[#This Row],[timeStamp]]/86400000+DATE(1970,1,1)+TIME(9,0,0)</f>
        <v>46296.423128240742</v>
      </c>
      <c r="T2292" s="57">
        <f>tblJTL[[#This Row],[timeStamp]]+tblJTL[[#This Row],[elapsed]]</f>
        <v>1790816958359</v>
      </c>
      <c r="U2292" s="61">
        <f>(tblJTL[[#This Row],[timeStamp]]-'17_分析サンプル'!$E$18)/1000</f>
        <v>558.1</v>
      </c>
      <c r="V2292" s="57">
        <f>INT(tblJTL[[#This Row],[経過秒]]/60)</f>
        <v>9</v>
      </c>
      <c r="W2292" s="57">
        <f>IF(OR(tblJTL[[#This Row],[success]]=FALSE,tblJTL[[#This Row],[success]]="false"),1,0)</f>
        <v>0</v>
      </c>
      <c r="X2292" s="57">
        <f>IF(AND(tblJTL[[#This Row],[経過秒]]&gt;='17_分析サンプル'!$E$11,tblJTL[[#This Row],[経過秒]]&lt;'17_分析サンプル'!$E$12),1,0)</f>
        <v>0</v>
      </c>
    </row>
    <row r="2293" spans="2:24" ht="14.4" x14ac:dyDescent="0.3">
      <c r="B2293" s="57">
        <v>1790816958438</v>
      </c>
      <c r="C2293" s="58">
        <v>365</v>
      </c>
      <c r="D2293" s="59" t="s">
        <v>1677</v>
      </c>
      <c r="E2293" s="59" t="s">
        <v>3579</v>
      </c>
      <c r="F2293" s="59" t="s">
        <v>3580</v>
      </c>
      <c r="G2293" s="59" t="s">
        <v>3589</v>
      </c>
      <c r="H2293" s="59" t="s">
        <v>2281</v>
      </c>
      <c r="I2293" s="59" t="b">
        <v>1</v>
      </c>
      <c r="J2293" s="59"/>
      <c r="K2293" s="58">
        <v>411</v>
      </c>
      <c r="L2293" s="58">
        <v>1478</v>
      </c>
      <c r="M2293" s="59">
        <v>10</v>
      </c>
      <c r="N2293" s="59">
        <v>10</v>
      </c>
      <c r="O2293" s="59" t="s">
        <v>3581</v>
      </c>
      <c r="P2293" s="58">
        <v>357</v>
      </c>
      <c r="Q2293" s="59">
        <v>0</v>
      </c>
      <c r="R2293" s="59">
        <v>0</v>
      </c>
      <c r="S2293" s="60">
        <f>tblJTL[[#This Row],[timeStamp]]/86400000+DATE(1970,1,1)+TIME(9,0,0)</f>
        <v>46296.423130069445</v>
      </c>
      <c r="T2293" s="57">
        <f>tblJTL[[#This Row],[timeStamp]]+tblJTL[[#This Row],[elapsed]]</f>
        <v>1790816958803</v>
      </c>
      <c r="U2293" s="61">
        <f>(tblJTL[[#This Row],[timeStamp]]-'17_分析サンプル'!$E$18)/1000</f>
        <v>558.25800000000004</v>
      </c>
      <c r="V2293" s="57">
        <f>INT(tblJTL[[#This Row],[経過秒]]/60)</f>
        <v>9</v>
      </c>
      <c r="W2293" s="57">
        <f>IF(OR(tblJTL[[#This Row],[success]]=FALSE,tblJTL[[#This Row],[success]]="false"),1,0)</f>
        <v>0</v>
      </c>
      <c r="X2293" s="57">
        <f>IF(AND(tblJTL[[#This Row],[経過秒]]&gt;='17_分析サンプル'!$E$11,tblJTL[[#This Row],[経過秒]]&lt;'17_分析サンプル'!$E$12),1,0)</f>
        <v>0</v>
      </c>
    </row>
    <row r="2294" spans="2:24" ht="14.4" x14ac:dyDescent="0.3">
      <c r="B2294" s="57">
        <v>1790816958641</v>
      </c>
      <c r="C2294" s="58">
        <v>270</v>
      </c>
      <c r="D2294" s="59" t="s">
        <v>1677</v>
      </c>
      <c r="E2294" s="59" t="s">
        <v>3579</v>
      </c>
      <c r="F2294" s="59" t="s">
        <v>3580</v>
      </c>
      <c r="G2294" s="59" t="s">
        <v>3586</v>
      </c>
      <c r="H2294" s="59" t="s">
        <v>2281</v>
      </c>
      <c r="I2294" s="59" t="b">
        <v>1</v>
      </c>
      <c r="J2294" s="59"/>
      <c r="K2294" s="58">
        <v>410</v>
      </c>
      <c r="L2294" s="58">
        <v>1478</v>
      </c>
      <c r="M2294" s="59">
        <v>10</v>
      </c>
      <c r="N2294" s="59">
        <v>10</v>
      </c>
      <c r="O2294" s="59" t="s">
        <v>3581</v>
      </c>
      <c r="P2294" s="58">
        <v>268</v>
      </c>
      <c r="Q2294" s="59">
        <v>0</v>
      </c>
      <c r="R2294" s="59">
        <v>0</v>
      </c>
      <c r="S2294" s="60">
        <f>tblJTL[[#This Row],[timeStamp]]/86400000+DATE(1970,1,1)+TIME(9,0,0)</f>
        <v>46296.423132418982</v>
      </c>
      <c r="T2294" s="57">
        <f>tblJTL[[#This Row],[timeStamp]]+tblJTL[[#This Row],[elapsed]]</f>
        <v>1790816958911</v>
      </c>
      <c r="U2294" s="61">
        <f>(tblJTL[[#This Row],[timeStamp]]-'17_分析サンプル'!$E$18)/1000</f>
        <v>558.46100000000001</v>
      </c>
      <c r="V2294" s="57">
        <f>INT(tblJTL[[#This Row],[経過秒]]/60)</f>
        <v>9</v>
      </c>
      <c r="W2294" s="57">
        <f>IF(OR(tblJTL[[#This Row],[success]]=FALSE,tblJTL[[#This Row],[success]]="false"),1,0)</f>
        <v>0</v>
      </c>
      <c r="X2294" s="57">
        <f>IF(AND(tblJTL[[#This Row],[経過秒]]&gt;='17_分析サンプル'!$E$11,tblJTL[[#This Row],[経過秒]]&lt;'17_分析サンプル'!$E$12),1,0)</f>
        <v>0</v>
      </c>
    </row>
    <row r="2295" spans="2:24" ht="14.4" x14ac:dyDescent="0.3">
      <c r="B2295" s="57">
        <v>1790816958963</v>
      </c>
      <c r="C2295" s="58">
        <v>163</v>
      </c>
      <c r="D2295" s="59" t="s">
        <v>1677</v>
      </c>
      <c r="E2295" s="59" t="s">
        <v>3579</v>
      </c>
      <c r="F2295" s="59" t="s">
        <v>3580</v>
      </c>
      <c r="G2295" s="59" t="s">
        <v>3588</v>
      </c>
      <c r="H2295" s="59" t="s">
        <v>2281</v>
      </c>
      <c r="I2295" s="59" t="b">
        <v>1</v>
      </c>
      <c r="J2295" s="59"/>
      <c r="K2295" s="58">
        <v>419</v>
      </c>
      <c r="L2295" s="58">
        <v>1478</v>
      </c>
      <c r="M2295" s="59">
        <v>10</v>
      </c>
      <c r="N2295" s="59">
        <v>10</v>
      </c>
      <c r="O2295" s="59" t="s">
        <v>3581</v>
      </c>
      <c r="P2295" s="58">
        <v>160</v>
      </c>
      <c r="Q2295" s="59">
        <v>0</v>
      </c>
      <c r="R2295" s="59">
        <v>0</v>
      </c>
      <c r="S2295" s="60">
        <f>tblJTL[[#This Row],[timeStamp]]/86400000+DATE(1970,1,1)+TIME(9,0,0)</f>
        <v>46296.423136145837</v>
      </c>
      <c r="T2295" s="57">
        <f>tblJTL[[#This Row],[timeStamp]]+tblJTL[[#This Row],[elapsed]]</f>
        <v>1790816959126</v>
      </c>
      <c r="U2295" s="61">
        <f>(tblJTL[[#This Row],[timeStamp]]-'17_分析サンプル'!$E$18)/1000</f>
        <v>558.78300000000002</v>
      </c>
      <c r="V2295" s="57">
        <f>INT(tblJTL[[#This Row],[経過秒]]/60)</f>
        <v>9</v>
      </c>
      <c r="W2295" s="57">
        <f>IF(OR(tblJTL[[#This Row],[success]]=FALSE,tblJTL[[#This Row],[success]]="false"),1,0)</f>
        <v>0</v>
      </c>
      <c r="X2295" s="57">
        <f>IF(AND(tblJTL[[#This Row],[経過秒]]&gt;='17_分析サンプル'!$E$11,tblJTL[[#This Row],[経過秒]]&lt;'17_分析サンプル'!$E$12),1,0)</f>
        <v>0</v>
      </c>
    </row>
    <row r="2296" spans="2:24" ht="14.4" x14ac:dyDescent="0.3">
      <c r="B2296" s="57">
        <v>1790816959445</v>
      </c>
      <c r="C2296" s="58">
        <v>107</v>
      </c>
      <c r="D2296" s="59" t="s">
        <v>1658</v>
      </c>
      <c r="E2296" s="59" t="s">
        <v>1577</v>
      </c>
      <c r="F2296" s="59" t="s">
        <v>2275</v>
      </c>
      <c r="G2296" s="59" t="s">
        <v>3582</v>
      </c>
      <c r="H2296" s="59" t="s">
        <v>2281</v>
      </c>
      <c r="I2296" s="59" t="b">
        <v>1</v>
      </c>
      <c r="J2296" s="59"/>
      <c r="K2296" s="58">
        <v>1821</v>
      </c>
      <c r="L2296" s="58">
        <v>1342</v>
      </c>
      <c r="M2296" s="59">
        <v>10</v>
      </c>
      <c r="N2296" s="59">
        <v>10</v>
      </c>
      <c r="O2296" s="59" t="s">
        <v>3578</v>
      </c>
      <c r="P2296" s="58">
        <v>100</v>
      </c>
      <c r="Q2296" s="59">
        <v>0</v>
      </c>
      <c r="R2296" s="59">
        <v>0</v>
      </c>
      <c r="S2296" s="60">
        <f>tblJTL[[#This Row],[timeStamp]]/86400000+DATE(1970,1,1)+TIME(9,0,0)</f>
        <v>46296.423141724532</v>
      </c>
      <c r="T2296" s="57">
        <f>tblJTL[[#This Row],[timeStamp]]+tblJTL[[#This Row],[elapsed]]</f>
        <v>1790816959552</v>
      </c>
      <c r="U2296" s="61">
        <f>(tblJTL[[#This Row],[timeStamp]]-'17_分析サンプル'!$E$18)/1000</f>
        <v>559.26499999999999</v>
      </c>
      <c r="V2296" s="57">
        <f>INT(tblJTL[[#This Row],[経過秒]]/60)</f>
        <v>9</v>
      </c>
      <c r="W2296" s="57">
        <f>IF(OR(tblJTL[[#This Row],[success]]=FALSE,tblJTL[[#This Row],[success]]="false"),1,0)</f>
        <v>0</v>
      </c>
      <c r="X2296" s="57">
        <f>IF(AND(tblJTL[[#This Row],[経過秒]]&gt;='17_分析サンプル'!$E$11,tblJTL[[#This Row],[経過秒]]&lt;'17_分析サンプル'!$E$12),1,0)</f>
        <v>0</v>
      </c>
    </row>
    <row r="2297" spans="2:24" ht="14.4" x14ac:dyDescent="0.3">
      <c r="B2297" s="57">
        <v>1790816959815</v>
      </c>
      <c r="C2297" s="58">
        <v>233</v>
      </c>
      <c r="D2297" s="59" t="s">
        <v>1677</v>
      </c>
      <c r="E2297" s="59" t="s">
        <v>3579</v>
      </c>
      <c r="F2297" s="59" t="s">
        <v>3580</v>
      </c>
      <c r="G2297" s="59" t="s">
        <v>3583</v>
      </c>
      <c r="H2297" s="59" t="s">
        <v>2281</v>
      </c>
      <c r="I2297" s="59" t="b">
        <v>1</v>
      </c>
      <c r="J2297" s="59"/>
      <c r="K2297" s="58">
        <v>434</v>
      </c>
      <c r="L2297" s="58">
        <v>1478</v>
      </c>
      <c r="M2297" s="59">
        <v>10</v>
      </c>
      <c r="N2297" s="59">
        <v>10</v>
      </c>
      <c r="O2297" s="59" t="s">
        <v>3581</v>
      </c>
      <c r="P2297" s="58">
        <v>230</v>
      </c>
      <c r="Q2297" s="59">
        <v>0</v>
      </c>
      <c r="R2297" s="59">
        <v>0</v>
      </c>
      <c r="S2297" s="60">
        <f>tblJTL[[#This Row],[timeStamp]]/86400000+DATE(1970,1,1)+TIME(9,0,0)</f>
        <v>46296.423146006942</v>
      </c>
      <c r="T2297" s="57">
        <f>tblJTL[[#This Row],[timeStamp]]+tblJTL[[#This Row],[elapsed]]</f>
        <v>1790816960048</v>
      </c>
      <c r="U2297" s="61">
        <f>(tblJTL[[#This Row],[timeStamp]]-'17_分析サンプル'!$E$18)/1000</f>
        <v>559.63499999999999</v>
      </c>
      <c r="V2297" s="57">
        <f>INT(tblJTL[[#This Row],[経過秒]]/60)</f>
        <v>9</v>
      </c>
      <c r="W2297" s="57">
        <f>IF(OR(tblJTL[[#This Row],[success]]=FALSE,tblJTL[[#This Row],[success]]="false"),1,0)</f>
        <v>0</v>
      </c>
      <c r="X2297" s="57">
        <f>IF(AND(tblJTL[[#This Row],[経過秒]]&gt;='17_分析サンプル'!$E$11,tblJTL[[#This Row],[経過秒]]&lt;'17_分析サンプル'!$E$12),1,0)</f>
        <v>0</v>
      </c>
    </row>
    <row r="2298" spans="2:24" ht="14.4" x14ac:dyDescent="0.3">
      <c r="B2298" s="57">
        <v>1790816960229</v>
      </c>
      <c r="C2298" s="58">
        <v>77</v>
      </c>
      <c r="D2298" s="59" t="s">
        <v>1658</v>
      </c>
      <c r="E2298" s="59" t="s">
        <v>1577</v>
      </c>
      <c r="F2298" s="59" t="s">
        <v>2275</v>
      </c>
      <c r="G2298" s="59" t="s">
        <v>3577</v>
      </c>
      <c r="H2298" s="59" t="s">
        <v>2281</v>
      </c>
      <c r="I2298" s="59" t="b">
        <v>1</v>
      </c>
      <c r="J2298" s="59"/>
      <c r="K2298" s="58">
        <v>1831</v>
      </c>
      <c r="L2298" s="58">
        <v>1342</v>
      </c>
      <c r="M2298" s="59">
        <v>10</v>
      </c>
      <c r="N2298" s="59">
        <v>10</v>
      </c>
      <c r="O2298" s="59" t="s">
        <v>3578</v>
      </c>
      <c r="P2298" s="58">
        <v>70</v>
      </c>
      <c r="Q2298" s="59">
        <v>0</v>
      </c>
      <c r="R2298" s="59">
        <v>0</v>
      </c>
      <c r="S2298" s="60">
        <f>tblJTL[[#This Row],[timeStamp]]/86400000+DATE(1970,1,1)+TIME(9,0,0)</f>
        <v>46296.423150798611</v>
      </c>
      <c r="T2298" s="57">
        <f>tblJTL[[#This Row],[timeStamp]]+tblJTL[[#This Row],[elapsed]]</f>
        <v>1790816960306</v>
      </c>
      <c r="U2298" s="61">
        <f>(tblJTL[[#This Row],[timeStamp]]-'17_分析サンプル'!$E$18)/1000</f>
        <v>560.04899999999998</v>
      </c>
      <c r="V2298" s="57">
        <f>INT(tblJTL[[#This Row],[経過秒]]/60)</f>
        <v>9</v>
      </c>
      <c r="W2298" s="57">
        <f>IF(OR(tblJTL[[#This Row],[success]]=FALSE,tblJTL[[#This Row],[success]]="false"),1,0)</f>
        <v>0</v>
      </c>
      <c r="X2298" s="57">
        <f>IF(AND(tblJTL[[#This Row],[経過秒]]&gt;='17_分析サンプル'!$E$11,tblJTL[[#This Row],[経過秒]]&lt;'17_分析サンプル'!$E$12),1,0)</f>
        <v>0</v>
      </c>
    </row>
    <row r="2299" spans="2:24" ht="14.4" x14ac:dyDescent="0.3">
      <c r="B2299" s="57">
        <v>1790816960207</v>
      </c>
      <c r="C2299" s="58">
        <v>154</v>
      </c>
      <c r="D2299" s="59" t="s">
        <v>1658</v>
      </c>
      <c r="E2299" s="59" t="s">
        <v>1577</v>
      </c>
      <c r="F2299" s="59" t="s">
        <v>2275</v>
      </c>
      <c r="G2299" s="59" t="s">
        <v>3585</v>
      </c>
      <c r="H2299" s="59" t="s">
        <v>2281</v>
      </c>
      <c r="I2299" s="59" t="b">
        <v>1</v>
      </c>
      <c r="J2299" s="59"/>
      <c r="K2299" s="58">
        <v>1874</v>
      </c>
      <c r="L2299" s="58">
        <v>1342</v>
      </c>
      <c r="M2299" s="59">
        <v>10</v>
      </c>
      <c r="N2299" s="59">
        <v>10</v>
      </c>
      <c r="O2299" s="59" t="s">
        <v>3578</v>
      </c>
      <c r="P2299" s="58">
        <v>151</v>
      </c>
      <c r="Q2299" s="59">
        <v>0</v>
      </c>
      <c r="R2299" s="59">
        <v>0</v>
      </c>
      <c r="S2299" s="60">
        <f>tblJTL[[#This Row],[timeStamp]]/86400000+DATE(1970,1,1)+TIME(9,0,0)</f>
        <v>46296.423150543982</v>
      </c>
      <c r="T2299" s="57">
        <f>tblJTL[[#This Row],[timeStamp]]+tblJTL[[#This Row],[elapsed]]</f>
        <v>1790816960361</v>
      </c>
      <c r="U2299" s="61">
        <f>(tblJTL[[#This Row],[timeStamp]]-'17_分析サンプル'!$E$18)/1000</f>
        <v>560.02700000000004</v>
      </c>
      <c r="V2299" s="57">
        <f>INT(tblJTL[[#This Row],[経過秒]]/60)</f>
        <v>9</v>
      </c>
      <c r="W2299" s="57">
        <f>IF(OR(tblJTL[[#This Row],[success]]=FALSE,tblJTL[[#This Row],[success]]="false"),1,0)</f>
        <v>0</v>
      </c>
      <c r="X2299" s="57">
        <f>IF(AND(tblJTL[[#This Row],[経過秒]]&gt;='17_分析サンプル'!$E$11,tblJTL[[#This Row],[経過秒]]&lt;'17_分析サンプル'!$E$12),1,0)</f>
        <v>0</v>
      </c>
    </row>
    <row r="2300" spans="2:24" ht="14.4" x14ac:dyDescent="0.3">
      <c r="B2300" s="57">
        <v>1790816960098</v>
      </c>
      <c r="C2300" s="58">
        <v>317</v>
      </c>
      <c r="D2300" s="59" t="s">
        <v>1677</v>
      </c>
      <c r="E2300" s="59" t="s">
        <v>3579</v>
      </c>
      <c r="F2300" s="59" t="s">
        <v>3580</v>
      </c>
      <c r="G2300" s="59" t="s">
        <v>2278</v>
      </c>
      <c r="H2300" s="59" t="s">
        <v>2281</v>
      </c>
      <c r="I2300" s="59" t="b">
        <v>1</v>
      </c>
      <c r="J2300" s="59"/>
      <c r="K2300" s="58">
        <v>430</v>
      </c>
      <c r="L2300" s="58">
        <v>1478</v>
      </c>
      <c r="M2300" s="59">
        <v>10</v>
      </c>
      <c r="N2300" s="59">
        <v>10</v>
      </c>
      <c r="O2300" s="59" t="s">
        <v>3581</v>
      </c>
      <c r="P2300" s="58">
        <v>310</v>
      </c>
      <c r="Q2300" s="59">
        <v>0</v>
      </c>
      <c r="R2300" s="59">
        <v>0</v>
      </c>
      <c r="S2300" s="60">
        <f>tblJTL[[#This Row],[timeStamp]]/86400000+DATE(1970,1,1)+TIME(9,0,0)</f>
        <v>46296.423149282404</v>
      </c>
      <c r="T2300" s="57">
        <f>tblJTL[[#This Row],[timeStamp]]+tblJTL[[#This Row],[elapsed]]</f>
        <v>1790816960415</v>
      </c>
      <c r="U2300" s="61">
        <f>(tblJTL[[#This Row],[timeStamp]]-'17_分析サンプル'!$E$18)/1000</f>
        <v>559.91800000000001</v>
      </c>
      <c r="V2300" s="57">
        <f>INT(tblJTL[[#This Row],[経過秒]]/60)</f>
        <v>9</v>
      </c>
      <c r="W2300" s="57">
        <f>IF(OR(tblJTL[[#This Row],[success]]=FALSE,tblJTL[[#This Row],[success]]="false"),1,0)</f>
        <v>0</v>
      </c>
      <c r="X2300" s="57">
        <f>IF(AND(tblJTL[[#This Row],[経過秒]]&gt;='17_分析サンプル'!$E$11,tblJTL[[#This Row],[経過秒]]&lt;'17_分析サンプル'!$E$12),1,0)</f>
        <v>0</v>
      </c>
    </row>
    <row r="2301" spans="2:24" ht="14.4" x14ac:dyDescent="0.3">
      <c r="B2301" s="57">
        <v>1790816960492</v>
      </c>
      <c r="C2301" s="58">
        <v>100</v>
      </c>
      <c r="D2301" s="59" t="s">
        <v>1658</v>
      </c>
      <c r="E2301" s="59" t="s">
        <v>1577</v>
      </c>
      <c r="F2301" s="59" t="s">
        <v>2275</v>
      </c>
      <c r="G2301" s="59" t="s">
        <v>3589</v>
      </c>
      <c r="H2301" s="59" t="s">
        <v>2281</v>
      </c>
      <c r="I2301" s="59" t="b">
        <v>1</v>
      </c>
      <c r="J2301" s="59"/>
      <c r="K2301" s="58">
        <v>1864</v>
      </c>
      <c r="L2301" s="58">
        <v>1342</v>
      </c>
      <c r="M2301" s="59">
        <v>10</v>
      </c>
      <c r="N2301" s="59">
        <v>10</v>
      </c>
      <c r="O2301" s="59" t="s">
        <v>3578</v>
      </c>
      <c r="P2301" s="58">
        <v>92</v>
      </c>
      <c r="Q2301" s="59">
        <v>0</v>
      </c>
      <c r="R2301" s="59">
        <v>0</v>
      </c>
      <c r="S2301" s="60">
        <f>tblJTL[[#This Row],[timeStamp]]/86400000+DATE(1970,1,1)+TIME(9,0,0)</f>
        <v>46296.423153842596</v>
      </c>
      <c r="T2301" s="57">
        <f>tblJTL[[#This Row],[timeStamp]]+tblJTL[[#This Row],[elapsed]]</f>
        <v>1790816960592</v>
      </c>
      <c r="U2301" s="61">
        <f>(tblJTL[[#This Row],[timeStamp]]-'17_分析サンプル'!$E$18)/1000</f>
        <v>560.31200000000001</v>
      </c>
      <c r="V2301" s="57">
        <f>INT(tblJTL[[#This Row],[経過秒]]/60)</f>
        <v>9</v>
      </c>
      <c r="W2301" s="57">
        <f>IF(OR(tblJTL[[#This Row],[success]]=FALSE,tblJTL[[#This Row],[success]]="false"),1,0)</f>
        <v>0</v>
      </c>
      <c r="X2301" s="57">
        <f>IF(AND(tblJTL[[#This Row],[経過秒]]&gt;='17_分析サンプル'!$E$11,tblJTL[[#This Row],[経過秒]]&lt;'17_分析サンプル'!$E$12),1,0)</f>
        <v>0</v>
      </c>
    </row>
    <row r="2302" spans="2:24" ht="14.4" x14ac:dyDescent="0.3">
      <c r="B2302" s="57">
        <v>1790816960528</v>
      </c>
      <c r="C2302" s="58">
        <v>120</v>
      </c>
      <c r="D2302" s="59" t="s">
        <v>1658</v>
      </c>
      <c r="E2302" s="59" t="s">
        <v>1577</v>
      </c>
      <c r="F2302" s="59" t="s">
        <v>2275</v>
      </c>
      <c r="G2302" s="59" t="s">
        <v>3584</v>
      </c>
      <c r="H2302" s="59" t="s">
        <v>2281</v>
      </c>
      <c r="I2302" s="59" t="b">
        <v>1</v>
      </c>
      <c r="J2302" s="59"/>
      <c r="K2302" s="58">
        <v>1824</v>
      </c>
      <c r="L2302" s="58">
        <v>1342</v>
      </c>
      <c r="M2302" s="59">
        <v>10</v>
      </c>
      <c r="N2302" s="59">
        <v>10</v>
      </c>
      <c r="O2302" s="59" t="s">
        <v>3578</v>
      </c>
      <c r="P2302" s="58">
        <v>115</v>
      </c>
      <c r="Q2302" s="59">
        <v>0</v>
      </c>
      <c r="R2302" s="59">
        <v>0</v>
      </c>
      <c r="S2302" s="60">
        <f>tblJTL[[#This Row],[timeStamp]]/86400000+DATE(1970,1,1)+TIME(9,0,0)</f>
        <v>46296.423154259261</v>
      </c>
      <c r="T2302" s="57">
        <f>tblJTL[[#This Row],[timeStamp]]+tblJTL[[#This Row],[elapsed]]</f>
        <v>1790816960648</v>
      </c>
      <c r="U2302" s="61">
        <f>(tblJTL[[#This Row],[timeStamp]]-'17_分析サンプル'!$E$18)/1000</f>
        <v>560.34799999999996</v>
      </c>
      <c r="V2302" s="57">
        <f>INT(tblJTL[[#This Row],[経過秒]]/60)</f>
        <v>9</v>
      </c>
      <c r="W2302" s="57">
        <f>IF(OR(tblJTL[[#This Row],[success]]=FALSE,tblJTL[[#This Row],[success]]="false"),1,0)</f>
        <v>0</v>
      </c>
      <c r="X2302" s="57">
        <f>IF(AND(tblJTL[[#This Row],[経過秒]]&gt;='17_分析サンプル'!$E$11,tblJTL[[#This Row],[経過秒]]&lt;'17_分析サンプル'!$E$12),1,0)</f>
        <v>0</v>
      </c>
    </row>
    <row r="2303" spans="2:24" ht="14.4" x14ac:dyDescent="0.3">
      <c r="B2303" s="57">
        <v>1790816960525</v>
      </c>
      <c r="C2303" s="58">
        <v>162</v>
      </c>
      <c r="D2303" s="59" t="s">
        <v>1677</v>
      </c>
      <c r="E2303" s="59" t="s">
        <v>3579</v>
      </c>
      <c r="F2303" s="59" t="s">
        <v>3580</v>
      </c>
      <c r="G2303" s="59" t="s">
        <v>3587</v>
      </c>
      <c r="H2303" s="59" t="s">
        <v>2281</v>
      </c>
      <c r="I2303" s="59" t="b">
        <v>1</v>
      </c>
      <c r="J2303" s="59"/>
      <c r="K2303" s="58">
        <v>433</v>
      </c>
      <c r="L2303" s="58">
        <v>1478</v>
      </c>
      <c r="M2303" s="59">
        <v>10</v>
      </c>
      <c r="N2303" s="59">
        <v>10</v>
      </c>
      <c r="O2303" s="59" t="s">
        <v>3581</v>
      </c>
      <c r="P2303" s="58">
        <v>158</v>
      </c>
      <c r="Q2303" s="59">
        <v>0</v>
      </c>
      <c r="R2303" s="59">
        <v>0</v>
      </c>
      <c r="S2303" s="60">
        <f>tblJTL[[#This Row],[timeStamp]]/86400000+DATE(1970,1,1)+TIME(9,0,0)</f>
        <v>46296.42315422454</v>
      </c>
      <c r="T2303" s="57">
        <f>tblJTL[[#This Row],[timeStamp]]+tblJTL[[#This Row],[elapsed]]</f>
        <v>1790816960687</v>
      </c>
      <c r="U2303" s="61">
        <f>(tblJTL[[#This Row],[timeStamp]]-'17_分析サンプル'!$E$18)/1000</f>
        <v>560.34500000000003</v>
      </c>
      <c r="V2303" s="57">
        <f>INT(tblJTL[[#This Row],[経過秒]]/60)</f>
        <v>9</v>
      </c>
      <c r="W2303" s="57">
        <f>IF(OR(tblJTL[[#This Row],[success]]=FALSE,tblJTL[[#This Row],[success]]="false"),1,0)</f>
        <v>0</v>
      </c>
      <c r="X2303" s="57">
        <f>IF(AND(tblJTL[[#This Row],[経過秒]]&gt;='17_分析サンプル'!$E$11,tblJTL[[#This Row],[経過秒]]&lt;'17_分析サンプル'!$E$12),1,0)</f>
        <v>0</v>
      </c>
    </row>
    <row r="2304" spans="2:24" ht="14.4" x14ac:dyDescent="0.3">
      <c r="B2304" s="57">
        <v>1790816961377</v>
      </c>
      <c r="C2304" s="58">
        <v>208</v>
      </c>
      <c r="D2304" s="59" t="s">
        <v>1658</v>
      </c>
      <c r="E2304" s="59" t="s">
        <v>1577</v>
      </c>
      <c r="F2304" s="59" t="s">
        <v>2275</v>
      </c>
      <c r="G2304" s="59" t="s">
        <v>3588</v>
      </c>
      <c r="H2304" s="59" t="s">
        <v>2281</v>
      </c>
      <c r="I2304" s="59" t="b">
        <v>1</v>
      </c>
      <c r="J2304" s="59"/>
      <c r="K2304" s="58">
        <v>1853</v>
      </c>
      <c r="L2304" s="58">
        <v>1342</v>
      </c>
      <c r="M2304" s="59">
        <v>10</v>
      </c>
      <c r="N2304" s="59">
        <v>10</v>
      </c>
      <c r="O2304" s="59" t="s">
        <v>3578</v>
      </c>
      <c r="P2304" s="58">
        <v>202</v>
      </c>
      <c r="Q2304" s="59">
        <v>0</v>
      </c>
      <c r="R2304" s="59">
        <v>0</v>
      </c>
      <c r="S2304" s="60">
        <f>tblJTL[[#This Row],[timeStamp]]/86400000+DATE(1970,1,1)+TIME(9,0,0)</f>
        <v>46296.423164085645</v>
      </c>
      <c r="T2304" s="57">
        <f>tblJTL[[#This Row],[timeStamp]]+tblJTL[[#This Row],[elapsed]]</f>
        <v>1790816961585</v>
      </c>
      <c r="U2304" s="61">
        <f>(tblJTL[[#This Row],[timeStamp]]-'17_分析サンプル'!$E$18)/1000</f>
        <v>561.197</v>
      </c>
      <c r="V2304" s="57">
        <f>INT(tblJTL[[#This Row],[経過秒]]/60)</f>
        <v>9</v>
      </c>
      <c r="W2304" s="57">
        <f>IF(OR(tblJTL[[#This Row],[success]]=FALSE,tblJTL[[#This Row],[success]]="false"),1,0)</f>
        <v>0</v>
      </c>
      <c r="X2304" s="57">
        <f>IF(AND(tblJTL[[#This Row],[経過秒]]&gt;='17_分析サンプル'!$E$11,tblJTL[[#This Row],[経過秒]]&lt;'17_分析サンプル'!$E$12),1,0)</f>
        <v>0</v>
      </c>
    </row>
    <row r="2305" spans="2:24" ht="14.4" x14ac:dyDescent="0.3">
      <c r="B2305" s="57">
        <v>1790816961819</v>
      </c>
      <c r="C2305" s="58">
        <v>228</v>
      </c>
      <c r="D2305" s="59" t="s">
        <v>1658</v>
      </c>
      <c r="E2305" s="59" t="s">
        <v>1577</v>
      </c>
      <c r="F2305" s="59" t="s">
        <v>2275</v>
      </c>
      <c r="G2305" s="59" t="s">
        <v>3586</v>
      </c>
      <c r="H2305" s="59" t="s">
        <v>2281</v>
      </c>
      <c r="I2305" s="59" t="b">
        <v>1</v>
      </c>
      <c r="J2305" s="59"/>
      <c r="K2305" s="58">
        <v>1887</v>
      </c>
      <c r="L2305" s="58">
        <v>1342</v>
      </c>
      <c r="M2305" s="59">
        <v>10</v>
      </c>
      <c r="N2305" s="59">
        <v>10</v>
      </c>
      <c r="O2305" s="59" t="s">
        <v>3578</v>
      </c>
      <c r="P2305" s="58">
        <v>223</v>
      </c>
      <c r="Q2305" s="59">
        <v>0</v>
      </c>
      <c r="R2305" s="59">
        <v>0</v>
      </c>
      <c r="S2305" s="60">
        <f>tblJTL[[#This Row],[timeStamp]]/86400000+DATE(1970,1,1)+TIME(9,0,0)</f>
        <v>46296.423169201385</v>
      </c>
      <c r="T2305" s="57">
        <f>tblJTL[[#This Row],[timeStamp]]+tblJTL[[#This Row],[elapsed]]</f>
        <v>1790816962047</v>
      </c>
      <c r="U2305" s="61">
        <f>(tblJTL[[#This Row],[timeStamp]]-'17_分析サンプル'!$E$18)/1000</f>
        <v>561.63900000000001</v>
      </c>
      <c r="V2305" s="57">
        <f>INT(tblJTL[[#This Row],[経過秒]]/60)</f>
        <v>9</v>
      </c>
      <c r="W2305" s="57">
        <f>IF(OR(tblJTL[[#This Row],[success]]=FALSE,tblJTL[[#This Row],[success]]="false"),1,0)</f>
        <v>0</v>
      </c>
      <c r="X2305" s="57">
        <f>IF(AND(tblJTL[[#This Row],[経過秒]]&gt;='17_分析サンプル'!$E$11,tblJTL[[#This Row],[経過秒]]&lt;'17_分析サンプル'!$E$12),1,0)</f>
        <v>0</v>
      </c>
    </row>
    <row r="2306" spans="2:24" ht="14.4" x14ac:dyDescent="0.3">
      <c r="B2306" s="57">
        <v>1790816962026</v>
      </c>
      <c r="C2306" s="58">
        <v>100</v>
      </c>
      <c r="D2306" s="59" t="s">
        <v>1658</v>
      </c>
      <c r="E2306" s="59" t="s">
        <v>1577</v>
      </c>
      <c r="F2306" s="59" t="s">
        <v>2275</v>
      </c>
      <c r="G2306" s="59" t="s">
        <v>3583</v>
      </c>
      <c r="H2306" s="59" t="s">
        <v>2281</v>
      </c>
      <c r="I2306" s="59" t="b">
        <v>1</v>
      </c>
      <c r="J2306" s="59"/>
      <c r="K2306" s="58">
        <v>1870</v>
      </c>
      <c r="L2306" s="58">
        <v>1342</v>
      </c>
      <c r="M2306" s="59">
        <v>10</v>
      </c>
      <c r="N2306" s="59">
        <v>10</v>
      </c>
      <c r="O2306" s="59" t="s">
        <v>3578</v>
      </c>
      <c r="P2306" s="58">
        <v>98</v>
      </c>
      <c r="Q2306" s="59">
        <v>0</v>
      </c>
      <c r="R2306" s="59">
        <v>0</v>
      </c>
      <c r="S2306" s="60">
        <f>tblJTL[[#This Row],[timeStamp]]/86400000+DATE(1970,1,1)+TIME(9,0,0)</f>
        <v>46296.423171597227</v>
      </c>
      <c r="T2306" s="57">
        <f>tblJTL[[#This Row],[timeStamp]]+tblJTL[[#This Row],[elapsed]]</f>
        <v>1790816962126</v>
      </c>
      <c r="U2306" s="61">
        <f>(tblJTL[[#This Row],[timeStamp]]-'17_分析サンプル'!$E$18)/1000</f>
        <v>561.846</v>
      </c>
      <c r="V2306" s="57">
        <f>INT(tblJTL[[#This Row],[経過秒]]/60)</f>
        <v>9</v>
      </c>
      <c r="W2306" s="57">
        <f>IF(OR(tblJTL[[#This Row],[success]]=FALSE,tblJTL[[#This Row],[success]]="false"),1,0)</f>
        <v>0</v>
      </c>
      <c r="X2306" s="57">
        <f>IF(AND(tblJTL[[#This Row],[経過秒]]&gt;='17_分析サンプル'!$E$11,tblJTL[[#This Row],[経過秒]]&lt;'17_分析サンプル'!$E$12),1,0)</f>
        <v>0</v>
      </c>
    </row>
    <row r="2307" spans="2:24" ht="14.4" x14ac:dyDescent="0.3">
      <c r="B2307" s="57">
        <v>1790816961952</v>
      </c>
      <c r="C2307" s="58">
        <v>222</v>
      </c>
      <c r="D2307" s="59" t="s">
        <v>1677</v>
      </c>
      <c r="E2307" s="59" t="s">
        <v>3579</v>
      </c>
      <c r="F2307" s="59" t="s">
        <v>3580</v>
      </c>
      <c r="G2307" s="59" t="s">
        <v>3577</v>
      </c>
      <c r="H2307" s="59" t="s">
        <v>2281</v>
      </c>
      <c r="I2307" s="59" t="b">
        <v>1</v>
      </c>
      <c r="J2307" s="59"/>
      <c r="K2307" s="58">
        <v>435</v>
      </c>
      <c r="L2307" s="58">
        <v>1478</v>
      </c>
      <c r="M2307" s="59">
        <v>10</v>
      </c>
      <c r="N2307" s="59">
        <v>10</v>
      </c>
      <c r="O2307" s="59" t="s">
        <v>3581</v>
      </c>
      <c r="P2307" s="58">
        <v>218</v>
      </c>
      <c r="Q2307" s="59">
        <v>0</v>
      </c>
      <c r="R2307" s="59">
        <v>0</v>
      </c>
      <c r="S2307" s="60">
        <f>tblJTL[[#This Row],[timeStamp]]/86400000+DATE(1970,1,1)+TIME(9,0,0)</f>
        <v>46296.423170740745</v>
      </c>
      <c r="T2307" s="57">
        <f>tblJTL[[#This Row],[timeStamp]]+tblJTL[[#This Row],[elapsed]]</f>
        <v>1790816962174</v>
      </c>
      <c r="U2307" s="61">
        <f>(tblJTL[[#This Row],[timeStamp]]-'17_分析サンプル'!$E$18)/1000</f>
        <v>561.77200000000005</v>
      </c>
      <c r="V2307" s="57">
        <f>INT(tblJTL[[#This Row],[経過秒]]/60)</f>
        <v>9</v>
      </c>
      <c r="W2307" s="57">
        <f>IF(OR(tblJTL[[#This Row],[success]]=FALSE,tblJTL[[#This Row],[success]]="false"),1,0)</f>
        <v>0</v>
      </c>
      <c r="X2307" s="57">
        <f>IF(AND(tblJTL[[#This Row],[経過秒]]&gt;='17_分析サンプル'!$E$11,tblJTL[[#This Row],[経過秒]]&lt;'17_分析サンプル'!$E$12),1,0)</f>
        <v>0</v>
      </c>
    </row>
    <row r="2308" spans="2:24" ht="14.4" x14ac:dyDescent="0.3">
      <c r="B2308" s="57">
        <v>1790816961607</v>
      </c>
      <c r="C2308" s="58">
        <v>653</v>
      </c>
      <c r="D2308" s="59" t="s">
        <v>1677</v>
      </c>
      <c r="E2308" s="59" t="s">
        <v>3579</v>
      </c>
      <c r="F2308" s="59" t="s">
        <v>3580</v>
      </c>
      <c r="G2308" s="59" t="s">
        <v>3585</v>
      </c>
      <c r="H2308" s="59" t="s">
        <v>2281</v>
      </c>
      <c r="I2308" s="59" t="b">
        <v>1</v>
      </c>
      <c r="J2308" s="59"/>
      <c r="K2308" s="58">
        <v>426</v>
      </c>
      <c r="L2308" s="58">
        <v>1478</v>
      </c>
      <c r="M2308" s="59">
        <v>10</v>
      </c>
      <c r="N2308" s="59">
        <v>10</v>
      </c>
      <c r="O2308" s="59" t="s">
        <v>3581</v>
      </c>
      <c r="P2308" s="58">
        <v>645</v>
      </c>
      <c r="Q2308" s="59">
        <v>0</v>
      </c>
      <c r="R2308" s="59">
        <v>0</v>
      </c>
      <c r="S2308" s="60">
        <f>tblJTL[[#This Row],[timeStamp]]/86400000+DATE(1970,1,1)+TIME(9,0,0)</f>
        <v>46296.423166747685</v>
      </c>
      <c r="T2308" s="57">
        <f>tblJTL[[#This Row],[timeStamp]]+tblJTL[[#This Row],[elapsed]]</f>
        <v>1790816962260</v>
      </c>
      <c r="U2308" s="61">
        <f>(tblJTL[[#This Row],[timeStamp]]-'17_分析サンプル'!$E$18)/1000</f>
        <v>561.42700000000002</v>
      </c>
      <c r="V2308" s="57">
        <f>INT(tblJTL[[#This Row],[経過秒]]/60)</f>
        <v>9</v>
      </c>
      <c r="W2308" s="57">
        <f>IF(OR(tblJTL[[#This Row],[success]]=FALSE,tblJTL[[#This Row],[success]]="false"),1,0)</f>
        <v>0</v>
      </c>
      <c r="X2308" s="57">
        <f>IF(AND(tblJTL[[#This Row],[経過秒]]&gt;='17_分析サンプル'!$E$11,tblJTL[[#This Row],[経過秒]]&lt;'17_分析サンプル'!$E$12),1,0)</f>
        <v>0</v>
      </c>
    </row>
    <row r="2309" spans="2:24" ht="14.4" x14ac:dyDescent="0.3">
      <c r="B2309" s="57">
        <v>1790816962136</v>
      </c>
      <c r="C2309" s="58">
        <v>393</v>
      </c>
      <c r="D2309" s="59" t="s">
        <v>1677</v>
      </c>
      <c r="E2309" s="59" t="s">
        <v>3579</v>
      </c>
      <c r="F2309" s="59" t="s">
        <v>3580</v>
      </c>
      <c r="G2309" s="59" t="s">
        <v>3582</v>
      </c>
      <c r="H2309" s="59" t="s">
        <v>2281</v>
      </c>
      <c r="I2309" s="59" t="b">
        <v>1</v>
      </c>
      <c r="J2309" s="59"/>
      <c r="K2309" s="58">
        <v>434</v>
      </c>
      <c r="L2309" s="58">
        <v>1478</v>
      </c>
      <c r="M2309" s="59">
        <v>10</v>
      </c>
      <c r="N2309" s="59">
        <v>10</v>
      </c>
      <c r="O2309" s="59" t="s">
        <v>3581</v>
      </c>
      <c r="P2309" s="58">
        <v>391</v>
      </c>
      <c r="Q2309" s="59">
        <v>0</v>
      </c>
      <c r="R2309" s="59">
        <v>42</v>
      </c>
      <c r="S2309" s="60">
        <f>tblJTL[[#This Row],[timeStamp]]/86400000+DATE(1970,1,1)+TIME(9,0,0)</f>
        <v>46296.423172870374</v>
      </c>
      <c r="T2309" s="57">
        <f>tblJTL[[#This Row],[timeStamp]]+tblJTL[[#This Row],[elapsed]]</f>
        <v>1790816962529</v>
      </c>
      <c r="U2309" s="61">
        <f>(tblJTL[[#This Row],[timeStamp]]-'17_分析サンプル'!$E$18)/1000</f>
        <v>561.95600000000002</v>
      </c>
      <c r="V2309" s="57">
        <f>INT(tblJTL[[#This Row],[経過秒]]/60)</f>
        <v>9</v>
      </c>
      <c r="W2309" s="57">
        <f>IF(OR(tblJTL[[#This Row],[success]]=FALSE,tblJTL[[#This Row],[success]]="false"),1,0)</f>
        <v>0</v>
      </c>
      <c r="X2309" s="57">
        <f>IF(AND(tblJTL[[#This Row],[経過秒]]&gt;='17_分析サンプル'!$E$11,tblJTL[[#This Row],[経過秒]]&lt;'17_分析サンプル'!$E$12),1,0)</f>
        <v>0</v>
      </c>
    </row>
    <row r="2310" spans="2:24" ht="14.4" x14ac:dyDescent="0.3">
      <c r="B2310" s="57">
        <v>1790816962731</v>
      </c>
      <c r="C2310" s="58">
        <v>161</v>
      </c>
      <c r="D2310" s="59" t="s">
        <v>1658</v>
      </c>
      <c r="E2310" s="59" t="s">
        <v>1577</v>
      </c>
      <c r="F2310" s="59" t="s">
        <v>2275</v>
      </c>
      <c r="G2310" s="59" t="s">
        <v>3587</v>
      </c>
      <c r="H2310" s="59" t="s">
        <v>2281</v>
      </c>
      <c r="I2310" s="59" t="b">
        <v>1</v>
      </c>
      <c r="J2310" s="59"/>
      <c r="K2310" s="58">
        <v>1855</v>
      </c>
      <c r="L2310" s="58">
        <v>1342</v>
      </c>
      <c r="M2310" s="59">
        <v>10</v>
      </c>
      <c r="N2310" s="59">
        <v>10</v>
      </c>
      <c r="O2310" s="59" t="s">
        <v>3578</v>
      </c>
      <c r="P2310" s="58">
        <v>153</v>
      </c>
      <c r="Q2310" s="59">
        <v>0</v>
      </c>
      <c r="R2310" s="59">
        <v>0</v>
      </c>
      <c r="S2310" s="60">
        <f>tblJTL[[#This Row],[timeStamp]]/86400000+DATE(1970,1,1)+TIME(9,0,0)</f>
        <v>46296.423179756945</v>
      </c>
      <c r="T2310" s="57">
        <f>tblJTL[[#This Row],[timeStamp]]+tblJTL[[#This Row],[elapsed]]</f>
        <v>1790816962892</v>
      </c>
      <c r="U2310" s="61">
        <f>(tblJTL[[#This Row],[timeStamp]]-'17_分析サンプル'!$E$18)/1000</f>
        <v>562.55100000000004</v>
      </c>
      <c r="V2310" s="57">
        <f>INT(tblJTL[[#This Row],[経過秒]]/60)</f>
        <v>9</v>
      </c>
      <c r="W2310" s="57">
        <f>IF(OR(tblJTL[[#This Row],[success]]=FALSE,tblJTL[[#This Row],[success]]="false"),1,0)</f>
        <v>0</v>
      </c>
      <c r="X2310" s="57">
        <f>IF(AND(tblJTL[[#This Row],[経過秒]]&gt;='17_分析サンプル'!$E$11,tblJTL[[#This Row],[経過秒]]&lt;'17_分析サンプル'!$E$12),1,0)</f>
        <v>0</v>
      </c>
    </row>
    <row r="2311" spans="2:24" ht="14.4" x14ac:dyDescent="0.3">
      <c r="B2311" s="57">
        <v>1790816962820</v>
      </c>
      <c r="C2311" s="58">
        <v>212</v>
      </c>
      <c r="D2311" s="59" t="s">
        <v>1677</v>
      </c>
      <c r="E2311" s="59" t="s">
        <v>3579</v>
      </c>
      <c r="F2311" s="59" t="s">
        <v>3580</v>
      </c>
      <c r="G2311" s="59" t="s">
        <v>3584</v>
      </c>
      <c r="H2311" s="59" t="s">
        <v>2281</v>
      </c>
      <c r="I2311" s="59" t="b">
        <v>1</v>
      </c>
      <c r="J2311" s="59"/>
      <c r="K2311" s="58">
        <v>437</v>
      </c>
      <c r="L2311" s="58">
        <v>1478</v>
      </c>
      <c r="M2311" s="59">
        <v>10</v>
      </c>
      <c r="N2311" s="59">
        <v>10</v>
      </c>
      <c r="O2311" s="59" t="s">
        <v>3581</v>
      </c>
      <c r="P2311" s="58">
        <v>208</v>
      </c>
      <c r="Q2311" s="59">
        <v>0</v>
      </c>
      <c r="R2311" s="59">
        <v>0</v>
      </c>
      <c r="S2311" s="60">
        <f>tblJTL[[#This Row],[timeStamp]]/86400000+DATE(1970,1,1)+TIME(9,0,0)</f>
        <v>46296.423180787038</v>
      </c>
      <c r="T2311" s="57">
        <f>tblJTL[[#This Row],[timeStamp]]+tblJTL[[#This Row],[elapsed]]</f>
        <v>1790816963032</v>
      </c>
      <c r="U2311" s="61">
        <f>(tblJTL[[#This Row],[timeStamp]]-'17_分析サンプル'!$E$18)/1000</f>
        <v>562.64</v>
      </c>
      <c r="V2311" s="57">
        <f>INT(tblJTL[[#This Row],[経過秒]]/60)</f>
        <v>9</v>
      </c>
      <c r="W2311" s="57">
        <f>IF(OR(tblJTL[[#This Row],[success]]=FALSE,tblJTL[[#This Row],[success]]="false"),1,0)</f>
        <v>0</v>
      </c>
      <c r="X2311" s="57">
        <f>IF(AND(tblJTL[[#This Row],[経過秒]]&gt;='17_分析サンプル'!$E$11,tblJTL[[#This Row],[経過秒]]&lt;'17_分析サンプル'!$E$12),1,0)</f>
        <v>0</v>
      </c>
    </row>
    <row r="2312" spans="2:24" ht="14.4" x14ac:dyDescent="0.3">
      <c r="B2312" s="57">
        <v>1790816962912</v>
      </c>
      <c r="C2312" s="58">
        <v>314</v>
      </c>
      <c r="D2312" s="59" t="s">
        <v>1677</v>
      </c>
      <c r="E2312" s="59" t="s">
        <v>3579</v>
      </c>
      <c r="F2312" s="59" t="s">
        <v>3580</v>
      </c>
      <c r="G2312" s="59" t="s">
        <v>3589</v>
      </c>
      <c r="H2312" s="59" t="s">
        <v>2281</v>
      </c>
      <c r="I2312" s="59" t="b">
        <v>1</v>
      </c>
      <c r="J2312" s="59"/>
      <c r="K2312" s="58">
        <v>414</v>
      </c>
      <c r="L2312" s="58">
        <v>1478</v>
      </c>
      <c r="M2312" s="59">
        <v>10</v>
      </c>
      <c r="N2312" s="59">
        <v>10</v>
      </c>
      <c r="O2312" s="59" t="s">
        <v>3581</v>
      </c>
      <c r="P2312" s="58">
        <v>311</v>
      </c>
      <c r="Q2312" s="59">
        <v>0</v>
      </c>
      <c r="R2312" s="59">
        <v>0</v>
      </c>
      <c r="S2312" s="60">
        <f>tblJTL[[#This Row],[timeStamp]]/86400000+DATE(1970,1,1)+TIME(9,0,0)</f>
        <v>46296.423181851853</v>
      </c>
      <c r="T2312" s="57">
        <f>tblJTL[[#This Row],[timeStamp]]+tblJTL[[#This Row],[elapsed]]</f>
        <v>1790816963226</v>
      </c>
      <c r="U2312" s="61">
        <f>(tblJTL[[#This Row],[timeStamp]]-'17_分析サンプル'!$E$18)/1000</f>
        <v>562.73199999999997</v>
      </c>
      <c r="V2312" s="57">
        <f>INT(tblJTL[[#This Row],[経過秒]]/60)</f>
        <v>9</v>
      </c>
      <c r="W2312" s="57">
        <f>IF(OR(tblJTL[[#This Row],[success]]=FALSE,tblJTL[[#This Row],[success]]="false"),1,0)</f>
        <v>0</v>
      </c>
      <c r="X2312" s="57">
        <f>IF(AND(tblJTL[[#This Row],[経過秒]]&gt;='17_分析サンプル'!$E$11,tblJTL[[#This Row],[経過秒]]&lt;'17_分析サンプル'!$E$12),1,0)</f>
        <v>0</v>
      </c>
    </row>
    <row r="2313" spans="2:24" ht="14.4" x14ac:dyDescent="0.3">
      <c r="B2313" s="57">
        <v>1790816963216</v>
      </c>
      <c r="C2313" s="58">
        <v>199</v>
      </c>
      <c r="D2313" s="59" t="s">
        <v>1658</v>
      </c>
      <c r="E2313" s="59" t="s">
        <v>1577</v>
      </c>
      <c r="F2313" s="59" t="s">
        <v>2275</v>
      </c>
      <c r="G2313" s="59" t="s">
        <v>3577</v>
      </c>
      <c r="H2313" s="59" t="s">
        <v>2281</v>
      </c>
      <c r="I2313" s="59" t="b">
        <v>1</v>
      </c>
      <c r="J2313" s="59"/>
      <c r="K2313" s="58">
        <v>1899</v>
      </c>
      <c r="L2313" s="58">
        <v>1342</v>
      </c>
      <c r="M2313" s="59">
        <v>10</v>
      </c>
      <c r="N2313" s="59">
        <v>10</v>
      </c>
      <c r="O2313" s="59" t="s">
        <v>3578</v>
      </c>
      <c r="P2313" s="58">
        <v>196</v>
      </c>
      <c r="Q2313" s="59">
        <v>0</v>
      </c>
      <c r="R2313" s="59">
        <v>0</v>
      </c>
      <c r="S2313" s="60">
        <f>tblJTL[[#This Row],[timeStamp]]/86400000+DATE(1970,1,1)+TIME(9,0,0)</f>
        <v>46296.423185370368</v>
      </c>
      <c r="T2313" s="57">
        <f>tblJTL[[#This Row],[timeStamp]]+tblJTL[[#This Row],[elapsed]]</f>
        <v>1790816963415</v>
      </c>
      <c r="U2313" s="61">
        <f>(tblJTL[[#This Row],[timeStamp]]-'17_分析サンプル'!$E$18)/1000</f>
        <v>563.03599999999994</v>
      </c>
      <c r="V2313" s="57">
        <f>INT(tblJTL[[#This Row],[経過秒]]/60)</f>
        <v>9</v>
      </c>
      <c r="W2313" s="57">
        <f>IF(OR(tblJTL[[#This Row],[success]]=FALSE,tblJTL[[#This Row],[success]]="false"),1,0)</f>
        <v>0</v>
      </c>
      <c r="X2313" s="57">
        <f>IF(AND(tblJTL[[#This Row],[経過秒]]&gt;='17_分析サンプル'!$E$11,tblJTL[[#This Row],[経過秒]]&lt;'17_分析サンプル'!$E$12),1,0)</f>
        <v>0</v>
      </c>
    </row>
    <row r="2314" spans="2:24" ht="14.4" x14ac:dyDescent="0.3">
      <c r="B2314" s="57">
        <v>1790816963313</v>
      </c>
      <c r="C2314" s="58">
        <v>161</v>
      </c>
      <c r="D2314" s="59" t="s">
        <v>1658</v>
      </c>
      <c r="E2314" s="59" t="s">
        <v>1577</v>
      </c>
      <c r="F2314" s="59" t="s">
        <v>2275</v>
      </c>
      <c r="G2314" s="59" t="s">
        <v>2278</v>
      </c>
      <c r="H2314" s="59" t="s">
        <v>2281</v>
      </c>
      <c r="I2314" s="59" t="b">
        <v>1</v>
      </c>
      <c r="J2314" s="59"/>
      <c r="K2314" s="58">
        <v>1830</v>
      </c>
      <c r="L2314" s="58">
        <v>1342</v>
      </c>
      <c r="M2314" s="59">
        <v>10</v>
      </c>
      <c r="N2314" s="59">
        <v>10</v>
      </c>
      <c r="O2314" s="59" t="s">
        <v>3578</v>
      </c>
      <c r="P2314" s="58">
        <v>158</v>
      </c>
      <c r="Q2314" s="59">
        <v>0</v>
      </c>
      <c r="R2314" s="59">
        <v>0</v>
      </c>
      <c r="S2314" s="60">
        <f>tblJTL[[#This Row],[timeStamp]]/86400000+DATE(1970,1,1)+TIME(9,0,0)</f>
        <v>46296.423186493055</v>
      </c>
      <c r="T2314" s="57">
        <f>tblJTL[[#This Row],[timeStamp]]+tblJTL[[#This Row],[elapsed]]</f>
        <v>1790816963474</v>
      </c>
      <c r="U2314" s="61">
        <f>(tblJTL[[#This Row],[timeStamp]]-'17_分析サンプル'!$E$18)/1000</f>
        <v>563.13300000000004</v>
      </c>
      <c r="V2314" s="57">
        <f>INT(tblJTL[[#This Row],[経過秒]]/60)</f>
        <v>9</v>
      </c>
      <c r="W2314" s="57">
        <f>IF(OR(tblJTL[[#This Row],[success]]=FALSE,tblJTL[[#This Row],[success]]="false"),1,0)</f>
        <v>0</v>
      </c>
      <c r="X2314" s="57">
        <f>IF(AND(tblJTL[[#This Row],[経過秒]]&gt;='17_分析サンプル'!$E$11,tblJTL[[#This Row],[経過秒]]&lt;'17_分析サンプル'!$E$12),1,0)</f>
        <v>0</v>
      </c>
    </row>
    <row r="2315" spans="2:24" ht="14.4" x14ac:dyDescent="0.3">
      <c r="B2315" s="57">
        <v>1790816963511</v>
      </c>
      <c r="C2315" s="58">
        <v>95</v>
      </c>
      <c r="D2315" s="59" t="s">
        <v>1658</v>
      </c>
      <c r="E2315" s="59" t="s">
        <v>1577</v>
      </c>
      <c r="F2315" s="59" t="s">
        <v>2275</v>
      </c>
      <c r="G2315" s="59" t="s">
        <v>3585</v>
      </c>
      <c r="H2315" s="59" t="s">
        <v>2281</v>
      </c>
      <c r="I2315" s="59" t="b">
        <v>1</v>
      </c>
      <c r="J2315" s="59"/>
      <c r="K2315" s="58">
        <v>1883</v>
      </c>
      <c r="L2315" s="58">
        <v>1342</v>
      </c>
      <c r="M2315" s="59">
        <v>10</v>
      </c>
      <c r="N2315" s="59">
        <v>10</v>
      </c>
      <c r="O2315" s="59" t="s">
        <v>3578</v>
      </c>
      <c r="P2315" s="58">
        <v>93</v>
      </c>
      <c r="Q2315" s="59">
        <v>0</v>
      </c>
      <c r="R2315" s="59">
        <v>0</v>
      </c>
      <c r="S2315" s="60">
        <f>tblJTL[[#This Row],[timeStamp]]/86400000+DATE(1970,1,1)+TIME(9,0,0)</f>
        <v>46296.423188784727</v>
      </c>
      <c r="T2315" s="57">
        <f>tblJTL[[#This Row],[timeStamp]]+tblJTL[[#This Row],[elapsed]]</f>
        <v>1790816963606</v>
      </c>
      <c r="U2315" s="61">
        <f>(tblJTL[[#This Row],[timeStamp]]-'17_分析サンプル'!$E$18)/1000</f>
        <v>563.33100000000002</v>
      </c>
      <c r="V2315" s="57">
        <f>INT(tblJTL[[#This Row],[経過秒]]/60)</f>
        <v>9</v>
      </c>
      <c r="W2315" s="57">
        <f>IF(OR(tblJTL[[#This Row],[success]]=FALSE,tblJTL[[#This Row],[success]]="false"),1,0)</f>
        <v>0</v>
      </c>
      <c r="X2315" s="57">
        <f>IF(AND(tblJTL[[#This Row],[経過秒]]&gt;='17_分析サンプル'!$E$11,tblJTL[[#This Row],[経過秒]]&lt;'17_分析サンプル'!$E$12),1,0)</f>
        <v>0</v>
      </c>
    </row>
    <row r="2316" spans="2:24" ht="14.4" x14ac:dyDescent="0.3">
      <c r="B2316" s="57">
        <v>1790816963814</v>
      </c>
      <c r="C2316" s="58">
        <v>213</v>
      </c>
      <c r="D2316" s="59" t="s">
        <v>1677</v>
      </c>
      <c r="E2316" s="59" t="s">
        <v>3579</v>
      </c>
      <c r="F2316" s="59" t="s">
        <v>3580</v>
      </c>
      <c r="G2316" s="59" t="s">
        <v>3586</v>
      </c>
      <c r="H2316" s="59" t="s">
        <v>2281</v>
      </c>
      <c r="I2316" s="59" t="b">
        <v>1</v>
      </c>
      <c r="J2316" s="59"/>
      <c r="K2316" s="58">
        <v>416</v>
      </c>
      <c r="L2316" s="58">
        <v>1478</v>
      </c>
      <c r="M2316" s="59">
        <v>10</v>
      </c>
      <c r="N2316" s="59">
        <v>10</v>
      </c>
      <c r="O2316" s="59" t="s">
        <v>3581</v>
      </c>
      <c r="P2316" s="58">
        <v>211</v>
      </c>
      <c r="Q2316" s="59">
        <v>0</v>
      </c>
      <c r="R2316" s="59">
        <v>0</v>
      </c>
      <c r="S2316" s="60">
        <f>tblJTL[[#This Row],[timeStamp]]/86400000+DATE(1970,1,1)+TIME(9,0,0)</f>
        <v>46296.423192291666</v>
      </c>
      <c r="T2316" s="57">
        <f>tblJTL[[#This Row],[timeStamp]]+tblJTL[[#This Row],[elapsed]]</f>
        <v>1790816964027</v>
      </c>
      <c r="U2316" s="61">
        <f>(tblJTL[[#This Row],[timeStamp]]-'17_分析サンプル'!$E$18)/1000</f>
        <v>563.63400000000001</v>
      </c>
      <c r="V2316" s="57">
        <f>INT(tblJTL[[#This Row],[経過秒]]/60)</f>
        <v>9</v>
      </c>
      <c r="W2316" s="57">
        <f>IF(OR(tblJTL[[#This Row],[success]]=FALSE,tblJTL[[#This Row],[success]]="false"),1,0)</f>
        <v>0</v>
      </c>
      <c r="X2316" s="57">
        <f>IF(AND(tblJTL[[#This Row],[経過秒]]&gt;='17_分析サンプル'!$E$11,tblJTL[[#This Row],[経過秒]]&lt;'17_分析サンプル'!$E$12),1,0)</f>
        <v>0</v>
      </c>
    </row>
    <row r="2317" spans="2:24" ht="14.4" x14ac:dyDescent="0.3">
      <c r="B2317" s="57">
        <v>1790816964007</v>
      </c>
      <c r="C2317" s="58">
        <v>373</v>
      </c>
      <c r="D2317" s="59" t="s">
        <v>1677</v>
      </c>
      <c r="E2317" s="59" t="s">
        <v>3579</v>
      </c>
      <c r="F2317" s="59" t="s">
        <v>3580</v>
      </c>
      <c r="G2317" s="59" t="s">
        <v>3587</v>
      </c>
      <c r="H2317" s="59" t="s">
        <v>2281</v>
      </c>
      <c r="I2317" s="59" t="b">
        <v>1</v>
      </c>
      <c r="J2317" s="59"/>
      <c r="K2317" s="58">
        <v>422</v>
      </c>
      <c r="L2317" s="58">
        <v>1478</v>
      </c>
      <c r="M2317" s="59">
        <v>10</v>
      </c>
      <c r="N2317" s="59">
        <v>10</v>
      </c>
      <c r="O2317" s="59" t="s">
        <v>3581</v>
      </c>
      <c r="P2317" s="58">
        <v>369</v>
      </c>
      <c r="Q2317" s="59">
        <v>0</v>
      </c>
      <c r="R2317" s="59">
        <v>0</v>
      </c>
      <c r="S2317" s="60">
        <f>tblJTL[[#This Row],[timeStamp]]/86400000+DATE(1970,1,1)+TIME(9,0,0)</f>
        <v>46296.423194525458</v>
      </c>
      <c r="T2317" s="57">
        <f>tblJTL[[#This Row],[timeStamp]]+tblJTL[[#This Row],[elapsed]]</f>
        <v>1790816964380</v>
      </c>
      <c r="U2317" s="61">
        <f>(tblJTL[[#This Row],[timeStamp]]-'17_分析サンプル'!$E$18)/1000</f>
        <v>563.827</v>
      </c>
      <c r="V2317" s="57">
        <f>INT(tblJTL[[#This Row],[経過秒]]/60)</f>
        <v>9</v>
      </c>
      <c r="W2317" s="57">
        <f>IF(OR(tblJTL[[#This Row],[success]]=FALSE,tblJTL[[#This Row],[success]]="false"),1,0)</f>
        <v>0</v>
      </c>
      <c r="X2317" s="57">
        <f>IF(AND(tblJTL[[#This Row],[経過秒]]&gt;='17_分析サンプル'!$E$11,tblJTL[[#This Row],[経過秒]]&lt;'17_分析サンプル'!$E$12),1,0)</f>
        <v>0</v>
      </c>
    </row>
    <row r="2318" spans="2:24" ht="14.4" x14ac:dyDescent="0.3">
      <c r="B2318" s="57">
        <v>1790816964090</v>
      </c>
      <c r="C2318" s="58">
        <v>365</v>
      </c>
      <c r="D2318" s="59" t="s">
        <v>1677</v>
      </c>
      <c r="E2318" s="59" t="s">
        <v>3579</v>
      </c>
      <c r="F2318" s="59" t="s">
        <v>3580</v>
      </c>
      <c r="G2318" s="59" t="s">
        <v>3588</v>
      </c>
      <c r="H2318" s="59" t="s">
        <v>2281</v>
      </c>
      <c r="I2318" s="59" t="b">
        <v>1</v>
      </c>
      <c r="J2318" s="59"/>
      <c r="K2318" s="58">
        <v>440</v>
      </c>
      <c r="L2318" s="58">
        <v>1478</v>
      </c>
      <c r="M2318" s="59">
        <v>10</v>
      </c>
      <c r="N2318" s="59">
        <v>10</v>
      </c>
      <c r="O2318" s="59" t="s">
        <v>3581</v>
      </c>
      <c r="P2318" s="58">
        <v>358</v>
      </c>
      <c r="Q2318" s="59">
        <v>0</v>
      </c>
      <c r="R2318" s="59">
        <v>0</v>
      </c>
      <c r="S2318" s="60">
        <f>tblJTL[[#This Row],[timeStamp]]/86400000+DATE(1970,1,1)+TIME(9,0,0)</f>
        <v>46296.42319548611</v>
      </c>
      <c r="T2318" s="57">
        <f>tblJTL[[#This Row],[timeStamp]]+tblJTL[[#This Row],[elapsed]]</f>
        <v>1790816964455</v>
      </c>
      <c r="U2318" s="61">
        <f>(tblJTL[[#This Row],[timeStamp]]-'17_分析サンプル'!$E$18)/1000</f>
        <v>563.91</v>
      </c>
      <c r="V2318" s="57">
        <f>INT(tblJTL[[#This Row],[経過秒]]/60)</f>
        <v>9</v>
      </c>
      <c r="W2318" s="57">
        <f>IF(OR(tblJTL[[#This Row],[success]]=FALSE,tblJTL[[#This Row],[success]]="false"),1,0)</f>
        <v>0</v>
      </c>
      <c r="X2318" s="57">
        <f>IF(AND(tblJTL[[#This Row],[経過秒]]&gt;='17_分析サンプル'!$E$11,tblJTL[[#This Row],[経過秒]]&lt;'17_分析サンプル'!$E$12),1,0)</f>
        <v>0</v>
      </c>
    </row>
    <row r="2319" spans="2:24" ht="14.4" x14ac:dyDescent="0.3">
      <c r="B2319" s="57">
        <v>1790816964362</v>
      </c>
      <c r="C2319" s="58">
        <v>326</v>
      </c>
      <c r="D2319" s="59" t="s">
        <v>1677</v>
      </c>
      <c r="E2319" s="59" t="s">
        <v>3579</v>
      </c>
      <c r="F2319" s="59" t="s">
        <v>3580</v>
      </c>
      <c r="G2319" s="59" t="s">
        <v>3583</v>
      </c>
      <c r="H2319" s="59" t="s">
        <v>2281</v>
      </c>
      <c r="I2319" s="59" t="b">
        <v>1</v>
      </c>
      <c r="J2319" s="59"/>
      <c r="K2319" s="58">
        <v>427</v>
      </c>
      <c r="L2319" s="58">
        <v>1478</v>
      </c>
      <c r="M2319" s="59">
        <v>10</v>
      </c>
      <c r="N2319" s="59">
        <v>10</v>
      </c>
      <c r="O2319" s="59" t="s">
        <v>3581</v>
      </c>
      <c r="P2319" s="58">
        <v>324</v>
      </c>
      <c r="Q2319" s="59">
        <v>0</v>
      </c>
      <c r="R2319" s="59">
        <v>0</v>
      </c>
      <c r="S2319" s="60">
        <f>tblJTL[[#This Row],[timeStamp]]/86400000+DATE(1970,1,1)+TIME(9,0,0)</f>
        <v>46296.423198634264</v>
      </c>
      <c r="T2319" s="57">
        <f>tblJTL[[#This Row],[timeStamp]]+tblJTL[[#This Row],[elapsed]]</f>
        <v>1790816964688</v>
      </c>
      <c r="U2319" s="61">
        <f>(tblJTL[[#This Row],[timeStamp]]-'17_分析サンプル'!$E$18)/1000</f>
        <v>564.18200000000002</v>
      </c>
      <c r="V2319" s="57">
        <f>INT(tblJTL[[#This Row],[経過秒]]/60)</f>
        <v>9</v>
      </c>
      <c r="W2319" s="57">
        <f>IF(OR(tblJTL[[#This Row],[success]]=FALSE,tblJTL[[#This Row],[success]]="false"),1,0)</f>
        <v>0</v>
      </c>
      <c r="X2319" s="57">
        <f>IF(AND(tblJTL[[#This Row],[経過秒]]&gt;='17_分析サンプル'!$E$11,tblJTL[[#This Row],[経過秒]]&lt;'17_分析サンプル'!$E$12),1,0)</f>
        <v>0</v>
      </c>
    </row>
    <row r="2320" spans="2:24" ht="14.4" x14ac:dyDescent="0.3">
      <c r="B2320" s="57">
        <v>1790816964650</v>
      </c>
      <c r="C2320" s="58">
        <v>95</v>
      </c>
      <c r="D2320" s="59" t="s">
        <v>1658</v>
      </c>
      <c r="E2320" s="59" t="s">
        <v>1577</v>
      </c>
      <c r="F2320" s="59" t="s">
        <v>2275</v>
      </c>
      <c r="G2320" s="59" t="s">
        <v>3584</v>
      </c>
      <c r="H2320" s="59" t="s">
        <v>2281</v>
      </c>
      <c r="I2320" s="59" t="b">
        <v>1</v>
      </c>
      <c r="J2320" s="59"/>
      <c r="K2320" s="58">
        <v>1897</v>
      </c>
      <c r="L2320" s="58">
        <v>1342</v>
      </c>
      <c r="M2320" s="59">
        <v>10</v>
      </c>
      <c r="N2320" s="59">
        <v>10</v>
      </c>
      <c r="O2320" s="59" t="s">
        <v>3578</v>
      </c>
      <c r="P2320" s="58">
        <v>88</v>
      </c>
      <c r="Q2320" s="59">
        <v>0</v>
      </c>
      <c r="R2320" s="59">
        <v>0</v>
      </c>
      <c r="S2320" s="60">
        <f>tblJTL[[#This Row],[timeStamp]]/86400000+DATE(1970,1,1)+TIME(9,0,0)</f>
        <v>46296.423201967591</v>
      </c>
      <c r="T2320" s="57">
        <f>tblJTL[[#This Row],[timeStamp]]+tblJTL[[#This Row],[elapsed]]</f>
        <v>1790816964745</v>
      </c>
      <c r="U2320" s="61">
        <f>(tblJTL[[#This Row],[timeStamp]]-'17_分析サンプル'!$E$18)/1000</f>
        <v>564.47</v>
      </c>
      <c r="V2320" s="57">
        <f>INT(tblJTL[[#This Row],[経過秒]]/60)</f>
        <v>9</v>
      </c>
      <c r="W2320" s="57">
        <f>IF(OR(tblJTL[[#This Row],[success]]=FALSE,tblJTL[[#This Row],[success]]="false"),1,0)</f>
        <v>0</v>
      </c>
      <c r="X2320" s="57">
        <f>IF(AND(tblJTL[[#This Row],[経過秒]]&gt;='17_分析サンプル'!$E$11,tblJTL[[#This Row],[経過秒]]&lt;'17_分析サンプル'!$E$12),1,0)</f>
        <v>0</v>
      </c>
    </row>
    <row r="2321" spans="2:24" ht="14.4" x14ac:dyDescent="0.3">
      <c r="B2321" s="57">
        <v>1790816964702</v>
      </c>
      <c r="C2321" s="58">
        <v>271</v>
      </c>
      <c r="D2321" s="59" t="s">
        <v>1677</v>
      </c>
      <c r="E2321" s="59" t="s">
        <v>3579</v>
      </c>
      <c r="F2321" s="59" t="s">
        <v>3580</v>
      </c>
      <c r="G2321" s="59" t="s">
        <v>3585</v>
      </c>
      <c r="H2321" s="59" t="s">
        <v>2281</v>
      </c>
      <c r="I2321" s="59" t="b">
        <v>1</v>
      </c>
      <c r="J2321" s="59"/>
      <c r="K2321" s="58">
        <v>437</v>
      </c>
      <c r="L2321" s="58">
        <v>1478</v>
      </c>
      <c r="M2321" s="59">
        <v>10</v>
      </c>
      <c r="N2321" s="59">
        <v>10</v>
      </c>
      <c r="O2321" s="59" t="s">
        <v>3581</v>
      </c>
      <c r="P2321" s="58">
        <v>264</v>
      </c>
      <c r="Q2321" s="59">
        <v>0</v>
      </c>
      <c r="R2321" s="59">
        <v>0</v>
      </c>
      <c r="S2321" s="60">
        <f>tblJTL[[#This Row],[timeStamp]]/86400000+DATE(1970,1,1)+TIME(9,0,0)</f>
        <v>46296.423202569444</v>
      </c>
      <c r="T2321" s="57">
        <f>tblJTL[[#This Row],[timeStamp]]+tblJTL[[#This Row],[elapsed]]</f>
        <v>1790816964973</v>
      </c>
      <c r="U2321" s="61">
        <f>(tblJTL[[#This Row],[timeStamp]]-'17_分析サンプル'!$E$18)/1000</f>
        <v>564.52200000000005</v>
      </c>
      <c r="V2321" s="57">
        <f>INT(tblJTL[[#This Row],[経過秒]]/60)</f>
        <v>9</v>
      </c>
      <c r="W2321" s="57">
        <f>IF(OR(tblJTL[[#This Row],[success]]=FALSE,tblJTL[[#This Row],[success]]="false"),1,0)</f>
        <v>0</v>
      </c>
      <c r="X2321" s="57">
        <f>IF(AND(tblJTL[[#This Row],[経過秒]]&gt;='17_分析サンプル'!$E$11,tblJTL[[#This Row],[経過秒]]&lt;'17_分析サンプル'!$E$12),1,0)</f>
        <v>0</v>
      </c>
    </row>
    <row r="2322" spans="2:24" ht="14.4" x14ac:dyDescent="0.3">
      <c r="B2322" s="57">
        <v>1790816964698</v>
      </c>
      <c r="C2322" s="58">
        <v>291</v>
      </c>
      <c r="D2322" s="59" t="s">
        <v>1677</v>
      </c>
      <c r="E2322" s="59" t="s">
        <v>3579</v>
      </c>
      <c r="F2322" s="59" t="s">
        <v>3580</v>
      </c>
      <c r="G2322" s="59" t="s">
        <v>2278</v>
      </c>
      <c r="H2322" s="59" t="s">
        <v>2281</v>
      </c>
      <c r="I2322" s="59" t="b">
        <v>1</v>
      </c>
      <c r="J2322" s="59"/>
      <c r="K2322" s="58">
        <v>416</v>
      </c>
      <c r="L2322" s="58">
        <v>1478</v>
      </c>
      <c r="M2322" s="59">
        <v>10</v>
      </c>
      <c r="N2322" s="59">
        <v>10</v>
      </c>
      <c r="O2322" s="59" t="s">
        <v>3581</v>
      </c>
      <c r="P2322" s="58">
        <v>286</v>
      </c>
      <c r="Q2322" s="59">
        <v>0</v>
      </c>
      <c r="R2322" s="59">
        <v>0</v>
      </c>
      <c r="S2322" s="60">
        <f>tblJTL[[#This Row],[timeStamp]]/86400000+DATE(1970,1,1)+TIME(9,0,0)</f>
        <v>46296.423202523147</v>
      </c>
      <c r="T2322" s="57">
        <f>tblJTL[[#This Row],[timeStamp]]+tblJTL[[#This Row],[elapsed]]</f>
        <v>1790816964989</v>
      </c>
      <c r="U2322" s="61">
        <f>(tblJTL[[#This Row],[timeStamp]]-'17_分析サンプル'!$E$18)/1000</f>
        <v>564.51800000000003</v>
      </c>
      <c r="V2322" s="57">
        <f>INT(tblJTL[[#This Row],[経過秒]]/60)</f>
        <v>9</v>
      </c>
      <c r="W2322" s="57">
        <f>IF(OR(tblJTL[[#This Row],[success]]=FALSE,tblJTL[[#This Row],[success]]="false"),1,0)</f>
        <v>0</v>
      </c>
      <c r="X2322" s="57">
        <f>IF(AND(tblJTL[[#This Row],[経過秒]]&gt;='17_分析サンプル'!$E$11,tblJTL[[#This Row],[経過秒]]&lt;'17_分析サンプル'!$E$12),1,0)</f>
        <v>0</v>
      </c>
    </row>
    <row r="2323" spans="2:24" ht="14.4" x14ac:dyDescent="0.3">
      <c r="B2323" s="57">
        <v>1790816965032</v>
      </c>
      <c r="C2323" s="58">
        <v>101</v>
      </c>
      <c r="D2323" s="59" t="s">
        <v>1658</v>
      </c>
      <c r="E2323" s="59" t="s">
        <v>1577</v>
      </c>
      <c r="F2323" s="59" t="s">
        <v>2275</v>
      </c>
      <c r="G2323" s="59" t="s">
        <v>3589</v>
      </c>
      <c r="H2323" s="59" t="s">
        <v>2281</v>
      </c>
      <c r="I2323" s="59" t="b">
        <v>1</v>
      </c>
      <c r="J2323" s="59"/>
      <c r="K2323" s="58">
        <v>1826</v>
      </c>
      <c r="L2323" s="58">
        <v>1342</v>
      </c>
      <c r="M2323" s="59">
        <v>10</v>
      </c>
      <c r="N2323" s="59">
        <v>10</v>
      </c>
      <c r="O2323" s="59" t="s">
        <v>3578</v>
      </c>
      <c r="P2323" s="58">
        <v>97</v>
      </c>
      <c r="Q2323" s="59">
        <v>0</v>
      </c>
      <c r="R2323" s="59">
        <v>0</v>
      </c>
      <c r="S2323" s="60">
        <f>tblJTL[[#This Row],[timeStamp]]/86400000+DATE(1970,1,1)+TIME(9,0,0)</f>
        <v>46296.423206388892</v>
      </c>
      <c r="T2323" s="57">
        <f>tblJTL[[#This Row],[timeStamp]]+tblJTL[[#This Row],[elapsed]]</f>
        <v>1790816965133</v>
      </c>
      <c r="U2323" s="61">
        <f>(tblJTL[[#This Row],[timeStamp]]-'17_分析サンプル'!$E$18)/1000</f>
        <v>564.85199999999998</v>
      </c>
      <c r="V2323" s="57">
        <f>INT(tblJTL[[#This Row],[経過秒]]/60)</f>
        <v>9</v>
      </c>
      <c r="W2323" s="57">
        <f>IF(OR(tblJTL[[#This Row],[success]]=FALSE,tblJTL[[#This Row],[success]]="false"),1,0)</f>
        <v>0</v>
      </c>
      <c r="X2323" s="57">
        <f>IF(AND(tblJTL[[#This Row],[経過秒]]&gt;='17_分析サンプル'!$E$11,tblJTL[[#This Row],[経過秒]]&lt;'17_分析サンプル'!$E$12),1,0)</f>
        <v>0</v>
      </c>
    </row>
    <row r="2324" spans="2:24" ht="14.4" x14ac:dyDescent="0.3">
      <c r="B2324" s="57">
        <v>1790816965019</v>
      </c>
      <c r="C2324" s="58">
        <v>125</v>
      </c>
      <c r="D2324" s="59" t="s">
        <v>1658</v>
      </c>
      <c r="E2324" s="59" t="s">
        <v>1577</v>
      </c>
      <c r="F2324" s="59" t="s">
        <v>2275</v>
      </c>
      <c r="G2324" s="59" t="s">
        <v>3582</v>
      </c>
      <c r="H2324" s="59" t="s">
        <v>2281</v>
      </c>
      <c r="I2324" s="59" t="b">
        <v>1</v>
      </c>
      <c r="J2324" s="59"/>
      <c r="K2324" s="58">
        <v>1857</v>
      </c>
      <c r="L2324" s="58">
        <v>1342</v>
      </c>
      <c r="M2324" s="59">
        <v>10</v>
      </c>
      <c r="N2324" s="59">
        <v>10</v>
      </c>
      <c r="O2324" s="59" t="s">
        <v>3578</v>
      </c>
      <c r="P2324" s="58">
        <v>120</v>
      </c>
      <c r="Q2324" s="59">
        <v>0</v>
      </c>
      <c r="R2324" s="59">
        <v>0</v>
      </c>
      <c r="S2324" s="60">
        <f>tblJTL[[#This Row],[timeStamp]]/86400000+DATE(1970,1,1)+TIME(9,0,0)</f>
        <v>46296.423206238425</v>
      </c>
      <c r="T2324" s="57">
        <f>tblJTL[[#This Row],[timeStamp]]+tblJTL[[#This Row],[elapsed]]</f>
        <v>1790816965144</v>
      </c>
      <c r="U2324" s="61">
        <f>(tblJTL[[#This Row],[timeStamp]]-'17_分析サンプル'!$E$18)/1000</f>
        <v>564.83900000000006</v>
      </c>
      <c r="V2324" s="57">
        <f>INT(tblJTL[[#This Row],[経過秒]]/60)</f>
        <v>9</v>
      </c>
      <c r="W2324" s="57">
        <f>IF(OR(tblJTL[[#This Row],[success]]=FALSE,tblJTL[[#This Row],[success]]="false"),1,0)</f>
        <v>0</v>
      </c>
      <c r="X2324" s="57">
        <f>IF(AND(tblJTL[[#This Row],[経過秒]]&gt;='17_分析サンプル'!$E$11,tblJTL[[#This Row],[経過秒]]&lt;'17_分析サンプル'!$E$12),1,0)</f>
        <v>0</v>
      </c>
    </row>
    <row r="2325" spans="2:24" ht="14.4" x14ac:dyDescent="0.3">
      <c r="B2325" s="57">
        <v>1790816965742</v>
      </c>
      <c r="C2325" s="58">
        <v>148</v>
      </c>
      <c r="D2325" s="59" t="s">
        <v>1658</v>
      </c>
      <c r="E2325" s="59" t="s">
        <v>1577</v>
      </c>
      <c r="F2325" s="59" t="s">
        <v>2275</v>
      </c>
      <c r="G2325" s="59" t="s">
        <v>3586</v>
      </c>
      <c r="H2325" s="59" t="s">
        <v>2281</v>
      </c>
      <c r="I2325" s="59" t="b">
        <v>1</v>
      </c>
      <c r="J2325" s="59"/>
      <c r="K2325" s="58">
        <v>1859</v>
      </c>
      <c r="L2325" s="58">
        <v>1342</v>
      </c>
      <c r="M2325" s="59">
        <v>10</v>
      </c>
      <c r="N2325" s="59">
        <v>10</v>
      </c>
      <c r="O2325" s="59" t="s">
        <v>3578</v>
      </c>
      <c r="P2325" s="58">
        <v>143</v>
      </c>
      <c r="Q2325" s="59">
        <v>0</v>
      </c>
      <c r="R2325" s="59">
        <v>0</v>
      </c>
      <c r="S2325" s="60">
        <f>tblJTL[[#This Row],[timeStamp]]/86400000+DATE(1970,1,1)+TIME(9,0,0)</f>
        <v>46296.423214606482</v>
      </c>
      <c r="T2325" s="57">
        <f>tblJTL[[#This Row],[timeStamp]]+tblJTL[[#This Row],[elapsed]]</f>
        <v>1790816965890</v>
      </c>
      <c r="U2325" s="61">
        <f>(tblJTL[[#This Row],[timeStamp]]-'17_分析サンプル'!$E$18)/1000</f>
        <v>565.56200000000001</v>
      </c>
      <c r="V2325" s="57">
        <f>INT(tblJTL[[#This Row],[経過秒]]/60)</f>
        <v>9</v>
      </c>
      <c r="W2325" s="57">
        <f>IF(OR(tblJTL[[#This Row],[success]]=FALSE,tblJTL[[#This Row],[success]]="false"),1,0)</f>
        <v>0</v>
      </c>
      <c r="X2325" s="57">
        <f>IF(AND(tblJTL[[#This Row],[経過秒]]&gt;='17_分析サンプル'!$E$11,tblJTL[[#This Row],[経過秒]]&lt;'17_分析サンプル'!$E$12),1,0)</f>
        <v>0</v>
      </c>
    </row>
    <row r="2326" spans="2:24" ht="14.4" x14ac:dyDescent="0.3">
      <c r="B2326" s="57">
        <v>1790816965868</v>
      </c>
      <c r="C2326" s="58">
        <v>135</v>
      </c>
      <c r="D2326" s="59" t="s">
        <v>1658</v>
      </c>
      <c r="E2326" s="59" t="s">
        <v>1577</v>
      </c>
      <c r="F2326" s="59" t="s">
        <v>2275</v>
      </c>
      <c r="G2326" s="59" t="s">
        <v>3587</v>
      </c>
      <c r="H2326" s="59" t="s">
        <v>2281</v>
      </c>
      <c r="I2326" s="59" t="b">
        <v>1</v>
      </c>
      <c r="J2326" s="59"/>
      <c r="K2326" s="58">
        <v>1829</v>
      </c>
      <c r="L2326" s="58">
        <v>1342</v>
      </c>
      <c r="M2326" s="59">
        <v>10</v>
      </c>
      <c r="N2326" s="59">
        <v>10</v>
      </c>
      <c r="O2326" s="59" t="s">
        <v>3578</v>
      </c>
      <c r="P2326" s="58">
        <v>132</v>
      </c>
      <c r="Q2326" s="59">
        <v>0</v>
      </c>
      <c r="R2326" s="59">
        <v>0</v>
      </c>
      <c r="S2326" s="60">
        <f>tblJTL[[#This Row],[timeStamp]]/86400000+DATE(1970,1,1)+TIME(9,0,0)</f>
        <v>46296.42321606481</v>
      </c>
      <c r="T2326" s="57">
        <f>tblJTL[[#This Row],[timeStamp]]+tblJTL[[#This Row],[elapsed]]</f>
        <v>1790816966003</v>
      </c>
      <c r="U2326" s="61">
        <f>(tblJTL[[#This Row],[timeStamp]]-'17_分析サンプル'!$E$18)/1000</f>
        <v>565.68799999999999</v>
      </c>
      <c r="V2326" s="57">
        <f>INT(tblJTL[[#This Row],[経過秒]]/60)</f>
        <v>9</v>
      </c>
      <c r="W2326" s="57">
        <f>IF(OR(tblJTL[[#This Row],[success]]=FALSE,tblJTL[[#This Row],[success]]="false"),1,0)</f>
        <v>0</v>
      </c>
      <c r="X2326" s="57">
        <f>IF(AND(tblJTL[[#This Row],[経過秒]]&gt;='17_分析サンプル'!$E$11,tblJTL[[#This Row],[経過秒]]&lt;'17_分析サンプル'!$E$12),1,0)</f>
        <v>0</v>
      </c>
    </row>
    <row r="2327" spans="2:24" ht="14.4" x14ac:dyDescent="0.3">
      <c r="B2327" s="57">
        <v>1790816966121</v>
      </c>
      <c r="C2327" s="58">
        <v>225</v>
      </c>
      <c r="D2327" s="59" t="s">
        <v>1677</v>
      </c>
      <c r="E2327" s="59" t="s">
        <v>3579</v>
      </c>
      <c r="F2327" s="59" t="s">
        <v>3580</v>
      </c>
      <c r="G2327" s="59" t="s">
        <v>3577</v>
      </c>
      <c r="H2327" s="59" t="s">
        <v>2281</v>
      </c>
      <c r="I2327" s="59" t="b">
        <v>1</v>
      </c>
      <c r="J2327" s="59"/>
      <c r="K2327" s="58">
        <v>422</v>
      </c>
      <c r="L2327" s="58">
        <v>1478</v>
      </c>
      <c r="M2327" s="59">
        <v>10</v>
      </c>
      <c r="N2327" s="59">
        <v>10</v>
      </c>
      <c r="O2327" s="59" t="s">
        <v>3581</v>
      </c>
      <c r="P2327" s="58">
        <v>219</v>
      </c>
      <c r="Q2327" s="59">
        <v>0</v>
      </c>
      <c r="R2327" s="59">
        <v>0</v>
      </c>
      <c r="S2327" s="60">
        <f>tblJTL[[#This Row],[timeStamp]]/86400000+DATE(1970,1,1)+TIME(9,0,0)</f>
        <v>46296.423218993055</v>
      </c>
      <c r="T2327" s="57">
        <f>tblJTL[[#This Row],[timeStamp]]+tblJTL[[#This Row],[elapsed]]</f>
        <v>1790816966346</v>
      </c>
      <c r="U2327" s="61">
        <f>(tblJTL[[#This Row],[timeStamp]]-'17_分析サンプル'!$E$18)/1000</f>
        <v>565.94100000000003</v>
      </c>
      <c r="V2327" s="57">
        <f>INT(tblJTL[[#This Row],[経過秒]]/60)</f>
        <v>9</v>
      </c>
      <c r="W2327" s="57">
        <f>IF(OR(tblJTL[[#This Row],[success]]=FALSE,tblJTL[[#This Row],[success]]="false"),1,0)</f>
        <v>0</v>
      </c>
      <c r="X2327" s="57">
        <f>IF(AND(tblJTL[[#This Row],[経過秒]]&gt;='17_分析サンプル'!$E$11,tblJTL[[#This Row],[経過秒]]&lt;'17_分析サンプル'!$E$12),1,0)</f>
        <v>0</v>
      </c>
    </row>
    <row r="2328" spans="2:24" ht="14.4" x14ac:dyDescent="0.3">
      <c r="B2328" s="57">
        <v>1790816966242</v>
      </c>
      <c r="C2328" s="58">
        <v>163</v>
      </c>
      <c r="D2328" s="59" t="s">
        <v>1658</v>
      </c>
      <c r="E2328" s="59" t="s">
        <v>1577</v>
      </c>
      <c r="F2328" s="59" t="s">
        <v>2275</v>
      </c>
      <c r="G2328" s="59" t="s">
        <v>3588</v>
      </c>
      <c r="H2328" s="59" t="s">
        <v>2281</v>
      </c>
      <c r="I2328" s="59" t="b">
        <v>1</v>
      </c>
      <c r="J2328" s="59"/>
      <c r="K2328" s="58">
        <v>1820</v>
      </c>
      <c r="L2328" s="58">
        <v>1342</v>
      </c>
      <c r="M2328" s="59">
        <v>10</v>
      </c>
      <c r="N2328" s="59">
        <v>10</v>
      </c>
      <c r="O2328" s="59" t="s">
        <v>3578</v>
      </c>
      <c r="P2328" s="58">
        <v>156</v>
      </c>
      <c r="Q2328" s="59">
        <v>0</v>
      </c>
      <c r="R2328" s="59">
        <v>0</v>
      </c>
      <c r="S2328" s="60">
        <f>tblJTL[[#This Row],[timeStamp]]/86400000+DATE(1970,1,1)+TIME(9,0,0)</f>
        <v>46296.423220393517</v>
      </c>
      <c r="T2328" s="57">
        <f>tblJTL[[#This Row],[timeStamp]]+tblJTL[[#This Row],[elapsed]]</f>
        <v>1790816966405</v>
      </c>
      <c r="U2328" s="61">
        <f>(tblJTL[[#This Row],[timeStamp]]-'17_分析サンプル'!$E$18)/1000</f>
        <v>566.06200000000001</v>
      </c>
      <c r="V2328" s="57">
        <f>INT(tblJTL[[#This Row],[経過秒]]/60)</f>
        <v>9</v>
      </c>
      <c r="W2328" s="57">
        <f>IF(OR(tblJTL[[#This Row],[success]]=FALSE,tblJTL[[#This Row],[success]]="false"),1,0)</f>
        <v>0</v>
      </c>
      <c r="X2328" s="57">
        <f>IF(AND(tblJTL[[#This Row],[経過秒]]&gt;='17_分析サンプル'!$E$11,tblJTL[[#This Row],[経過秒]]&lt;'17_分析サンプル'!$E$12),1,0)</f>
        <v>0</v>
      </c>
    </row>
    <row r="2329" spans="2:24" ht="14.4" x14ac:dyDescent="0.3">
      <c r="B2329" s="57">
        <v>1790816966558</v>
      </c>
      <c r="C2329" s="58">
        <v>184</v>
      </c>
      <c r="D2329" s="59" t="s">
        <v>1658</v>
      </c>
      <c r="E2329" s="59" t="s">
        <v>1577</v>
      </c>
      <c r="F2329" s="59" t="s">
        <v>2275</v>
      </c>
      <c r="G2329" s="59" t="s">
        <v>3583</v>
      </c>
      <c r="H2329" s="59" t="s">
        <v>2281</v>
      </c>
      <c r="I2329" s="59" t="b">
        <v>1</v>
      </c>
      <c r="J2329" s="59"/>
      <c r="K2329" s="58">
        <v>1894</v>
      </c>
      <c r="L2329" s="58">
        <v>1342</v>
      </c>
      <c r="M2329" s="59">
        <v>10</v>
      </c>
      <c r="N2329" s="59">
        <v>10</v>
      </c>
      <c r="O2329" s="59" t="s">
        <v>3578</v>
      </c>
      <c r="P2329" s="58">
        <v>177</v>
      </c>
      <c r="Q2329" s="59">
        <v>0</v>
      </c>
      <c r="R2329" s="59">
        <v>0</v>
      </c>
      <c r="S2329" s="60">
        <f>tblJTL[[#This Row],[timeStamp]]/86400000+DATE(1970,1,1)+TIME(9,0,0)</f>
        <v>46296.42322405093</v>
      </c>
      <c r="T2329" s="57">
        <f>tblJTL[[#This Row],[timeStamp]]+tblJTL[[#This Row],[elapsed]]</f>
        <v>1790816966742</v>
      </c>
      <c r="U2329" s="61">
        <f>(tblJTL[[#This Row],[timeStamp]]-'17_分析サンプル'!$E$18)/1000</f>
        <v>566.37800000000004</v>
      </c>
      <c r="V2329" s="57">
        <f>INT(tblJTL[[#This Row],[経過秒]]/60)</f>
        <v>9</v>
      </c>
      <c r="W2329" s="57">
        <f>IF(OR(tblJTL[[#This Row],[success]]=FALSE,tblJTL[[#This Row],[success]]="false"),1,0)</f>
        <v>0</v>
      </c>
      <c r="X2329" s="57">
        <f>IF(AND(tblJTL[[#This Row],[経過秒]]&gt;='17_分析サンプル'!$E$11,tblJTL[[#This Row],[経過秒]]&lt;'17_分析サンプル'!$E$12),1,0)</f>
        <v>0</v>
      </c>
    </row>
    <row r="2330" spans="2:24" ht="14.4" x14ac:dyDescent="0.3">
      <c r="B2330" s="57">
        <v>1790816967457</v>
      </c>
      <c r="C2330" s="58">
        <v>198</v>
      </c>
      <c r="D2330" s="59" t="s">
        <v>1677</v>
      </c>
      <c r="E2330" s="59" t="s">
        <v>3579</v>
      </c>
      <c r="F2330" s="59" t="s">
        <v>3580</v>
      </c>
      <c r="G2330" s="59" t="s">
        <v>3588</v>
      </c>
      <c r="H2330" s="59" t="s">
        <v>2281</v>
      </c>
      <c r="I2330" s="59" t="b">
        <v>1</v>
      </c>
      <c r="J2330" s="59"/>
      <c r="K2330" s="58">
        <v>415</v>
      </c>
      <c r="L2330" s="58">
        <v>1478</v>
      </c>
      <c r="M2330" s="59">
        <v>10</v>
      </c>
      <c r="N2330" s="59">
        <v>10</v>
      </c>
      <c r="O2330" s="59" t="s">
        <v>3581</v>
      </c>
      <c r="P2330" s="58">
        <v>192</v>
      </c>
      <c r="Q2330" s="59">
        <v>0</v>
      </c>
      <c r="R2330" s="59">
        <v>0</v>
      </c>
      <c r="S2330" s="60">
        <f>tblJTL[[#This Row],[timeStamp]]/86400000+DATE(1970,1,1)+TIME(9,0,0)</f>
        <v>46296.423234456015</v>
      </c>
      <c r="T2330" s="57">
        <f>tblJTL[[#This Row],[timeStamp]]+tblJTL[[#This Row],[elapsed]]</f>
        <v>1790816967655</v>
      </c>
      <c r="U2330" s="61">
        <f>(tblJTL[[#This Row],[timeStamp]]-'17_分析サンプル'!$E$18)/1000</f>
        <v>567.27700000000004</v>
      </c>
      <c r="V2330" s="57">
        <f>INT(tblJTL[[#This Row],[経過秒]]/60)</f>
        <v>9</v>
      </c>
      <c r="W2330" s="57">
        <f>IF(OR(tblJTL[[#This Row],[success]]=FALSE,tblJTL[[#This Row],[success]]="false"),1,0)</f>
        <v>0</v>
      </c>
      <c r="X2330" s="57">
        <f>IF(AND(tblJTL[[#This Row],[経過秒]]&gt;='17_分析サンプル'!$E$11,tblJTL[[#This Row],[経過秒]]&lt;'17_分析サンプル'!$E$12),1,0)</f>
        <v>0</v>
      </c>
    </row>
    <row r="2331" spans="2:24" ht="14.4" x14ac:dyDescent="0.3">
      <c r="B2331" s="57">
        <v>1790816967433</v>
      </c>
      <c r="C2331" s="58">
        <v>301</v>
      </c>
      <c r="D2331" s="59" t="s">
        <v>1677</v>
      </c>
      <c r="E2331" s="59" t="s">
        <v>3579</v>
      </c>
      <c r="F2331" s="59" t="s">
        <v>3580</v>
      </c>
      <c r="G2331" s="59" t="s">
        <v>3589</v>
      </c>
      <c r="H2331" s="59" t="s">
        <v>2281</v>
      </c>
      <c r="I2331" s="59" t="b">
        <v>1</v>
      </c>
      <c r="J2331" s="59"/>
      <c r="K2331" s="58">
        <v>417</v>
      </c>
      <c r="L2331" s="58">
        <v>1478</v>
      </c>
      <c r="M2331" s="59">
        <v>10</v>
      </c>
      <c r="N2331" s="59">
        <v>10</v>
      </c>
      <c r="O2331" s="59" t="s">
        <v>3581</v>
      </c>
      <c r="P2331" s="58">
        <v>295</v>
      </c>
      <c r="Q2331" s="59">
        <v>0</v>
      </c>
      <c r="R2331" s="59">
        <v>0</v>
      </c>
      <c r="S2331" s="60">
        <f>tblJTL[[#This Row],[timeStamp]]/86400000+DATE(1970,1,1)+TIME(9,0,0)</f>
        <v>46296.423234178241</v>
      </c>
      <c r="T2331" s="57">
        <f>tblJTL[[#This Row],[timeStamp]]+tblJTL[[#This Row],[elapsed]]</f>
        <v>1790816967734</v>
      </c>
      <c r="U2331" s="61">
        <f>(tblJTL[[#This Row],[timeStamp]]-'17_分析サンプル'!$E$18)/1000</f>
        <v>567.25300000000004</v>
      </c>
      <c r="V2331" s="57">
        <f>INT(tblJTL[[#This Row],[経過秒]]/60)</f>
        <v>9</v>
      </c>
      <c r="W2331" s="57">
        <f>IF(OR(tblJTL[[#This Row],[success]]=FALSE,tblJTL[[#This Row],[success]]="false"),1,0)</f>
        <v>0</v>
      </c>
      <c r="X2331" s="57">
        <f>IF(AND(tblJTL[[#This Row],[経過秒]]&gt;='17_分析サンプル'!$E$11,tblJTL[[#This Row],[経過秒]]&lt;'17_分析サンプル'!$E$12),1,0)</f>
        <v>0</v>
      </c>
    </row>
    <row r="2332" spans="2:24" ht="14.4" x14ac:dyDescent="0.3">
      <c r="B2332" s="57">
        <v>1790816967593</v>
      </c>
      <c r="C2332" s="58">
        <v>326</v>
      </c>
      <c r="D2332" s="59" t="s">
        <v>1677</v>
      </c>
      <c r="E2332" s="59" t="s">
        <v>3579</v>
      </c>
      <c r="F2332" s="59" t="s">
        <v>3580</v>
      </c>
      <c r="G2332" s="59" t="s">
        <v>3584</v>
      </c>
      <c r="H2332" s="59" t="s">
        <v>2281</v>
      </c>
      <c r="I2332" s="59" t="b">
        <v>1</v>
      </c>
      <c r="J2332" s="59"/>
      <c r="K2332" s="58">
        <v>418</v>
      </c>
      <c r="L2332" s="58">
        <v>1478</v>
      </c>
      <c r="M2332" s="59">
        <v>10</v>
      </c>
      <c r="N2332" s="59">
        <v>10</v>
      </c>
      <c r="O2332" s="59" t="s">
        <v>3581</v>
      </c>
      <c r="P2332" s="58">
        <v>320</v>
      </c>
      <c r="Q2332" s="59">
        <v>0</v>
      </c>
      <c r="R2332" s="59">
        <v>0</v>
      </c>
      <c r="S2332" s="60">
        <f>tblJTL[[#This Row],[timeStamp]]/86400000+DATE(1970,1,1)+TIME(9,0,0)</f>
        <v>46296.423236030096</v>
      </c>
      <c r="T2332" s="57">
        <f>tblJTL[[#This Row],[timeStamp]]+tblJTL[[#This Row],[elapsed]]</f>
        <v>1790816967919</v>
      </c>
      <c r="U2332" s="61">
        <f>(tblJTL[[#This Row],[timeStamp]]-'17_分析サンプル'!$E$18)/1000</f>
        <v>567.41300000000001</v>
      </c>
      <c r="V2332" s="57">
        <f>INT(tblJTL[[#This Row],[経過秒]]/60)</f>
        <v>9</v>
      </c>
      <c r="W2332" s="57">
        <f>IF(OR(tblJTL[[#This Row],[success]]=FALSE,tblJTL[[#This Row],[success]]="false"),1,0)</f>
        <v>0</v>
      </c>
      <c r="X2332" s="57">
        <f>IF(AND(tblJTL[[#This Row],[経過秒]]&gt;='17_分析サンプル'!$E$11,tblJTL[[#This Row],[経過秒]]&lt;'17_分析サンプル'!$E$12),1,0)</f>
        <v>0</v>
      </c>
    </row>
    <row r="2333" spans="2:24" ht="14.4" x14ac:dyDescent="0.3">
      <c r="B2333" s="57">
        <v>1790816967958</v>
      </c>
      <c r="C2333" s="58">
        <v>116</v>
      </c>
      <c r="D2333" s="59" t="s">
        <v>1658</v>
      </c>
      <c r="E2333" s="59" t="s">
        <v>1577</v>
      </c>
      <c r="F2333" s="59" t="s">
        <v>2275</v>
      </c>
      <c r="G2333" s="59" t="s">
        <v>3585</v>
      </c>
      <c r="H2333" s="59" t="s">
        <v>2281</v>
      </c>
      <c r="I2333" s="59" t="b">
        <v>1</v>
      </c>
      <c r="J2333" s="59"/>
      <c r="K2333" s="58">
        <v>1888</v>
      </c>
      <c r="L2333" s="58">
        <v>1342</v>
      </c>
      <c r="M2333" s="59">
        <v>10</v>
      </c>
      <c r="N2333" s="59">
        <v>10</v>
      </c>
      <c r="O2333" s="59" t="s">
        <v>3578</v>
      </c>
      <c r="P2333" s="58">
        <v>109</v>
      </c>
      <c r="Q2333" s="59">
        <v>0</v>
      </c>
      <c r="R2333" s="59">
        <v>0</v>
      </c>
      <c r="S2333" s="60">
        <f>tblJTL[[#This Row],[timeStamp]]/86400000+DATE(1970,1,1)+TIME(9,0,0)</f>
        <v>46296.423240254633</v>
      </c>
      <c r="T2333" s="57">
        <f>tblJTL[[#This Row],[timeStamp]]+tblJTL[[#This Row],[elapsed]]</f>
        <v>1790816968074</v>
      </c>
      <c r="U2333" s="61">
        <f>(tblJTL[[#This Row],[timeStamp]]-'17_分析サンプル'!$E$18)/1000</f>
        <v>567.77800000000002</v>
      </c>
      <c r="V2333" s="57">
        <f>INT(tblJTL[[#This Row],[経過秒]]/60)</f>
        <v>9</v>
      </c>
      <c r="W2333" s="57">
        <f>IF(OR(tblJTL[[#This Row],[success]]=FALSE,tblJTL[[#This Row],[success]]="false"),1,0)</f>
        <v>0</v>
      </c>
      <c r="X2333" s="57">
        <f>IF(AND(tblJTL[[#This Row],[経過秒]]&gt;='17_分析サンプル'!$E$11,tblJTL[[#This Row],[経過秒]]&lt;'17_分析サンプル'!$E$12),1,0)</f>
        <v>0</v>
      </c>
    </row>
    <row r="2334" spans="2:24" ht="14.4" x14ac:dyDescent="0.3">
      <c r="B2334" s="57">
        <v>1790816967915</v>
      </c>
      <c r="C2334" s="58">
        <v>176</v>
      </c>
      <c r="D2334" s="59" t="s">
        <v>1658</v>
      </c>
      <c r="E2334" s="59" t="s">
        <v>1577</v>
      </c>
      <c r="F2334" s="59" t="s">
        <v>2275</v>
      </c>
      <c r="G2334" s="59" t="s">
        <v>2278</v>
      </c>
      <c r="H2334" s="59" t="s">
        <v>2281</v>
      </c>
      <c r="I2334" s="59" t="b">
        <v>1</v>
      </c>
      <c r="J2334" s="59"/>
      <c r="K2334" s="58">
        <v>1892</v>
      </c>
      <c r="L2334" s="58">
        <v>1342</v>
      </c>
      <c r="M2334" s="59">
        <v>10</v>
      </c>
      <c r="N2334" s="59">
        <v>10</v>
      </c>
      <c r="O2334" s="59" t="s">
        <v>3578</v>
      </c>
      <c r="P2334" s="58">
        <v>173</v>
      </c>
      <c r="Q2334" s="59">
        <v>0</v>
      </c>
      <c r="R2334" s="59">
        <v>0</v>
      </c>
      <c r="S2334" s="60">
        <f>tblJTL[[#This Row],[timeStamp]]/86400000+DATE(1970,1,1)+TIME(9,0,0)</f>
        <v>46296.423239756943</v>
      </c>
      <c r="T2334" s="57">
        <f>tblJTL[[#This Row],[timeStamp]]+tblJTL[[#This Row],[elapsed]]</f>
        <v>1790816968091</v>
      </c>
      <c r="U2334" s="61">
        <f>(tblJTL[[#This Row],[timeStamp]]-'17_分析サンプル'!$E$18)/1000</f>
        <v>567.73500000000001</v>
      </c>
      <c r="V2334" s="57">
        <f>INT(tblJTL[[#This Row],[経過秒]]/60)</f>
        <v>9</v>
      </c>
      <c r="W2334" s="57">
        <f>IF(OR(tblJTL[[#This Row],[success]]=FALSE,tblJTL[[#This Row],[success]]="false"),1,0)</f>
        <v>0</v>
      </c>
      <c r="X2334" s="57">
        <f>IF(AND(tblJTL[[#This Row],[経過秒]]&gt;='17_分析サンプル'!$E$11,tblJTL[[#This Row],[経過秒]]&lt;'17_分析サンプル'!$E$12),1,0)</f>
        <v>0</v>
      </c>
    </row>
    <row r="2335" spans="2:24" ht="14.4" x14ac:dyDescent="0.3">
      <c r="B2335" s="57">
        <v>1790816967985</v>
      </c>
      <c r="C2335" s="58">
        <v>421</v>
      </c>
      <c r="D2335" s="59" t="s">
        <v>1677</v>
      </c>
      <c r="E2335" s="59" t="s">
        <v>3579</v>
      </c>
      <c r="F2335" s="59" t="s">
        <v>3580</v>
      </c>
      <c r="G2335" s="59" t="s">
        <v>3582</v>
      </c>
      <c r="H2335" s="59" t="s">
        <v>2281</v>
      </c>
      <c r="I2335" s="59" t="b">
        <v>1</v>
      </c>
      <c r="J2335" s="59"/>
      <c r="K2335" s="58">
        <v>437</v>
      </c>
      <c r="L2335" s="58">
        <v>1478</v>
      </c>
      <c r="M2335" s="59">
        <v>10</v>
      </c>
      <c r="N2335" s="59">
        <v>10</v>
      </c>
      <c r="O2335" s="59" t="s">
        <v>3581</v>
      </c>
      <c r="P2335" s="58">
        <v>419</v>
      </c>
      <c r="Q2335" s="59">
        <v>0</v>
      </c>
      <c r="R2335" s="59">
        <v>0</v>
      </c>
      <c r="S2335" s="60">
        <f>tblJTL[[#This Row],[timeStamp]]/86400000+DATE(1970,1,1)+TIME(9,0,0)</f>
        <v>46296.423240567128</v>
      </c>
      <c r="T2335" s="57">
        <f>tblJTL[[#This Row],[timeStamp]]+tblJTL[[#This Row],[elapsed]]</f>
        <v>1790816968406</v>
      </c>
      <c r="U2335" s="61">
        <f>(tblJTL[[#This Row],[timeStamp]]-'17_分析サンプル'!$E$18)/1000</f>
        <v>567.80499999999995</v>
      </c>
      <c r="V2335" s="57">
        <f>INT(tblJTL[[#This Row],[経過秒]]/60)</f>
        <v>9</v>
      </c>
      <c r="W2335" s="57">
        <f>IF(OR(tblJTL[[#This Row],[success]]=FALSE,tblJTL[[#This Row],[success]]="false"),1,0)</f>
        <v>0</v>
      </c>
      <c r="X2335" s="57">
        <f>IF(AND(tblJTL[[#This Row],[経過秒]]&gt;='17_分析サンプル'!$E$11,tblJTL[[#This Row],[経過秒]]&lt;'17_分析サンプル'!$E$12),1,0)</f>
        <v>0</v>
      </c>
    </row>
    <row r="2336" spans="2:24" ht="14.4" x14ac:dyDescent="0.3">
      <c r="B2336" s="57">
        <v>1790816968546</v>
      </c>
      <c r="C2336" s="58">
        <v>172</v>
      </c>
      <c r="D2336" s="59" t="s">
        <v>1677</v>
      </c>
      <c r="E2336" s="59" t="s">
        <v>3579</v>
      </c>
      <c r="F2336" s="59" t="s">
        <v>3580</v>
      </c>
      <c r="G2336" s="59" t="s">
        <v>3587</v>
      </c>
      <c r="H2336" s="59" t="s">
        <v>2281</v>
      </c>
      <c r="I2336" s="59" t="b">
        <v>1</v>
      </c>
      <c r="J2336" s="59"/>
      <c r="K2336" s="58">
        <v>427</v>
      </c>
      <c r="L2336" s="58">
        <v>1478</v>
      </c>
      <c r="M2336" s="59">
        <v>10</v>
      </c>
      <c r="N2336" s="59">
        <v>10</v>
      </c>
      <c r="O2336" s="59" t="s">
        <v>3581</v>
      </c>
      <c r="P2336" s="58">
        <v>164</v>
      </c>
      <c r="Q2336" s="59">
        <v>0</v>
      </c>
      <c r="R2336" s="59">
        <v>0</v>
      </c>
      <c r="S2336" s="60">
        <f>tblJTL[[#This Row],[timeStamp]]/86400000+DATE(1970,1,1)+TIME(9,0,0)</f>
        <v>46296.423247060186</v>
      </c>
      <c r="T2336" s="57">
        <f>tblJTL[[#This Row],[timeStamp]]+tblJTL[[#This Row],[elapsed]]</f>
        <v>1790816968718</v>
      </c>
      <c r="U2336" s="61">
        <f>(tblJTL[[#This Row],[timeStamp]]-'17_分析サンプル'!$E$18)/1000</f>
        <v>568.36599999999999</v>
      </c>
      <c r="V2336" s="57">
        <f>INT(tblJTL[[#This Row],[経過秒]]/60)</f>
        <v>9</v>
      </c>
      <c r="W2336" s="57">
        <f>IF(OR(tblJTL[[#This Row],[success]]=FALSE,tblJTL[[#This Row],[success]]="false"),1,0)</f>
        <v>0</v>
      </c>
      <c r="X2336" s="57">
        <f>IF(AND(tblJTL[[#This Row],[経過秒]]&gt;='17_分析サンプル'!$E$11,tblJTL[[#This Row],[経過秒]]&lt;'17_分析サンプル'!$E$12),1,0)</f>
        <v>0</v>
      </c>
    </row>
    <row r="2337" spans="2:24" ht="14.4" x14ac:dyDescent="0.3">
      <c r="B2337" s="57">
        <v>1790816968707</v>
      </c>
      <c r="C2337" s="58">
        <v>109</v>
      </c>
      <c r="D2337" s="59" t="s">
        <v>1658</v>
      </c>
      <c r="E2337" s="59" t="s">
        <v>1577</v>
      </c>
      <c r="F2337" s="59" t="s">
        <v>2275</v>
      </c>
      <c r="G2337" s="59" t="s">
        <v>3577</v>
      </c>
      <c r="H2337" s="59" t="s">
        <v>2281</v>
      </c>
      <c r="I2337" s="59" t="b">
        <v>1</v>
      </c>
      <c r="J2337" s="59"/>
      <c r="K2337" s="58">
        <v>1895</v>
      </c>
      <c r="L2337" s="58">
        <v>1342</v>
      </c>
      <c r="M2337" s="59">
        <v>10</v>
      </c>
      <c r="N2337" s="59">
        <v>10</v>
      </c>
      <c r="O2337" s="59" t="s">
        <v>3578</v>
      </c>
      <c r="P2337" s="58">
        <v>107</v>
      </c>
      <c r="Q2337" s="59">
        <v>0</v>
      </c>
      <c r="R2337" s="59">
        <v>0</v>
      </c>
      <c r="S2337" s="60">
        <f>tblJTL[[#This Row],[timeStamp]]/86400000+DATE(1970,1,1)+TIME(9,0,0)</f>
        <v>46296.423248923616</v>
      </c>
      <c r="T2337" s="57">
        <f>tblJTL[[#This Row],[timeStamp]]+tblJTL[[#This Row],[elapsed]]</f>
        <v>1790816968816</v>
      </c>
      <c r="U2337" s="61">
        <f>(tblJTL[[#This Row],[timeStamp]]-'17_分析サンプル'!$E$18)/1000</f>
        <v>568.52700000000004</v>
      </c>
      <c r="V2337" s="57">
        <f>INT(tblJTL[[#This Row],[経過秒]]/60)</f>
        <v>9</v>
      </c>
      <c r="W2337" s="57">
        <f>IF(OR(tblJTL[[#This Row],[success]]=FALSE,tblJTL[[#This Row],[success]]="false"),1,0)</f>
        <v>0</v>
      </c>
      <c r="X2337" s="57">
        <f>IF(AND(tblJTL[[#This Row],[経過秒]]&gt;='17_分析サンプル'!$E$11,tblJTL[[#This Row],[経過秒]]&lt;'17_分析サンプル'!$E$12),1,0)</f>
        <v>0</v>
      </c>
    </row>
    <row r="2338" spans="2:24" ht="14.4" x14ac:dyDescent="0.3">
      <c r="B2338" s="57">
        <v>1790816968687</v>
      </c>
      <c r="C2338" s="58">
        <v>363</v>
      </c>
      <c r="D2338" s="59" t="s">
        <v>1677</v>
      </c>
      <c r="E2338" s="59" t="s">
        <v>3579</v>
      </c>
      <c r="F2338" s="59" t="s">
        <v>3580</v>
      </c>
      <c r="G2338" s="59" t="s">
        <v>3586</v>
      </c>
      <c r="H2338" s="59" t="s">
        <v>2281</v>
      </c>
      <c r="I2338" s="59" t="b">
        <v>1</v>
      </c>
      <c r="J2338" s="59"/>
      <c r="K2338" s="58">
        <v>417</v>
      </c>
      <c r="L2338" s="58">
        <v>1478</v>
      </c>
      <c r="M2338" s="59">
        <v>10</v>
      </c>
      <c r="N2338" s="59">
        <v>10</v>
      </c>
      <c r="O2338" s="59" t="s">
        <v>3581</v>
      </c>
      <c r="P2338" s="58">
        <v>358</v>
      </c>
      <c r="Q2338" s="59">
        <v>0</v>
      </c>
      <c r="R2338" s="59">
        <v>0</v>
      </c>
      <c r="S2338" s="60">
        <f>tblJTL[[#This Row],[timeStamp]]/86400000+DATE(1970,1,1)+TIME(9,0,0)</f>
        <v>46296.423248692125</v>
      </c>
      <c r="T2338" s="57">
        <f>tblJTL[[#This Row],[timeStamp]]+tblJTL[[#This Row],[elapsed]]</f>
        <v>1790816969050</v>
      </c>
      <c r="U2338" s="61">
        <f>(tblJTL[[#This Row],[timeStamp]]-'17_分析サンプル'!$E$18)/1000</f>
        <v>568.50699999999995</v>
      </c>
      <c r="V2338" s="57">
        <f>INT(tblJTL[[#This Row],[経過秒]]/60)</f>
        <v>9</v>
      </c>
      <c r="W2338" s="57">
        <f>IF(OR(tblJTL[[#This Row],[success]]=FALSE,tblJTL[[#This Row],[success]]="false"),1,0)</f>
        <v>0</v>
      </c>
      <c r="X2338" s="57">
        <f>IF(AND(tblJTL[[#This Row],[経過秒]]&gt;='17_分析サンプル'!$E$11,tblJTL[[#This Row],[経過秒]]&lt;'17_分析サンプル'!$E$12),1,0)</f>
        <v>0</v>
      </c>
    </row>
    <row r="2339" spans="2:24" ht="14.4" x14ac:dyDescent="0.3">
      <c r="B2339" s="57">
        <v>1790816969404</v>
      </c>
      <c r="C2339" s="58">
        <v>100</v>
      </c>
      <c r="D2339" s="59" t="s">
        <v>1658</v>
      </c>
      <c r="E2339" s="59" t="s">
        <v>1577</v>
      </c>
      <c r="F2339" s="59" t="s">
        <v>2275</v>
      </c>
      <c r="G2339" s="59" t="s">
        <v>3589</v>
      </c>
      <c r="H2339" s="59" t="s">
        <v>2281</v>
      </c>
      <c r="I2339" s="59" t="b">
        <v>1</v>
      </c>
      <c r="J2339" s="59"/>
      <c r="K2339" s="58">
        <v>1862</v>
      </c>
      <c r="L2339" s="58">
        <v>1342</v>
      </c>
      <c r="M2339" s="59">
        <v>10</v>
      </c>
      <c r="N2339" s="59">
        <v>10</v>
      </c>
      <c r="O2339" s="59" t="s">
        <v>3578</v>
      </c>
      <c r="P2339" s="58">
        <v>94</v>
      </c>
      <c r="Q2339" s="59">
        <v>0</v>
      </c>
      <c r="R2339" s="59">
        <v>0</v>
      </c>
      <c r="S2339" s="60">
        <f>tblJTL[[#This Row],[timeStamp]]/86400000+DATE(1970,1,1)+TIME(9,0,0)</f>
        <v>46296.42325699074</v>
      </c>
      <c r="T2339" s="57">
        <f>tblJTL[[#This Row],[timeStamp]]+tblJTL[[#This Row],[elapsed]]</f>
        <v>1790816969504</v>
      </c>
      <c r="U2339" s="61">
        <f>(tblJTL[[#This Row],[timeStamp]]-'17_分析サンプル'!$E$18)/1000</f>
        <v>569.22400000000005</v>
      </c>
      <c r="V2339" s="57">
        <f>INT(tblJTL[[#This Row],[経過秒]]/60)</f>
        <v>9</v>
      </c>
      <c r="W2339" s="57">
        <f>IF(OR(tblJTL[[#This Row],[success]]=FALSE,tblJTL[[#This Row],[success]]="false"),1,0)</f>
        <v>0</v>
      </c>
      <c r="X2339" s="57">
        <f>IF(AND(tblJTL[[#This Row],[経過秒]]&gt;='17_分析サンプル'!$E$11,tblJTL[[#This Row],[経過秒]]&lt;'17_分析サンプル'!$E$12),1,0)</f>
        <v>0</v>
      </c>
    </row>
    <row r="2340" spans="2:24" ht="14.4" x14ac:dyDescent="0.3">
      <c r="B2340" s="57">
        <v>1790816969365</v>
      </c>
      <c r="C2340" s="58">
        <v>153</v>
      </c>
      <c r="D2340" s="59" t="s">
        <v>1658</v>
      </c>
      <c r="E2340" s="59" t="s">
        <v>1577</v>
      </c>
      <c r="F2340" s="59" t="s">
        <v>2275</v>
      </c>
      <c r="G2340" s="59" t="s">
        <v>3588</v>
      </c>
      <c r="H2340" s="59" t="s">
        <v>2281</v>
      </c>
      <c r="I2340" s="59" t="b">
        <v>1</v>
      </c>
      <c r="J2340" s="59"/>
      <c r="K2340" s="58">
        <v>1865</v>
      </c>
      <c r="L2340" s="58">
        <v>1342</v>
      </c>
      <c r="M2340" s="59">
        <v>10</v>
      </c>
      <c r="N2340" s="59">
        <v>10</v>
      </c>
      <c r="O2340" s="59" t="s">
        <v>3578</v>
      </c>
      <c r="P2340" s="58">
        <v>150</v>
      </c>
      <c r="Q2340" s="59">
        <v>0</v>
      </c>
      <c r="R2340" s="59">
        <v>0</v>
      </c>
      <c r="S2340" s="60">
        <f>tblJTL[[#This Row],[timeStamp]]/86400000+DATE(1970,1,1)+TIME(9,0,0)</f>
        <v>46296.423256539347</v>
      </c>
      <c r="T2340" s="57">
        <f>tblJTL[[#This Row],[timeStamp]]+tblJTL[[#This Row],[elapsed]]</f>
        <v>1790816969518</v>
      </c>
      <c r="U2340" s="61">
        <f>(tblJTL[[#This Row],[timeStamp]]-'17_分析サンプル'!$E$18)/1000</f>
        <v>569.18499999999995</v>
      </c>
      <c r="V2340" s="57">
        <f>INT(tblJTL[[#This Row],[経過秒]]/60)</f>
        <v>9</v>
      </c>
      <c r="W2340" s="57">
        <f>IF(OR(tblJTL[[#This Row],[success]]=FALSE,tblJTL[[#This Row],[success]]="false"),1,0)</f>
        <v>0</v>
      </c>
      <c r="X2340" s="57">
        <f>IF(AND(tblJTL[[#This Row],[経過秒]]&gt;='17_分析サンプル'!$E$11,tblJTL[[#This Row],[経過秒]]&lt;'17_分析サンプル'!$E$12),1,0)</f>
        <v>0</v>
      </c>
    </row>
    <row r="2341" spans="2:24" ht="14.4" x14ac:dyDescent="0.3">
      <c r="B2341" s="57">
        <v>1790816969465</v>
      </c>
      <c r="C2341" s="58">
        <v>197</v>
      </c>
      <c r="D2341" s="59" t="s">
        <v>1677</v>
      </c>
      <c r="E2341" s="59" t="s">
        <v>3579</v>
      </c>
      <c r="F2341" s="59" t="s">
        <v>3580</v>
      </c>
      <c r="G2341" s="59" t="s">
        <v>3583</v>
      </c>
      <c r="H2341" s="59" t="s">
        <v>2281</v>
      </c>
      <c r="I2341" s="59" t="b">
        <v>1</v>
      </c>
      <c r="J2341" s="59"/>
      <c r="K2341" s="58">
        <v>427</v>
      </c>
      <c r="L2341" s="58">
        <v>1478</v>
      </c>
      <c r="M2341" s="59">
        <v>10</v>
      </c>
      <c r="N2341" s="59">
        <v>10</v>
      </c>
      <c r="O2341" s="59" t="s">
        <v>3581</v>
      </c>
      <c r="P2341" s="58">
        <v>195</v>
      </c>
      <c r="Q2341" s="59">
        <v>0</v>
      </c>
      <c r="R2341" s="59">
        <v>0</v>
      </c>
      <c r="S2341" s="60">
        <f>tblJTL[[#This Row],[timeStamp]]/86400000+DATE(1970,1,1)+TIME(9,0,0)</f>
        <v>46296.423257696762</v>
      </c>
      <c r="T2341" s="57">
        <f>tblJTL[[#This Row],[timeStamp]]+tblJTL[[#This Row],[elapsed]]</f>
        <v>1790816969662</v>
      </c>
      <c r="U2341" s="61">
        <f>(tblJTL[[#This Row],[timeStamp]]-'17_分析サンプル'!$E$18)/1000</f>
        <v>569.28499999999997</v>
      </c>
      <c r="V2341" s="57">
        <f>INT(tblJTL[[#This Row],[経過秒]]/60)</f>
        <v>9</v>
      </c>
      <c r="W2341" s="57">
        <f>IF(OR(tblJTL[[#This Row],[success]]=FALSE,tblJTL[[#This Row],[success]]="false"),1,0)</f>
        <v>0</v>
      </c>
      <c r="X2341" s="57">
        <f>IF(AND(tblJTL[[#This Row],[経過秒]]&gt;='17_分析サンプル'!$E$11,tblJTL[[#This Row],[経過秒]]&lt;'17_分析サンプル'!$E$12),1,0)</f>
        <v>0</v>
      </c>
    </row>
    <row r="2342" spans="2:24" ht="14.4" x14ac:dyDescent="0.3">
      <c r="B2342" s="57">
        <v>1790816969959</v>
      </c>
      <c r="C2342" s="58">
        <v>134</v>
      </c>
      <c r="D2342" s="59" t="s">
        <v>1658</v>
      </c>
      <c r="E2342" s="59" t="s">
        <v>1577</v>
      </c>
      <c r="F2342" s="59" t="s">
        <v>2275</v>
      </c>
      <c r="G2342" s="59" t="s">
        <v>3587</v>
      </c>
      <c r="H2342" s="59" t="s">
        <v>2281</v>
      </c>
      <c r="I2342" s="59" t="b">
        <v>1</v>
      </c>
      <c r="J2342" s="59"/>
      <c r="K2342" s="58">
        <v>1874</v>
      </c>
      <c r="L2342" s="58">
        <v>1342</v>
      </c>
      <c r="M2342" s="59">
        <v>10</v>
      </c>
      <c r="N2342" s="59">
        <v>10</v>
      </c>
      <c r="O2342" s="59" t="s">
        <v>3578</v>
      </c>
      <c r="P2342" s="58">
        <v>132</v>
      </c>
      <c r="Q2342" s="59">
        <v>0</v>
      </c>
      <c r="R2342" s="59">
        <v>0</v>
      </c>
      <c r="S2342" s="60">
        <f>tblJTL[[#This Row],[timeStamp]]/86400000+DATE(1970,1,1)+TIME(9,0,0)</f>
        <v>46296.423263414355</v>
      </c>
      <c r="T2342" s="57">
        <f>tblJTL[[#This Row],[timeStamp]]+tblJTL[[#This Row],[elapsed]]</f>
        <v>1790816970093</v>
      </c>
      <c r="U2342" s="61">
        <f>(tblJTL[[#This Row],[timeStamp]]-'17_分析サンプル'!$E$18)/1000</f>
        <v>569.779</v>
      </c>
      <c r="V2342" s="57">
        <f>INT(tblJTL[[#This Row],[経過秒]]/60)</f>
        <v>9</v>
      </c>
      <c r="W2342" s="57">
        <f>IF(OR(tblJTL[[#This Row],[success]]=FALSE,tblJTL[[#This Row],[success]]="false"),1,0)</f>
        <v>0</v>
      </c>
      <c r="X2342" s="57">
        <f>IF(AND(tblJTL[[#This Row],[経過秒]]&gt;='17_分析サンプル'!$E$11,tblJTL[[#This Row],[経過秒]]&lt;'17_分析サンプル'!$E$12),1,0)</f>
        <v>0</v>
      </c>
    </row>
    <row r="2343" spans="2:24" ht="14.4" x14ac:dyDescent="0.3">
      <c r="B2343" s="57">
        <v>1790816970036</v>
      </c>
      <c r="C2343" s="58">
        <v>149</v>
      </c>
      <c r="D2343" s="59" t="s">
        <v>1677</v>
      </c>
      <c r="E2343" s="59" t="s">
        <v>3579</v>
      </c>
      <c r="F2343" s="59" t="s">
        <v>3580</v>
      </c>
      <c r="G2343" s="59" t="s">
        <v>3585</v>
      </c>
      <c r="H2343" s="59" t="s">
        <v>2281</v>
      </c>
      <c r="I2343" s="59" t="b">
        <v>1</v>
      </c>
      <c r="J2343" s="59"/>
      <c r="K2343" s="58">
        <v>440</v>
      </c>
      <c r="L2343" s="58">
        <v>1478</v>
      </c>
      <c r="M2343" s="59">
        <v>10</v>
      </c>
      <c r="N2343" s="59">
        <v>10</v>
      </c>
      <c r="O2343" s="59" t="s">
        <v>3581</v>
      </c>
      <c r="P2343" s="58">
        <v>142</v>
      </c>
      <c r="Q2343" s="59">
        <v>0</v>
      </c>
      <c r="R2343" s="59">
        <v>0</v>
      </c>
      <c r="S2343" s="60">
        <f>tblJTL[[#This Row],[timeStamp]]/86400000+DATE(1970,1,1)+TIME(9,0,0)</f>
        <v>46296.423264305558</v>
      </c>
      <c r="T2343" s="57">
        <f>tblJTL[[#This Row],[timeStamp]]+tblJTL[[#This Row],[elapsed]]</f>
        <v>1790816970185</v>
      </c>
      <c r="U2343" s="61">
        <f>(tblJTL[[#This Row],[timeStamp]]-'17_分析サンプル'!$E$18)/1000</f>
        <v>569.85599999999999</v>
      </c>
      <c r="V2343" s="57">
        <f>INT(tblJTL[[#This Row],[経過秒]]/60)</f>
        <v>9</v>
      </c>
      <c r="W2343" s="57">
        <f>IF(OR(tblJTL[[#This Row],[success]]=FALSE,tblJTL[[#This Row],[success]]="false"),1,0)</f>
        <v>0</v>
      </c>
      <c r="X2343" s="57">
        <f>IF(AND(tblJTL[[#This Row],[経過秒]]&gt;='17_分析サンプル'!$E$11,tblJTL[[#This Row],[経過秒]]&lt;'17_分析サンプル'!$E$12),1,0)</f>
        <v>0</v>
      </c>
    </row>
    <row r="2344" spans="2:24" ht="14.4" x14ac:dyDescent="0.3">
      <c r="B2344" s="57">
        <v>1790816970314</v>
      </c>
      <c r="C2344" s="58">
        <v>107</v>
      </c>
      <c r="D2344" s="59" t="s">
        <v>1658</v>
      </c>
      <c r="E2344" s="59" t="s">
        <v>1577</v>
      </c>
      <c r="F2344" s="59" t="s">
        <v>2275</v>
      </c>
      <c r="G2344" s="59" t="s">
        <v>3584</v>
      </c>
      <c r="H2344" s="59" t="s">
        <v>2281</v>
      </c>
      <c r="I2344" s="59" t="b">
        <v>1</v>
      </c>
      <c r="J2344" s="59"/>
      <c r="K2344" s="58">
        <v>1873</v>
      </c>
      <c r="L2344" s="58">
        <v>1342</v>
      </c>
      <c r="M2344" s="59">
        <v>10</v>
      </c>
      <c r="N2344" s="59">
        <v>10</v>
      </c>
      <c r="O2344" s="59" t="s">
        <v>3578</v>
      </c>
      <c r="P2344" s="58">
        <v>99</v>
      </c>
      <c r="Q2344" s="59">
        <v>0</v>
      </c>
      <c r="R2344" s="59">
        <v>0</v>
      </c>
      <c r="S2344" s="60">
        <f>tblJTL[[#This Row],[timeStamp]]/86400000+DATE(1970,1,1)+TIME(9,0,0)</f>
        <v>46296.423267523147</v>
      </c>
      <c r="T2344" s="57">
        <f>tblJTL[[#This Row],[timeStamp]]+tblJTL[[#This Row],[elapsed]]</f>
        <v>1790816970421</v>
      </c>
      <c r="U2344" s="61">
        <f>(tblJTL[[#This Row],[timeStamp]]-'17_分析サンプル'!$E$18)/1000</f>
        <v>570.13400000000001</v>
      </c>
      <c r="V2344" s="57">
        <f>INT(tblJTL[[#This Row],[経過秒]]/60)</f>
        <v>9</v>
      </c>
      <c r="W2344" s="57">
        <f>IF(OR(tblJTL[[#This Row],[success]]=FALSE,tblJTL[[#This Row],[success]]="false"),1,0)</f>
        <v>0</v>
      </c>
      <c r="X2344" s="57">
        <f>IF(AND(tblJTL[[#This Row],[経過秒]]&gt;='17_分析サンプル'!$E$11,tblJTL[[#This Row],[経過秒]]&lt;'17_分析サンプル'!$E$12),1,0)</f>
        <v>0</v>
      </c>
    </row>
    <row r="2345" spans="2:24" ht="14.4" x14ac:dyDescent="0.3">
      <c r="B2345" s="57">
        <v>1790816970412</v>
      </c>
      <c r="C2345" s="58">
        <v>123</v>
      </c>
      <c r="D2345" s="59" t="s">
        <v>1658</v>
      </c>
      <c r="E2345" s="59" t="s">
        <v>1577</v>
      </c>
      <c r="F2345" s="59" t="s">
        <v>2275</v>
      </c>
      <c r="G2345" s="59" t="s">
        <v>3582</v>
      </c>
      <c r="H2345" s="59" t="s">
        <v>2281</v>
      </c>
      <c r="I2345" s="59" t="b">
        <v>1</v>
      </c>
      <c r="J2345" s="59"/>
      <c r="K2345" s="58">
        <v>1894</v>
      </c>
      <c r="L2345" s="58">
        <v>1342</v>
      </c>
      <c r="M2345" s="59">
        <v>10</v>
      </c>
      <c r="N2345" s="59">
        <v>10</v>
      </c>
      <c r="O2345" s="59" t="s">
        <v>3578</v>
      </c>
      <c r="P2345" s="58">
        <v>116</v>
      </c>
      <c r="Q2345" s="59">
        <v>0</v>
      </c>
      <c r="R2345" s="59">
        <v>0</v>
      </c>
      <c r="S2345" s="60">
        <f>tblJTL[[#This Row],[timeStamp]]/86400000+DATE(1970,1,1)+TIME(9,0,0)</f>
        <v>46296.423268657411</v>
      </c>
      <c r="T2345" s="57">
        <f>tblJTL[[#This Row],[timeStamp]]+tblJTL[[#This Row],[elapsed]]</f>
        <v>1790816970535</v>
      </c>
      <c r="U2345" s="61">
        <f>(tblJTL[[#This Row],[timeStamp]]-'17_分析サンプル'!$E$18)/1000</f>
        <v>570.23199999999997</v>
      </c>
      <c r="V2345" s="57">
        <f>INT(tblJTL[[#This Row],[経過秒]]/60)</f>
        <v>9</v>
      </c>
      <c r="W2345" s="57">
        <f>IF(OR(tblJTL[[#This Row],[success]]=FALSE,tblJTL[[#This Row],[success]]="false"),1,0)</f>
        <v>0</v>
      </c>
      <c r="X2345" s="57">
        <f>IF(AND(tblJTL[[#This Row],[経過秒]]&gt;='17_分析サンプル'!$E$11,tblJTL[[#This Row],[経過秒]]&lt;'17_分析サンプル'!$E$12),1,0)</f>
        <v>0</v>
      </c>
    </row>
    <row r="2346" spans="2:24" ht="14.4" x14ac:dyDescent="0.3">
      <c r="B2346" s="57">
        <v>1790816970492</v>
      </c>
      <c r="C2346" s="58">
        <v>212</v>
      </c>
      <c r="D2346" s="59" t="s">
        <v>1677</v>
      </c>
      <c r="E2346" s="59" t="s">
        <v>3579</v>
      </c>
      <c r="F2346" s="59" t="s">
        <v>3580</v>
      </c>
      <c r="G2346" s="59" t="s">
        <v>3577</v>
      </c>
      <c r="H2346" s="59" t="s">
        <v>2281</v>
      </c>
      <c r="I2346" s="59" t="b">
        <v>1</v>
      </c>
      <c r="J2346" s="59"/>
      <c r="K2346" s="58">
        <v>433</v>
      </c>
      <c r="L2346" s="58">
        <v>1478</v>
      </c>
      <c r="M2346" s="59">
        <v>10</v>
      </c>
      <c r="N2346" s="59">
        <v>10</v>
      </c>
      <c r="O2346" s="59" t="s">
        <v>3581</v>
      </c>
      <c r="P2346" s="58">
        <v>209</v>
      </c>
      <c r="Q2346" s="59">
        <v>0</v>
      </c>
      <c r="R2346" s="59">
        <v>0</v>
      </c>
      <c r="S2346" s="60">
        <f>tblJTL[[#This Row],[timeStamp]]/86400000+DATE(1970,1,1)+TIME(9,0,0)</f>
        <v>46296.423269583334</v>
      </c>
      <c r="T2346" s="57">
        <f>tblJTL[[#This Row],[timeStamp]]+tblJTL[[#This Row],[elapsed]]</f>
        <v>1790816970704</v>
      </c>
      <c r="U2346" s="61">
        <f>(tblJTL[[#This Row],[timeStamp]]-'17_分析サンプル'!$E$18)/1000</f>
        <v>570.31200000000001</v>
      </c>
      <c r="V2346" s="57">
        <f>INT(tblJTL[[#This Row],[経過秒]]/60)</f>
        <v>9</v>
      </c>
      <c r="W2346" s="57">
        <f>IF(OR(tblJTL[[#This Row],[success]]=FALSE,tblJTL[[#This Row],[success]]="false"),1,0)</f>
        <v>0</v>
      </c>
      <c r="X2346" s="57">
        <f>IF(AND(tblJTL[[#This Row],[経過秒]]&gt;='17_分析サンプル'!$E$11,tblJTL[[#This Row],[経過秒]]&lt;'17_分析サンプル'!$E$12),1,0)</f>
        <v>0</v>
      </c>
    </row>
    <row r="2347" spans="2:24" ht="14.4" x14ac:dyDescent="0.3">
      <c r="B2347" s="57">
        <v>1790816970911</v>
      </c>
      <c r="C2347" s="58">
        <v>240</v>
      </c>
      <c r="D2347" s="59" t="s">
        <v>1677</v>
      </c>
      <c r="E2347" s="59" t="s">
        <v>3579</v>
      </c>
      <c r="F2347" s="59" t="s">
        <v>3580</v>
      </c>
      <c r="G2347" s="59" t="s">
        <v>2278</v>
      </c>
      <c r="H2347" s="59" t="s">
        <v>2281</v>
      </c>
      <c r="I2347" s="59" t="b">
        <v>1</v>
      </c>
      <c r="J2347" s="59"/>
      <c r="K2347" s="58">
        <v>426</v>
      </c>
      <c r="L2347" s="58">
        <v>1478</v>
      </c>
      <c r="M2347" s="59">
        <v>10</v>
      </c>
      <c r="N2347" s="59">
        <v>10</v>
      </c>
      <c r="O2347" s="59" t="s">
        <v>3581</v>
      </c>
      <c r="P2347" s="58">
        <v>236</v>
      </c>
      <c r="Q2347" s="59">
        <v>0</v>
      </c>
      <c r="R2347" s="59">
        <v>70</v>
      </c>
      <c r="S2347" s="60">
        <f>tblJTL[[#This Row],[timeStamp]]/86400000+DATE(1970,1,1)+TIME(9,0,0)</f>
        <v>46296.423274432869</v>
      </c>
      <c r="T2347" s="57">
        <f>tblJTL[[#This Row],[timeStamp]]+tblJTL[[#This Row],[elapsed]]</f>
        <v>1790816971151</v>
      </c>
      <c r="U2347" s="61">
        <f>(tblJTL[[#This Row],[timeStamp]]-'17_分析サンプル'!$E$18)/1000</f>
        <v>570.73099999999999</v>
      </c>
      <c r="V2347" s="57">
        <f>INT(tblJTL[[#This Row],[経過秒]]/60)</f>
        <v>9</v>
      </c>
      <c r="W2347" s="57">
        <f>IF(OR(tblJTL[[#This Row],[success]]=FALSE,tblJTL[[#This Row],[success]]="false"),1,0)</f>
        <v>0</v>
      </c>
      <c r="X2347" s="57">
        <f>IF(AND(tblJTL[[#This Row],[経過秒]]&gt;='17_分析サンプル'!$E$11,tblJTL[[#This Row],[経過秒]]&lt;'17_分析サンプル'!$E$12),1,0)</f>
        <v>0</v>
      </c>
    </row>
    <row r="2348" spans="2:24" ht="14.4" x14ac:dyDescent="0.3">
      <c r="B2348" s="57">
        <v>1790816971082</v>
      </c>
      <c r="C2348" s="58">
        <v>142</v>
      </c>
      <c r="D2348" s="59" t="s">
        <v>1658</v>
      </c>
      <c r="E2348" s="59" t="s">
        <v>1577</v>
      </c>
      <c r="F2348" s="59" t="s">
        <v>2275</v>
      </c>
      <c r="G2348" s="59" t="s">
        <v>3583</v>
      </c>
      <c r="H2348" s="59" t="s">
        <v>2281</v>
      </c>
      <c r="I2348" s="59" t="b">
        <v>1</v>
      </c>
      <c r="J2348" s="59"/>
      <c r="K2348" s="58">
        <v>1851</v>
      </c>
      <c r="L2348" s="58">
        <v>1342</v>
      </c>
      <c r="M2348" s="59">
        <v>10</v>
      </c>
      <c r="N2348" s="59">
        <v>10</v>
      </c>
      <c r="O2348" s="59" t="s">
        <v>3578</v>
      </c>
      <c r="P2348" s="58">
        <v>134</v>
      </c>
      <c r="Q2348" s="59">
        <v>0</v>
      </c>
      <c r="R2348" s="59">
        <v>0</v>
      </c>
      <c r="S2348" s="60">
        <f>tblJTL[[#This Row],[timeStamp]]/86400000+DATE(1970,1,1)+TIME(9,0,0)</f>
        <v>46296.423276412039</v>
      </c>
      <c r="T2348" s="57">
        <f>tblJTL[[#This Row],[timeStamp]]+tblJTL[[#This Row],[elapsed]]</f>
        <v>1790816971224</v>
      </c>
      <c r="U2348" s="61">
        <f>(tblJTL[[#This Row],[timeStamp]]-'17_分析サンプル'!$E$18)/1000</f>
        <v>570.90200000000004</v>
      </c>
      <c r="V2348" s="57">
        <f>INT(tblJTL[[#This Row],[経過秒]]/60)</f>
        <v>9</v>
      </c>
      <c r="W2348" s="57">
        <f>IF(OR(tblJTL[[#This Row],[success]]=FALSE,tblJTL[[#This Row],[success]]="false"),1,0)</f>
        <v>0</v>
      </c>
      <c r="X2348" s="57">
        <f>IF(AND(tblJTL[[#This Row],[経過秒]]&gt;='17_分析サンプル'!$E$11,tblJTL[[#This Row],[経過秒]]&lt;'17_分析サンプル'!$E$12),1,0)</f>
        <v>0</v>
      </c>
    </row>
    <row r="2349" spans="2:24" ht="14.4" x14ac:dyDescent="0.3">
      <c r="B2349" s="57">
        <v>1790816971666</v>
      </c>
      <c r="C2349" s="58">
        <v>115</v>
      </c>
      <c r="D2349" s="59" t="s">
        <v>1658</v>
      </c>
      <c r="E2349" s="59" t="s">
        <v>1577</v>
      </c>
      <c r="F2349" s="59" t="s">
        <v>2275</v>
      </c>
      <c r="G2349" s="59" t="s">
        <v>3586</v>
      </c>
      <c r="H2349" s="59" t="s">
        <v>2281</v>
      </c>
      <c r="I2349" s="59" t="b">
        <v>1</v>
      </c>
      <c r="J2349" s="59"/>
      <c r="K2349" s="58">
        <v>1829</v>
      </c>
      <c r="L2349" s="58">
        <v>1342</v>
      </c>
      <c r="M2349" s="59">
        <v>10</v>
      </c>
      <c r="N2349" s="59">
        <v>10</v>
      </c>
      <c r="O2349" s="59" t="s">
        <v>3578</v>
      </c>
      <c r="P2349" s="58">
        <v>107</v>
      </c>
      <c r="Q2349" s="59">
        <v>0</v>
      </c>
      <c r="R2349" s="59">
        <v>0</v>
      </c>
      <c r="S2349" s="60">
        <f>tblJTL[[#This Row],[timeStamp]]/86400000+DATE(1970,1,1)+TIME(9,0,0)</f>
        <v>46296.423283171302</v>
      </c>
      <c r="T2349" s="57">
        <f>tblJTL[[#This Row],[timeStamp]]+tblJTL[[#This Row],[elapsed]]</f>
        <v>1790816971781</v>
      </c>
      <c r="U2349" s="61">
        <f>(tblJTL[[#This Row],[timeStamp]]-'17_分析サンプル'!$E$18)/1000</f>
        <v>571.48599999999999</v>
      </c>
      <c r="V2349" s="57">
        <f>INT(tblJTL[[#This Row],[経過秒]]/60)</f>
        <v>9</v>
      </c>
      <c r="W2349" s="57">
        <f>IF(OR(tblJTL[[#This Row],[success]]=FALSE,tblJTL[[#This Row],[success]]="false"),1,0)</f>
        <v>0</v>
      </c>
      <c r="X2349" s="57">
        <f>IF(AND(tblJTL[[#This Row],[経過秒]]&gt;='17_分析サンプル'!$E$11,tblJTL[[#This Row],[経過秒]]&lt;'17_分析サンプル'!$E$12),1,0)</f>
        <v>0</v>
      </c>
    </row>
    <row r="2350" spans="2:24" ht="14.4" x14ac:dyDescent="0.3">
      <c r="B2350" s="57">
        <v>1790816971458</v>
      </c>
      <c r="C2350" s="58">
        <v>365</v>
      </c>
      <c r="D2350" s="59" t="s">
        <v>1677</v>
      </c>
      <c r="E2350" s="59" t="s">
        <v>3579</v>
      </c>
      <c r="F2350" s="59" t="s">
        <v>3580</v>
      </c>
      <c r="G2350" s="59" t="s">
        <v>3589</v>
      </c>
      <c r="H2350" s="59" t="s">
        <v>2281</v>
      </c>
      <c r="I2350" s="59" t="b">
        <v>1</v>
      </c>
      <c r="J2350" s="59"/>
      <c r="K2350" s="58">
        <v>438</v>
      </c>
      <c r="L2350" s="58">
        <v>1478</v>
      </c>
      <c r="M2350" s="59">
        <v>10</v>
      </c>
      <c r="N2350" s="59">
        <v>10</v>
      </c>
      <c r="O2350" s="59" t="s">
        <v>3581</v>
      </c>
      <c r="P2350" s="58">
        <v>362</v>
      </c>
      <c r="Q2350" s="59">
        <v>0</v>
      </c>
      <c r="R2350" s="59">
        <v>0</v>
      </c>
      <c r="S2350" s="60">
        <f>tblJTL[[#This Row],[timeStamp]]/86400000+DATE(1970,1,1)+TIME(9,0,0)</f>
        <v>46296.423280763891</v>
      </c>
      <c r="T2350" s="57">
        <f>tblJTL[[#This Row],[timeStamp]]+tblJTL[[#This Row],[elapsed]]</f>
        <v>1790816971823</v>
      </c>
      <c r="U2350" s="61">
        <f>(tblJTL[[#This Row],[timeStamp]]-'17_分析サンプル'!$E$18)/1000</f>
        <v>571.27800000000002</v>
      </c>
      <c r="V2350" s="57">
        <f>INT(tblJTL[[#This Row],[経過秒]]/60)</f>
        <v>9</v>
      </c>
      <c r="W2350" s="57">
        <f>IF(OR(tblJTL[[#This Row],[success]]=FALSE,tblJTL[[#This Row],[success]]="false"),1,0)</f>
        <v>0</v>
      </c>
      <c r="X2350" s="57">
        <f>IF(AND(tblJTL[[#This Row],[経過秒]]&gt;='17_分析サンプル'!$E$11,tblJTL[[#This Row],[経過秒]]&lt;'17_分析サンプル'!$E$12),1,0)</f>
        <v>0</v>
      </c>
    </row>
    <row r="2351" spans="2:24" ht="14.4" x14ac:dyDescent="0.3">
      <c r="B2351" s="57">
        <v>1790816972093</v>
      </c>
      <c r="C2351" s="58">
        <v>147</v>
      </c>
      <c r="D2351" s="59" t="s">
        <v>1677</v>
      </c>
      <c r="E2351" s="59" t="s">
        <v>3579</v>
      </c>
      <c r="F2351" s="59" t="s">
        <v>3580</v>
      </c>
      <c r="G2351" s="59" t="s">
        <v>3587</v>
      </c>
      <c r="H2351" s="59" t="s">
        <v>2281</v>
      </c>
      <c r="I2351" s="59" t="b">
        <v>1</v>
      </c>
      <c r="J2351" s="59"/>
      <c r="K2351" s="58">
        <v>437</v>
      </c>
      <c r="L2351" s="58">
        <v>1478</v>
      </c>
      <c r="M2351" s="59">
        <v>10</v>
      </c>
      <c r="N2351" s="59">
        <v>10</v>
      </c>
      <c r="O2351" s="59" t="s">
        <v>3581</v>
      </c>
      <c r="P2351" s="58">
        <v>142</v>
      </c>
      <c r="Q2351" s="59">
        <v>0</v>
      </c>
      <c r="R2351" s="59">
        <v>0</v>
      </c>
      <c r="S2351" s="60">
        <f>tblJTL[[#This Row],[timeStamp]]/86400000+DATE(1970,1,1)+TIME(9,0,0)</f>
        <v>46296.423288113423</v>
      </c>
      <c r="T2351" s="57">
        <f>tblJTL[[#This Row],[timeStamp]]+tblJTL[[#This Row],[elapsed]]</f>
        <v>1790816972240</v>
      </c>
      <c r="U2351" s="61">
        <f>(tblJTL[[#This Row],[timeStamp]]-'17_分析サンプル'!$E$18)/1000</f>
        <v>571.91300000000001</v>
      </c>
      <c r="V2351" s="57">
        <f>INT(tblJTL[[#This Row],[経過秒]]/60)</f>
        <v>9</v>
      </c>
      <c r="W2351" s="57">
        <f>IF(OR(tblJTL[[#This Row],[success]]=FALSE,tblJTL[[#This Row],[success]]="false"),1,0)</f>
        <v>0</v>
      </c>
      <c r="X2351" s="57">
        <f>IF(AND(tblJTL[[#This Row],[経過秒]]&gt;='17_分析サンプル'!$E$11,tblJTL[[#This Row],[経過秒]]&lt;'17_分析サンプル'!$E$12),1,0)</f>
        <v>0</v>
      </c>
    </row>
    <row r="2352" spans="2:24" ht="14.4" x14ac:dyDescent="0.3">
      <c r="B2352" s="57">
        <v>1790816971986</v>
      </c>
      <c r="C2352" s="58">
        <v>257</v>
      </c>
      <c r="D2352" s="59" t="s">
        <v>1677</v>
      </c>
      <c r="E2352" s="59" t="s">
        <v>3579</v>
      </c>
      <c r="F2352" s="59" t="s">
        <v>3580</v>
      </c>
      <c r="G2352" s="59" t="s">
        <v>3588</v>
      </c>
      <c r="H2352" s="59" t="s">
        <v>2281</v>
      </c>
      <c r="I2352" s="59" t="b">
        <v>1</v>
      </c>
      <c r="J2352" s="59"/>
      <c r="K2352" s="58">
        <v>432</v>
      </c>
      <c r="L2352" s="58">
        <v>1478</v>
      </c>
      <c r="M2352" s="59">
        <v>10</v>
      </c>
      <c r="N2352" s="59">
        <v>10</v>
      </c>
      <c r="O2352" s="59" t="s">
        <v>3581</v>
      </c>
      <c r="P2352" s="58">
        <v>252</v>
      </c>
      <c r="Q2352" s="59">
        <v>0</v>
      </c>
      <c r="R2352" s="59">
        <v>0</v>
      </c>
      <c r="S2352" s="60">
        <f>tblJTL[[#This Row],[timeStamp]]/86400000+DATE(1970,1,1)+TIME(9,0,0)</f>
        <v>46296.423286874997</v>
      </c>
      <c r="T2352" s="57">
        <f>tblJTL[[#This Row],[timeStamp]]+tblJTL[[#This Row],[elapsed]]</f>
        <v>1790816972243</v>
      </c>
      <c r="U2352" s="61">
        <f>(tblJTL[[#This Row],[timeStamp]]-'17_分析サンプル'!$E$18)/1000</f>
        <v>571.80600000000004</v>
      </c>
      <c r="V2352" s="57">
        <f>INT(tblJTL[[#This Row],[経過秒]]/60)</f>
        <v>9</v>
      </c>
      <c r="W2352" s="57">
        <f>IF(OR(tblJTL[[#This Row],[success]]=FALSE,tblJTL[[#This Row],[success]]="false"),1,0)</f>
        <v>0</v>
      </c>
      <c r="X2352" s="57">
        <f>IF(AND(tblJTL[[#This Row],[経過秒]]&gt;='17_分析サンプル'!$E$11,tblJTL[[#This Row],[経過秒]]&lt;'17_分析サンプル'!$E$12),1,0)</f>
        <v>0</v>
      </c>
    </row>
    <row r="2353" spans="2:24" ht="14.4" x14ac:dyDescent="0.3">
      <c r="B2353" s="57">
        <v>1790816972222</v>
      </c>
      <c r="C2353" s="58">
        <v>111</v>
      </c>
      <c r="D2353" s="59" t="s">
        <v>1658</v>
      </c>
      <c r="E2353" s="59" t="s">
        <v>1577</v>
      </c>
      <c r="F2353" s="59" t="s">
        <v>2275</v>
      </c>
      <c r="G2353" s="59" t="s">
        <v>3577</v>
      </c>
      <c r="H2353" s="59" t="s">
        <v>2281</v>
      </c>
      <c r="I2353" s="59" t="b">
        <v>1</v>
      </c>
      <c r="J2353" s="59"/>
      <c r="K2353" s="58">
        <v>1889</v>
      </c>
      <c r="L2353" s="58">
        <v>1342</v>
      </c>
      <c r="M2353" s="59">
        <v>10</v>
      </c>
      <c r="N2353" s="59">
        <v>10</v>
      </c>
      <c r="O2353" s="59" t="s">
        <v>3578</v>
      </c>
      <c r="P2353" s="58">
        <v>107</v>
      </c>
      <c r="Q2353" s="59">
        <v>0</v>
      </c>
      <c r="R2353" s="59">
        <v>0</v>
      </c>
      <c r="S2353" s="60">
        <f>tblJTL[[#This Row],[timeStamp]]/86400000+DATE(1970,1,1)+TIME(9,0,0)</f>
        <v>46296.423289606479</v>
      </c>
      <c r="T2353" s="57">
        <f>tblJTL[[#This Row],[timeStamp]]+tblJTL[[#This Row],[elapsed]]</f>
        <v>1790816972333</v>
      </c>
      <c r="U2353" s="61">
        <f>(tblJTL[[#This Row],[timeStamp]]-'17_分析サンプル'!$E$18)/1000</f>
        <v>572.04200000000003</v>
      </c>
      <c r="V2353" s="57">
        <f>INT(tblJTL[[#This Row],[経過秒]]/60)</f>
        <v>9</v>
      </c>
      <c r="W2353" s="57">
        <f>IF(OR(tblJTL[[#This Row],[success]]=FALSE,tblJTL[[#This Row],[success]]="false"),1,0)</f>
        <v>0</v>
      </c>
      <c r="X2353" s="57">
        <f>IF(AND(tblJTL[[#This Row],[経過秒]]&gt;='17_分析サンプル'!$E$11,tblJTL[[#This Row],[経過秒]]&lt;'17_分析サンプル'!$E$12),1,0)</f>
        <v>0</v>
      </c>
    </row>
    <row r="2354" spans="2:24" ht="14.4" x14ac:dyDescent="0.3">
      <c r="B2354" s="57">
        <v>1790816972457</v>
      </c>
      <c r="C2354" s="58">
        <v>213</v>
      </c>
      <c r="D2354" s="59" t="s">
        <v>1677</v>
      </c>
      <c r="E2354" s="59" t="s">
        <v>3579</v>
      </c>
      <c r="F2354" s="59" t="s">
        <v>3580</v>
      </c>
      <c r="G2354" s="59" t="s">
        <v>3582</v>
      </c>
      <c r="H2354" s="59" t="s">
        <v>2281</v>
      </c>
      <c r="I2354" s="59" t="b">
        <v>1</v>
      </c>
      <c r="J2354" s="59"/>
      <c r="K2354" s="58">
        <v>428</v>
      </c>
      <c r="L2354" s="58">
        <v>1478</v>
      </c>
      <c r="M2354" s="59">
        <v>10</v>
      </c>
      <c r="N2354" s="59">
        <v>10</v>
      </c>
      <c r="O2354" s="59" t="s">
        <v>3581</v>
      </c>
      <c r="P2354" s="58">
        <v>210</v>
      </c>
      <c r="Q2354" s="59">
        <v>0</v>
      </c>
      <c r="R2354" s="59">
        <v>0</v>
      </c>
      <c r="S2354" s="60">
        <f>tblJTL[[#This Row],[timeStamp]]/86400000+DATE(1970,1,1)+TIME(9,0,0)</f>
        <v>46296.423292326392</v>
      </c>
      <c r="T2354" s="57">
        <f>tblJTL[[#This Row],[timeStamp]]+tblJTL[[#This Row],[elapsed]]</f>
        <v>1790816972670</v>
      </c>
      <c r="U2354" s="61">
        <f>(tblJTL[[#This Row],[timeStamp]]-'17_分析サンプル'!$E$18)/1000</f>
        <v>572.27700000000004</v>
      </c>
      <c r="V2354" s="57">
        <f>INT(tblJTL[[#This Row],[経過秒]]/60)</f>
        <v>9</v>
      </c>
      <c r="W2354" s="57">
        <f>IF(OR(tblJTL[[#This Row],[success]]=FALSE,tblJTL[[#This Row],[success]]="false"),1,0)</f>
        <v>0</v>
      </c>
      <c r="X2354" s="57">
        <f>IF(AND(tblJTL[[#This Row],[経過秒]]&gt;='17_分析サンプル'!$E$11,tblJTL[[#This Row],[経過秒]]&lt;'17_分析サンプル'!$E$12),1,0)</f>
        <v>0</v>
      </c>
    </row>
    <row r="2355" spans="2:24" ht="14.4" x14ac:dyDescent="0.3">
      <c r="B2355" s="57">
        <v>1790816972501</v>
      </c>
      <c r="C2355" s="58">
        <v>204</v>
      </c>
      <c r="D2355" s="59" t="s">
        <v>1677</v>
      </c>
      <c r="E2355" s="59" t="s">
        <v>3579</v>
      </c>
      <c r="F2355" s="59" t="s">
        <v>3580</v>
      </c>
      <c r="G2355" s="59" t="s">
        <v>3584</v>
      </c>
      <c r="H2355" s="59" t="s">
        <v>2281</v>
      </c>
      <c r="I2355" s="59" t="b">
        <v>1</v>
      </c>
      <c r="J2355" s="59"/>
      <c r="K2355" s="58">
        <v>410</v>
      </c>
      <c r="L2355" s="58">
        <v>1478</v>
      </c>
      <c r="M2355" s="59">
        <v>10</v>
      </c>
      <c r="N2355" s="59">
        <v>10</v>
      </c>
      <c r="O2355" s="59" t="s">
        <v>3581</v>
      </c>
      <c r="P2355" s="58">
        <v>202</v>
      </c>
      <c r="Q2355" s="59">
        <v>0</v>
      </c>
      <c r="R2355" s="59">
        <v>0</v>
      </c>
      <c r="S2355" s="60">
        <f>tblJTL[[#This Row],[timeStamp]]/86400000+DATE(1970,1,1)+TIME(9,0,0)</f>
        <v>46296.42329283565</v>
      </c>
      <c r="T2355" s="57">
        <f>tblJTL[[#This Row],[timeStamp]]+tblJTL[[#This Row],[elapsed]]</f>
        <v>1790816972705</v>
      </c>
      <c r="U2355" s="61">
        <f>(tblJTL[[#This Row],[timeStamp]]-'17_分析サンプル'!$E$18)/1000</f>
        <v>572.32100000000003</v>
      </c>
      <c r="V2355" s="57">
        <f>INT(tblJTL[[#This Row],[経過秒]]/60)</f>
        <v>9</v>
      </c>
      <c r="W2355" s="57">
        <f>IF(OR(tblJTL[[#This Row],[success]]=FALSE,tblJTL[[#This Row],[success]]="false"),1,0)</f>
        <v>0</v>
      </c>
      <c r="X2355" s="57">
        <f>IF(AND(tblJTL[[#This Row],[経過秒]]&gt;='17_分析サンプル'!$E$11,tblJTL[[#This Row],[経過秒]]&lt;'17_分析サンプル'!$E$12),1,0)</f>
        <v>0</v>
      </c>
    </row>
    <row r="2356" spans="2:24" ht="14.4" x14ac:dyDescent="0.3">
      <c r="B2356" s="57">
        <v>1790816972761</v>
      </c>
      <c r="C2356" s="58">
        <v>88</v>
      </c>
      <c r="D2356" s="59" t="s">
        <v>1658</v>
      </c>
      <c r="E2356" s="59" t="s">
        <v>1577</v>
      </c>
      <c r="F2356" s="59" t="s">
        <v>2275</v>
      </c>
      <c r="G2356" s="59" t="s">
        <v>3585</v>
      </c>
      <c r="H2356" s="59" t="s">
        <v>2281</v>
      </c>
      <c r="I2356" s="59" t="b">
        <v>1</v>
      </c>
      <c r="J2356" s="59"/>
      <c r="K2356" s="58">
        <v>1897</v>
      </c>
      <c r="L2356" s="58">
        <v>1342</v>
      </c>
      <c r="M2356" s="59">
        <v>10</v>
      </c>
      <c r="N2356" s="59">
        <v>10</v>
      </c>
      <c r="O2356" s="59" t="s">
        <v>3578</v>
      </c>
      <c r="P2356" s="58">
        <v>85</v>
      </c>
      <c r="Q2356" s="59">
        <v>0</v>
      </c>
      <c r="R2356" s="59">
        <v>0</v>
      </c>
      <c r="S2356" s="60">
        <f>tblJTL[[#This Row],[timeStamp]]/86400000+DATE(1970,1,1)+TIME(9,0,0)</f>
        <v>46296.423295844907</v>
      </c>
      <c r="T2356" s="57">
        <f>tblJTL[[#This Row],[timeStamp]]+tblJTL[[#This Row],[elapsed]]</f>
        <v>1790816972849</v>
      </c>
      <c r="U2356" s="61">
        <f>(tblJTL[[#This Row],[timeStamp]]-'17_分析サンプル'!$E$18)/1000</f>
        <v>572.58100000000002</v>
      </c>
      <c r="V2356" s="57">
        <f>INT(tblJTL[[#This Row],[経過秒]]/60)</f>
        <v>9</v>
      </c>
      <c r="W2356" s="57">
        <f>IF(OR(tblJTL[[#This Row],[success]]=FALSE,tblJTL[[#This Row],[success]]="false"),1,0)</f>
        <v>0</v>
      </c>
      <c r="X2356" s="57">
        <f>IF(AND(tblJTL[[#This Row],[経過秒]]&gt;='17_分析サンプル'!$E$11,tblJTL[[#This Row],[経過秒]]&lt;'17_分析サンプル'!$E$12),1,0)</f>
        <v>0</v>
      </c>
    </row>
    <row r="2357" spans="2:24" ht="14.4" x14ac:dyDescent="0.3">
      <c r="B2357" s="57">
        <v>1790816972729</v>
      </c>
      <c r="C2357" s="58">
        <v>213</v>
      </c>
      <c r="D2357" s="59" t="s">
        <v>1677</v>
      </c>
      <c r="E2357" s="59" t="s">
        <v>3579</v>
      </c>
      <c r="F2357" s="59" t="s">
        <v>3580</v>
      </c>
      <c r="G2357" s="59" t="s">
        <v>3583</v>
      </c>
      <c r="H2357" s="59" t="s">
        <v>2281</v>
      </c>
      <c r="I2357" s="59" t="b">
        <v>1</v>
      </c>
      <c r="J2357" s="59"/>
      <c r="K2357" s="58">
        <v>435</v>
      </c>
      <c r="L2357" s="58">
        <v>1478</v>
      </c>
      <c r="M2357" s="59">
        <v>10</v>
      </c>
      <c r="N2357" s="59">
        <v>10</v>
      </c>
      <c r="O2357" s="59" t="s">
        <v>3581</v>
      </c>
      <c r="P2357" s="58">
        <v>208</v>
      </c>
      <c r="Q2357" s="59">
        <v>0</v>
      </c>
      <c r="R2357" s="59">
        <v>0</v>
      </c>
      <c r="S2357" s="60">
        <f>tblJTL[[#This Row],[timeStamp]]/86400000+DATE(1970,1,1)+TIME(9,0,0)</f>
        <v>46296.423295474538</v>
      </c>
      <c r="T2357" s="57">
        <f>tblJTL[[#This Row],[timeStamp]]+tblJTL[[#This Row],[elapsed]]</f>
        <v>1790816972942</v>
      </c>
      <c r="U2357" s="61">
        <f>(tblJTL[[#This Row],[timeStamp]]-'17_分析サンプル'!$E$18)/1000</f>
        <v>572.54899999999998</v>
      </c>
      <c r="V2357" s="57">
        <f>INT(tblJTL[[#This Row],[経過秒]]/60)</f>
        <v>9</v>
      </c>
      <c r="W2357" s="57">
        <f>IF(OR(tblJTL[[#This Row],[success]]=FALSE,tblJTL[[#This Row],[success]]="false"),1,0)</f>
        <v>0</v>
      </c>
      <c r="X2357" s="57">
        <f>IF(AND(tblJTL[[#This Row],[経過秒]]&gt;='17_分析サンプル'!$E$11,tblJTL[[#This Row],[経過秒]]&lt;'17_分析サンプル'!$E$12),1,0)</f>
        <v>0</v>
      </c>
    </row>
    <row r="2358" spans="2:24" ht="14.4" x14ac:dyDescent="0.3">
      <c r="B2358" s="57">
        <v>1790816973452</v>
      </c>
      <c r="C2358" s="58">
        <v>192</v>
      </c>
      <c r="D2358" s="59" t="s">
        <v>1658</v>
      </c>
      <c r="E2358" s="59" t="s">
        <v>1577</v>
      </c>
      <c r="F2358" s="59" t="s">
        <v>2275</v>
      </c>
      <c r="G2358" s="59" t="s">
        <v>3589</v>
      </c>
      <c r="H2358" s="59" t="s">
        <v>2281</v>
      </c>
      <c r="I2358" s="59" t="b">
        <v>1</v>
      </c>
      <c r="J2358" s="59"/>
      <c r="K2358" s="58">
        <v>1869</v>
      </c>
      <c r="L2358" s="58">
        <v>1342</v>
      </c>
      <c r="M2358" s="59">
        <v>10</v>
      </c>
      <c r="N2358" s="59">
        <v>10</v>
      </c>
      <c r="O2358" s="59" t="s">
        <v>3578</v>
      </c>
      <c r="P2358" s="58">
        <v>184</v>
      </c>
      <c r="Q2358" s="59">
        <v>0</v>
      </c>
      <c r="R2358" s="59">
        <v>0</v>
      </c>
      <c r="S2358" s="60">
        <f>tblJTL[[#This Row],[timeStamp]]/86400000+DATE(1970,1,1)+TIME(9,0,0)</f>
        <v>46296.423303842588</v>
      </c>
      <c r="T2358" s="57">
        <f>tblJTL[[#This Row],[timeStamp]]+tblJTL[[#This Row],[elapsed]]</f>
        <v>1790816973644</v>
      </c>
      <c r="U2358" s="61">
        <f>(tblJTL[[#This Row],[timeStamp]]-'17_分析サンプル'!$E$18)/1000</f>
        <v>573.27200000000005</v>
      </c>
      <c r="V2358" s="57">
        <f>INT(tblJTL[[#This Row],[経過秒]]/60)</f>
        <v>9</v>
      </c>
      <c r="W2358" s="57">
        <f>IF(OR(tblJTL[[#This Row],[success]]=FALSE,tblJTL[[#This Row],[success]]="false"),1,0)</f>
        <v>0</v>
      </c>
      <c r="X2358" s="57">
        <f>IF(AND(tblJTL[[#This Row],[経過秒]]&gt;='17_分析サンプル'!$E$11,tblJTL[[#This Row],[経過秒]]&lt;'17_分析サンプル'!$E$12),1,0)</f>
        <v>0</v>
      </c>
    </row>
    <row r="2359" spans="2:24" ht="14.4" x14ac:dyDescent="0.3">
      <c r="B2359" s="57">
        <v>1790816973483</v>
      </c>
      <c r="C2359" s="58">
        <v>174</v>
      </c>
      <c r="D2359" s="59" t="s">
        <v>1658</v>
      </c>
      <c r="E2359" s="59" t="s">
        <v>1577</v>
      </c>
      <c r="F2359" s="59" t="s">
        <v>2275</v>
      </c>
      <c r="G2359" s="59" t="s">
        <v>2278</v>
      </c>
      <c r="H2359" s="59" t="s">
        <v>2281</v>
      </c>
      <c r="I2359" s="59" t="b">
        <v>1</v>
      </c>
      <c r="J2359" s="59"/>
      <c r="K2359" s="58">
        <v>1889</v>
      </c>
      <c r="L2359" s="58">
        <v>1342</v>
      </c>
      <c r="M2359" s="59">
        <v>10</v>
      </c>
      <c r="N2359" s="59">
        <v>10</v>
      </c>
      <c r="O2359" s="59" t="s">
        <v>3578</v>
      </c>
      <c r="P2359" s="58">
        <v>167</v>
      </c>
      <c r="Q2359" s="59">
        <v>0</v>
      </c>
      <c r="R2359" s="59">
        <v>0</v>
      </c>
      <c r="S2359" s="60">
        <f>tblJTL[[#This Row],[timeStamp]]/86400000+DATE(1970,1,1)+TIME(9,0,0)</f>
        <v>46296.423304201388</v>
      </c>
      <c r="T2359" s="57">
        <f>tblJTL[[#This Row],[timeStamp]]+tblJTL[[#This Row],[elapsed]]</f>
        <v>1790816973657</v>
      </c>
      <c r="U2359" s="61">
        <f>(tblJTL[[#This Row],[timeStamp]]-'17_分析サンプル'!$E$18)/1000</f>
        <v>573.303</v>
      </c>
      <c r="V2359" s="57">
        <f>INT(tblJTL[[#This Row],[経過秒]]/60)</f>
        <v>9</v>
      </c>
      <c r="W2359" s="57">
        <f>IF(OR(tblJTL[[#This Row],[success]]=FALSE,tblJTL[[#This Row],[success]]="false"),1,0)</f>
        <v>0</v>
      </c>
      <c r="X2359" s="57">
        <f>IF(AND(tblJTL[[#This Row],[経過秒]]&gt;='17_分析サンプル'!$E$11,tblJTL[[#This Row],[経過秒]]&lt;'17_分析サンプル'!$E$12),1,0)</f>
        <v>0</v>
      </c>
    </row>
    <row r="2360" spans="2:24" ht="14.4" x14ac:dyDescent="0.3">
      <c r="B2360" s="57">
        <v>1790816973632</v>
      </c>
      <c r="C2360" s="58">
        <v>113</v>
      </c>
      <c r="D2360" s="59" t="s">
        <v>1658</v>
      </c>
      <c r="E2360" s="59" t="s">
        <v>1577</v>
      </c>
      <c r="F2360" s="59" t="s">
        <v>2275</v>
      </c>
      <c r="G2360" s="59" t="s">
        <v>3588</v>
      </c>
      <c r="H2360" s="59" t="s">
        <v>2281</v>
      </c>
      <c r="I2360" s="59" t="b">
        <v>1</v>
      </c>
      <c r="J2360" s="59"/>
      <c r="K2360" s="58">
        <v>1852</v>
      </c>
      <c r="L2360" s="58">
        <v>1342</v>
      </c>
      <c r="M2360" s="59">
        <v>10</v>
      </c>
      <c r="N2360" s="59">
        <v>10</v>
      </c>
      <c r="O2360" s="59" t="s">
        <v>3578</v>
      </c>
      <c r="P2360" s="58">
        <v>107</v>
      </c>
      <c r="Q2360" s="59">
        <v>0</v>
      </c>
      <c r="R2360" s="59">
        <v>0</v>
      </c>
      <c r="S2360" s="60">
        <f>tblJTL[[#This Row],[timeStamp]]/86400000+DATE(1970,1,1)+TIME(9,0,0)</f>
        <v>46296.423305925928</v>
      </c>
      <c r="T2360" s="57">
        <f>tblJTL[[#This Row],[timeStamp]]+tblJTL[[#This Row],[elapsed]]</f>
        <v>1790816973745</v>
      </c>
      <c r="U2360" s="61">
        <f>(tblJTL[[#This Row],[timeStamp]]-'17_分析サンプル'!$E$18)/1000</f>
        <v>573.452</v>
      </c>
      <c r="V2360" s="57">
        <f>INT(tblJTL[[#This Row],[経過秒]]/60)</f>
        <v>9</v>
      </c>
      <c r="W2360" s="57">
        <f>IF(OR(tblJTL[[#This Row],[success]]=FALSE,tblJTL[[#This Row],[success]]="false"),1,0)</f>
        <v>0</v>
      </c>
      <c r="X2360" s="57">
        <f>IF(AND(tblJTL[[#This Row],[経過秒]]&gt;='17_分析サンプル'!$E$11,tblJTL[[#This Row],[経過秒]]&lt;'17_分析サンプル'!$E$12),1,0)</f>
        <v>0</v>
      </c>
    </row>
    <row r="2361" spans="2:24" ht="14.4" x14ac:dyDescent="0.3">
      <c r="B2361" s="57">
        <v>1790816973813</v>
      </c>
      <c r="C2361" s="58">
        <v>112</v>
      </c>
      <c r="D2361" s="59" t="s">
        <v>1658</v>
      </c>
      <c r="E2361" s="59" t="s">
        <v>1577</v>
      </c>
      <c r="F2361" s="59" t="s">
        <v>2275</v>
      </c>
      <c r="G2361" s="59" t="s">
        <v>3582</v>
      </c>
      <c r="H2361" s="59" t="s">
        <v>2281</v>
      </c>
      <c r="I2361" s="59" t="b">
        <v>1</v>
      </c>
      <c r="J2361" s="59"/>
      <c r="K2361" s="58">
        <v>1845</v>
      </c>
      <c r="L2361" s="58">
        <v>1342</v>
      </c>
      <c r="M2361" s="59">
        <v>10</v>
      </c>
      <c r="N2361" s="59">
        <v>10</v>
      </c>
      <c r="O2361" s="59" t="s">
        <v>3578</v>
      </c>
      <c r="P2361" s="58">
        <v>107</v>
      </c>
      <c r="Q2361" s="59">
        <v>0</v>
      </c>
      <c r="R2361" s="59">
        <v>0</v>
      </c>
      <c r="S2361" s="60">
        <f>tblJTL[[#This Row],[timeStamp]]/86400000+DATE(1970,1,1)+TIME(9,0,0)</f>
        <v>46296.423308020836</v>
      </c>
      <c r="T2361" s="57">
        <f>tblJTL[[#This Row],[timeStamp]]+tblJTL[[#This Row],[elapsed]]</f>
        <v>1790816973925</v>
      </c>
      <c r="U2361" s="61">
        <f>(tblJTL[[#This Row],[timeStamp]]-'17_分析サンプル'!$E$18)/1000</f>
        <v>573.63300000000004</v>
      </c>
      <c r="V2361" s="57">
        <f>INT(tblJTL[[#This Row],[経過秒]]/60)</f>
        <v>9</v>
      </c>
      <c r="W2361" s="57">
        <f>IF(OR(tblJTL[[#This Row],[success]]=FALSE,tblJTL[[#This Row],[success]]="false"),1,0)</f>
        <v>0</v>
      </c>
      <c r="X2361" s="57">
        <f>IF(AND(tblJTL[[#This Row],[経過秒]]&gt;='17_分析サンプル'!$E$11,tblJTL[[#This Row],[経過秒]]&lt;'17_分析サンプル'!$E$12),1,0)</f>
        <v>0</v>
      </c>
    </row>
    <row r="2362" spans="2:24" ht="14.4" x14ac:dyDescent="0.3">
      <c r="B2362" s="57">
        <v>1790816973932</v>
      </c>
      <c r="C2362" s="58">
        <v>299</v>
      </c>
      <c r="D2362" s="59" t="s">
        <v>1677</v>
      </c>
      <c r="E2362" s="59" t="s">
        <v>3579</v>
      </c>
      <c r="F2362" s="59" t="s">
        <v>3580</v>
      </c>
      <c r="G2362" s="59" t="s">
        <v>3586</v>
      </c>
      <c r="H2362" s="59" t="s">
        <v>2281</v>
      </c>
      <c r="I2362" s="59" t="b">
        <v>1</v>
      </c>
      <c r="J2362" s="59"/>
      <c r="K2362" s="58">
        <v>428</v>
      </c>
      <c r="L2362" s="58">
        <v>1478</v>
      </c>
      <c r="M2362" s="59">
        <v>10</v>
      </c>
      <c r="N2362" s="59">
        <v>10</v>
      </c>
      <c r="O2362" s="59" t="s">
        <v>3581</v>
      </c>
      <c r="P2362" s="58">
        <v>292</v>
      </c>
      <c r="Q2362" s="59">
        <v>0</v>
      </c>
      <c r="R2362" s="59">
        <v>0</v>
      </c>
      <c r="S2362" s="60">
        <f>tblJTL[[#This Row],[timeStamp]]/86400000+DATE(1970,1,1)+TIME(9,0,0)</f>
        <v>46296.423309398146</v>
      </c>
      <c r="T2362" s="57">
        <f>tblJTL[[#This Row],[timeStamp]]+tblJTL[[#This Row],[elapsed]]</f>
        <v>1790816974231</v>
      </c>
      <c r="U2362" s="61">
        <f>(tblJTL[[#This Row],[timeStamp]]-'17_分析サンプル'!$E$18)/1000</f>
        <v>573.75199999999995</v>
      </c>
      <c r="V2362" s="57">
        <f>INT(tblJTL[[#This Row],[経過秒]]/60)</f>
        <v>9</v>
      </c>
      <c r="W2362" s="57">
        <f>IF(OR(tblJTL[[#This Row],[success]]=FALSE,tblJTL[[#This Row],[success]]="false"),1,0)</f>
        <v>0</v>
      </c>
      <c r="X2362" s="57">
        <f>IF(AND(tblJTL[[#This Row],[経過秒]]&gt;='17_分析サンプル'!$E$11,tblJTL[[#This Row],[経過秒]]&lt;'17_分析サンプル'!$E$12),1,0)</f>
        <v>0</v>
      </c>
    </row>
    <row r="2363" spans="2:24" ht="14.4" x14ac:dyDescent="0.3">
      <c r="B2363" s="57">
        <v>1790816974137</v>
      </c>
      <c r="C2363" s="58">
        <v>186</v>
      </c>
      <c r="D2363" s="59" t="s">
        <v>1677</v>
      </c>
      <c r="E2363" s="59" t="s">
        <v>3579</v>
      </c>
      <c r="F2363" s="59" t="s">
        <v>3580</v>
      </c>
      <c r="G2363" s="59" t="s">
        <v>3585</v>
      </c>
      <c r="H2363" s="59" t="s">
        <v>2281</v>
      </c>
      <c r="I2363" s="59" t="b">
        <v>1</v>
      </c>
      <c r="J2363" s="59"/>
      <c r="K2363" s="58">
        <v>411</v>
      </c>
      <c r="L2363" s="58">
        <v>1478</v>
      </c>
      <c r="M2363" s="59">
        <v>10</v>
      </c>
      <c r="N2363" s="59">
        <v>10</v>
      </c>
      <c r="O2363" s="59" t="s">
        <v>3581</v>
      </c>
      <c r="P2363" s="58">
        <v>180</v>
      </c>
      <c r="Q2363" s="59">
        <v>0</v>
      </c>
      <c r="R2363" s="59">
        <v>0</v>
      </c>
      <c r="S2363" s="60">
        <f>tblJTL[[#This Row],[timeStamp]]/86400000+DATE(1970,1,1)+TIME(9,0,0)</f>
        <v>46296.423311770835</v>
      </c>
      <c r="T2363" s="57">
        <f>tblJTL[[#This Row],[timeStamp]]+tblJTL[[#This Row],[elapsed]]</f>
        <v>1790816974323</v>
      </c>
      <c r="U2363" s="61">
        <f>(tblJTL[[#This Row],[timeStamp]]-'17_分析サンプル'!$E$18)/1000</f>
        <v>573.95699999999999</v>
      </c>
      <c r="V2363" s="57">
        <f>INT(tblJTL[[#This Row],[経過秒]]/60)</f>
        <v>9</v>
      </c>
      <c r="W2363" s="57">
        <f>IF(OR(tblJTL[[#This Row],[success]]=FALSE,tblJTL[[#This Row],[success]]="false"),1,0)</f>
        <v>0</v>
      </c>
      <c r="X2363" s="57">
        <f>IF(AND(tblJTL[[#This Row],[経過秒]]&gt;='17_分析サンプル'!$E$11,tblJTL[[#This Row],[経過秒]]&lt;'17_分析サンプル'!$E$12),1,0)</f>
        <v>0</v>
      </c>
    </row>
    <row r="2364" spans="2:24" ht="14.4" x14ac:dyDescent="0.3">
      <c r="B2364" s="57">
        <v>1790816974258</v>
      </c>
      <c r="C2364" s="58">
        <v>93</v>
      </c>
      <c r="D2364" s="59" t="s">
        <v>1658</v>
      </c>
      <c r="E2364" s="59" t="s">
        <v>1577</v>
      </c>
      <c r="F2364" s="59" t="s">
        <v>2275</v>
      </c>
      <c r="G2364" s="59" t="s">
        <v>3587</v>
      </c>
      <c r="H2364" s="59" t="s">
        <v>2281</v>
      </c>
      <c r="I2364" s="59" t="b">
        <v>1</v>
      </c>
      <c r="J2364" s="59"/>
      <c r="K2364" s="58">
        <v>1883</v>
      </c>
      <c r="L2364" s="58">
        <v>1342</v>
      </c>
      <c r="M2364" s="59">
        <v>10</v>
      </c>
      <c r="N2364" s="59">
        <v>10</v>
      </c>
      <c r="O2364" s="59" t="s">
        <v>3578</v>
      </c>
      <c r="P2364" s="58">
        <v>90</v>
      </c>
      <c r="Q2364" s="59">
        <v>0</v>
      </c>
      <c r="R2364" s="59">
        <v>0</v>
      </c>
      <c r="S2364" s="60">
        <f>tblJTL[[#This Row],[timeStamp]]/86400000+DATE(1970,1,1)+TIME(9,0,0)</f>
        <v>46296.423313171297</v>
      </c>
      <c r="T2364" s="57">
        <f>tblJTL[[#This Row],[timeStamp]]+tblJTL[[#This Row],[elapsed]]</f>
        <v>1790816974351</v>
      </c>
      <c r="U2364" s="61">
        <f>(tblJTL[[#This Row],[timeStamp]]-'17_分析サンプル'!$E$18)/1000</f>
        <v>574.07799999999997</v>
      </c>
      <c r="V2364" s="57">
        <f>INT(tblJTL[[#This Row],[経過秒]]/60)</f>
        <v>9</v>
      </c>
      <c r="W2364" s="57">
        <f>IF(OR(tblJTL[[#This Row],[success]]=FALSE,tblJTL[[#This Row],[success]]="false"),1,0)</f>
        <v>0</v>
      </c>
      <c r="X2364" s="57">
        <f>IF(AND(tblJTL[[#This Row],[経過秒]]&gt;='17_分析サンプル'!$E$11,tblJTL[[#This Row],[経過秒]]&lt;'17_分析サンプル'!$E$12),1,0)</f>
        <v>0</v>
      </c>
    </row>
    <row r="2365" spans="2:24" ht="14.4" x14ac:dyDescent="0.3">
      <c r="B2365" s="57">
        <v>1790816974406</v>
      </c>
      <c r="C2365" s="58">
        <v>184</v>
      </c>
      <c r="D2365" s="59" t="s">
        <v>1658</v>
      </c>
      <c r="E2365" s="59" t="s">
        <v>1577</v>
      </c>
      <c r="F2365" s="59" t="s">
        <v>2275</v>
      </c>
      <c r="G2365" s="59" t="s">
        <v>3584</v>
      </c>
      <c r="H2365" s="59" t="s">
        <v>2281</v>
      </c>
      <c r="I2365" s="59" t="b">
        <v>1</v>
      </c>
      <c r="J2365" s="59"/>
      <c r="K2365" s="58">
        <v>1838</v>
      </c>
      <c r="L2365" s="58">
        <v>1342</v>
      </c>
      <c r="M2365" s="59">
        <v>10</v>
      </c>
      <c r="N2365" s="59">
        <v>10</v>
      </c>
      <c r="O2365" s="59" t="s">
        <v>3578</v>
      </c>
      <c r="P2365" s="58">
        <v>176</v>
      </c>
      <c r="Q2365" s="59">
        <v>0</v>
      </c>
      <c r="R2365" s="59">
        <v>0</v>
      </c>
      <c r="S2365" s="60">
        <f>tblJTL[[#This Row],[timeStamp]]/86400000+DATE(1970,1,1)+TIME(9,0,0)</f>
        <v>46296.423314884261</v>
      </c>
      <c r="T2365" s="57">
        <f>tblJTL[[#This Row],[timeStamp]]+tblJTL[[#This Row],[elapsed]]</f>
        <v>1790816974590</v>
      </c>
      <c r="U2365" s="61">
        <f>(tblJTL[[#This Row],[timeStamp]]-'17_分析サンプル'!$E$18)/1000</f>
        <v>574.226</v>
      </c>
      <c r="V2365" s="57">
        <f>INT(tblJTL[[#This Row],[経過秒]]/60)</f>
        <v>9</v>
      </c>
      <c r="W2365" s="57">
        <f>IF(OR(tblJTL[[#This Row],[success]]=FALSE,tblJTL[[#This Row],[success]]="false"),1,0)</f>
        <v>0</v>
      </c>
      <c r="X2365" s="57">
        <f>IF(AND(tblJTL[[#This Row],[経過秒]]&gt;='17_分析サンプル'!$E$11,tblJTL[[#This Row],[経過秒]]&lt;'17_分析サンプル'!$E$12),1,0)</f>
        <v>0</v>
      </c>
    </row>
    <row r="2366" spans="2:24" ht="14.4" x14ac:dyDescent="0.3">
      <c r="B2366" s="57">
        <v>1790816974630</v>
      </c>
      <c r="C2366" s="58">
        <v>165</v>
      </c>
      <c r="D2366" s="59" t="s">
        <v>1658</v>
      </c>
      <c r="E2366" s="59" t="s">
        <v>1577</v>
      </c>
      <c r="F2366" s="59" t="s">
        <v>2275</v>
      </c>
      <c r="G2366" s="59" t="s">
        <v>3583</v>
      </c>
      <c r="H2366" s="59" t="s">
        <v>2281</v>
      </c>
      <c r="I2366" s="59" t="b">
        <v>1</v>
      </c>
      <c r="J2366" s="59"/>
      <c r="K2366" s="58">
        <v>1896</v>
      </c>
      <c r="L2366" s="58">
        <v>1342</v>
      </c>
      <c r="M2366" s="59">
        <v>10</v>
      </c>
      <c r="N2366" s="59">
        <v>10</v>
      </c>
      <c r="O2366" s="59" t="s">
        <v>3578</v>
      </c>
      <c r="P2366" s="58">
        <v>163</v>
      </c>
      <c r="Q2366" s="59">
        <v>0</v>
      </c>
      <c r="R2366" s="59">
        <v>59</v>
      </c>
      <c r="S2366" s="60">
        <f>tblJTL[[#This Row],[timeStamp]]/86400000+DATE(1970,1,1)+TIME(9,0,0)</f>
        <v>46296.423317476852</v>
      </c>
      <c r="T2366" s="57">
        <f>tblJTL[[#This Row],[timeStamp]]+tblJTL[[#This Row],[elapsed]]</f>
        <v>1790816974795</v>
      </c>
      <c r="U2366" s="61">
        <f>(tblJTL[[#This Row],[timeStamp]]-'17_分析サンプル'!$E$18)/1000</f>
        <v>574.45000000000005</v>
      </c>
      <c r="V2366" s="57">
        <f>INT(tblJTL[[#This Row],[経過秒]]/60)</f>
        <v>9</v>
      </c>
      <c r="W2366" s="57">
        <f>IF(OR(tblJTL[[#This Row],[success]]=FALSE,tblJTL[[#This Row],[success]]="false"),1,0)</f>
        <v>0</v>
      </c>
      <c r="X2366" s="57">
        <f>IF(AND(tblJTL[[#This Row],[経過秒]]&gt;='17_分析サンプル'!$E$11,tblJTL[[#This Row],[経過秒]]&lt;'17_分析サンプル'!$E$12),1,0)</f>
        <v>0</v>
      </c>
    </row>
    <row r="2367" spans="2:24" ht="14.4" x14ac:dyDescent="0.3">
      <c r="B2367" s="57">
        <v>1790816975049</v>
      </c>
      <c r="C2367" s="58">
        <v>233</v>
      </c>
      <c r="D2367" s="59" t="s">
        <v>1677</v>
      </c>
      <c r="E2367" s="59" t="s">
        <v>3579</v>
      </c>
      <c r="F2367" s="59" t="s">
        <v>3580</v>
      </c>
      <c r="G2367" s="59" t="s">
        <v>2278</v>
      </c>
      <c r="H2367" s="59" t="s">
        <v>2281</v>
      </c>
      <c r="I2367" s="59" t="b">
        <v>1</v>
      </c>
      <c r="J2367" s="59"/>
      <c r="K2367" s="58">
        <v>440</v>
      </c>
      <c r="L2367" s="58">
        <v>1478</v>
      </c>
      <c r="M2367" s="59">
        <v>10</v>
      </c>
      <c r="N2367" s="59">
        <v>10</v>
      </c>
      <c r="O2367" s="59" t="s">
        <v>3581</v>
      </c>
      <c r="P2367" s="58">
        <v>226</v>
      </c>
      <c r="Q2367" s="59">
        <v>0</v>
      </c>
      <c r="R2367" s="59">
        <v>0</v>
      </c>
      <c r="S2367" s="60">
        <f>tblJTL[[#This Row],[timeStamp]]/86400000+DATE(1970,1,1)+TIME(9,0,0)</f>
        <v>46296.423322326387</v>
      </c>
      <c r="T2367" s="57">
        <f>tblJTL[[#This Row],[timeStamp]]+tblJTL[[#This Row],[elapsed]]</f>
        <v>1790816975282</v>
      </c>
      <c r="U2367" s="61">
        <f>(tblJTL[[#This Row],[timeStamp]]-'17_分析サンプル'!$E$18)/1000</f>
        <v>574.86900000000003</v>
      </c>
      <c r="V2367" s="57">
        <f>INT(tblJTL[[#This Row],[経過秒]]/60)</f>
        <v>9</v>
      </c>
      <c r="W2367" s="57">
        <f>IF(OR(tblJTL[[#This Row],[success]]=FALSE,tblJTL[[#This Row],[success]]="false"),1,0)</f>
        <v>0</v>
      </c>
      <c r="X2367" s="57">
        <f>IF(AND(tblJTL[[#This Row],[経過秒]]&gt;='17_分析サンプル'!$E$11,tblJTL[[#This Row],[経過秒]]&lt;'17_分析サンプル'!$E$12),1,0)</f>
        <v>0</v>
      </c>
    </row>
    <row r="2368" spans="2:24" ht="14.4" x14ac:dyDescent="0.3">
      <c r="B2368" s="57">
        <v>1790816975228</v>
      </c>
      <c r="C2368" s="58">
        <v>200</v>
      </c>
      <c r="D2368" s="59" t="s">
        <v>1677</v>
      </c>
      <c r="E2368" s="59" t="s">
        <v>3579</v>
      </c>
      <c r="F2368" s="59" t="s">
        <v>3580</v>
      </c>
      <c r="G2368" s="59" t="s">
        <v>3577</v>
      </c>
      <c r="H2368" s="59" t="s">
        <v>2281</v>
      </c>
      <c r="I2368" s="59" t="b">
        <v>1</v>
      </c>
      <c r="J2368" s="59"/>
      <c r="K2368" s="58">
        <v>439</v>
      </c>
      <c r="L2368" s="58">
        <v>1478</v>
      </c>
      <c r="M2368" s="59">
        <v>10</v>
      </c>
      <c r="N2368" s="59">
        <v>10</v>
      </c>
      <c r="O2368" s="59" t="s">
        <v>3581</v>
      </c>
      <c r="P2368" s="58">
        <v>195</v>
      </c>
      <c r="Q2368" s="59">
        <v>0</v>
      </c>
      <c r="R2368" s="59">
        <v>0</v>
      </c>
      <c r="S2368" s="60">
        <f>tblJTL[[#This Row],[timeStamp]]/86400000+DATE(1970,1,1)+TIME(9,0,0)</f>
        <v>46296.423324398143</v>
      </c>
      <c r="T2368" s="57">
        <f>tblJTL[[#This Row],[timeStamp]]+tblJTL[[#This Row],[elapsed]]</f>
        <v>1790816975428</v>
      </c>
      <c r="U2368" s="61">
        <f>(tblJTL[[#This Row],[timeStamp]]-'17_分析サンプル'!$E$18)/1000</f>
        <v>575.048</v>
      </c>
      <c r="V2368" s="57">
        <f>INT(tblJTL[[#This Row],[経過秒]]/60)</f>
        <v>9</v>
      </c>
      <c r="W2368" s="57">
        <f>IF(OR(tblJTL[[#This Row],[success]]=FALSE,tblJTL[[#This Row],[success]]="false"),1,0)</f>
        <v>0</v>
      </c>
      <c r="X2368" s="57">
        <f>IF(AND(tblJTL[[#This Row],[経過秒]]&gt;='17_分析サンプル'!$E$11,tblJTL[[#This Row],[経過秒]]&lt;'17_分析サンプル'!$E$12),1,0)</f>
        <v>0</v>
      </c>
    </row>
    <row r="2369" spans="2:24" ht="14.4" x14ac:dyDescent="0.3">
      <c r="B2369" s="57">
        <v>1790816975570</v>
      </c>
      <c r="C2369" s="58">
        <v>262</v>
      </c>
      <c r="D2369" s="59" t="s">
        <v>1677</v>
      </c>
      <c r="E2369" s="59" t="s">
        <v>3579</v>
      </c>
      <c r="F2369" s="59" t="s">
        <v>3580</v>
      </c>
      <c r="G2369" s="59" t="s">
        <v>3588</v>
      </c>
      <c r="H2369" s="59" t="s">
        <v>2281</v>
      </c>
      <c r="I2369" s="59" t="b">
        <v>1</v>
      </c>
      <c r="J2369" s="59"/>
      <c r="K2369" s="58">
        <v>433</v>
      </c>
      <c r="L2369" s="58">
        <v>1478</v>
      </c>
      <c r="M2369" s="59">
        <v>10</v>
      </c>
      <c r="N2369" s="59">
        <v>10</v>
      </c>
      <c r="O2369" s="59" t="s">
        <v>3581</v>
      </c>
      <c r="P2369" s="58">
        <v>257</v>
      </c>
      <c r="Q2369" s="59">
        <v>0</v>
      </c>
      <c r="R2369" s="59">
        <v>0</v>
      </c>
      <c r="S2369" s="60">
        <f>tblJTL[[#This Row],[timeStamp]]/86400000+DATE(1970,1,1)+TIME(9,0,0)</f>
        <v>46296.423328356483</v>
      </c>
      <c r="T2369" s="57">
        <f>tblJTL[[#This Row],[timeStamp]]+tblJTL[[#This Row],[elapsed]]</f>
        <v>1790816975832</v>
      </c>
      <c r="U2369" s="61">
        <f>(tblJTL[[#This Row],[timeStamp]]-'17_分析サンプル'!$E$18)/1000</f>
        <v>575.39</v>
      </c>
      <c r="V2369" s="57">
        <f>INT(tblJTL[[#This Row],[経過秒]]/60)</f>
        <v>9</v>
      </c>
      <c r="W2369" s="57">
        <f>IF(OR(tblJTL[[#This Row],[success]]=FALSE,tblJTL[[#This Row],[success]]="false"),1,0)</f>
        <v>0</v>
      </c>
      <c r="X2369" s="57">
        <f>IF(AND(tblJTL[[#This Row],[経過秒]]&gt;='17_分析サンプル'!$E$11,tblJTL[[#This Row],[経過秒]]&lt;'17_分析サンプル'!$E$12),1,0)</f>
        <v>0</v>
      </c>
    </row>
    <row r="2370" spans="2:24" ht="14.4" x14ac:dyDescent="0.3">
      <c r="B2370" s="57">
        <v>1790816975919</v>
      </c>
      <c r="C2370" s="58">
        <v>242</v>
      </c>
      <c r="D2370" s="59" t="s">
        <v>1677</v>
      </c>
      <c r="E2370" s="59" t="s">
        <v>3579</v>
      </c>
      <c r="F2370" s="59" t="s">
        <v>3580</v>
      </c>
      <c r="G2370" s="59" t="s">
        <v>3584</v>
      </c>
      <c r="H2370" s="59" t="s">
        <v>2281</v>
      </c>
      <c r="I2370" s="59" t="b">
        <v>1</v>
      </c>
      <c r="J2370" s="59"/>
      <c r="K2370" s="58">
        <v>412</v>
      </c>
      <c r="L2370" s="58">
        <v>1478</v>
      </c>
      <c r="M2370" s="59">
        <v>10</v>
      </c>
      <c r="N2370" s="59">
        <v>10</v>
      </c>
      <c r="O2370" s="59" t="s">
        <v>3581</v>
      </c>
      <c r="P2370" s="58">
        <v>235</v>
      </c>
      <c r="Q2370" s="59">
        <v>0</v>
      </c>
      <c r="R2370" s="59">
        <v>0</v>
      </c>
      <c r="S2370" s="60">
        <f>tblJTL[[#This Row],[timeStamp]]/86400000+DATE(1970,1,1)+TIME(9,0,0)</f>
        <v>46296.423332395832</v>
      </c>
      <c r="T2370" s="57">
        <f>tblJTL[[#This Row],[timeStamp]]+tblJTL[[#This Row],[elapsed]]</f>
        <v>1790816976161</v>
      </c>
      <c r="U2370" s="61">
        <f>(tblJTL[[#This Row],[timeStamp]]-'17_分析サンプル'!$E$18)/1000</f>
        <v>575.73900000000003</v>
      </c>
      <c r="V2370" s="57">
        <f>INT(tblJTL[[#This Row],[経過秒]]/60)</f>
        <v>9</v>
      </c>
      <c r="W2370" s="57">
        <f>IF(OR(tblJTL[[#This Row],[success]]=FALSE,tblJTL[[#This Row],[success]]="false"),1,0)</f>
        <v>0</v>
      </c>
      <c r="X2370" s="57">
        <f>IF(AND(tblJTL[[#This Row],[経過秒]]&gt;='17_分析サンプル'!$E$11,tblJTL[[#This Row],[経過秒]]&lt;'17_分析サンプル'!$E$12),1,0)</f>
        <v>0</v>
      </c>
    </row>
    <row r="2371" spans="2:24" ht="14.4" x14ac:dyDescent="0.3">
      <c r="B2371" s="57">
        <v>1790816975908</v>
      </c>
      <c r="C2371" s="58">
        <v>347</v>
      </c>
      <c r="D2371" s="59" t="s">
        <v>1677</v>
      </c>
      <c r="E2371" s="59" t="s">
        <v>3579</v>
      </c>
      <c r="F2371" s="59" t="s">
        <v>3580</v>
      </c>
      <c r="G2371" s="59" t="s">
        <v>3583</v>
      </c>
      <c r="H2371" s="59" t="s">
        <v>2281</v>
      </c>
      <c r="I2371" s="59" t="b">
        <v>1</v>
      </c>
      <c r="J2371" s="59"/>
      <c r="K2371" s="58">
        <v>418</v>
      </c>
      <c r="L2371" s="58">
        <v>1478</v>
      </c>
      <c r="M2371" s="59">
        <v>10</v>
      </c>
      <c r="N2371" s="59">
        <v>10</v>
      </c>
      <c r="O2371" s="59" t="s">
        <v>3581</v>
      </c>
      <c r="P2371" s="58">
        <v>345</v>
      </c>
      <c r="Q2371" s="59">
        <v>0</v>
      </c>
      <c r="R2371" s="59">
        <v>0</v>
      </c>
      <c r="S2371" s="60">
        <f>tblJTL[[#This Row],[timeStamp]]/86400000+DATE(1970,1,1)+TIME(9,0,0)</f>
        <v>46296.423332268518</v>
      </c>
      <c r="T2371" s="57">
        <f>tblJTL[[#This Row],[timeStamp]]+tblJTL[[#This Row],[elapsed]]</f>
        <v>1790816976255</v>
      </c>
      <c r="U2371" s="61">
        <f>(tblJTL[[#This Row],[timeStamp]]-'17_分析サンプル'!$E$18)/1000</f>
        <v>575.72799999999995</v>
      </c>
      <c r="V2371" s="57">
        <f>INT(tblJTL[[#This Row],[経過秒]]/60)</f>
        <v>9</v>
      </c>
      <c r="W2371" s="57">
        <f>IF(OR(tblJTL[[#This Row],[success]]=FALSE,tblJTL[[#This Row],[success]]="false"),1,0)</f>
        <v>0</v>
      </c>
      <c r="X2371" s="57">
        <f>IF(AND(tblJTL[[#This Row],[経過秒]]&gt;='17_分析サンプル'!$E$11,tblJTL[[#This Row],[経過秒]]&lt;'17_分析サンプル'!$E$12),1,0)</f>
        <v>0</v>
      </c>
    </row>
    <row r="2372" spans="2:24" ht="14.4" x14ac:dyDescent="0.3">
      <c r="B2372" s="57">
        <v>1790816976266</v>
      </c>
      <c r="C2372" s="58">
        <v>136</v>
      </c>
      <c r="D2372" s="59" t="s">
        <v>1658</v>
      </c>
      <c r="E2372" s="59" t="s">
        <v>1577</v>
      </c>
      <c r="F2372" s="59" t="s">
        <v>2275</v>
      </c>
      <c r="G2372" s="59" t="s">
        <v>3585</v>
      </c>
      <c r="H2372" s="59" t="s">
        <v>2281</v>
      </c>
      <c r="I2372" s="59" t="b">
        <v>1</v>
      </c>
      <c r="J2372" s="59"/>
      <c r="K2372" s="58">
        <v>1895</v>
      </c>
      <c r="L2372" s="58">
        <v>1342</v>
      </c>
      <c r="M2372" s="59">
        <v>10</v>
      </c>
      <c r="N2372" s="59">
        <v>10</v>
      </c>
      <c r="O2372" s="59" t="s">
        <v>3578</v>
      </c>
      <c r="P2372" s="58">
        <v>128</v>
      </c>
      <c r="Q2372" s="59">
        <v>0</v>
      </c>
      <c r="R2372" s="59">
        <v>0</v>
      </c>
      <c r="S2372" s="60">
        <f>tblJTL[[#This Row],[timeStamp]]/86400000+DATE(1970,1,1)+TIME(9,0,0)</f>
        <v>46296.423336412037</v>
      </c>
      <c r="T2372" s="57">
        <f>tblJTL[[#This Row],[timeStamp]]+tblJTL[[#This Row],[elapsed]]</f>
        <v>1790816976402</v>
      </c>
      <c r="U2372" s="61">
        <f>(tblJTL[[#This Row],[timeStamp]]-'17_分析サンプル'!$E$18)/1000</f>
        <v>576.08600000000001</v>
      </c>
      <c r="V2372" s="57">
        <f>INT(tblJTL[[#This Row],[経過秒]]/60)</f>
        <v>9</v>
      </c>
      <c r="W2372" s="57">
        <f>IF(OR(tblJTL[[#This Row],[success]]=FALSE,tblJTL[[#This Row],[success]]="false"),1,0)</f>
        <v>0</v>
      </c>
      <c r="X2372" s="57">
        <f>IF(AND(tblJTL[[#This Row],[経過秒]]&gt;='17_分析サンプル'!$E$11,tblJTL[[#This Row],[経過秒]]&lt;'17_分析サンプル'!$E$12),1,0)</f>
        <v>0</v>
      </c>
    </row>
    <row r="2373" spans="2:24" ht="14.4" x14ac:dyDescent="0.3">
      <c r="B2373" s="57">
        <v>1790816976174</v>
      </c>
      <c r="C2373" s="58">
        <v>250</v>
      </c>
      <c r="D2373" s="59" t="s">
        <v>1677</v>
      </c>
      <c r="E2373" s="59" t="s">
        <v>3579</v>
      </c>
      <c r="F2373" s="59" t="s">
        <v>3580</v>
      </c>
      <c r="G2373" s="59" t="s">
        <v>3587</v>
      </c>
      <c r="H2373" s="59" t="s">
        <v>2281</v>
      </c>
      <c r="I2373" s="59" t="b">
        <v>1</v>
      </c>
      <c r="J2373" s="59"/>
      <c r="K2373" s="58">
        <v>440</v>
      </c>
      <c r="L2373" s="58">
        <v>1478</v>
      </c>
      <c r="M2373" s="59">
        <v>10</v>
      </c>
      <c r="N2373" s="59">
        <v>10</v>
      </c>
      <c r="O2373" s="59" t="s">
        <v>3581</v>
      </c>
      <c r="P2373" s="58">
        <v>246</v>
      </c>
      <c r="Q2373" s="59">
        <v>0</v>
      </c>
      <c r="R2373" s="59">
        <v>0</v>
      </c>
      <c r="S2373" s="60">
        <f>tblJTL[[#This Row],[timeStamp]]/86400000+DATE(1970,1,1)+TIME(9,0,0)</f>
        <v>46296.423335347223</v>
      </c>
      <c r="T2373" s="57">
        <f>tblJTL[[#This Row],[timeStamp]]+tblJTL[[#This Row],[elapsed]]</f>
        <v>1790816976424</v>
      </c>
      <c r="U2373" s="61">
        <f>(tblJTL[[#This Row],[timeStamp]]-'17_分析サンプル'!$E$18)/1000</f>
        <v>575.99400000000003</v>
      </c>
      <c r="V2373" s="57">
        <f>INT(tblJTL[[#This Row],[経過秒]]/60)</f>
        <v>9</v>
      </c>
      <c r="W2373" s="57">
        <f>IF(OR(tblJTL[[#This Row],[success]]=FALSE,tblJTL[[#This Row],[success]]="false"),1,0)</f>
        <v>0</v>
      </c>
      <c r="X2373" s="57">
        <f>IF(AND(tblJTL[[#This Row],[経過秒]]&gt;='17_分析サンプル'!$E$11,tblJTL[[#This Row],[経過秒]]&lt;'17_分析サンプル'!$E$12),1,0)</f>
        <v>0</v>
      </c>
    </row>
    <row r="2374" spans="2:24" ht="14.4" x14ac:dyDescent="0.3">
      <c r="B2374" s="57">
        <v>1790816976674</v>
      </c>
      <c r="C2374" s="58">
        <v>111</v>
      </c>
      <c r="D2374" s="59" t="s">
        <v>1658</v>
      </c>
      <c r="E2374" s="59" t="s">
        <v>1577</v>
      </c>
      <c r="F2374" s="59" t="s">
        <v>2275</v>
      </c>
      <c r="G2374" s="59" t="s">
        <v>3577</v>
      </c>
      <c r="H2374" s="59" t="s">
        <v>2281</v>
      </c>
      <c r="I2374" s="59" t="b">
        <v>1</v>
      </c>
      <c r="J2374" s="59"/>
      <c r="K2374" s="58">
        <v>1828</v>
      </c>
      <c r="L2374" s="58">
        <v>1342</v>
      </c>
      <c r="M2374" s="59">
        <v>10</v>
      </c>
      <c r="N2374" s="59">
        <v>10</v>
      </c>
      <c r="O2374" s="59" t="s">
        <v>3578</v>
      </c>
      <c r="P2374" s="58">
        <v>107</v>
      </c>
      <c r="Q2374" s="59">
        <v>0</v>
      </c>
      <c r="R2374" s="59">
        <v>0</v>
      </c>
      <c r="S2374" s="60">
        <f>tblJTL[[#This Row],[timeStamp]]/86400000+DATE(1970,1,1)+TIME(9,0,0)</f>
        <v>46296.423341134257</v>
      </c>
      <c r="T2374" s="57">
        <f>tblJTL[[#This Row],[timeStamp]]+tblJTL[[#This Row],[elapsed]]</f>
        <v>1790816976785</v>
      </c>
      <c r="U2374" s="61">
        <f>(tblJTL[[#This Row],[timeStamp]]-'17_分析サンプル'!$E$18)/1000</f>
        <v>576.49400000000003</v>
      </c>
      <c r="V2374" s="57">
        <f>INT(tblJTL[[#This Row],[経過秒]]/60)</f>
        <v>9</v>
      </c>
      <c r="W2374" s="57">
        <f>IF(OR(tblJTL[[#This Row],[success]]=FALSE,tblJTL[[#This Row],[success]]="false"),1,0)</f>
        <v>0</v>
      </c>
      <c r="X2374" s="57">
        <f>IF(AND(tblJTL[[#This Row],[経過秒]]&gt;='17_分析サンプル'!$E$11,tblJTL[[#This Row],[経過秒]]&lt;'17_分析サンプル'!$E$12),1,0)</f>
        <v>0</v>
      </c>
    </row>
    <row r="2375" spans="2:24" ht="14.4" x14ac:dyDescent="0.3">
      <c r="B2375" s="57">
        <v>1790816976714</v>
      </c>
      <c r="C2375" s="58">
        <v>99</v>
      </c>
      <c r="D2375" s="59" t="s">
        <v>1658</v>
      </c>
      <c r="E2375" s="59" t="s">
        <v>1577</v>
      </c>
      <c r="F2375" s="59" t="s">
        <v>2275</v>
      </c>
      <c r="G2375" s="59" t="s">
        <v>3586</v>
      </c>
      <c r="H2375" s="59" t="s">
        <v>2281</v>
      </c>
      <c r="I2375" s="59" t="b">
        <v>1</v>
      </c>
      <c r="J2375" s="59"/>
      <c r="K2375" s="58">
        <v>1873</v>
      </c>
      <c r="L2375" s="58">
        <v>1342</v>
      </c>
      <c r="M2375" s="59">
        <v>10</v>
      </c>
      <c r="N2375" s="59">
        <v>10</v>
      </c>
      <c r="O2375" s="59" t="s">
        <v>3578</v>
      </c>
      <c r="P2375" s="58">
        <v>91</v>
      </c>
      <c r="Q2375" s="59">
        <v>0</v>
      </c>
      <c r="R2375" s="59">
        <v>0</v>
      </c>
      <c r="S2375" s="60">
        <f>tblJTL[[#This Row],[timeStamp]]/86400000+DATE(1970,1,1)+TIME(9,0,0)</f>
        <v>46296.423341597227</v>
      </c>
      <c r="T2375" s="57">
        <f>tblJTL[[#This Row],[timeStamp]]+tblJTL[[#This Row],[elapsed]]</f>
        <v>1790816976813</v>
      </c>
      <c r="U2375" s="61">
        <f>(tblJTL[[#This Row],[timeStamp]]-'17_分析サンプル'!$E$18)/1000</f>
        <v>576.53399999999999</v>
      </c>
      <c r="V2375" s="57">
        <f>INT(tblJTL[[#This Row],[経過秒]]/60)</f>
        <v>9</v>
      </c>
      <c r="W2375" s="57">
        <f>IF(OR(tblJTL[[#This Row],[success]]=FALSE,tblJTL[[#This Row],[success]]="false"),1,0)</f>
        <v>0</v>
      </c>
      <c r="X2375" s="57">
        <f>IF(AND(tblJTL[[#This Row],[経過秒]]&gt;='17_分析サンプル'!$E$11,tblJTL[[#This Row],[経過秒]]&lt;'17_分析サンプル'!$E$12),1,0)</f>
        <v>0</v>
      </c>
    </row>
    <row r="2376" spans="2:24" ht="14.4" x14ac:dyDescent="0.3">
      <c r="B2376" s="57">
        <v>1790816976647</v>
      </c>
      <c r="C2376" s="58">
        <v>235</v>
      </c>
      <c r="D2376" s="59" t="s">
        <v>1677</v>
      </c>
      <c r="E2376" s="59" t="s">
        <v>3579</v>
      </c>
      <c r="F2376" s="59" t="s">
        <v>3580</v>
      </c>
      <c r="G2376" s="59" t="s">
        <v>3582</v>
      </c>
      <c r="H2376" s="59" t="s">
        <v>2281</v>
      </c>
      <c r="I2376" s="59" t="b">
        <v>1</v>
      </c>
      <c r="J2376" s="59"/>
      <c r="K2376" s="58">
        <v>422</v>
      </c>
      <c r="L2376" s="58">
        <v>1478</v>
      </c>
      <c r="M2376" s="59">
        <v>10</v>
      </c>
      <c r="N2376" s="59">
        <v>10</v>
      </c>
      <c r="O2376" s="59" t="s">
        <v>3581</v>
      </c>
      <c r="P2376" s="58">
        <v>232</v>
      </c>
      <c r="Q2376" s="59">
        <v>0</v>
      </c>
      <c r="R2376" s="59">
        <v>0</v>
      </c>
      <c r="S2376" s="60">
        <f>tblJTL[[#This Row],[timeStamp]]/86400000+DATE(1970,1,1)+TIME(9,0,0)</f>
        <v>46296.423340821755</v>
      </c>
      <c r="T2376" s="57">
        <f>tblJTL[[#This Row],[timeStamp]]+tblJTL[[#This Row],[elapsed]]</f>
        <v>1790816976882</v>
      </c>
      <c r="U2376" s="61">
        <f>(tblJTL[[#This Row],[timeStamp]]-'17_分析サンプル'!$E$18)/1000</f>
        <v>576.46699999999998</v>
      </c>
      <c r="V2376" s="57">
        <f>INT(tblJTL[[#This Row],[経過秒]]/60)</f>
        <v>9</v>
      </c>
      <c r="W2376" s="57">
        <f>IF(OR(tblJTL[[#This Row],[success]]=FALSE,tblJTL[[#This Row],[success]]="false"),1,0)</f>
        <v>0</v>
      </c>
      <c r="X2376" s="57">
        <f>IF(AND(tblJTL[[#This Row],[経過秒]]&gt;='17_分析サンプル'!$E$11,tblJTL[[#This Row],[経過秒]]&lt;'17_分析サンプル'!$E$12),1,0)</f>
        <v>0</v>
      </c>
    </row>
    <row r="2377" spans="2:24" ht="14.4" x14ac:dyDescent="0.3">
      <c r="B2377" s="57">
        <v>1790816976600</v>
      </c>
      <c r="C2377" s="58">
        <v>311</v>
      </c>
      <c r="D2377" s="59" t="s">
        <v>1677</v>
      </c>
      <c r="E2377" s="59" t="s">
        <v>3579</v>
      </c>
      <c r="F2377" s="59" t="s">
        <v>3580</v>
      </c>
      <c r="G2377" s="59" t="s">
        <v>3589</v>
      </c>
      <c r="H2377" s="59" t="s">
        <v>2281</v>
      </c>
      <c r="I2377" s="59" t="b">
        <v>1</v>
      </c>
      <c r="J2377" s="59"/>
      <c r="K2377" s="58">
        <v>424</v>
      </c>
      <c r="L2377" s="58">
        <v>1478</v>
      </c>
      <c r="M2377" s="59">
        <v>10</v>
      </c>
      <c r="N2377" s="59">
        <v>10</v>
      </c>
      <c r="O2377" s="59" t="s">
        <v>3581</v>
      </c>
      <c r="P2377" s="58">
        <v>309</v>
      </c>
      <c r="Q2377" s="59">
        <v>0</v>
      </c>
      <c r="R2377" s="59">
        <v>0</v>
      </c>
      <c r="S2377" s="60">
        <f>tblJTL[[#This Row],[timeStamp]]/86400000+DATE(1970,1,1)+TIME(9,0,0)</f>
        <v>46296.423340277775</v>
      </c>
      <c r="T2377" s="57">
        <f>tblJTL[[#This Row],[timeStamp]]+tblJTL[[#This Row],[elapsed]]</f>
        <v>1790816976911</v>
      </c>
      <c r="U2377" s="61">
        <f>(tblJTL[[#This Row],[timeStamp]]-'17_分析サンプル'!$E$18)/1000</f>
        <v>576.41999999999996</v>
      </c>
      <c r="V2377" s="57">
        <f>INT(tblJTL[[#This Row],[経過秒]]/60)</f>
        <v>9</v>
      </c>
      <c r="W2377" s="57">
        <f>IF(OR(tblJTL[[#This Row],[success]]=FALSE,tblJTL[[#This Row],[success]]="false"),1,0)</f>
        <v>0</v>
      </c>
      <c r="X2377" s="57">
        <f>IF(AND(tblJTL[[#This Row],[経過秒]]&gt;='17_分析サンプル'!$E$11,tblJTL[[#This Row],[経過秒]]&lt;'17_分析サンプル'!$E$12),1,0)</f>
        <v>0</v>
      </c>
    </row>
    <row r="2378" spans="2:24" ht="14.4" x14ac:dyDescent="0.3">
      <c r="B2378" s="57">
        <v>1790816977082</v>
      </c>
      <c r="C2378" s="58">
        <v>102</v>
      </c>
      <c r="D2378" s="59" t="s">
        <v>1658</v>
      </c>
      <c r="E2378" s="59" t="s">
        <v>1577</v>
      </c>
      <c r="F2378" s="59" t="s">
        <v>2275</v>
      </c>
      <c r="G2378" s="59" t="s">
        <v>2278</v>
      </c>
      <c r="H2378" s="59" t="s">
        <v>2281</v>
      </c>
      <c r="I2378" s="59" t="b">
        <v>1</v>
      </c>
      <c r="J2378" s="59"/>
      <c r="K2378" s="58">
        <v>1870</v>
      </c>
      <c r="L2378" s="58">
        <v>1342</v>
      </c>
      <c r="M2378" s="59">
        <v>10</v>
      </c>
      <c r="N2378" s="59">
        <v>10</v>
      </c>
      <c r="O2378" s="59" t="s">
        <v>3578</v>
      </c>
      <c r="P2378" s="58">
        <v>95</v>
      </c>
      <c r="Q2378" s="59">
        <v>0</v>
      </c>
      <c r="R2378" s="59">
        <v>0</v>
      </c>
      <c r="S2378" s="60">
        <f>tblJTL[[#This Row],[timeStamp]]/86400000+DATE(1970,1,1)+TIME(9,0,0)</f>
        <v>46296.423345856485</v>
      </c>
      <c r="T2378" s="57">
        <f>tblJTL[[#This Row],[timeStamp]]+tblJTL[[#This Row],[elapsed]]</f>
        <v>1790816977184</v>
      </c>
      <c r="U2378" s="61">
        <f>(tblJTL[[#This Row],[timeStamp]]-'17_分析サンプル'!$E$18)/1000</f>
        <v>576.90200000000004</v>
      </c>
      <c r="V2378" s="57">
        <f>INT(tblJTL[[#This Row],[経過秒]]/60)</f>
        <v>9</v>
      </c>
      <c r="W2378" s="57">
        <f>IF(OR(tblJTL[[#This Row],[success]]=FALSE,tblJTL[[#This Row],[success]]="false"),1,0)</f>
        <v>0</v>
      </c>
      <c r="X2378" s="57">
        <f>IF(AND(tblJTL[[#This Row],[経過秒]]&gt;='17_分析サンプル'!$E$11,tblJTL[[#This Row],[経過秒]]&lt;'17_分析サンプル'!$E$12),1,0)</f>
        <v>0</v>
      </c>
    </row>
    <row r="2379" spans="2:24" ht="14.4" x14ac:dyDescent="0.3">
      <c r="B2379" s="57">
        <v>1790816977499</v>
      </c>
      <c r="C2379" s="58">
        <v>114</v>
      </c>
      <c r="D2379" s="59" t="s">
        <v>1658</v>
      </c>
      <c r="E2379" s="59" t="s">
        <v>1577</v>
      </c>
      <c r="F2379" s="59" t="s">
        <v>2275</v>
      </c>
      <c r="G2379" s="59" t="s">
        <v>3588</v>
      </c>
      <c r="H2379" s="59" t="s">
        <v>2281</v>
      </c>
      <c r="I2379" s="59" t="b">
        <v>1</v>
      </c>
      <c r="J2379" s="59"/>
      <c r="K2379" s="58">
        <v>1863</v>
      </c>
      <c r="L2379" s="58">
        <v>1342</v>
      </c>
      <c r="M2379" s="59">
        <v>10</v>
      </c>
      <c r="N2379" s="59">
        <v>10</v>
      </c>
      <c r="O2379" s="59" t="s">
        <v>3578</v>
      </c>
      <c r="P2379" s="58">
        <v>112</v>
      </c>
      <c r="Q2379" s="59">
        <v>0</v>
      </c>
      <c r="R2379" s="59">
        <v>0</v>
      </c>
      <c r="S2379" s="60">
        <f>tblJTL[[#This Row],[timeStamp]]/86400000+DATE(1970,1,1)+TIME(9,0,0)</f>
        <v>46296.423350682875</v>
      </c>
      <c r="T2379" s="57">
        <f>tblJTL[[#This Row],[timeStamp]]+tblJTL[[#This Row],[elapsed]]</f>
        <v>1790816977613</v>
      </c>
      <c r="U2379" s="61">
        <f>(tblJTL[[#This Row],[timeStamp]]-'17_分析サンプル'!$E$18)/1000</f>
        <v>577.31899999999996</v>
      </c>
      <c r="V2379" s="57">
        <f>INT(tblJTL[[#This Row],[経過秒]]/60)</f>
        <v>9</v>
      </c>
      <c r="W2379" s="57">
        <f>IF(OR(tblJTL[[#This Row],[success]]=FALSE,tblJTL[[#This Row],[success]]="false"),1,0)</f>
        <v>0</v>
      </c>
      <c r="X2379" s="57">
        <f>IF(AND(tblJTL[[#This Row],[経過秒]]&gt;='17_分析サンプル'!$E$11,tblJTL[[#This Row],[経過秒]]&lt;'17_分析サンプル'!$E$12),1,0)</f>
        <v>0</v>
      </c>
    </row>
    <row r="2380" spans="2:24" ht="14.4" x14ac:dyDescent="0.3">
      <c r="B2380" s="57">
        <v>1790816977817</v>
      </c>
      <c r="C2380" s="58">
        <v>122</v>
      </c>
      <c r="D2380" s="59" t="s">
        <v>1658</v>
      </c>
      <c r="E2380" s="59" t="s">
        <v>1577</v>
      </c>
      <c r="F2380" s="59" t="s">
        <v>2275</v>
      </c>
      <c r="G2380" s="59" t="s">
        <v>3587</v>
      </c>
      <c r="H2380" s="59" t="s">
        <v>2281</v>
      </c>
      <c r="I2380" s="59" t="b">
        <v>1</v>
      </c>
      <c r="J2380" s="59"/>
      <c r="K2380" s="58">
        <v>1882</v>
      </c>
      <c r="L2380" s="58">
        <v>1342</v>
      </c>
      <c r="M2380" s="59">
        <v>10</v>
      </c>
      <c r="N2380" s="59">
        <v>10</v>
      </c>
      <c r="O2380" s="59" t="s">
        <v>3578</v>
      </c>
      <c r="P2380" s="58">
        <v>117</v>
      </c>
      <c r="Q2380" s="59">
        <v>0</v>
      </c>
      <c r="R2380" s="59">
        <v>0</v>
      </c>
      <c r="S2380" s="60">
        <f>tblJTL[[#This Row],[timeStamp]]/86400000+DATE(1970,1,1)+TIME(9,0,0)</f>
        <v>46296.423354363425</v>
      </c>
      <c r="T2380" s="57">
        <f>tblJTL[[#This Row],[timeStamp]]+tblJTL[[#This Row],[elapsed]]</f>
        <v>1790816977939</v>
      </c>
      <c r="U2380" s="61">
        <f>(tblJTL[[#This Row],[timeStamp]]-'17_分析サンプル'!$E$18)/1000</f>
        <v>577.63699999999994</v>
      </c>
      <c r="V2380" s="57">
        <f>INT(tblJTL[[#This Row],[経過秒]]/60)</f>
        <v>9</v>
      </c>
      <c r="W2380" s="57">
        <f>IF(OR(tblJTL[[#This Row],[success]]=FALSE,tblJTL[[#This Row],[success]]="false"),1,0)</f>
        <v>0</v>
      </c>
      <c r="X2380" s="57">
        <f>IF(AND(tblJTL[[#This Row],[経過秒]]&gt;='17_分析サンプル'!$E$11,tblJTL[[#This Row],[経過秒]]&lt;'17_分析サンプル'!$E$12),1,0)</f>
        <v>0</v>
      </c>
    </row>
    <row r="2381" spans="2:24" ht="14.4" x14ac:dyDescent="0.3">
      <c r="B2381" s="57">
        <v>1790816977815</v>
      </c>
      <c r="C2381" s="58">
        <v>295</v>
      </c>
      <c r="D2381" s="59" t="s">
        <v>1677</v>
      </c>
      <c r="E2381" s="59" t="s">
        <v>3579</v>
      </c>
      <c r="F2381" s="59" t="s">
        <v>3580</v>
      </c>
      <c r="G2381" s="59" t="s">
        <v>3585</v>
      </c>
      <c r="H2381" s="59" t="s">
        <v>2281</v>
      </c>
      <c r="I2381" s="59" t="b">
        <v>1</v>
      </c>
      <c r="J2381" s="59"/>
      <c r="K2381" s="58">
        <v>416</v>
      </c>
      <c r="L2381" s="58">
        <v>1478</v>
      </c>
      <c r="M2381" s="59">
        <v>10</v>
      </c>
      <c r="N2381" s="59">
        <v>10</v>
      </c>
      <c r="O2381" s="59" t="s">
        <v>3581</v>
      </c>
      <c r="P2381" s="58">
        <v>287</v>
      </c>
      <c r="Q2381" s="59">
        <v>0</v>
      </c>
      <c r="R2381" s="59">
        <v>0</v>
      </c>
      <c r="S2381" s="60">
        <f>tblJTL[[#This Row],[timeStamp]]/86400000+DATE(1970,1,1)+TIME(9,0,0)</f>
        <v>46296.423354340281</v>
      </c>
      <c r="T2381" s="57">
        <f>tblJTL[[#This Row],[timeStamp]]+tblJTL[[#This Row],[elapsed]]</f>
        <v>1790816978110</v>
      </c>
      <c r="U2381" s="61">
        <f>(tblJTL[[#This Row],[timeStamp]]-'17_分析サンプル'!$E$18)/1000</f>
        <v>577.63499999999999</v>
      </c>
      <c r="V2381" s="57">
        <f>INT(tblJTL[[#This Row],[経過秒]]/60)</f>
        <v>9</v>
      </c>
      <c r="W2381" s="57">
        <f>IF(OR(tblJTL[[#This Row],[success]]=FALSE,tblJTL[[#This Row],[success]]="false"),1,0)</f>
        <v>0</v>
      </c>
      <c r="X2381" s="57">
        <f>IF(AND(tblJTL[[#This Row],[経過秒]]&gt;='17_分析サンプル'!$E$11,tblJTL[[#This Row],[経過秒]]&lt;'17_分析サンプル'!$E$12),1,0)</f>
        <v>0</v>
      </c>
    </row>
    <row r="2382" spans="2:24" ht="14.4" x14ac:dyDescent="0.3">
      <c r="B2382" s="57">
        <v>1790816978037</v>
      </c>
      <c r="C2382" s="58">
        <v>114</v>
      </c>
      <c r="D2382" s="59" t="s">
        <v>1658</v>
      </c>
      <c r="E2382" s="59" t="s">
        <v>1577</v>
      </c>
      <c r="F2382" s="59" t="s">
        <v>2275</v>
      </c>
      <c r="G2382" s="59" t="s">
        <v>3584</v>
      </c>
      <c r="H2382" s="59" t="s">
        <v>2281</v>
      </c>
      <c r="I2382" s="59" t="b">
        <v>1</v>
      </c>
      <c r="J2382" s="59"/>
      <c r="K2382" s="58">
        <v>1829</v>
      </c>
      <c r="L2382" s="58">
        <v>1342</v>
      </c>
      <c r="M2382" s="59">
        <v>10</v>
      </c>
      <c r="N2382" s="59">
        <v>10</v>
      </c>
      <c r="O2382" s="59" t="s">
        <v>3578</v>
      </c>
      <c r="P2382" s="58">
        <v>106</v>
      </c>
      <c r="Q2382" s="59">
        <v>0</v>
      </c>
      <c r="R2382" s="59">
        <v>48</v>
      </c>
      <c r="S2382" s="60">
        <f>tblJTL[[#This Row],[timeStamp]]/86400000+DATE(1970,1,1)+TIME(9,0,0)</f>
        <v>46296.423356909727</v>
      </c>
      <c r="T2382" s="57">
        <f>tblJTL[[#This Row],[timeStamp]]+tblJTL[[#This Row],[elapsed]]</f>
        <v>1790816978151</v>
      </c>
      <c r="U2382" s="61">
        <f>(tblJTL[[#This Row],[timeStamp]]-'17_分析サンプル'!$E$18)/1000</f>
        <v>577.85699999999997</v>
      </c>
      <c r="V2382" s="57">
        <f>INT(tblJTL[[#This Row],[経過秒]]/60)</f>
        <v>9</v>
      </c>
      <c r="W2382" s="57">
        <f>IF(OR(tblJTL[[#This Row],[success]]=FALSE,tblJTL[[#This Row],[success]]="false"),1,0)</f>
        <v>0</v>
      </c>
      <c r="X2382" s="57">
        <f>IF(AND(tblJTL[[#This Row],[経過秒]]&gt;='17_分析サンプル'!$E$11,tblJTL[[#This Row],[経過秒]]&lt;'17_分析サンプル'!$E$12),1,0)</f>
        <v>0</v>
      </c>
    </row>
    <row r="2383" spans="2:24" ht="14.4" x14ac:dyDescent="0.3">
      <c r="B2383" s="57">
        <v>1790816978382</v>
      </c>
      <c r="C2383" s="58">
        <v>69</v>
      </c>
      <c r="D2383" s="59" t="s">
        <v>1658</v>
      </c>
      <c r="E2383" s="59" t="s">
        <v>1577</v>
      </c>
      <c r="F2383" s="59" t="s">
        <v>2275</v>
      </c>
      <c r="G2383" s="59" t="s">
        <v>3582</v>
      </c>
      <c r="H2383" s="59" t="s">
        <v>2281</v>
      </c>
      <c r="I2383" s="59" t="b">
        <v>1</v>
      </c>
      <c r="J2383" s="59"/>
      <c r="K2383" s="58">
        <v>1851</v>
      </c>
      <c r="L2383" s="58">
        <v>1342</v>
      </c>
      <c r="M2383" s="59">
        <v>10</v>
      </c>
      <c r="N2383" s="59">
        <v>10</v>
      </c>
      <c r="O2383" s="59" t="s">
        <v>3578</v>
      </c>
      <c r="P2383" s="58">
        <v>66</v>
      </c>
      <c r="Q2383" s="59">
        <v>0</v>
      </c>
      <c r="R2383" s="59">
        <v>0</v>
      </c>
      <c r="S2383" s="60">
        <f>tblJTL[[#This Row],[timeStamp]]/86400000+DATE(1970,1,1)+TIME(9,0,0)</f>
        <v>46296.423360902772</v>
      </c>
      <c r="T2383" s="57">
        <f>tblJTL[[#This Row],[timeStamp]]+tblJTL[[#This Row],[elapsed]]</f>
        <v>1790816978451</v>
      </c>
      <c r="U2383" s="61">
        <f>(tblJTL[[#This Row],[timeStamp]]-'17_分析サンプル'!$E$18)/1000</f>
        <v>578.202</v>
      </c>
      <c r="V2383" s="57">
        <f>INT(tblJTL[[#This Row],[経過秒]]/60)</f>
        <v>9</v>
      </c>
      <c r="W2383" s="57">
        <f>IF(OR(tblJTL[[#This Row],[success]]=FALSE,tblJTL[[#This Row],[success]]="false"),1,0)</f>
        <v>0</v>
      </c>
      <c r="X2383" s="57">
        <f>IF(AND(tblJTL[[#This Row],[経過秒]]&gt;='17_分析サンプル'!$E$11,tblJTL[[#This Row],[経過秒]]&lt;'17_分析サンプル'!$E$12),1,0)</f>
        <v>0</v>
      </c>
    </row>
    <row r="2384" spans="2:24" ht="14.4" x14ac:dyDescent="0.3">
      <c r="B2384" s="57">
        <v>1790816978562</v>
      </c>
      <c r="C2384" s="58">
        <v>170</v>
      </c>
      <c r="D2384" s="59" t="s">
        <v>1658</v>
      </c>
      <c r="E2384" s="59" t="s">
        <v>1577</v>
      </c>
      <c r="F2384" s="59" t="s">
        <v>2275</v>
      </c>
      <c r="G2384" s="59" t="s">
        <v>3583</v>
      </c>
      <c r="H2384" s="59" t="s">
        <v>2281</v>
      </c>
      <c r="I2384" s="59" t="b">
        <v>1</v>
      </c>
      <c r="J2384" s="59"/>
      <c r="K2384" s="58">
        <v>1877</v>
      </c>
      <c r="L2384" s="58">
        <v>1342</v>
      </c>
      <c r="M2384" s="59">
        <v>10</v>
      </c>
      <c r="N2384" s="59">
        <v>10</v>
      </c>
      <c r="O2384" s="59" t="s">
        <v>3578</v>
      </c>
      <c r="P2384" s="58">
        <v>163</v>
      </c>
      <c r="Q2384" s="59">
        <v>0</v>
      </c>
      <c r="R2384" s="59">
        <v>0</v>
      </c>
      <c r="S2384" s="60">
        <f>tblJTL[[#This Row],[timeStamp]]/86400000+DATE(1970,1,1)+TIME(9,0,0)</f>
        <v>46296.423362986112</v>
      </c>
      <c r="T2384" s="57">
        <f>tblJTL[[#This Row],[timeStamp]]+tblJTL[[#This Row],[elapsed]]</f>
        <v>1790816978732</v>
      </c>
      <c r="U2384" s="61">
        <f>(tblJTL[[#This Row],[timeStamp]]-'17_分析サンプル'!$E$18)/1000</f>
        <v>578.38199999999995</v>
      </c>
      <c r="V2384" s="57">
        <f>INT(tblJTL[[#This Row],[経過秒]]/60)</f>
        <v>9</v>
      </c>
      <c r="W2384" s="57">
        <f>IF(OR(tblJTL[[#This Row],[success]]=FALSE,tblJTL[[#This Row],[success]]="false"),1,0)</f>
        <v>0</v>
      </c>
      <c r="X2384" s="57">
        <f>IF(AND(tblJTL[[#This Row],[経過秒]]&gt;='17_分析サンプル'!$E$11,tblJTL[[#This Row],[経過秒]]&lt;'17_分析サンプル'!$E$12),1,0)</f>
        <v>0</v>
      </c>
    </row>
    <row r="2385" spans="2:24" ht="14.4" x14ac:dyDescent="0.3">
      <c r="B2385" s="57">
        <v>1790816978682</v>
      </c>
      <c r="C2385" s="58">
        <v>133</v>
      </c>
      <c r="D2385" s="59" t="s">
        <v>1658</v>
      </c>
      <c r="E2385" s="59" t="s">
        <v>1577</v>
      </c>
      <c r="F2385" s="59" t="s">
        <v>2275</v>
      </c>
      <c r="G2385" s="59" t="s">
        <v>3589</v>
      </c>
      <c r="H2385" s="59" t="s">
        <v>2281</v>
      </c>
      <c r="I2385" s="59" t="b">
        <v>1</v>
      </c>
      <c r="J2385" s="59"/>
      <c r="K2385" s="58">
        <v>1853</v>
      </c>
      <c r="L2385" s="58">
        <v>1342</v>
      </c>
      <c r="M2385" s="59">
        <v>10</v>
      </c>
      <c r="N2385" s="59">
        <v>10</v>
      </c>
      <c r="O2385" s="59" t="s">
        <v>3578</v>
      </c>
      <c r="P2385" s="58">
        <v>128</v>
      </c>
      <c r="Q2385" s="59">
        <v>0</v>
      </c>
      <c r="R2385" s="59">
        <v>0</v>
      </c>
      <c r="S2385" s="60">
        <f>tblJTL[[#This Row],[timeStamp]]/86400000+DATE(1970,1,1)+TIME(9,0,0)</f>
        <v>46296.423364375005</v>
      </c>
      <c r="T2385" s="57">
        <f>tblJTL[[#This Row],[timeStamp]]+tblJTL[[#This Row],[elapsed]]</f>
        <v>1790816978815</v>
      </c>
      <c r="U2385" s="61">
        <f>(tblJTL[[#This Row],[timeStamp]]-'17_分析サンプル'!$E$18)/1000</f>
        <v>578.50199999999995</v>
      </c>
      <c r="V2385" s="57">
        <f>INT(tblJTL[[#This Row],[経過秒]]/60)</f>
        <v>9</v>
      </c>
      <c r="W2385" s="57">
        <f>IF(OR(tblJTL[[#This Row],[success]]=FALSE,tblJTL[[#This Row],[success]]="false"),1,0)</f>
        <v>0</v>
      </c>
      <c r="X2385" s="57">
        <f>IF(AND(tblJTL[[#This Row],[経過秒]]&gt;='17_分析サンプル'!$E$11,tblJTL[[#This Row],[経過秒]]&lt;'17_分析サンプル'!$E$12),1,0)</f>
        <v>0</v>
      </c>
    </row>
    <row r="2386" spans="2:24" ht="14.4" x14ac:dyDescent="0.3">
      <c r="B2386" s="57">
        <v>1790816979264</v>
      </c>
      <c r="C2386" s="58">
        <v>229</v>
      </c>
      <c r="D2386" s="59" t="s">
        <v>1658</v>
      </c>
      <c r="E2386" s="59" t="s">
        <v>1577</v>
      </c>
      <c r="F2386" s="59" t="s">
        <v>2275</v>
      </c>
      <c r="G2386" s="59" t="s">
        <v>3585</v>
      </c>
      <c r="H2386" s="59" t="s">
        <v>2281</v>
      </c>
      <c r="I2386" s="59" t="b">
        <v>1</v>
      </c>
      <c r="J2386" s="59"/>
      <c r="K2386" s="58">
        <v>1883</v>
      </c>
      <c r="L2386" s="58">
        <v>1342</v>
      </c>
      <c r="M2386" s="59">
        <v>10</v>
      </c>
      <c r="N2386" s="59">
        <v>10</v>
      </c>
      <c r="O2386" s="59" t="s">
        <v>3578</v>
      </c>
      <c r="P2386" s="58">
        <v>224</v>
      </c>
      <c r="Q2386" s="59">
        <v>0</v>
      </c>
      <c r="R2386" s="59">
        <v>0</v>
      </c>
      <c r="S2386" s="60">
        <f>tblJTL[[#This Row],[timeStamp]]/86400000+DATE(1970,1,1)+TIME(9,0,0)</f>
        <v>46296.423371111116</v>
      </c>
      <c r="T2386" s="57">
        <f>tblJTL[[#This Row],[timeStamp]]+tblJTL[[#This Row],[elapsed]]</f>
        <v>1790816979493</v>
      </c>
      <c r="U2386" s="61">
        <f>(tblJTL[[#This Row],[timeStamp]]-'17_分析サンプル'!$E$18)/1000</f>
        <v>579.08399999999995</v>
      </c>
      <c r="V2386" s="57">
        <f>INT(tblJTL[[#This Row],[経過秒]]/60)</f>
        <v>9</v>
      </c>
      <c r="W2386" s="57">
        <f>IF(OR(tblJTL[[#This Row],[success]]=FALSE,tblJTL[[#This Row],[success]]="false"),1,0)</f>
        <v>0</v>
      </c>
      <c r="X2386" s="57">
        <f>IF(AND(tblJTL[[#This Row],[経過秒]]&gt;='17_分析サンプル'!$E$11,tblJTL[[#This Row],[経過秒]]&lt;'17_分析サンプル'!$E$12),1,0)</f>
        <v>0</v>
      </c>
    </row>
    <row r="2387" spans="2:24" ht="14.4" x14ac:dyDescent="0.3">
      <c r="B2387" s="57">
        <v>1790816979288</v>
      </c>
      <c r="C2387" s="58">
        <v>208</v>
      </c>
      <c r="D2387" s="59" t="s">
        <v>1677</v>
      </c>
      <c r="E2387" s="59" t="s">
        <v>3579</v>
      </c>
      <c r="F2387" s="59" t="s">
        <v>3580</v>
      </c>
      <c r="G2387" s="59" t="s">
        <v>3577</v>
      </c>
      <c r="H2387" s="59" t="s">
        <v>2281</v>
      </c>
      <c r="I2387" s="59" t="b">
        <v>1</v>
      </c>
      <c r="J2387" s="59"/>
      <c r="K2387" s="58">
        <v>425</v>
      </c>
      <c r="L2387" s="58">
        <v>1478</v>
      </c>
      <c r="M2387" s="59">
        <v>10</v>
      </c>
      <c r="N2387" s="59">
        <v>10</v>
      </c>
      <c r="O2387" s="59" t="s">
        <v>3581</v>
      </c>
      <c r="P2387" s="58">
        <v>203</v>
      </c>
      <c r="Q2387" s="59">
        <v>0</v>
      </c>
      <c r="R2387" s="59">
        <v>0</v>
      </c>
      <c r="S2387" s="60">
        <f>tblJTL[[#This Row],[timeStamp]]/86400000+DATE(1970,1,1)+TIME(9,0,0)</f>
        <v>46296.42337138889</v>
      </c>
      <c r="T2387" s="57">
        <f>tblJTL[[#This Row],[timeStamp]]+tblJTL[[#This Row],[elapsed]]</f>
        <v>1790816979496</v>
      </c>
      <c r="U2387" s="61">
        <f>(tblJTL[[#This Row],[timeStamp]]-'17_分析サンプル'!$E$18)/1000</f>
        <v>579.10799999999995</v>
      </c>
      <c r="V2387" s="57">
        <f>INT(tblJTL[[#This Row],[経過秒]]/60)</f>
        <v>9</v>
      </c>
      <c r="W2387" s="57">
        <f>IF(OR(tblJTL[[#This Row],[success]]=FALSE,tblJTL[[#This Row],[success]]="false"),1,0)</f>
        <v>0</v>
      </c>
      <c r="X2387" s="57">
        <f>IF(AND(tblJTL[[#This Row],[経過秒]]&gt;='17_分析サンプル'!$E$11,tblJTL[[#This Row],[経過秒]]&lt;'17_分析サンプル'!$E$12),1,0)</f>
        <v>0</v>
      </c>
    </row>
    <row r="2388" spans="2:24" ht="14.4" x14ac:dyDescent="0.3">
      <c r="B2388" s="57">
        <v>1790816979289</v>
      </c>
      <c r="C2388" s="58">
        <v>311</v>
      </c>
      <c r="D2388" s="59" t="s">
        <v>1677</v>
      </c>
      <c r="E2388" s="59" t="s">
        <v>3579</v>
      </c>
      <c r="F2388" s="59" t="s">
        <v>3580</v>
      </c>
      <c r="G2388" s="59" t="s">
        <v>3584</v>
      </c>
      <c r="H2388" s="59" t="s">
        <v>2281</v>
      </c>
      <c r="I2388" s="59" t="b">
        <v>1</v>
      </c>
      <c r="J2388" s="59"/>
      <c r="K2388" s="58">
        <v>434</v>
      </c>
      <c r="L2388" s="58">
        <v>1478</v>
      </c>
      <c r="M2388" s="59">
        <v>10</v>
      </c>
      <c r="N2388" s="59">
        <v>10</v>
      </c>
      <c r="O2388" s="59" t="s">
        <v>3581</v>
      </c>
      <c r="P2388" s="58">
        <v>305</v>
      </c>
      <c r="Q2388" s="59">
        <v>0</v>
      </c>
      <c r="R2388" s="59">
        <v>0</v>
      </c>
      <c r="S2388" s="60">
        <f>tblJTL[[#This Row],[timeStamp]]/86400000+DATE(1970,1,1)+TIME(9,0,0)</f>
        <v>46296.423371400466</v>
      </c>
      <c r="T2388" s="57">
        <f>tblJTL[[#This Row],[timeStamp]]+tblJTL[[#This Row],[elapsed]]</f>
        <v>1790816979600</v>
      </c>
      <c r="U2388" s="61">
        <f>(tblJTL[[#This Row],[timeStamp]]-'17_分析サンプル'!$E$18)/1000</f>
        <v>579.10900000000004</v>
      </c>
      <c r="V2388" s="57">
        <f>INT(tblJTL[[#This Row],[経過秒]]/60)</f>
        <v>9</v>
      </c>
      <c r="W2388" s="57">
        <f>IF(OR(tblJTL[[#This Row],[success]]=FALSE,tblJTL[[#This Row],[success]]="false"),1,0)</f>
        <v>0</v>
      </c>
      <c r="X2388" s="57">
        <f>IF(AND(tblJTL[[#This Row],[経過秒]]&gt;='17_分析サンプル'!$E$11,tblJTL[[#This Row],[経過秒]]&lt;'17_分析サンプル'!$E$12),1,0)</f>
        <v>0</v>
      </c>
    </row>
    <row r="2389" spans="2:24" ht="14.4" x14ac:dyDescent="0.3">
      <c r="B2389" s="57">
        <v>1790816979661</v>
      </c>
      <c r="C2389" s="58">
        <v>184</v>
      </c>
      <c r="D2389" s="59" t="s">
        <v>1677</v>
      </c>
      <c r="E2389" s="59" t="s">
        <v>3579</v>
      </c>
      <c r="F2389" s="59" t="s">
        <v>3580</v>
      </c>
      <c r="G2389" s="59" t="s">
        <v>3586</v>
      </c>
      <c r="H2389" s="59" t="s">
        <v>2281</v>
      </c>
      <c r="I2389" s="59" t="b">
        <v>1</v>
      </c>
      <c r="J2389" s="59"/>
      <c r="K2389" s="58">
        <v>418</v>
      </c>
      <c r="L2389" s="58">
        <v>1478</v>
      </c>
      <c r="M2389" s="59">
        <v>10</v>
      </c>
      <c r="N2389" s="59">
        <v>10</v>
      </c>
      <c r="O2389" s="59" t="s">
        <v>3581</v>
      </c>
      <c r="P2389" s="58">
        <v>180</v>
      </c>
      <c r="Q2389" s="59">
        <v>0</v>
      </c>
      <c r="R2389" s="59">
        <v>0</v>
      </c>
      <c r="S2389" s="60">
        <f>tblJTL[[#This Row],[timeStamp]]/86400000+DATE(1970,1,1)+TIME(9,0,0)</f>
        <v>46296.423375706014</v>
      </c>
      <c r="T2389" s="57">
        <f>tblJTL[[#This Row],[timeStamp]]+tblJTL[[#This Row],[elapsed]]</f>
        <v>1790816979845</v>
      </c>
      <c r="U2389" s="61">
        <f>(tblJTL[[#This Row],[timeStamp]]-'17_分析サンプル'!$E$18)/1000</f>
        <v>579.48099999999999</v>
      </c>
      <c r="V2389" s="57">
        <f>INT(tblJTL[[#This Row],[経過秒]]/60)</f>
        <v>9</v>
      </c>
      <c r="W2389" s="57">
        <f>IF(OR(tblJTL[[#This Row],[success]]=FALSE,tblJTL[[#This Row],[success]]="false"),1,0)</f>
        <v>0</v>
      </c>
      <c r="X2389" s="57">
        <f>IF(AND(tblJTL[[#This Row],[経過秒]]&gt;='17_分析サンプル'!$E$11,tblJTL[[#This Row],[経過秒]]&lt;'17_分析サンプル'!$E$12),1,0)</f>
        <v>0</v>
      </c>
    </row>
    <row r="2390" spans="2:24" ht="14.4" x14ac:dyDescent="0.3">
      <c r="B2390" s="57">
        <v>1790816979850</v>
      </c>
      <c r="C2390" s="58">
        <v>316</v>
      </c>
      <c r="D2390" s="59" t="s">
        <v>1677</v>
      </c>
      <c r="E2390" s="59" t="s">
        <v>3579</v>
      </c>
      <c r="F2390" s="59" t="s">
        <v>3580</v>
      </c>
      <c r="G2390" s="59" t="s">
        <v>2278</v>
      </c>
      <c r="H2390" s="59" t="s">
        <v>2281</v>
      </c>
      <c r="I2390" s="59" t="b">
        <v>1</v>
      </c>
      <c r="J2390" s="59"/>
      <c r="K2390" s="58">
        <v>422</v>
      </c>
      <c r="L2390" s="58">
        <v>1478</v>
      </c>
      <c r="M2390" s="59">
        <v>10</v>
      </c>
      <c r="N2390" s="59">
        <v>10</v>
      </c>
      <c r="O2390" s="59" t="s">
        <v>3581</v>
      </c>
      <c r="P2390" s="58">
        <v>311</v>
      </c>
      <c r="Q2390" s="59">
        <v>0</v>
      </c>
      <c r="R2390" s="59">
        <v>0</v>
      </c>
      <c r="S2390" s="60">
        <f>tblJTL[[#This Row],[timeStamp]]/86400000+DATE(1970,1,1)+TIME(9,0,0)</f>
        <v>46296.423377893516</v>
      </c>
      <c r="T2390" s="57">
        <f>tblJTL[[#This Row],[timeStamp]]+tblJTL[[#This Row],[elapsed]]</f>
        <v>1790816980166</v>
      </c>
      <c r="U2390" s="61">
        <f>(tblJTL[[#This Row],[timeStamp]]-'17_分析サンプル'!$E$18)/1000</f>
        <v>579.66999999999996</v>
      </c>
      <c r="V2390" s="57">
        <f>INT(tblJTL[[#This Row],[経過秒]]/60)</f>
        <v>9</v>
      </c>
      <c r="W2390" s="57">
        <f>IF(OR(tblJTL[[#This Row],[success]]=FALSE,tblJTL[[#This Row],[success]]="false"),1,0)</f>
        <v>0</v>
      </c>
      <c r="X2390" s="57">
        <f>IF(AND(tblJTL[[#This Row],[経過秒]]&gt;='17_分析サンプル'!$E$11,tblJTL[[#This Row],[経過秒]]&lt;'17_分析サンプル'!$E$12),1,0)</f>
        <v>0</v>
      </c>
    </row>
    <row r="2391" spans="2:24" ht="14.4" x14ac:dyDescent="0.3">
      <c r="B2391" s="57">
        <v>1790816980096</v>
      </c>
      <c r="C2391" s="58">
        <v>183</v>
      </c>
      <c r="D2391" s="59" t="s">
        <v>1677</v>
      </c>
      <c r="E2391" s="59" t="s">
        <v>3579</v>
      </c>
      <c r="F2391" s="59" t="s">
        <v>3580</v>
      </c>
      <c r="G2391" s="59" t="s">
        <v>3588</v>
      </c>
      <c r="H2391" s="59" t="s">
        <v>2281</v>
      </c>
      <c r="I2391" s="59" t="b">
        <v>1</v>
      </c>
      <c r="J2391" s="59"/>
      <c r="K2391" s="58">
        <v>411</v>
      </c>
      <c r="L2391" s="58">
        <v>1478</v>
      </c>
      <c r="M2391" s="59">
        <v>10</v>
      </c>
      <c r="N2391" s="59">
        <v>10</v>
      </c>
      <c r="O2391" s="59" t="s">
        <v>3581</v>
      </c>
      <c r="P2391" s="58">
        <v>180</v>
      </c>
      <c r="Q2391" s="59">
        <v>0</v>
      </c>
      <c r="R2391" s="59">
        <v>0</v>
      </c>
      <c r="S2391" s="60">
        <f>tblJTL[[#This Row],[timeStamp]]/86400000+DATE(1970,1,1)+TIME(9,0,0)</f>
        <v>46296.423380740744</v>
      </c>
      <c r="T2391" s="57">
        <f>tblJTL[[#This Row],[timeStamp]]+tblJTL[[#This Row],[elapsed]]</f>
        <v>1790816980279</v>
      </c>
      <c r="U2391" s="61">
        <f>(tblJTL[[#This Row],[timeStamp]]-'17_分析サンプル'!$E$18)/1000</f>
        <v>579.91600000000005</v>
      </c>
      <c r="V2391" s="57">
        <f>INT(tblJTL[[#This Row],[経過秒]]/60)</f>
        <v>9</v>
      </c>
      <c r="W2391" s="57">
        <f>IF(OR(tblJTL[[#This Row],[success]]=FALSE,tblJTL[[#This Row],[success]]="false"),1,0)</f>
        <v>0</v>
      </c>
      <c r="X2391" s="57">
        <f>IF(AND(tblJTL[[#This Row],[経過秒]]&gt;='17_分析サンプル'!$E$11,tblJTL[[#This Row],[経過秒]]&lt;'17_分析サンプル'!$E$12),1,0)</f>
        <v>0</v>
      </c>
    </row>
    <row r="2392" spans="2:24" ht="14.4" x14ac:dyDescent="0.3">
      <c r="B2392" s="57">
        <v>1790816980547</v>
      </c>
      <c r="C2392" s="58">
        <v>174</v>
      </c>
      <c r="D2392" s="59" t="s">
        <v>1677</v>
      </c>
      <c r="E2392" s="59" t="s">
        <v>3579</v>
      </c>
      <c r="F2392" s="59" t="s">
        <v>3580</v>
      </c>
      <c r="G2392" s="59" t="s">
        <v>3587</v>
      </c>
      <c r="H2392" s="59" t="s">
        <v>2281</v>
      </c>
      <c r="I2392" s="59" t="b">
        <v>1</v>
      </c>
      <c r="J2392" s="59"/>
      <c r="K2392" s="58">
        <v>419</v>
      </c>
      <c r="L2392" s="58">
        <v>1478</v>
      </c>
      <c r="M2392" s="59">
        <v>10</v>
      </c>
      <c r="N2392" s="59">
        <v>10</v>
      </c>
      <c r="O2392" s="59" t="s">
        <v>3581</v>
      </c>
      <c r="P2392" s="58">
        <v>172</v>
      </c>
      <c r="Q2392" s="59">
        <v>0</v>
      </c>
      <c r="R2392" s="59">
        <v>0</v>
      </c>
      <c r="S2392" s="60">
        <f>tblJTL[[#This Row],[timeStamp]]/86400000+DATE(1970,1,1)+TIME(9,0,0)</f>
        <v>46296.423385960647</v>
      </c>
      <c r="T2392" s="57">
        <f>tblJTL[[#This Row],[timeStamp]]+tblJTL[[#This Row],[elapsed]]</f>
        <v>1790816980721</v>
      </c>
      <c r="U2392" s="61">
        <f>(tblJTL[[#This Row],[timeStamp]]-'17_分析サンプル'!$E$18)/1000</f>
        <v>580.36699999999996</v>
      </c>
      <c r="V2392" s="57">
        <f>INT(tblJTL[[#This Row],[経過秒]]/60)</f>
        <v>9</v>
      </c>
      <c r="W2392" s="57">
        <f>IF(OR(tblJTL[[#This Row],[success]]=FALSE,tblJTL[[#This Row],[success]]="false"),1,0)</f>
        <v>0</v>
      </c>
      <c r="X2392" s="57">
        <f>IF(AND(tblJTL[[#This Row],[経過秒]]&gt;='17_分析サンプル'!$E$11,tblJTL[[#This Row],[経過秒]]&lt;'17_分析サンプル'!$E$12),1,0)</f>
        <v>0</v>
      </c>
    </row>
    <row r="2393" spans="2:24" ht="14.4" x14ac:dyDescent="0.3">
      <c r="B2393" s="57">
        <v>1790816980801</v>
      </c>
      <c r="C2393" s="58">
        <v>414</v>
      </c>
      <c r="D2393" s="59" t="s">
        <v>1677</v>
      </c>
      <c r="E2393" s="59" t="s">
        <v>3579</v>
      </c>
      <c r="F2393" s="59" t="s">
        <v>3580</v>
      </c>
      <c r="G2393" s="59" t="s">
        <v>3582</v>
      </c>
      <c r="H2393" s="59" t="s">
        <v>2281</v>
      </c>
      <c r="I2393" s="59" t="b">
        <v>1</v>
      </c>
      <c r="J2393" s="59"/>
      <c r="K2393" s="58">
        <v>416</v>
      </c>
      <c r="L2393" s="58">
        <v>1478</v>
      </c>
      <c r="M2393" s="59">
        <v>10</v>
      </c>
      <c r="N2393" s="59">
        <v>10</v>
      </c>
      <c r="O2393" s="59" t="s">
        <v>3581</v>
      </c>
      <c r="P2393" s="58">
        <v>412</v>
      </c>
      <c r="Q2393" s="59">
        <v>0</v>
      </c>
      <c r="R2393" s="59">
        <v>0</v>
      </c>
      <c r="S2393" s="60">
        <f>tblJTL[[#This Row],[timeStamp]]/86400000+DATE(1970,1,1)+TIME(9,0,0)</f>
        <v>46296.423388900468</v>
      </c>
      <c r="T2393" s="57">
        <f>tblJTL[[#This Row],[timeStamp]]+tblJTL[[#This Row],[elapsed]]</f>
        <v>1790816981215</v>
      </c>
      <c r="U2393" s="61">
        <f>(tblJTL[[#This Row],[timeStamp]]-'17_分析サンプル'!$E$18)/1000</f>
        <v>580.62099999999998</v>
      </c>
      <c r="V2393" s="57">
        <f>INT(tblJTL[[#This Row],[経過秒]]/60)</f>
        <v>9</v>
      </c>
      <c r="W2393" s="57">
        <f>IF(OR(tblJTL[[#This Row],[success]]=FALSE,tblJTL[[#This Row],[success]]="false"),1,0)</f>
        <v>0</v>
      </c>
      <c r="X2393" s="57">
        <f>IF(AND(tblJTL[[#This Row],[経過秒]]&gt;='17_分析サンプル'!$E$11,tblJTL[[#This Row],[経過秒]]&lt;'17_分析サンプル'!$E$12),1,0)</f>
        <v>0</v>
      </c>
    </row>
    <row r="2394" spans="2:24" ht="14.4" x14ac:dyDescent="0.3">
      <c r="B2394" s="57">
        <v>1790816981129</v>
      </c>
      <c r="C2394" s="58">
        <v>93</v>
      </c>
      <c r="D2394" s="59" t="s">
        <v>1658</v>
      </c>
      <c r="E2394" s="59" t="s">
        <v>1577</v>
      </c>
      <c r="F2394" s="59" t="s">
        <v>2275</v>
      </c>
      <c r="G2394" s="59" t="s">
        <v>3586</v>
      </c>
      <c r="H2394" s="59" t="s">
        <v>2281</v>
      </c>
      <c r="I2394" s="59" t="b">
        <v>1</v>
      </c>
      <c r="J2394" s="59"/>
      <c r="K2394" s="58">
        <v>1842</v>
      </c>
      <c r="L2394" s="58">
        <v>1342</v>
      </c>
      <c r="M2394" s="59">
        <v>10</v>
      </c>
      <c r="N2394" s="59">
        <v>10</v>
      </c>
      <c r="O2394" s="59" t="s">
        <v>3578</v>
      </c>
      <c r="P2394" s="58">
        <v>88</v>
      </c>
      <c r="Q2394" s="59">
        <v>0</v>
      </c>
      <c r="R2394" s="59">
        <v>0</v>
      </c>
      <c r="S2394" s="60">
        <f>tblJTL[[#This Row],[timeStamp]]/86400000+DATE(1970,1,1)+TIME(9,0,0)</f>
        <v>46296.423392696757</v>
      </c>
      <c r="T2394" s="57">
        <f>tblJTL[[#This Row],[timeStamp]]+tblJTL[[#This Row],[elapsed]]</f>
        <v>1790816981222</v>
      </c>
      <c r="U2394" s="61">
        <f>(tblJTL[[#This Row],[timeStamp]]-'17_分析サンプル'!$E$18)/1000</f>
        <v>580.94899999999996</v>
      </c>
      <c r="V2394" s="57">
        <f>INT(tblJTL[[#This Row],[経過秒]]/60)</f>
        <v>9</v>
      </c>
      <c r="W2394" s="57">
        <f>IF(OR(tblJTL[[#This Row],[success]]=FALSE,tblJTL[[#This Row],[success]]="false"),1,0)</f>
        <v>0</v>
      </c>
      <c r="X2394" s="57">
        <f>IF(AND(tblJTL[[#This Row],[経過秒]]&gt;='17_分析サンプル'!$E$11,tblJTL[[#This Row],[経過秒]]&lt;'17_分析サンプル'!$E$12),1,0)</f>
        <v>0</v>
      </c>
    </row>
    <row r="2395" spans="2:24" ht="14.4" x14ac:dyDescent="0.3">
      <c r="B2395" s="57">
        <v>1790816981118</v>
      </c>
      <c r="C2395" s="58">
        <v>106</v>
      </c>
      <c r="D2395" s="59" t="s">
        <v>1658</v>
      </c>
      <c r="E2395" s="59" t="s">
        <v>1577</v>
      </c>
      <c r="F2395" s="59" t="s">
        <v>2275</v>
      </c>
      <c r="G2395" s="59" t="s">
        <v>3577</v>
      </c>
      <c r="H2395" s="59" t="s">
        <v>2281</v>
      </c>
      <c r="I2395" s="59" t="b">
        <v>1</v>
      </c>
      <c r="J2395" s="59"/>
      <c r="K2395" s="58">
        <v>1859</v>
      </c>
      <c r="L2395" s="58">
        <v>1342</v>
      </c>
      <c r="M2395" s="59">
        <v>10</v>
      </c>
      <c r="N2395" s="59">
        <v>10</v>
      </c>
      <c r="O2395" s="59" t="s">
        <v>3578</v>
      </c>
      <c r="P2395" s="58">
        <v>103</v>
      </c>
      <c r="Q2395" s="59">
        <v>0</v>
      </c>
      <c r="R2395" s="59">
        <v>0</v>
      </c>
      <c r="S2395" s="60">
        <f>tblJTL[[#This Row],[timeStamp]]/86400000+DATE(1970,1,1)+TIME(9,0,0)</f>
        <v>46296.423392569443</v>
      </c>
      <c r="T2395" s="57">
        <f>tblJTL[[#This Row],[timeStamp]]+tblJTL[[#This Row],[elapsed]]</f>
        <v>1790816981224</v>
      </c>
      <c r="U2395" s="61">
        <f>(tblJTL[[#This Row],[timeStamp]]-'17_分析サンプル'!$E$18)/1000</f>
        <v>580.93799999999999</v>
      </c>
      <c r="V2395" s="57">
        <f>INT(tblJTL[[#This Row],[経過秒]]/60)</f>
        <v>9</v>
      </c>
      <c r="W2395" s="57">
        <f>IF(OR(tblJTL[[#This Row],[success]]=FALSE,tblJTL[[#This Row],[success]]="false"),1,0)</f>
        <v>0</v>
      </c>
      <c r="X2395" s="57">
        <f>IF(AND(tblJTL[[#This Row],[経過秒]]&gt;='17_分析サンプル'!$E$11,tblJTL[[#This Row],[経過秒]]&lt;'17_分析サンプル'!$E$12),1,0)</f>
        <v>0</v>
      </c>
    </row>
    <row r="2396" spans="2:24" ht="14.4" x14ac:dyDescent="0.3">
      <c r="B2396" s="57">
        <v>1790816981254</v>
      </c>
      <c r="C2396" s="58">
        <v>325</v>
      </c>
      <c r="D2396" s="59" t="s">
        <v>1677</v>
      </c>
      <c r="E2396" s="59" t="s">
        <v>3579</v>
      </c>
      <c r="F2396" s="59" t="s">
        <v>3580</v>
      </c>
      <c r="G2396" s="59" t="s">
        <v>3583</v>
      </c>
      <c r="H2396" s="59" t="s">
        <v>2281</v>
      </c>
      <c r="I2396" s="59" t="b">
        <v>1</v>
      </c>
      <c r="J2396" s="59"/>
      <c r="K2396" s="58">
        <v>416</v>
      </c>
      <c r="L2396" s="58">
        <v>1478</v>
      </c>
      <c r="M2396" s="59">
        <v>10</v>
      </c>
      <c r="N2396" s="59">
        <v>10</v>
      </c>
      <c r="O2396" s="59" t="s">
        <v>3581</v>
      </c>
      <c r="P2396" s="58">
        <v>319</v>
      </c>
      <c r="Q2396" s="59">
        <v>0</v>
      </c>
      <c r="R2396" s="59">
        <v>0</v>
      </c>
      <c r="S2396" s="60">
        <f>tblJTL[[#This Row],[timeStamp]]/86400000+DATE(1970,1,1)+TIME(9,0,0)</f>
        <v>46296.423394143523</v>
      </c>
      <c r="T2396" s="57">
        <f>tblJTL[[#This Row],[timeStamp]]+tblJTL[[#This Row],[elapsed]]</f>
        <v>1790816981579</v>
      </c>
      <c r="U2396" s="61">
        <f>(tblJTL[[#This Row],[timeStamp]]-'17_分析サンプル'!$E$18)/1000</f>
        <v>581.07399999999996</v>
      </c>
      <c r="V2396" s="57">
        <f>INT(tblJTL[[#This Row],[経過秒]]/60)</f>
        <v>9</v>
      </c>
      <c r="W2396" s="57">
        <f>IF(OR(tblJTL[[#This Row],[success]]=FALSE,tblJTL[[#This Row],[success]]="false"),1,0)</f>
        <v>0</v>
      </c>
      <c r="X2396" s="57">
        <f>IF(AND(tblJTL[[#This Row],[経過秒]]&gt;='17_分析サンプル'!$E$11,tblJTL[[#This Row],[経過秒]]&lt;'17_分析サンプル'!$E$12),1,0)</f>
        <v>0</v>
      </c>
    </row>
    <row r="2397" spans="2:24" ht="14.4" x14ac:dyDescent="0.3">
      <c r="B2397" s="57">
        <v>1790816981378</v>
      </c>
      <c r="C2397" s="58">
        <v>361</v>
      </c>
      <c r="D2397" s="59" t="s">
        <v>1677</v>
      </c>
      <c r="E2397" s="59" t="s">
        <v>3579</v>
      </c>
      <c r="F2397" s="59" t="s">
        <v>3580</v>
      </c>
      <c r="G2397" s="59" t="s">
        <v>3589</v>
      </c>
      <c r="H2397" s="59" t="s">
        <v>2281</v>
      </c>
      <c r="I2397" s="59" t="b">
        <v>1</v>
      </c>
      <c r="J2397" s="59"/>
      <c r="K2397" s="58">
        <v>411</v>
      </c>
      <c r="L2397" s="58">
        <v>1478</v>
      </c>
      <c r="M2397" s="59">
        <v>10</v>
      </c>
      <c r="N2397" s="59">
        <v>10</v>
      </c>
      <c r="O2397" s="59" t="s">
        <v>3581</v>
      </c>
      <c r="P2397" s="58">
        <v>357</v>
      </c>
      <c r="Q2397" s="59">
        <v>0</v>
      </c>
      <c r="R2397" s="59">
        <v>0</v>
      </c>
      <c r="S2397" s="60">
        <f>tblJTL[[#This Row],[timeStamp]]/86400000+DATE(1970,1,1)+TIME(9,0,0)</f>
        <v>46296.423395578706</v>
      </c>
      <c r="T2397" s="57">
        <f>tblJTL[[#This Row],[timeStamp]]+tblJTL[[#This Row],[elapsed]]</f>
        <v>1790816981739</v>
      </c>
      <c r="U2397" s="61">
        <f>(tblJTL[[#This Row],[timeStamp]]-'17_分析サンプル'!$E$18)/1000</f>
        <v>581.19799999999998</v>
      </c>
      <c r="V2397" s="57">
        <f>INT(tblJTL[[#This Row],[経過秒]]/60)</f>
        <v>9</v>
      </c>
      <c r="W2397" s="57">
        <f>IF(OR(tblJTL[[#This Row],[success]]=FALSE,tblJTL[[#This Row],[success]]="false"),1,0)</f>
        <v>0</v>
      </c>
      <c r="X2397" s="57">
        <f>IF(AND(tblJTL[[#This Row],[経過秒]]&gt;='17_分析サンプル'!$E$11,tblJTL[[#This Row],[経過秒]]&lt;'17_分析サンプル'!$E$12),1,0)</f>
        <v>0</v>
      </c>
    </row>
    <row r="2398" spans="2:24" ht="14.4" x14ac:dyDescent="0.3">
      <c r="B2398" s="57">
        <v>1790816981774</v>
      </c>
      <c r="C2398" s="58">
        <v>119</v>
      </c>
      <c r="D2398" s="59" t="s">
        <v>1658</v>
      </c>
      <c r="E2398" s="59" t="s">
        <v>1577</v>
      </c>
      <c r="F2398" s="59" t="s">
        <v>2275</v>
      </c>
      <c r="G2398" s="59" t="s">
        <v>3588</v>
      </c>
      <c r="H2398" s="59" t="s">
        <v>2281</v>
      </c>
      <c r="I2398" s="59" t="b">
        <v>1</v>
      </c>
      <c r="J2398" s="59"/>
      <c r="K2398" s="58">
        <v>1839</v>
      </c>
      <c r="L2398" s="58">
        <v>1342</v>
      </c>
      <c r="M2398" s="59">
        <v>10</v>
      </c>
      <c r="N2398" s="59">
        <v>10</v>
      </c>
      <c r="O2398" s="59" t="s">
        <v>3578</v>
      </c>
      <c r="P2398" s="58">
        <v>111</v>
      </c>
      <c r="Q2398" s="59">
        <v>0</v>
      </c>
      <c r="R2398" s="59">
        <v>0</v>
      </c>
      <c r="S2398" s="60">
        <f>tblJTL[[#This Row],[timeStamp]]/86400000+DATE(1970,1,1)+TIME(9,0,0)</f>
        <v>46296.423400162035</v>
      </c>
      <c r="T2398" s="57">
        <f>tblJTL[[#This Row],[timeStamp]]+tblJTL[[#This Row],[elapsed]]</f>
        <v>1790816981893</v>
      </c>
      <c r="U2398" s="61">
        <f>(tblJTL[[#This Row],[timeStamp]]-'17_分析サンプル'!$E$18)/1000</f>
        <v>581.59400000000005</v>
      </c>
      <c r="V2398" s="57">
        <f>INT(tblJTL[[#This Row],[経過秒]]/60)</f>
        <v>9</v>
      </c>
      <c r="W2398" s="57">
        <f>IF(OR(tblJTL[[#This Row],[success]]=FALSE,tblJTL[[#This Row],[success]]="false"),1,0)</f>
        <v>0</v>
      </c>
      <c r="X2398" s="57">
        <f>IF(AND(tblJTL[[#This Row],[経過秒]]&gt;='17_分析サンプル'!$E$11,tblJTL[[#This Row],[経過秒]]&lt;'17_分析サンプル'!$E$12),1,0)</f>
        <v>0</v>
      </c>
    </row>
    <row r="2399" spans="2:24" ht="14.4" x14ac:dyDescent="0.3">
      <c r="B2399" s="57">
        <v>1790816982387</v>
      </c>
      <c r="C2399" s="58">
        <v>69</v>
      </c>
      <c r="D2399" s="59" t="s">
        <v>1658</v>
      </c>
      <c r="E2399" s="59" t="s">
        <v>1577</v>
      </c>
      <c r="F2399" s="59" t="s">
        <v>2275</v>
      </c>
      <c r="G2399" s="59" t="s">
        <v>2278</v>
      </c>
      <c r="H2399" s="59" t="s">
        <v>2281</v>
      </c>
      <c r="I2399" s="59" t="b">
        <v>1</v>
      </c>
      <c r="J2399" s="59"/>
      <c r="K2399" s="58">
        <v>1872</v>
      </c>
      <c r="L2399" s="58">
        <v>1342</v>
      </c>
      <c r="M2399" s="59">
        <v>10</v>
      </c>
      <c r="N2399" s="59">
        <v>10</v>
      </c>
      <c r="O2399" s="59" t="s">
        <v>3578</v>
      </c>
      <c r="P2399" s="58">
        <v>62</v>
      </c>
      <c r="Q2399" s="59">
        <v>0</v>
      </c>
      <c r="R2399" s="59">
        <v>0</v>
      </c>
      <c r="S2399" s="60">
        <f>tblJTL[[#This Row],[timeStamp]]/86400000+DATE(1970,1,1)+TIME(9,0,0)</f>
        <v>46296.423407256945</v>
      </c>
      <c r="T2399" s="57">
        <f>tblJTL[[#This Row],[timeStamp]]+tblJTL[[#This Row],[elapsed]]</f>
        <v>1790816982456</v>
      </c>
      <c r="U2399" s="61">
        <f>(tblJTL[[#This Row],[timeStamp]]-'17_分析サンプル'!$E$18)/1000</f>
        <v>582.20699999999999</v>
      </c>
      <c r="V2399" s="57">
        <f>INT(tblJTL[[#This Row],[経過秒]]/60)</f>
        <v>9</v>
      </c>
      <c r="W2399" s="57">
        <f>IF(OR(tblJTL[[#This Row],[success]]=FALSE,tblJTL[[#This Row],[success]]="false"),1,0)</f>
        <v>0</v>
      </c>
      <c r="X2399" s="57">
        <f>IF(AND(tblJTL[[#This Row],[経過秒]]&gt;='17_分析サンプル'!$E$11,tblJTL[[#This Row],[経過秒]]&lt;'17_分析サンプル'!$E$12),1,0)</f>
        <v>0</v>
      </c>
    </row>
    <row r="2400" spans="2:24" ht="14.4" x14ac:dyDescent="0.3">
      <c r="B2400" s="57">
        <v>1790816982440</v>
      </c>
      <c r="C2400" s="58">
        <v>86</v>
      </c>
      <c r="D2400" s="59" t="s">
        <v>1658</v>
      </c>
      <c r="E2400" s="59" t="s">
        <v>1577</v>
      </c>
      <c r="F2400" s="59" t="s">
        <v>2275</v>
      </c>
      <c r="G2400" s="59" t="s">
        <v>3587</v>
      </c>
      <c r="H2400" s="59" t="s">
        <v>2281</v>
      </c>
      <c r="I2400" s="59" t="b">
        <v>1</v>
      </c>
      <c r="J2400" s="59"/>
      <c r="K2400" s="58">
        <v>1880</v>
      </c>
      <c r="L2400" s="58">
        <v>1342</v>
      </c>
      <c r="M2400" s="59">
        <v>10</v>
      </c>
      <c r="N2400" s="59">
        <v>10</v>
      </c>
      <c r="O2400" s="59" t="s">
        <v>3578</v>
      </c>
      <c r="P2400" s="58">
        <v>83</v>
      </c>
      <c r="Q2400" s="59">
        <v>0</v>
      </c>
      <c r="R2400" s="59">
        <v>0</v>
      </c>
      <c r="S2400" s="60">
        <f>tblJTL[[#This Row],[timeStamp]]/86400000+DATE(1970,1,1)+TIME(9,0,0)</f>
        <v>46296.423407870374</v>
      </c>
      <c r="T2400" s="57">
        <f>tblJTL[[#This Row],[timeStamp]]+tblJTL[[#This Row],[elapsed]]</f>
        <v>1790816982526</v>
      </c>
      <c r="U2400" s="61">
        <f>(tblJTL[[#This Row],[timeStamp]]-'17_分析サンプル'!$E$18)/1000</f>
        <v>582.26</v>
      </c>
      <c r="V2400" s="57">
        <f>INT(tblJTL[[#This Row],[経過秒]]/60)</f>
        <v>9</v>
      </c>
      <c r="W2400" s="57">
        <f>IF(OR(tblJTL[[#This Row],[success]]=FALSE,tblJTL[[#This Row],[success]]="false"),1,0)</f>
        <v>0</v>
      </c>
      <c r="X2400" s="57">
        <f>IF(AND(tblJTL[[#This Row],[経過秒]]&gt;='17_分析サンプル'!$E$11,tblJTL[[#This Row],[経過秒]]&lt;'17_分析サンプル'!$E$12),1,0)</f>
        <v>0</v>
      </c>
    </row>
    <row r="2401" spans="2:24" ht="14.4" x14ac:dyDescent="0.3">
      <c r="B2401" s="57">
        <v>1790816982539</v>
      </c>
      <c r="C2401" s="58">
        <v>77</v>
      </c>
      <c r="D2401" s="59" t="s">
        <v>1658</v>
      </c>
      <c r="E2401" s="59" t="s">
        <v>1577</v>
      </c>
      <c r="F2401" s="59" t="s">
        <v>2275</v>
      </c>
      <c r="G2401" s="59" t="s">
        <v>3584</v>
      </c>
      <c r="H2401" s="59" t="s">
        <v>2281</v>
      </c>
      <c r="I2401" s="59" t="b">
        <v>1</v>
      </c>
      <c r="J2401" s="59"/>
      <c r="K2401" s="58">
        <v>1887</v>
      </c>
      <c r="L2401" s="58">
        <v>1342</v>
      </c>
      <c r="M2401" s="59">
        <v>10</v>
      </c>
      <c r="N2401" s="59">
        <v>10</v>
      </c>
      <c r="O2401" s="59" t="s">
        <v>3578</v>
      </c>
      <c r="P2401" s="58">
        <v>69</v>
      </c>
      <c r="Q2401" s="59">
        <v>0</v>
      </c>
      <c r="R2401" s="59">
        <v>0</v>
      </c>
      <c r="S2401" s="60">
        <f>tblJTL[[#This Row],[timeStamp]]/86400000+DATE(1970,1,1)+TIME(9,0,0)</f>
        <v>46296.423409016206</v>
      </c>
      <c r="T2401" s="57">
        <f>tblJTL[[#This Row],[timeStamp]]+tblJTL[[#This Row],[elapsed]]</f>
        <v>1790816982616</v>
      </c>
      <c r="U2401" s="61">
        <f>(tblJTL[[#This Row],[timeStamp]]-'17_分析サンプル'!$E$18)/1000</f>
        <v>582.35900000000004</v>
      </c>
      <c r="V2401" s="57">
        <f>INT(tblJTL[[#This Row],[経過秒]]/60)</f>
        <v>9</v>
      </c>
      <c r="W2401" s="57">
        <f>IF(OR(tblJTL[[#This Row],[success]]=FALSE,tblJTL[[#This Row],[success]]="false"),1,0)</f>
        <v>0</v>
      </c>
      <c r="X2401" s="57">
        <f>IF(AND(tblJTL[[#This Row],[経過秒]]&gt;='17_分析サンプル'!$E$11,tblJTL[[#This Row],[経過秒]]&lt;'17_分析サンプル'!$E$12),1,0)</f>
        <v>0</v>
      </c>
    </row>
    <row r="2402" spans="2:24" ht="14.4" x14ac:dyDescent="0.3">
      <c r="B2402" s="57">
        <v>1790816982043</v>
      </c>
      <c r="C2402" s="58">
        <v>1337</v>
      </c>
      <c r="D2402" s="59" t="s">
        <v>1677</v>
      </c>
      <c r="E2402" s="59" t="s">
        <v>3579</v>
      </c>
      <c r="F2402" s="59" t="s">
        <v>3580</v>
      </c>
      <c r="G2402" s="59" t="s">
        <v>3585</v>
      </c>
      <c r="H2402" s="59" t="s">
        <v>2281</v>
      </c>
      <c r="I2402" s="59" t="b">
        <v>1</v>
      </c>
      <c r="J2402" s="59"/>
      <c r="K2402" s="58">
        <v>421</v>
      </c>
      <c r="L2402" s="58">
        <v>1478</v>
      </c>
      <c r="M2402" s="59">
        <v>10</v>
      </c>
      <c r="N2402" s="59">
        <v>10</v>
      </c>
      <c r="O2402" s="59" t="s">
        <v>3581</v>
      </c>
      <c r="P2402" s="58">
        <v>1331</v>
      </c>
      <c r="Q2402" s="59">
        <v>0</v>
      </c>
      <c r="R2402" s="59">
        <v>0</v>
      </c>
      <c r="S2402" s="60">
        <f>tblJTL[[#This Row],[timeStamp]]/86400000+DATE(1970,1,1)+TIME(9,0,0)</f>
        <v>46296.423403275461</v>
      </c>
      <c r="T2402" s="57">
        <f>tblJTL[[#This Row],[timeStamp]]+tblJTL[[#This Row],[elapsed]]</f>
        <v>1790816983380</v>
      </c>
      <c r="U2402" s="61">
        <f>(tblJTL[[#This Row],[timeStamp]]-'17_分析サンプル'!$E$18)/1000</f>
        <v>581.86300000000006</v>
      </c>
      <c r="V2402" s="57">
        <f>INT(tblJTL[[#This Row],[経過秒]]/60)</f>
        <v>9</v>
      </c>
      <c r="W2402" s="57">
        <f>IF(OR(tblJTL[[#This Row],[success]]=FALSE,tblJTL[[#This Row],[success]]="false"),1,0)</f>
        <v>0</v>
      </c>
      <c r="X2402" s="57">
        <f>IF(AND(tblJTL[[#This Row],[経過秒]]&gt;='17_分析サンプル'!$E$11,tblJTL[[#This Row],[経過秒]]&lt;'17_分析サンプル'!$E$12),1,0)</f>
        <v>0</v>
      </c>
    </row>
    <row r="2403" spans="2:24" ht="14.4" x14ac:dyDescent="0.3">
      <c r="B2403" s="57">
        <v>1790816983274</v>
      </c>
      <c r="C2403" s="58">
        <v>123</v>
      </c>
      <c r="D2403" s="59" t="s">
        <v>1658</v>
      </c>
      <c r="E2403" s="59" t="s">
        <v>1577</v>
      </c>
      <c r="F2403" s="59" t="s">
        <v>2275</v>
      </c>
      <c r="G2403" s="59" t="s">
        <v>3582</v>
      </c>
      <c r="H2403" s="59" t="s">
        <v>2281</v>
      </c>
      <c r="I2403" s="59" t="b">
        <v>1</v>
      </c>
      <c r="J2403" s="59"/>
      <c r="K2403" s="58">
        <v>1840</v>
      </c>
      <c r="L2403" s="58">
        <v>1342</v>
      </c>
      <c r="M2403" s="59">
        <v>10</v>
      </c>
      <c r="N2403" s="59">
        <v>10</v>
      </c>
      <c r="O2403" s="59" t="s">
        <v>3578</v>
      </c>
      <c r="P2403" s="58">
        <v>119</v>
      </c>
      <c r="Q2403" s="59">
        <v>0</v>
      </c>
      <c r="R2403" s="59">
        <v>0</v>
      </c>
      <c r="S2403" s="60">
        <f>tblJTL[[#This Row],[timeStamp]]/86400000+DATE(1970,1,1)+TIME(9,0,0)</f>
        <v>46296.423417523147</v>
      </c>
      <c r="T2403" s="57">
        <f>tblJTL[[#This Row],[timeStamp]]+tblJTL[[#This Row],[elapsed]]</f>
        <v>1790816983397</v>
      </c>
      <c r="U2403" s="61">
        <f>(tblJTL[[#This Row],[timeStamp]]-'17_分析サンプル'!$E$18)/1000</f>
        <v>583.09400000000005</v>
      </c>
      <c r="V2403" s="57">
        <f>INT(tblJTL[[#This Row],[経過秒]]/60)</f>
        <v>9</v>
      </c>
      <c r="W2403" s="57">
        <f>IF(OR(tblJTL[[#This Row],[success]]=FALSE,tblJTL[[#This Row],[success]]="false"),1,0)</f>
        <v>0</v>
      </c>
      <c r="X2403" s="57">
        <f>IF(AND(tblJTL[[#This Row],[経過秒]]&gt;='17_分析サンプル'!$E$11,tblJTL[[#This Row],[経過秒]]&lt;'17_分析サンプル'!$E$12),1,0)</f>
        <v>0</v>
      </c>
    </row>
    <row r="2404" spans="2:24" ht="14.4" x14ac:dyDescent="0.3">
      <c r="B2404" s="57">
        <v>1790816983606</v>
      </c>
      <c r="C2404" s="58">
        <v>235</v>
      </c>
      <c r="D2404" s="59" t="s">
        <v>1677</v>
      </c>
      <c r="E2404" s="59" t="s">
        <v>3579</v>
      </c>
      <c r="F2404" s="59" t="s">
        <v>3580</v>
      </c>
      <c r="G2404" s="59" t="s">
        <v>3577</v>
      </c>
      <c r="H2404" s="59" t="s">
        <v>2281</v>
      </c>
      <c r="I2404" s="59" t="b">
        <v>1</v>
      </c>
      <c r="J2404" s="59"/>
      <c r="K2404" s="58">
        <v>410</v>
      </c>
      <c r="L2404" s="58">
        <v>1478</v>
      </c>
      <c r="M2404" s="59">
        <v>10</v>
      </c>
      <c r="N2404" s="59">
        <v>10</v>
      </c>
      <c r="O2404" s="59" t="s">
        <v>3581</v>
      </c>
      <c r="P2404" s="58">
        <v>233</v>
      </c>
      <c r="Q2404" s="59">
        <v>0</v>
      </c>
      <c r="R2404" s="59">
        <v>0</v>
      </c>
      <c r="S2404" s="60">
        <f>tblJTL[[#This Row],[timeStamp]]/86400000+DATE(1970,1,1)+TIME(9,0,0)</f>
        <v>46296.42342136574</v>
      </c>
      <c r="T2404" s="57">
        <f>tblJTL[[#This Row],[timeStamp]]+tblJTL[[#This Row],[elapsed]]</f>
        <v>1790816983841</v>
      </c>
      <c r="U2404" s="61">
        <f>(tblJTL[[#This Row],[timeStamp]]-'17_分析サンプル'!$E$18)/1000</f>
        <v>583.42600000000004</v>
      </c>
      <c r="V2404" s="57">
        <f>INT(tblJTL[[#This Row],[経過秒]]/60)</f>
        <v>9</v>
      </c>
      <c r="W2404" s="57">
        <f>IF(OR(tblJTL[[#This Row],[success]]=FALSE,tblJTL[[#This Row],[success]]="false"),1,0)</f>
        <v>0</v>
      </c>
      <c r="X2404" s="57">
        <f>IF(AND(tblJTL[[#This Row],[経過秒]]&gt;='17_分析サンプル'!$E$11,tblJTL[[#This Row],[経過秒]]&lt;'17_分析サンプル'!$E$12),1,0)</f>
        <v>0</v>
      </c>
    </row>
    <row r="2405" spans="2:24" ht="14.4" x14ac:dyDescent="0.3">
      <c r="B2405" s="57">
        <v>1790816983605</v>
      </c>
      <c r="C2405" s="58">
        <v>287</v>
      </c>
      <c r="D2405" s="59" t="s">
        <v>1677</v>
      </c>
      <c r="E2405" s="59" t="s">
        <v>3579</v>
      </c>
      <c r="F2405" s="59" t="s">
        <v>3580</v>
      </c>
      <c r="G2405" s="59" t="s">
        <v>3586</v>
      </c>
      <c r="H2405" s="59" t="s">
        <v>2281</v>
      </c>
      <c r="I2405" s="59" t="b">
        <v>1</v>
      </c>
      <c r="J2405" s="59"/>
      <c r="K2405" s="58">
        <v>428</v>
      </c>
      <c r="L2405" s="58">
        <v>1478</v>
      </c>
      <c r="M2405" s="59">
        <v>10</v>
      </c>
      <c r="N2405" s="59">
        <v>10</v>
      </c>
      <c r="O2405" s="59" t="s">
        <v>3581</v>
      </c>
      <c r="P2405" s="58">
        <v>279</v>
      </c>
      <c r="Q2405" s="59">
        <v>0</v>
      </c>
      <c r="R2405" s="59">
        <v>0</v>
      </c>
      <c r="S2405" s="60">
        <f>tblJTL[[#This Row],[timeStamp]]/86400000+DATE(1970,1,1)+TIME(9,0,0)</f>
        <v>46296.423421354164</v>
      </c>
      <c r="T2405" s="57">
        <f>tblJTL[[#This Row],[timeStamp]]+tblJTL[[#This Row],[elapsed]]</f>
        <v>1790816983892</v>
      </c>
      <c r="U2405" s="61">
        <f>(tblJTL[[#This Row],[timeStamp]]-'17_分析サンプル'!$E$18)/1000</f>
        <v>583.42499999999995</v>
      </c>
      <c r="V2405" s="57">
        <f>INT(tblJTL[[#This Row],[経過秒]]/60)</f>
        <v>9</v>
      </c>
      <c r="W2405" s="57">
        <f>IF(OR(tblJTL[[#This Row],[success]]=FALSE,tblJTL[[#This Row],[success]]="false"),1,0)</f>
        <v>0</v>
      </c>
      <c r="X2405" s="57">
        <f>IF(AND(tblJTL[[#This Row],[経過秒]]&gt;='17_分析サンプル'!$E$11,tblJTL[[#This Row],[経過秒]]&lt;'17_分析サンプル'!$E$12),1,0)</f>
        <v>0</v>
      </c>
    </row>
    <row r="2406" spans="2:24" ht="14.4" x14ac:dyDescent="0.3">
      <c r="B2406" s="57">
        <v>1790816983975</v>
      </c>
      <c r="C2406" s="58">
        <v>65</v>
      </c>
      <c r="D2406" s="59" t="s">
        <v>1658</v>
      </c>
      <c r="E2406" s="59" t="s">
        <v>1577</v>
      </c>
      <c r="F2406" s="59" t="s">
        <v>2275</v>
      </c>
      <c r="G2406" s="59" t="s">
        <v>3583</v>
      </c>
      <c r="H2406" s="59" t="s">
        <v>2281</v>
      </c>
      <c r="I2406" s="59" t="b">
        <v>1</v>
      </c>
      <c r="J2406" s="59"/>
      <c r="K2406" s="58">
        <v>1824</v>
      </c>
      <c r="L2406" s="58">
        <v>1342</v>
      </c>
      <c r="M2406" s="59">
        <v>10</v>
      </c>
      <c r="N2406" s="59">
        <v>10</v>
      </c>
      <c r="O2406" s="59" t="s">
        <v>3578</v>
      </c>
      <c r="P2406" s="58">
        <v>58</v>
      </c>
      <c r="Q2406" s="59">
        <v>0</v>
      </c>
      <c r="R2406" s="59">
        <v>0</v>
      </c>
      <c r="S2406" s="60">
        <f>tblJTL[[#This Row],[timeStamp]]/86400000+DATE(1970,1,1)+TIME(9,0,0)</f>
        <v>46296.423425636574</v>
      </c>
      <c r="T2406" s="57">
        <f>tblJTL[[#This Row],[timeStamp]]+tblJTL[[#This Row],[elapsed]]</f>
        <v>1790816984040</v>
      </c>
      <c r="U2406" s="61">
        <f>(tblJTL[[#This Row],[timeStamp]]-'17_分析サンプル'!$E$18)/1000</f>
        <v>583.79499999999996</v>
      </c>
      <c r="V2406" s="57">
        <f>INT(tblJTL[[#This Row],[経過秒]]/60)</f>
        <v>9</v>
      </c>
      <c r="W2406" s="57">
        <f>IF(OR(tblJTL[[#This Row],[success]]=FALSE,tblJTL[[#This Row],[success]]="false"),1,0)</f>
        <v>0</v>
      </c>
      <c r="X2406" s="57">
        <f>IF(AND(tblJTL[[#This Row],[経過秒]]&gt;='17_分析サンプル'!$E$11,tblJTL[[#This Row],[経過秒]]&lt;'17_分析サンプル'!$E$12),1,0)</f>
        <v>0</v>
      </c>
    </row>
    <row r="2407" spans="2:24" ht="14.4" x14ac:dyDescent="0.3">
      <c r="B2407" s="57">
        <v>1790816983848</v>
      </c>
      <c r="C2407" s="58">
        <v>486</v>
      </c>
      <c r="D2407" s="59" t="s">
        <v>1677</v>
      </c>
      <c r="E2407" s="59" t="s">
        <v>3579</v>
      </c>
      <c r="F2407" s="59" t="s">
        <v>3580</v>
      </c>
      <c r="G2407" s="59" t="s">
        <v>2278</v>
      </c>
      <c r="H2407" s="59" t="s">
        <v>2281</v>
      </c>
      <c r="I2407" s="59" t="b">
        <v>1</v>
      </c>
      <c r="J2407" s="59"/>
      <c r="K2407" s="58">
        <v>423</v>
      </c>
      <c r="L2407" s="58">
        <v>1478</v>
      </c>
      <c r="M2407" s="59">
        <v>10</v>
      </c>
      <c r="N2407" s="59">
        <v>10</v>
      </c>
      <c r="O2407" s="59" t="s">
        <v>3581</v>
      </c>
      <c r="P2407" s="58">
        <v>483</v>
      </c>
      <c r="Q2407" s="59">
        <v>0</v>
      </c>
      <c r="R2407" s="59">
        <v>0</v>
      </c>
      <c r="S2407" s="60">
        <f>tblJTL[[#This Row],[timeStamp]]/86400000+DATE(1970,1,1)+TIME(9,0,0)</f>
        <v>46296.423424166671</v>
      </c>
      <c r="T2407" s="57">
        <f>tblJTL[[#This Row],[timeStamp]]+tblJTL[[#This Row],[elapsed]]</f>
        <v>1790816984334</v>
      </c>
      <c r="U2407" s="61">
        <f>(tblJTL[[#This Row],[timeStamp]]-'17_分析サンプル'!$E$18)/1000</f>
        <v>583.66800000000001</v>
      </c>
      <c r="V2407" s="57">
        <f>INT(tblJTL[[#This Row],[経過秒]]/60)</f>
        <v>9</v>
      </c>
      <c r="W2407" s="57">
        <f>IF(OR(tblJTL[[#This Row],[success]]=FALSE,tblJTL[[#This Row],[success]]="false"),1,0)</f>
        <v>0</v>
      </c>
      <c r="X2407" s="57">
        <f>IF(AND(tblJTL[[#This Row],[経過秒]]&gt;='17_分析サンプル'!$E$11,tblJTL[[#This Row],[経過秒]]&lt;'17_分析サンプル'!$E$12),1,0)</f>
        <v>0</v>
      </c>
    </row>
    <row r="2408" spans="2:24" ht="14.4" x14ac:dyDescent="0.3">
      <c r="B2408" s="57">
        <v>1790816984429</v>
      </c>
      <c r="C2408" s="58">
        <v>195</v>
      </c>
      <c r="D2408" s="59" t="s">
        <v>1677</v>
      </c>
      <c r="E2408" s="59" t="s">
        <v>3579</v>
      </c>
      <c r="F2408" s="59" t="s">
        <v>3580</v>
      </c>
      <c r="G2408" s="59" t="s">
        <v>3584</v>
      </c>
      <c r="H2408" s="59" t="s">
        <v>2281</v>
      </c>
      <c r="I2408" s="59" t="b">
        <v>1</v>
      </c>
      <c r="J2408" s="59"/>
      <c r="K2408" s="58">
        <v>417</v>
      </c>
      <c r="L2408" s="58">
        <v>1478</v>
      </c>
      <c r="M2408" s="59">
        <v>10</v>
      </c>
      <c r="N2408" s="59">
        <v>10</v>
      </c>
      <c r="O2408" s="59" t="s">
        <v>3581</v>
      </c>
      <c r="P2408" s="58">
        <v>189</v>
      </c>
      <c r="Q2408" s="59">
        <v>0</v>
      </c>
      <c r="R2408" s="59">
        <v>0</v>
      </c>
      <c r="S2408" s="60">
        <f>tblJTL[[#This Row],[timeStamp]]/86400000+DATE(1970,1,1)+TIME(9,0,0)</f>
        <v>46296.423430891205</v>
      </c>
      <c r="T2408" s="57">
        <f>tblJTL[[#This Row],[timeStamp]]+tblJTL[[#This Row],[elapsed]]</f>
        <v>1790816984624</v>
      </c>
      <c r="U2408" s="61">
        <f>(tblJTL[[#This Row],[timeStamp]]-'17_分析サンプル'!$E$18)/1000</f>
        <v>584.24900000000002</v>
      </c>
      <c r="V2408" s="57">
        <f>INT(tblJTL[[#This Row],[経過秒]]/60)</f>
        <v>9</v>
      </c>
      <c r="W2408" s="57">
        <f>IF(OR(tblJTL[[#This Row],[success]]=FALSE,tblJTL[[#This Row],[success]]="false"),1,0)</f>
        <v>0</v>
      </c>
      <c r="X2408" s="57">
        <f>IF(AND(tblJTL[[#This Row],[経過秒]]&gt;='17_分析サンプル'!$E$11,tblJTL[[#This Row],[経過秒]]&lt;'17_分析サンプル'!$E$12),1,0)</f>
        <v>0</v>
      </c>
    </row>
    <row r="2409" spans="2:24" ht="14.4" x14ac:dyDescent="0.3">
      <c r="B2409" s="57">
        <v>1790816984728</v>
      </c>
      <c r="C2409" s="58">
        <v>107</v>
      </c>
      <c r="D2409" s="59" t="s">
        <v>1658</v>
      </c>
      <c r="E2409" s="59" t="s">
        <v>1577</v>
      </c>
      <c r="F2409" s="59" t="s">
        <v>2275</v>
      </c>
      <c r="G2409" s="59" t="s">
        <v>3589</v>
      </c>
      <c r="H2409" s="59" t="s">
        <v>2281</v>
      </c>
      <c r="I2409" s="59" t="b">
        <v>1</v>
      </c>
      <c r="J2409" s="59"/>
      <c r="K2409" s="58">
        <v>1876</v>
      </c>
      <c r="L2409" s="58">
        <v>1342</v>
      </c>
      <c r="M2409" s="59">
        <v>10</v>
      </c>
      <c r="N2409" s="59">
        <v>10</v>
      </c>
      <c r="O2409" s="59" t="s">
        <v>3578</v>
      </c>
      <c r="P2409" s="58">
        <v>99</v>
      </c>
      <c r="Q2409" s="59">
        <v>0</v>
      </c>
      <c r="R2409" s="59">
        <v>0</v>
      </c>
      <c r="S2409" s="60">
        <f>tblJTL[[#This Row],[timeStamp]]/86400000+DATE(1970,1,1)+TIME(9,0,0)</f>
        <v>46296.423434351847</v>
      </c>
      <c r="T2409" s="57">
        <f>tblJTL[[#This Row],[timeStamp]]+tblJTL[[#This Row],[elapsed]]</f>
        <v>1790816984835</v>
      </c>
      <c r="U2409" s="61">
        <f>(tblJTL[[#This Row],[timeStamp]]-'17_分析サンプル'!$E$18)/1000</f>
        <v>584.548</v>
      </c>
      <c r="V2409" s="57">
        <f>INT(tblJTL[[#This Row],[経過秒]]/60)</f>
        <v>9</v>
      </c>
      <c r="W2409" s="57">
        <f>IF(OR(tblJTL[[#This Row],[success]]=FALSE,tblJTL[[#This Row],[success]]="false"),1,0)</f>
        <v>0</v>
      </c>
      <c r="X2409" s="57">
        <f>IF(AND(tblJTL[[#This Row],[経過秒]]&gt;='17_分析サンプル'!$E$11,tblJTL[[#This Row],[経過秒]]&lt;'17_分析サンプル'!$E$12),1,0)</f>
        <v>0</v>
      </c>
    </row>
    <row r="2410" spans="2:24" ht="14.4" x14ac:dyDescent="0.3">
      <c r="B2410" s="57">
        <v>1790816984825</v>
      </c>
      <c r="C2410" s="58">
        <v>195</v>
      </c>
      <c r="D2410" s="59" t="s">
        <v>1677</v>
      </c>
      <c r="E2410" s="59" t="s">
        <v>3579</v>
      </c>
      <c r="F2410" s="59" t="s">
        <v>3580</v>
      </c>
      <c r="G2410" s="59" t="s">
        <v>3588</v>
      </c>
      <c r="H2410" s="59" t="s">
        <v>2281</v>
      </c>
      <c r="I2410" s="59" t="b">
        <v>1</v>
      </c>
      <c r="J2410" s="59"/>
      <c r="K2410" s="58">
        <v>439</v>
      </c>
      <c r="L2410" s="58">
        <v>1478</v>
      </c>
      <c r="M2410" s="59">
        <v>10</v>
      </c>
      <c r="N2410" s="59">
        <v>10</v>
      </c>
      <c r="O2410" s="59" t="s">
        <v>3581</v>
      </c>
      <c r="P2410" s="58">
        <v>191</v>
      </c>
      <c r="Q2410" s="59">
        <v>0</v>
      </c>
      <c r="R2410" s="59">
        <v>0</v>
      </c>
      <c r="S2410" s="60">
        <f>tblJTL[[#This Row],[timeStamp]]/86400000+DATE(1970,1,1)+TIME(9,0,0)</f>
        <v>46296.423435474542</v>
      </c>
      <c r="T2410" s="57">
        <f>tblJTL[[#This Row],[timeStamp]]+tblJTL[[#This Row],[elapsed]]</f>
        <v>1790816985020</v>
      </c>
      <c r="U2410" s="61">
        <f>(tblJTL[[#This Row],[timeStamp]]-'17_分析サンプル'!$E$18)/1000</f>
        <v>584.64499999999998</v>
      </c>
      <c r="V2410" s="57">
        <f>INT(tblJTL[[#This Row],[経過秒]]/60)</f>
        <v>9</v>
      </c>
      <c r="W2410" s="57">
        <f>IF(OR(tblJTL[[#This Row],[success]]=FALSE,tblJTL[[#This Row],[success]]="false"),1,0)</f>
        <v>0</v>
      </c>
      <c r="X2410" s="57">
        <f>IF(AND(tblJTL[[#This Row],[経過秒]]&gt;='17_分析サンプル'!$E$11,tblJTL[[#This Row],[経過秒]]&lt;'17_分析サンプル'!$E$12),1,0)</f>
        <v>0</v>
      </c>
    </row>
    <row r="2411" spans="2:24" ht="14.4" x14ac:dyDescent="0.3">
      <c r="B2411" s="57">
        <v>1790816985187</v>
      </c>
      <c r="C2411" s="58">
        <v>189</v>
      </c>
      <c r="D2411" s="59" t="s">
        <v>1677</v>
      </c>
      <c r="E2411" s="59" t="s">
        <v>3579</v>
      </c>
      <c r="F2411" s="59" t="s">
        <v>3580</v>
      </c>
      <c r="G2411" s="59" t="s">
        <v>3587</v>
      </c>
      <c r="H2411" s="59" t="s">
        <v>2281</v>
      </c>
      <c r="I2411" s="59" t="b">
        <v>1</v>
      </c>
      <c r="J2411" s="59"/>
      <c r="K2411" s="58">
        <v>424</v>
      </c>
      <c r="L2411" s="58">
        <v>1478</v>
      </c>
      <c r="M2411" s="59">
        <v>10</v>
      </c>
      <c r="N2411" s="59">
        <v>10</v>
      </c>
      <c r="O2411" s="59" t="s">
        <v>3581</v>
      </c>
      <c r="P2411" s="58">
        <v>187</v>
      </c>
      <c r="Q2411" s="59">
        <v>0</v>
      </c>
      <c r="R2411" s="59">
        <v>0</v>
      </c>
      <c r="S2411" s="60">
        <f>tblJTL[[#This Row],[timeStamp]]/86400000+DATE(1970,1,1)+TIME(9,0,0)</f>
        <v>46296.423439664351</v>
      </c>
      <c r="T2411" s="57">
        <f>tblJTL[[#This Row],[timeStamp]]+tblJTL[[#This Row],[elapsed]]</f>
        <v>1790816985376</v>
      </c>
      <c r="U2411" s="61">
        <f>(tblJTL[[#This Row],[timeStamp]]-'17_分析サンプル'!$E$18)/1000</f>
        <v>585.00699999999995</v>
      </c>
      <c r="V2411" s="57">
        <f>INT(tblJTL[[#This Row],[経過秒]]/60)</f>
        <v>9</v>
      </c>
      <c r="W2411" s="57">
        <f>IF(OR(tblJTL[[#This Row],[success]]=FALSE,tblJTL[[#This Row],[success]]="false"),1,0)</f>
        <v>0</v>
      </c>
      <c r="X2411" s="57">
        <f>IF(AND(tblJTL[[#This Row],[経過秒]]&gt;='17_分析サンプル'!$E$11,tblJTL[[#This Row],[経過秒]]&lt;'17_分析サンプル'!$E$12),1,0)</f>
        <v>0</v>
      </c>
    </row>
    <row r="2412" spans="2:24" ht="14.4" x14ac:dyDescent="0.3">
      <c r="B2412" s="57">
        <v>1790816985426</v>
      </c>
      <c r="C2412" s="58">
        <v>112</v>
      </c>
      <c r="D2412" s="59" t="s">
        <v>1658</v>
      </c>
      <c r="E2412" s="59" t="s">
        <v>1577</v>
      </c>
      <c r="F2412" s="59" t="s">
        <v>2275</v>
      </c>
      <c r="G2412" s="59" t="s">
        <v>3577</v>
      </c>
      <c r="H2412" s="59" t="s">
        <v>2281</v>
      </c>
      <c r="I2412" s="59" t="b">
        <v>1</v>
      </c>
      <c r="J2412" s="59"/>
      <c r="K2412" s="58">
        <v>1866</v>
      </c>
      <c r="L2412" s="58">
        <v>1342</v>
      </c>
      <c r="M2412" s="59">
        <v>10</v>
      </c>
      <c r="N2412" s="59">
        <v>10</v>
      </c>
      <c r="O2412" s="59" t="s">
        <v>3578</v>
      </c>
      <c r="P2412" s="58">
        <v>104</v>
      </c>
      <c r="Q2412" s="59">
        <v>0</v>
      </c>
      <c r="R2412" s="59">
        <v>0</v>
      </c>
      <c r="S2412" s="60">
        <f>tblJTL[[#This Row],[timeStamp]]/86400000+DATE(1970,1,1)+TIME(9,0,0)</f>
        <v>46296.423442430554</v>
      </c>
      <c r="T2412" s="57">
        <f>tblJTL[[#This Row],[timeStamp]]+tblJTL[[#This Row],[elapsed]]</f>
        <v>1790816985538</v>
      </c>
      <c r="U2412" s="61">
        <f>(tblJTL[[#This Row],[timeStamp]]-'17_分析サンプル'!$E$18)/1000</f>
        <v>585.24599999999998</v>
      </c>
      <c r="V2412" s="57">
        <f>INT(tblJTL[[#This Row],[経過秒]]/60)</f>
        <v>9</v>
      </c>
      <c r="W2412" s="57">
        <f>IF(OR(tblJTL[[#This Row],[success]]=FALSE,tblJTL[[#This Row],[success]]="false"),1,0)</f>
        <v>0</v>
      </c>
      <c r="X2412" s="57">
        <f>IF(AND(tblJTL[[#This Row],[経過秒]]&gt;='17_分析サンプル'!$E$11,tblJTL[[#This Row],[経過秒]]&lt;'17_分析サンプル'!$E$12),1,0)</f>
        <v>0</v>
      </c>
    </row>
    <row r="2413" spans="2:24" ht="14.4" x14ac:dyDescent="0.3">
      <c r="B2413" s="57">
        <v>1790816985683</v>
      </c>
      <c r="C2413" s="58">
        <v>159</v>
      </c>
      <c r="D2413" s="59" t="s">
        <v>1658</v>
      </c>
      <c r="E2413" s="59" t="s">
        <v>1577</v>
      </c>
      <c r="F2413" s="59" t="s">
        <v>2275</v>
      </c>
      <c r="G2413" s="59" t="s">
        <v>3585</v>
      </c>
      <c r="H2413" s="59" t="s">
        <v>2281</v>
      </c>
      <c r="I2413" s="59" t="b">
        <v>1</v>
      </c>
      <c r="J2413" s="59"/>
      <c r="K2413" s="58">
        <v>1833</v>
      </c>
      <c r="L2413" s="58">
        <v>1342</v>
      </c>
      <c r="M2413" s="59">
        <v>10</v>
      </c>
      <c r="N2413" s="59">
        <v>10</v>
      </c>
      <c r="O2413" s="59" t="s">
        <v>3578</v>
      </c>
      <c r="P2413" s="58">
        <v>155</v>
      </c>
      <c r="Q2413" s="59">
        <v>0</v>
      </c>
      <c r="R2413" s="59">
        <v>0</v>
      </c>
      <c r="S2413" s="60">
        <f>tblJTL[[#This Row],[timeStamp]]/86400000+DATE(1970,1,1)+TIME(9,0,0)</f>
        <v>46296.423445405089</v>
      </c>
      <c r="T2413" s="57">
        <f>tblJTL[[#This Row],[timeStamp]]+tblJTL[[#This Row],[elapsed]]</f>
        <v>1790816985842</v>
      </c>
      <c r="U2413" s="61">
        <f>(tblJTL[[#This Row],[timeStamp]]-'17_分析サンプル'!$E$18)/1000</f>
        <v>585.50300000000004</v>
      </c>
      <c r="V2413" s="57">
        <f>INT(tblJTL[[#This Row],[経過秒]]/60)</f>
        <v>9</v>
      </c>
      <c r="W2413" s="57">
        <f>IF(OR(tblJTL[[#This Row],[success]]=FALSE,tblJTL[[#This Row],[success]]="false"),1,0)</f>
        <v>0</v>
      </c>
      <c r="X2413" s="57">
        <f>IF(AND(tblJTL[[#This Row],[経過秒]]&gt;='17_分析サンプル'!$E$11,tblJTL[[#This Row],[経過秒]]&lt;'17_分析サンプル'!$E$12),1,0)</f>
        <v>0</v>
      </c>
    </row>
    <row r="2414" spans="2:24" ht="14.4" x14ac:dyDescent="0.3">
      <c r="B2414" s="57">
        <v>1790816985873</v>
      </c>
      <c r="C2414" s="58">
        <v>68</v>
      </c>
      <c r="D2414" s="59" t="s">
        <v>1658</v>
      </c>
      <c r="E2414" s="59" t="s">
        <v>1577</v>
      </c>
      <c r="F2414" s="59" t="s">
        <v>2275</v>
      </c>
      <c r="G2414" s="59" t="s">
        <v>3586</v>
      </c>
      <c r="H2414" s="59" t="s">
        <v>2281</v>
      </c>
      <c r="I2414" s="59" t="b">
        <v>1</v>
      </c>
      <c r="J2414" s="59"/>
      <c r="K2414" s="58">
        <v>1890</v>
      </c>
      <c r="L2414" s="58">
        <v>1342</v>
      </c>
      <c r="M2414" s="59">
        <v>10</v>
      </c>
      <c r="N2414" s="59">
        <v>10</v>
      </c>
      <c r="O2414" s="59" t="s">
        <v>3578</v>
      </c>
      <c r="P2414" s="58">
        <v>60</v>
      </c>
      <c r="Q2414" s="59">
        <v>0</v>
      </c>
      <c r="R2414" s="59">
        <v>0</v>
      </c>
      <c r="S2414" s="60">
        <f>tblJTL[[#This Row],[timeStamp]]/86400000+DATE(1970,1,1)+TIME(9,0,0)</f>
        <v>46296.423447604167</v>
      </c>
      <c r="T2414" s="57">
        <f>tblJTL[[#This Row],[timeStamp]]+tblJTL[[#This Row],[elapsed]]</f>
        <v>1790816985941</v>
      </c>
      <c r="U2414" s="61">
        <f>(tblJTL[[#This Row],[timeStamp]]-'17_分析サンプル'!$E$18)/1000</f>
        <v>585.69299999999998</v>
      </c>
      <c r="V2414" s="57">
        <f>INT(tblJTL[[#This Row],[経過秒]]/60)</f>
        <v>9</v>
      </c>
      <c r="W2414" s="57">
        <f>IF(OR(tblJTL[[#This Row],[success]]=FALSE,tblJTL[[#This Row],[success]]="false"),1,0)</f>
        <v>0</v>
      </c>
      <c r="X2414" s="57">
        <f>IF(AND(tblJTL[[#This Row],[経過秒]]&gt;='17_分析サンプル'!$E$11,tblJTL[[#This Row],[経過秒]]&lt;'17_分析サンプル'!$E$12),1,0)</f>
        <v>0</v>
      </c>
    </row>
    <row r="2415" spans="2:24" ht="14.4" x14ac:dyDescent="0.3">
      <c r="B2415" s="57">
        <v>1790816985711</v>
      </c>
      <c r="C2415" s="58">
        <v>238</v>
      </c>
      <c r="D2415" s="59" t="s">
        <v>1677</v>
      </c>
      <c r="E2415" s="59" t="s">
        <v>3579</v>
      </c>
      <c r="F2415" s="59" t="s">
        <v>3580</v>
      </c>
      <c r="G2415" s="59" t="s">
        <v>3583</v>
      </c>
      <c r="H2415" s="59" t="s">
        <v>2281</v>
      </c>
      <c r="I2415" s="59" t="b">
        <v>1</v>
      </c>
      <c r="J2415" s="59"/>
      <c r="K2415" s="58">
        <v>428</v>
      </c>
      <c r="L2415" s="58">
        <v>1478</v>
      </c>
      <c r="M2415" s="59">
        <v>10</v>
      </c>
      <c r="N2415" s="59">
        <v>10</v>
      </c>
      <c r="O2415" s="59" t="s">
        <v>3581</v>
      </c>
      <c r="P2415" s="58">
        <v>232</v>
      </c>
      <c r="Q2415" s="59">
        <v>0</v>
      </c>
      <c r="R2415" s="59">
        <v>0</v>
      </c>
      <c r="S2415" s="60">
        <f>tblJTL[[#This Row],[timeStamp]]/86400000+DATE(1970,1,1)+TIME(9,0,0)</f>
        <v>46296.423445729168</v>
      </c>
      <c r="T2415" s="57">
        <f>tblJTL[[#This Row],[timeStamp]]+tblJTL[[#This Row],[elapsed]]</f>
        <v>1790816985949</v>
      </c>
      <c r="U2415" s="61">
        <f>(tblJTL[[#This Row],[timeStamp]]-'17_分析サンプル'!$E$18)/1000</f>
        <v>585.53099999999995</v>
      </c>
      <c r="V2415" s="57">
        <f>INT(tblJTL[[#This Row],[経過秒]]/60)</f>
        <v>9</v>
      </c>
      <c r="W2415" s="57">
        <f>IF(OR(tblJTL[[#This Row],[success]]=FALSE,tblJTL[[#This Row],[success]]="false"),1,0)</f>
        <v>0</v>
      </c>
      <c r="X2415" s="57">
        <f>IF(AND(tblJTL[[#This Row],[経過秒]]&gt;='17_分析サンプル'!$E$11,tblJTL[[#This Row],[経過秒]]&lt;'17_分析サンプル'!$E$12),1,0)</f>
        <v>0</v>
      </c>
    </row>
    <row r="2416" spans="2:24" ht="14.4" x14ac:dyDescent="0.3">
      <c r="B2416" s="57">
        <v>1790816985920</v>
      </c>
      <c r="C2416" s="58">
        <v>133</v>
      </c>
      <c r="D2416" s="59" t="s">
        <v>1658</v>
      </c>
      <c r="E2416" s="59" t="s">
        <v>1577</v>
      </c>
      <c r="F2416" s="59" t="s">
        <v>2275</v>
      </c>
      <c r="G2416" s="59" t="s">
        <v>3584</v>
      </c>
      <c r="H2416" s="59" t="s">
        <v>2281</v>
      </c>
      <c r="I2416" s="59" t="b">
        <v>1</v>
      </c>
      <c r="J2416" s="59"/>
      <c r="K2416" s="58">
        <v>1858</v>
      </c>
      <c r="L2416" s="58">
        <v>1342</v>
      </c>
      <c r="M2416" s="59">
        <v>10</v>
      </c>
      <c r="N2416" s="59">
        <v>10</v>
      </c>
      <c r="O2416" s="59" t="s">
        <v>3578</v>
      </c>
      <c r="P2416" s="58">
        <v>128</v>
      </c>
      <c r="Q2416" s="59">
        <v>0</v>
      </c>
      <c r="R2416" s="59">
        <v>0</v>
      </c>
      <c r="S2416" s="60">
        <f>tblJTL[[#This Row],[timeStamp]]/86400000+DATE(1970,1,1)+TIME(9,0,0)</f>
        <v>46296.423448148147</v>
      </c>
      <c r="T2416" s="57">
        <f>tblJTL[[#This Row],[timeStamp]]+tblJTL[[#This Row],[elapsed]]</f>
        <v>1790816986053</v>
      </c>
      <c r="U2416" s="61">
        <f>(tblJTL[[#This Row],[timeStamp]]-'17_分析サンプル'!$E$18)/1000</f>
        <v>585.74</v>
      </c>
      <c r="V2416" s="57">
        <f>INT(tblJTL[[#This Row],[経過秒]]/60)</f>
        <v>9</v>
      </c>
      <c r="W2416" s="57">
        <f>IF(OR(tblJTL[[#This Row],[success]]=FALSE,tblJTL[[#This Row],[success]]="false"),1,0)</f>
        <v>0</v>
      </c>
      <c r="X2416" s="57">
        <f>IF(AND(tblJTL[[#This Row],[経過秒]]&gt;='17_分析サンプル'!$E$11,tblJTL[[#This Row],[経過秒]]&lt;'17_分析サンプル'!$E$12),1,0)</f>
        <v>0</v>
      </c>
    </row>
    <row r="2417" spans="2:24" ht="14.4" x14ac:dyDescent="0.3">
      <c r="B2417" s="57">
        <v>1790816985905</v>
      </c>
      <c r="C2417" s="58">
        <v>202</v>
      </c>
      <c r="D2417" s="59" t="s">
        <v>1677</v>
      </c>
      <c r="E2417" s="59" t="s">
        <v>3579</v>
      </c>
      <c r="F2417" s="59" t="s">
        <v>3580</v>
      </c>
      <c r="G2417" s="59" t="s">
        <v>3582</v>
      </c>
      <c r="H2417" s="59" t="s">
        <v>2281</v>
      </c>
      <c r="I2417" s="59" t="b">
        <v>1</v>
      </c>
      <c r="J2417" s="59"/>
      <c r="K2417" s="58">
        <v>411</v>
      </c>
      <c r="L2417" s="58">
        <v>1478</v>
      </c>
      <c r="M2417" s="59">
        <v>10</v>
      </c>
      <c r="N2417" s="59">
        <v>10</v>
      </c>
      <c r="O2417" s="59" t="s">
        <v>3581</v>
      </c>
      <c r="P2417" s="58">
        <v>197</v>
      </c>
      <c r="Q2417" s="59">
        <v>0</v>
      </c>
      <c r="R2417" s="59">
        <v>0</v>
      </c>
      <c r="S2417" s="60">
        <f>tblJTL[[#This Row],[timeStamp]]/86400000+DATE(1970,1,1)+TIME(9,0,0)</f>
        <v>46296.423447974536</v>
      </c>
      <c r="T2417" s="57">
        <f>tblJTL[[#This Row],[timeStamp]]+tblJTL[[#This Row],[elapsed]]</f>
        <v>1790816986107</v>
      </c>
      <c r="U2417" s="61">
        <f>(tblJTL[[#This Row],[timeStamp]]-'17_分析サンプル'!$E$18)/1000</f>
        <v>585.72500000000002</v>
      </c>
      <c r="V2417" s="57">
        <f>INT(tblJTL[[#This Row],[経過秒]]/60)</f>
        <v>9</v>
      </c>
      <c r="W2417" s="57">
        <f>IF(OR(tblJTL[[#This Row],[success]]=FALSE,tblJTL[[#This Row],[success]]="false"),1,0)</f>
        <v>0</v>
      </c>
      <c r="X2417" s="57">
        <f>IF(AND(tblJTL[[#This Row],[経過秒]]&gt;='17_分析サンプル'!$E$11,tblJTL[[#This Row],[経過秒]]&lt;'17_分析サンプル'!$E$12),1,0)</f>
        <v>0</v>
      </c>
    </row>
    <row r="2418" spans="2:24" ht="14.4" x14ac:dyDescent="0.3">
      <c r="B2418" s="57">
        <v>1790816986118</v>
      </c>
      <c r="C2418" s="58">
        <v>173</v>
      </c>
      <c r="D2418" s="59" t="s">
        <v>1658</v>
      </c>
      <c r="E2418" s="59" t="s">
        <v>1577</v>
      </c>
      <c r="F2418" s="59" t="s">
        <v>2275</v>
      </c>
      <c r="G2418" s="59" t="s">
        <v>2278</v>
      </c>
      <c r="H2418" s="59" t="s">
        <v>2281</v>
      </c>
      <c r="I2418" s="59" t="b">
        <v>1</v>
      </c>
      <c r="J2418" s="59"/>
      <c r="K2418" s="58">
        <v>1861</v>
      </c>
      <c r="L2418" s="58">
        <v>1342</v>
      </c>
      <c r="M2418" s="59">
        <v>10</v>
      </c>
      <c r="N2418" s="59">
        <v>10</v>
      </c>
      <c r="O2418" s="59" t="s">
        <v>3578</v>
      </c>
      <c r="P2418" s="58">
        <v>170</v>
      </c>
      <c r="Q2418" s="59">
        <v>0</v>
      </c>
      <c r="R2418" s="59">
        <v>0</v>
      </c>
      <c r="S2418" s="60">
        <f>tblJTL[[#This Row],[timeStamp]]/86400000+DATE(1970,1,1)+TIME(9,0,0)</f>
        <v>46296.423450439819</v>
      </c>
      <c r="T2418" s="57">
        <f>tblJTL[[#This Row],[timeStamp]]+tblJTL[[#This Row],[elapsed]]</f>
        <v>1790816986291</v>
      </c>
      <c r="U2418" s="61">
        <f>(tblJTL[[#This Row],[timeStamp]]-'17_分析サンプル'!$E$18)/1000</f>
        <v>585.93799999999999</v>
      </c>
      <c r="V2418" s="57">
        <f>INT(tblJTL[[#This Row],[経過秒]]/60)</f>
        <v>9</v>
      </c>
      <c r="W2418" s="57">
        <f>IF(OR(tblJTL[[#This Row],[success]]=FALSE,tblJTL[[#This Row],[success]]="false"),1,0)</f>
        <v>0</v>
      </c>
      <c r="X2418" s="57">
        <f>IF(AND(tblJTL[[#This Row],[経過秒]]&gt;='17_分析サンプル'!$E$11,tblJTL[[#This Row],[経過秒]]&lt;'17_分析サンプル'!$E$12),1,0)</f>
        <v>0</v>
      </c>
    </row>
    <row r="2419" spans="2:24" ht="14.4" x14ac:dyDescent="0.3">
      <c r="B2419" s="57">
        <v>1790816987348</v>
      </c>
      <c r="C2419" s="58">
        <v>253</v>
      </c>
      <c r="D2419" s="59" t="s">
        <v>1677</v>
      </c>
      <c r="E2419" s="59" t="s">
        <v>3579</v>
      </c>
      <c r="F2419" s="59" t="s">
        <v>3580</v>
      </c>
      <c r="G2419" s="59" t="s">
        <v>3585</v>
      </c>
      <c r="H2419" s="59" t="s">
        <v>2281</v>
      </c>
      <c r="I2419" s="59" t="b">
        <v>1</v>
      </c>
      <c r="J2419" s="59"/>
      <c r="K2419" s="58">
        <v>422</v>
      </c>
      <c r="L2419" s="58">
        <v>1478</v>
      </c>
      <c r="M2419" s="59">
        <v>10</v>
      </c>
      <c r="N2419" s="59">
        <v>10</v>
      </c>
      <c r="O2419" s="59" t="s">
        <v>3581</v>
      </c>
      <c r="P2419" s="58">
        <v>245</v>
      </c>
      <c r="Q2419" s="59">
        <v>0</v>
      </c>
      <c r="R2419" s="59">
        <v>63</v>
      </c>
      <c r="S2419" s="60">
        <f>tblJTL[[#This Row],[timeStamp]]/86400000+DATE(1970,1,1)+TIME(9,0,0)</f>
        <v>46296.423464675929</v>
      </c>
      <c r="T2419" s="57">
        <f>tblJTL[[#This Row],[timeStamp]]+tblJTL[[#This Row],[elapsed]]</f>
        <v>1790816987601</v>
      </c>
      <c r="U2419" s="61">
        <f>(tblJTL[[#This Row],[timeStamp]]-'17_分析サンプル'!$E$18)/1000</f>
        <v>587.16800000000001</v>
      </c>
      <c r="V2419" s="57">
        <f>INT(tblJTL[[#This Row],[経過秒]]/60)</f>
        <v>9</v>
      </c>
      <c r="W2419" s="57">
        <f>IF(OR(tblJTL[[#This Row],[success]]=FALSE,tblJTL[[#This Row],[success]]="false"),1,0)</f>
        <v>0</v>
      </c>
      <c r="X2419" s="57">
        <f>IF(AND(tblJTL[[#This Row],[経過秒]]&gt;='17_分析サンプル'!$E$11,tblJTL[[#This Row],[経過秒]]&lt;'17_分析サンプル'!$E$12),1,0)</f>
        <v>0</v>
      </c>
    </row>
    <row r="2420" spans="2:24" ht="14.4" x14ac:dyDescent="0.3">
      <c r="B2420" s="57">
        <v>1790816987375</v>
      </c>
      <c r="C2420" s="58">
        <v>257</v>
      </c>
      <c r="D2420" s="59" t="s">
        <v>1677</v>
      </c>
      <c r="E2420" s="59" t="s">
        <v>3579</v>
      </c>
      <c r="F2420" s="59" t="s">
        <v>3580</v>
      </c>
      <c r="G2420" s="59" t="s">
        <v>2278</v>
      </c>
      <c r="H2420" s="59" t="s">
        <v>2281</v>
      </c>
      <c r="I2420" s="59" t="b">
        <v>1</v>
      </c>
      <c r="J2420" s="59"/>
      <c r="K2420" s="58">
        <v>426</v>
      </c>
      <c r="L2420" s="58">
        <v>1478</v>
      </c>
      <c r="M2420" s="59">
        <v>10</v>
      </c>
      <c r="N2420" s="59">
        <v>10</v>
      </c>
      <c r="O2420" s="59" t="s">
        <v>3581</v>
      </c>
      <c r="P2420" s="58">
        <v>254</v>
      </c>
      <c r="Q2420" s="59">
        <v>0</v>
      </c>
      <c r="R2420" s="59">
        <v>0</v>
      </c>
      <c r="S2420" s="60">
        <f>tblJTL[[#This Row],[timeStamp]]/86400000+DATE(1970,1,1)+TIME(9,0,0)</f>
        <v>46296.423464988431</v>
      </c>
      <c r="T2420" s="57">
        <f>tblJTL[[#This Row],[timeStamp]]+tblJTL[[#This Row],[elapsed]]</f>
        <v>1790816987632</v>
      </c>
      <c r="U2420" s="61">
        <f>(tblJTL[[#This Row],[timeStamp]]-'17_分析サンプル'!$E$18)/1000</f>
        <v>587.19500000000005</v>
      </c>
      <c r="V2420" s="57">
        <f>INT(tblJTL[[#This Row],[経過秒]]/60)</f>
        <v>9</v>
      </c>
      <c r="W2420" s="57">
        <f>IF(OR(tblJTL[[#This Row],[success]]=FALSE,tblJTL[[#This Row],[success]]="false"),1,0)</f>
        <v>0</v>
      </c>
      <c r="X2420" s="57">
        <f>IF(AND(tblJTL[[#This Row],[経過秒]]&gt;='17_分析サンプル'!$E$11,tblJTL[[#This Row],[経過秒]]&lt;'17_分析サンプル'!$E$12),1,0)</f>
        <v>0</v>
      </c>
    </row>
    <row r="2421" spans="2:24" ht="14.4" x14ac:dyDescent="0.3">
      <c r="B2421" s="57">
        <v>1790816987649</v>
      </c>
      <c r="C2421" s="58">
        <v>148</v>
      </c>
      <c r="D2421" s="59" t="s">
        <v>1658</v>
      </c>
      <c r="E2421" s="59" t="s">
        <v>1577</v>
      </c>
      <c r="F2421" s="59" t="s">
        <v>2275</v>
      </c>
      <c r="G2421" s="59" t="s">
        <v>3588</v>
      </c>
      <c r="H2421" s="59" t="s">
        <v>2281</v>
      </c>
      <c r="I2421" s="59" t="b">
        <v>1</v>
      </c>
      <c r="J2421" s="59"/>
      <c r="K2421" s="58">
        <v>1890</v>
      </c>
      <c r="L2421" s="58">
        <v>1342</v>
      </c>
      <c r="M2421" s="59">
        <v>10</v>
      </c>
      <c r="N2421" s="59">
        <v>10</v>
      </c>
      <c r="O2421" s="59" t="s">
        <v>3578</v>
      </c>
      <c r="P2421" s="58">
        <v>146</v>
      </c>
      <c r="Q2421" s="59">
        <v>0</v>
      </c>
      <c r="R2421" s="59">
        <v>0</v>
      </c>
      <c r="S2421" s="60">
        <f>tblJTL[[#This Row],[timeStamp]]/86400000+DATE(1970,1,1)+TIME(9,0,0)</f>
        <v>46296.423468159723</v>
      </c>
      <c r="T2421" s="57">
        <f>tblJTL[[#This Row],[timeStamp]]+tblJTL[[#This Row],[elapsed]]</f>
        <v>1790816987797</v>
      </c>
      <c r="U2421" s="61">
        <f>(tblJTL[[#This Row],[timeStamp]]-'17_分析サンプル'!$E$18)/1000</f>
        <v>587.46900000000005</v>
      </c>
      <c r="V2421" s="57">
        <f>INT(tblJTL[[#This Row],[経過秒]]/60)</f>
        <v>9</v>
      </c>
      <c r="W2421" s="57">
        <f>IF(OR(tblJTL[[#This Row],[success]]=FALSE,tblJTL[[#This Row],[success]]="false"),1,0)</f>
        <v>0</v>
      </c>
      <c r="X2421" s="57">
        <f>IF(AND(tblJTL[[#This Row],[経過秒]]&gt;='17_分析サンプル'!$E$11,tblJTL[[#This Row],[経過秒]]&lt;'17_分析サンプル'!$E$12),1,0)</f>
        <v>0</v>
      </c>
    </row>
    <row r="2422" spans="2:24" ht="14.4" x14ac:dyDescent="0.3">
      <c r="B2422" s="57">
        <v>1790816987640</v>
      </c>
      <c r="C2422" s="58">
        <v>433</v>
      </c>
      <c r="D2422" s="59" t="s">
        <v>1677</v>
      </c>
      <c r="E2422" s="59" t="s">
        <v>3579</v>
      </c>
      <c r="F2422" s="59" t="s">
        <v>3580</v>
      </c>
      <c r="G2422" s="59" t="s">
        <v>3589</v>
      </c>
      <c r="H2422" s="59" t="s">
        <v>2281</v>
      </c>
      <c r="I2422" s="59" t="b">
        <v>1</v>
      </c>
      <c r="J2422" s="59"/>
      <c r="K2422" s="58">
        <v>424</v>
      </c>
      <c r="L2422" s="58">
        <v>1478</v>
      </c>
      <c r="M2422" s="59">
        <v>10</v>
      </c>
      <c r="N2422" s="59">
        <v>10</v>
      </c>
      <c r="O2422" s="59" t="s">
        <v>3581</v>
      </c>
      <c r="P2422" s="58">
        <v>426</v>
      </c>
      <c r="Q2422" s="59">
        <v>0</v>
      </c>
      <c r="R2422" s="59">
        <v>0</v>
      </c>
      <c r="S2422" s="60">
        <f>tblJTL[[#This Row],[timeStamp]]/86400000+DATE(1970,1,1)+TIME(9,0,0)</f>
        <v>46296.423468055553</v>
      </c>
      <c r="T2422" s="57">
        <f>tblJTL[[#This Row],[timeStamp]]+tblJTL[[#This Row],[elapsed]]</f>
        <v>1790816988073</v>
      </c>
      <c r="U2422" s="61">
        <f>(tblJTL[[#This Row],[timeStamp]]-'17_分析サンプル'!$E$18)/1000</f>
        <v>587.46</v>
      </c>
      <c r="V2422" s="57">
        <f>INT(tblJTL[[#This Row],[経過秒]]/60)</f>
        <v>9</v>
      </c>
      <c r="W2422" s="57">
        <f>IF(OR(tblJTL[[#This Row],[success]]=FALSE,tblJTL[[#This Row],[success]]="false"),1,0)</f>
        <v>0</v>
      </c>
      <c r="X2422" s="57">
        <f>IF(AND(tblJTL[[#This Row],[経過秒]]&gt;='17_分析サンプル'!$E$11,tblJTL[[#This Row],[経過秒]]&lt;'17_分析サンプル'!$E$12),1,0)</f>
        <v>0</v>
      </c>
    </row>
    <row r="2423" spans="2:24" ht="14.4" x14ac:dyDescent="0.3">
      <c r="B2423" s="57">
        <v>1790816988002</v>
      </c>
      <c r="C2423" s="58">
        <v>116</v>
      </c>
      <c r="D2423" s="59" t="s">
        <v>1658</v>
      </c>
      <c r="E2423" s="59" t="s">
        <v>1577</v>
      </c>
      <c r="F2423" s="59" t="s">
        <v>2275</v>
      </c>
      <c r="G2423" s="59" t="s">
        <v>3582</v>
      </c>
      <c r="H2423" s="59" t="s">
        <v>2281</v>
      </c>
      <c r="I2423" s="59" t="b">
        <v>1</v>
      </c>
      <c r="J2423" s="59"/>
      <c r="K2423" s="58">
        <v>1868</v>
      </c>
      <c r="L2423" s="58">
        <v>1342</v>
      </c>
      <c r="M2423" s="59">
        <v>10</v>
      </c>
      <c r="N2423" s="59">
        <v>10</v>
      </c>
      <c r="O2423" s="59" t="s">
        <v>3578</v>
      </c>
      <c r="P2423" s="58">
        <v>112</v>
      </c>
      <c r="Q2423" s="59">
        <v>0</v>
      </c>
      <c r="R2423" s="59">
        <v>0</v>
      </c>
      <c r="S2423" s="60">
        <f>tblJTL[[#This Row],[timeStamp]]/86400000+DATE(1970,1,1)+TIME(9,0,0)</f>
        <v>46296.423472245369</v>
      </c>
      <c r="T2423" s="57">
        <f>tblJTL[[#This Row],[timeStamp]]+tblJTL[[#This Row],[elapsed]]</f>
        <v>1790816988118</v>
      </c>
      <c r="U2423" s="61">
        <f>(tblJTL[[#This Row],[timeStamp]]-'17_分析サンプル'!$E$18)/1000</f>
        <v>587.822</v>
      </c>
      <c r="V2423" s="57">
        <f>INT(tblJTL[[#This Row],[経過秒]]/60)</f>
        <v>9</v>
      </c>
      <c r="W2423" s="57">
        <f>IF(OR(tblJTL[[#This Row],[success]]=FALSE,tblJTL[[#This Row],[success]]="false"),1,0)</f>
        <v>0</v>
      </c>
      <c r="X2423" s="57">
        <f>IF(AND(tblJTL[[#This Row],[経過秒]]&gt;='17_分析サンプル'!$E$11,tblJTL[[#This Row],[経過秒]]&lt;'17_分析サンプル'!$E$12),1,0)</f>
        <v>0</v>
      </c>
    </row>
    <row r="2424" spans="2:24" ht="14.4" x14ac:dyDescent="0.3">
      <c r="B2424" s="57">
        <v>1790816988107</v>
      </c>
      <c r="C2424" s="58">
        <v>149</v>
      </c>
      <c r="D2424" s="59" t="s">
        <v>1677</v>
      </c>
      <c r="E2424" s="59" t="s">
        <v>3579</v>
      </c>
      <c r="F2424" s="59" t="s">
        <v>3580</v>
      </c>
      <c r="G2424" s="59" t="s">
        <v>3584</v>
      </c>
      <c r="H2424" s="59" t="s">
        <v>2281</v>
      </c>
      <c r="I2424" s="59" t="b">
        <v>1</v>
      </c>
      <c r="J2424" s="59"/>
      <c r="K2424" s="58">
        <v>430</v>
      </c>
      <c r="L2424" s="58">
        <v>1478</v>
      </c>
      <c r="M2424" s="59">
        <v>10</v>
      </c>
      <c r="N2424" s="59">
        <v>10</v>
      </c>
      <c r="O2424" s="59" t="s">
        <v>3581</v>
      </c>
      <c r="P2424" s="58">
        <v>147</v>
      </c>
      <c r="Q2424" s="59">
        <v>0</v>
      </c>
      <c r="R2424" s="59">
        <v>0</v>
      </c>
      <c r="S2424" s="60">
        <f>tblJTL[[#This Row],[timeStamp]]/86400000+DATE(1970,1,1)+TIME(9,0,0)</f>
        <v>46296.423473460643</v>
      </c>
      <c r="T2424" s="57">
        <f>tblJTL[[#This Row],[timeStamp]]+tblJTL[[#This Row],[elapsed]]</f>
        <v>1790816988256</v>
      </c>
      <c r="U2424" s="61">
        <f>(tblJTL[[#This Row],[timeStamp]]-'17_分析サンプル'!$E$18)/1000</f>
        <v>587.92700000000002</v>
      </c>
      <c r="V2424" s="57">
        <f>INT(tblJTL[[#This Row],[経過秒]]/60)</f>
        <v>9</v>
      </c>
      <c r="W2424" s="57">
        <f>IF(OR(tblJTL[[#This Row],[success]]=FALSE,tblJTL[[#This Row],[success]]="false"),1,0)</f>
        <v>0</v>
      </c>
      <c r="X2424" s="57">
        <f>IF(AND(tblJTL[[#This Row],[経過秒]]&gt;='17_分析サンプル'!$E$11,tblJTL[[#This Row],[経過秒]]&lt;'17_分析サンプル'!$E$12),1,0)</f>
        <v>0</v>
      </c>
    </row>
    <row r="2425" spans="2:24" ht="14.4" x14ac:dyDescent="0.3">
      <c r="B2425" s="57">
        <v>1790816988265</v>
      </c>
      <c r="C2425" s="58">
        <v>162</v>
      </c>
      <c r="D2425" s="59" t="s">
        <v>1658</v>
      </c>
      <c r="E2425" s="59" t="s">
        <v>1577</v>
      </c>
      <c r="F2425" s="59" t="s">
        <v>2275</v>
      </c>
      <c r="G2425" s="59" t="s">
        <v>3587</v>
      </c>
      <c r="H2425" s="59" t="s">
        <v>2281</v>
      </c>
      <c r="I2425" s="59" t="b">
        <v>1</v>
      </c>
      <c r="J2425" s="59"/>
      <c r="K2425" s="58">
        <v>1827</v>
      </c>
      <c r="L2425" s="58">
        <v>1342</v>
      </c>
      <c r="M2425" s="59">
        <v>10</v>
      </c>
      <c r="N2425" s="59">
        <v>10</v>
      </c>
      <c r="O2425" s="59" t="s">
        <v>3578</v>
      </c>
      <c r="P2425" s="58">
        <v>154</v>
      </c>
      <c r="Q2425" s="59">
        <v>0</v>
      </c>
      <c r="R2425" s="59">
        <v>0</v>
      </c>
      <c r="S2425" s="60">
        <f>tblJTL[[#This Row],[timeStamp]]/86400000+DATE(1970,1,1)+TIME(9,0,0)</f>
        <v>46296.423475289354</v>
      </c>
      <c r="T2425" s="57">
        <f>tblJTL[[#This Row],[timeStamp]]+tblJTL[[#This Row],[elapsed]]</f>
        <v>1790816988427</v>
      </c>
      <c r="U2425" s="61">
        <f>(tblJTL[[#This Row],[timeStamp]]-'17_分析サンプル'!$E$18)/1000</f>
        <v>588.08500000000004</v>
      </c>
      <c r="V2425" s="57">
        <f>INT(tblJTL[[#This Row],[経過秒]]/60)</f>
        <v>9</v>
      </c>
      <c r="W2425" s="57">
        <f>IF(OR(tblJTL[[#This Row],[success]]=FALSE,tblJTL[[#This Row],[success]]="false"),1,0)</f>
        <v>0</v>
      </c>
      <c r="X2425" s="57">
        <f>IF(AND(tblJTL[[#This Row],[経過秒]]&gt;='17_分析サンプル'!$E$11,tblJTL[[#This Row],[経過秒]]&lt;'17_分析サンプル'!$E$12),1,0)</f>
        <v>0</v>
      </c>
    </row>
    <row r="2426" spans="2:24" ht="14.4" x14ac:dyDescent="0.3">
      <c r="B2426" s="57">
        <v>1790816988282</v>
      </c>
      <c r="C2426" s="58">
        <v>191</v>
      </c>
      <c r="D2426" s="59" t="s">
        <v>1677</v>
      </c>
      <c r="E2426" s="59" t="s">
        <v>3579</v>
      </c>
      <c r="F2426" s="59" t="s">
        <v>3580</v>
      </c>
      <c r="G2426" s="59" t="s">
        <v>3577</v>
      </c>
      <c r="H2426" s="59" t="s">
        <v>2281</v>
      </c>
      <c r="I2426" s="59" t="b">
        <v>1</v>
      </c>
      <c r="J2426" s="59"/>
      <c r="K2426" s="58">
        <v>411</v>
      </c>
      <c r="L2426" s="58">
        <v>1478</v>
      </c>
      <c r="M2426" s="59">
        <v>10</v>
      </c>
      <c r="N2426" s="59">
        <v>10</v>
      </c>
      <c r="O2426" s="59" t="s">
        <v>3581</v>
      </c>
      <c r="P2426" s="58">
        <v>189</v>
      </c>
      <c r="Q2426" s="59">
        <v>0</v>
      </c>
      <c r="R2426" s="59">
        <v>0</v>
      </c>
      <c r="S2426" s="60">
        <f>tblJTL[[#This Row],[timeStamp]]/86400000+DATE(1970,1,1)+TIME(9,0,0)</f>
        <v>46296.42347548611</v>
      </c>
      <c r="T2426" s="57">
        <f>tblJTL[[#This Row],[timeStamp]]+tblJTL[[#This Row],[elapsed]]</f>
        <v>1790816988473</v>
      </c>
      <c r="U2426" s="61">
        <f>(tblJTL[[#This Row],[timeStamp]]-'17_分析サンプル'!$E$18)/1000</f>
        <v>588.10199999999998</v>
      </c>
      <c r="V2426" s="57">
        <f>INT(tblJTL[[#This Row],[経過秒]]/60)</f>
        <v>9</v>
      </c>
      <c r="W2426" s="57">
        <f>IF(OR(tblJTL[[#This Row],[success]]=FALSE,tblJTL[[#This Row],[success]]="false"),1,0)</f>
        <v>0</v>
      </c>
      <c r="X2426" s="57">
        <f>IF(AND(tblJTL[[#This Row],[経過秒]]&gt;='17_分析サンプル'!$E$11,tblJTL[[#This Row],[経過秒]]&lt;'17_分析サンプル'!$E$12),1,0)</f>
        <v>0</v>
      </c>
    </row>
    <row r="2427" spans="2:24" ht="14.4" x14ac:dyDescent="0.3">
      <c r="B2427" s="57">
        <v>1790816988361</v>
      </c>
      <c r="C2427" s="58">
        <v>143</v>
      </c>
      <c r="D2427" s="59" t="s">
        <v>1658</v>
      </c>
      <c r="E2427" s="59" t="s">
        <v>1577</v>
      </c>
      <c r="F2427" s="59" t="s">
        <v>2275</v>
      </c>
      <c r="G2427" s="59" t="s">
        <v>3583</v>
      </c>
      <c r="H2427" s="59" t="s">
        <v>2281</v>
      </c>
      <c r="I2427" s="59" t="b">
        <v>1</v>
      </c>
      <c r="J2427" s="59"/>
      <c r="K2427" s="58">
        <v>1851</v>
      </c>
      <c r="L2427" s="58">
        <v>1342</v>
      </c>
      <c r="M2427" s="59">
        <v>10</v>
      </c>
      <c r="N2427" s="59">
        <v>10</v>
      </c>
      <c r="O2427" s="59" t="s">
        <v>3578</v>
      </c>
      <c r="P2427" s="58">
        <v>135</v>
      </c>
      <c r="Q2427" s="59">
        <v>0</v>
      </c>
      <c r="R2427" s="59">
        <v>0</v>
      </c>
      <c r="S2427" s="60">
        <f>tblJTL[[#This Row],[timeStamp]]/86400000+DATE(1970,1,1)+TIME(9,0,0)</f>
        <v>46296.423476400465</v>
      </c>
      <c r="T2427" s="57">
        <f>tblJTL[[#This Row],[timeStamp]]+tblJTL[[#This Row],[elapsed]]</f>
        <v>1790816988504</v>
      </c>
      <c r="U2427" s="61">
        <f>(tblJTL[[#This Row],[timeStamp]]-'17_分析サンプル'!$E$18)/1000</f>
        <v>588.18100000000004</v>
      </c>
      <c r="V2427" s="57">
        <f>INT(tblJTL[[#This Row],[経過秒]]/60)</f>
        <v>9</v>
      </c>
      <c r="W2427" s="57">
        <f>IF(OR(tblJTL[[#This Row],[success]]=FALSE,tblJTL[[#This Row],[success]]="false"),1,0)</f>
        <v>0</v>
      </c>
      <c r="X2427" s="57">
        <f>IF(AND(tblJTL[[#This Row],[経過秒]]&gt;='17_分析サンプル'!$E$11,tblJTL[[#This Row],[経過秒]]&lt;'17_分析サンプル'!$E$12),1,0)</f>
        <v>0</v>
      </c>
    </row>
    <row r="2428" spans="2:24" ht="14.4" x14ac:dyDescent="0.3">
      <c r="B2428" s="57">
        <v>1790816988992</v>
      </c>
      <c r="C2428" s="58">
        <v>93</v>
      </c>
      <c r="D2428" s="59" t="s">
        <v>1658</v>
      </c>
      <c r="E2428" s="59" t="s">
        <v>1577</v>
      </c>
      <c r="F2428" s="59" t="s">
        <v>2275</v>
      </c>
      <c r="G2428" s="59" t="s">
        <v>3585</v>
      </c>
      <c r="H2428" s="59" t="s">
        <v>2281</v>
      </c>
      <c r="I2428" s="59" t="b">
        <v>1</v>
      </c>
      <c r="J2428" s="59"/>
      <c r="K2428" s="58">
        <v>1824</v>
      </c>
      <c r="L2428" s="58">
        <v>1342</v>
      </c>
      <c r="M2428" s="59">
        <v>10</v>
      </c>
      <c r="N2428" s="59">
        <v>10</v>
      </c>
      <c r="O2428" s="59" t="s">
        <v>3578</v>
      </c>
      <c r="P2428" s="58">
        <v>88</v>
      </c>
      <c r="Q2428" s="59">
        <v>0</v>
      </c>
      <c r="R2428" s="59">
        <v>0</v>
      </c>
      <c r="S2428" s="60">
        <f>tblJTL[[#This Row],[timeStamp]]/86400000+DATE(1970,1,1)+TIME(9,0,0)</f>
        <v>46296.423483703707</v>
      </c>
      <c r="T2428" s="57">
        <f>tblJTL[[#This Row],[timeStamp]]+tblJTL[[#This Row],[elapsed]]</f>
        <v>1790816989085</v>
      </c>
      <c r="U2428" s="61">
        <f>(tblJTL[[#This Row],[timeStamp]]-'17_分析サンプル'!$E$18)/1000</f>
        <v>588.81200000000001</v>
      </c>
      <c r="V2428" s="57">
        <f>INT(tblJTL[[#This Row],[経過秒]]/60)</f>
        <v>9</v>
      </c>
      <c r="W2428" s="57">
        <f>IF(OR(tblJTL[[#This Row],[success]]=FALSE,tblJTL[[#This Row],[success]]="false"),1,0)</f>
        <v>0</v>
      </c>
      <c r="X2428" s="57">
        <f>IF(AND(tblJTL[[#This Row],[経過秒]]&gt;='17_分析サンプル'!$E$11,tblJTL[[#This Row],[経過秒]]&lt;'17_分析サンプル'!$E$12),1,0)</f>
        <v>0</v>
      </c>
    </row>
    <row r="2429" spans="2:24" ht="14.4" x14ac:dyDescent="0.3">
      <c r="B2429" s="57">
        <v>1790816988908</v>
      </c>
      <c r="C2429" s="58">
        <v>204</v>
      </c>
      <c r="D2429" s="59" t="s">
        <v>1677</v>
      </c>
      <c r="E2429" s="59" t="s">
        <v>3579</v>
      </c>
      <c r="F2429" s="59" t="s">
        <v>3580</v>
      </c>
      <c r="G2429" s="59" t="s">
        <v>3586</v>
      </c>
      <c r="H2429" s="59" t="s">
        <v>2281</v>
      </c>
      <c r="I2429" s="59" t="b">
        <v>1</v>
      </c>
      <c r="J2429" s="59"/>
      <c r="K2429" s="58">
        <v>415</v>
      </c>
      <c r="L2429" s="58">
        <v>1478</v>
      </c>
      <c r="M2429" s="59">
        <v>10</v>
      </c>
      <c r="N2429" s="59">
        <v>10</v>
      </c>
      <c r="O2429" s="59" t="s">
        <v>3581</v>
      </c>
      <c r="P2429" s="58">
        <v>200</v>
      </c>
      <c r="Q2429" s="59">
        <v>0</v>
      </c>
      <c r="R2429" s="59">
        <v>0</v>
      </c>
      <c r="S2429" s="60">
        <f>tblJTL[[#This Row],[timeStamp]]/86400000+DATE(1970,1,1)+TIME(9,0,0)</f>
        <v>46296.423482731479</v>
      </c>
      <c r="T2429" s="57">
        <f>tblJTL[[#This Row],[timeStamp]]+tblJTL[[#This Row],[elapsed]]</f>
        <v>1790816989112</v>
      </c>
      <c r="U2429" s="61">
        <f>(tblJTL[[#This Row],[timeStamp]]-'17_分析サンプル'!$E$18)/1000</f>
        <v>588.72799999999995</v>
      </c>
      <c r="V2429" s="57">
        <f>INT(tblJTL[[#This Row],[経過秒]]/60)</f>
        <v>9</v>
      </c>
      <c r="W2429" s="57">
        <f>IF(OR(tblJTL[[#This Row],[success]]=FALSE,tblJTL[[#This Row],[success]]="false"),1,0)</f>
        <v>0</v>
      </c>
      <c r="X2429" s="57">
        <f>IF(AND(tblJTL[[#This Row],[経過秒]]&gt;='17_分析サンプル'!$E$11,tblJTL[[#This Row],[経過秒]]&lt;'17_分析サンプル'!$E$12),1,0)</f>
        <v>0</v>
      </c>
    </row>
    <row r="2430" spans="2:24" ht="14.4" x14ac:dyDescent="0.3">
      <c r="B2430" s="57">
        <v>1790816989730</v>
      </c>
      <c r="C2430" s="58">
        <v>108</v>
      </c>
      <c r="D2430" s="59" t="s">
        <v>1658</v>
      </c>
      <c r="E2430" s="59" t="s">
        <v>1577</v>
      </c>
      <c r="F2430" s="59" t="s">
        <v>2275</v>
      </c>
      <c r="G2430" s="59" t="s">
        <v>2278</v>
      </c>
      <c r="H2430" s="59" t="s">
        <v>2281</v>
      </c>
      <c r="I2430" s="59" t="b">
        <v>1</v>
      </c>
      <c r="J2430" s="59"/>
      <c r="K2430" s="58">
        <v>1830</v>
      </c>
      <c r="L2430" s="58">
        <v>1342</v>
      </c>
      <c r="M2430" s="59">
        <v>10</v>
      </c>
      <c r="N2430" s="59">
        <v>10</v>
      </c>
      <c r="O2430" s="59" t="s">
        <v>3578</v>
      </c>
      <c r="P2430" s="58">
        <v>105</v>
      </c>
      <c r="Q2430" s="59">
        <v>0</v>
      </c>
      <c r="R2430" s="59">
        <v>0</v>
      </c>
      <c r="S2430" s="60">
        <f>tblJTL[[#This Row],[timeStamp]]/86400000+DATE(1970,1,1)+TIME(9,0,0)</f>
        <v>46296.423492245369</v>
      </c>
      <c r="T2430" s="57">
        <f>tblJTL[[#This Row],[timeStamp]]+tblJTL[[#This Row],[elapsed]]</f>
        <v>1790816989838</v>
      </c>
      <c r="U2430" s="61">
        <f>(tblJTL[[#This Row],[timeStamp]]-'17_分析サンプル'!$E$18)/1000</f>
        <v>589.54999999999995</v>
      </c>
      <c r="V2430" s="57">
        <f>INT(tblJTL[[#This Row],[経過秒]]/60)</f>
        <v>9</v>
      </c>
      <c r="W2430" s="57">
        <f>IF(OR(tblJTL[[#This Row],[success]]=FALSE,tblJTL[[#This Row],[success]]="false"),1,0)</f>
        <v>0</v>
      </c>
      <c r="X2430" s="57">
        <f>IF(AND(tblJTL[[#This Row],[経過秒]]&gt;='17_分析サンプル'!$E$11,tblJTL[[#This Row],[経過秒]]&lt;'17_分析サンプル'!$E$12),1,0)</f>
        <v>0</v>
      </c>
    </row>
    <row r="2431" spans="2:24" ht="14.4" x14ac:dyDescent="0.3">
      <c r="B2431" s="57">
        <v>1790816990089</v>
      </c>
      <c r="C2431" s="58">
        <v>122</v>
      </c>
      <c r="D2431" s="59" t="s">
        <v>1658</v>
      </c>
      <c r="E2431" s="59" t="s">
        <v>1577</v>
      </c>
      <c r="F2431" s="59" t="s">
        <v>2275</v>
      </c>
      <c r="G2431" s="59" t="s">
        <v>3577</v>
      </c>
      <c r="H2431" s="59" t="s">
        <v>2281</v>
      </c>
      <c r="I2431" s="59" t="b">
        <v>1</v>
      </c>
      <c r="J2431" s="59"/>
      <c r="K2431" s="58">
        <v>1859</v>
      </c>
      <c r="L2431" s="58">
        <v>1342</v>
      </c>
      <c r="M2431" s="59">
        <v>10</v>
      </c>
      <c r="N2431" s="59">
        <v>10</v>
      </c>
      <c r="O2431" s="59" t="s">
        <v>3578</v>
      </c>
      <c r="P2431" s="58">
        <v>120</v>
      </c>
      <c r="Q2431" s="59">
        <v>0</v>
      </c>
      <c r="R2431" s="59">
        <v>0</v>
      </c>
      <c r="S2431" s="60">
        <f>tblJTL[[#This Row],[timeStamp]]/86400000+DATE(1970,1,1)+TIME(9,0,0)</f>
        <v>46296.423496400465</v>
      </c>
      <c r="T2431" s="57">
        <f>tblJTL[[#This Row],[timeStamp]]+tblJTL[[#This Row],[elapsed]]</f>
        <v>1790816990211</v>
      </c>
      <c r="U2431" s="61">
        <f>(tblJTL[[#This Row],[timeStamp]]-'17_分析サンプル'!$E$18)/1000</f>
        <v>589.90899999999999</v>
      </c>
      <c r="V2431" s="57">
        <f>INT(tblJTL[[#This Row],[経過秒]]/60)</f>
        <v>9</v>
      </c>
      <c r="W2431" s="57">
        <f>IF(OR(tblJTL[[#This Row],[success]]=FALSE,tblJTL[[#This Row],[success]]="false"),1,0)</f>
        <v>0</v>
      </c>
      <c r="X2431" s="57">
        <f>IF(AND(tblJTL[[#This Row],[経過秒]]&gt;='17_分析サンプル'!$E$11,tblJTL[[#This Row],[経過秒]]&lt;'17_分析サンプル'!$E$12),1,0)</f>
        <v>0</v>
      </c>
    </row>
    <row r="2432" spans="2:24" ht="14.4" x14ac:dyDescent="0.3">
      <c r="B2432" s="57">
        <v>1790816990200</v>
      </c>
      <c r="C2432" s="58">
        <v>102</v>
      </c>
      <c r="D2432" s="59" t="s">
        <v>1658</v>
      </c>
      <c r="E2432" s="59" t="s">
        <v>1577</v>
      </c>
      <c r="F2432" s="59" t="s">
        <v>2275</v>
      </c>
      <c r="G2432" s="59" t="s">
        <v>3589</v>
      </c>
      <c r="H2432" s="59" t="s">
        <v>2281</v>
      </c>
      <c r="I2432" s="59" t="b">
        <v>1</v>
      </c>
      <c r="J2432" s="59"/>
      <c r="K2432" s="58">
        <v>1894</v>
      </c>
      <c r="L2432" s="58">
        <v>1342</v>
      </c>
      <c r="M2432" s="59">
        <v>10</v>
      </c>
      <c r="N2432" s="59">
        <v>10</v>
      </c>
      <c r="O2432" s="59" t="s">
        <v>3578</v>
      </c>
      <c r="P2432" s="58">
        <v>94</v>
      </c>
      <c r="Q2432" s="59">
        <v>0</v>
      </c>
      <c r="R2432" s="59">
        <v>0</v>
      </c>
      <c r="S2432" s="60">
        <f>tblJTL[[#This Row],[timeStamp]]/86400000+DATE(1970,1,1)+TIME(9,0,0)</f>
        <v>46296.423497685188</v>
      </c>
      <c r="T2432" s="57">
        <f>tblJTL[[#This Row],[timeStamp]]+tblJTL[[#This Row],[elapsed]]</f>
        <v>1790816990302</v>
      </c>
      <c r="U2432" s="61">
        <f>(tblJTL[[#This Row],[timeStamp]]-'17_分析サンプル'!$E$18)/1000</f>
        <v>590.02</v>
      </c>
      <c r="V2432" s="57">
        <f>INT(tblJTL[[#This Row],[経過秒]]/60)</f>
        <v>9</v>
      </c>
      <c r="W2432" s="57">
        <f>IF(OR(tblJTL[[#This Row],[success]]=FALSE,tblJTL[[#This Row],[success]]="false"),1,0)</f>
        <v>0</v>
      </c>
      <c r="X2432" s="57">
        <f>IF(AND(tblJTL[[#This Row],[経過秒]]&gt;='17_分析サンプル'!$E$11,tblJTL[[#This Row],[経過秒]]&lt;'17_分析サンプル'!$E$12),1,0)</f>
        <v>0</v>
      </c>
    </row>
    <row r="2433" spans="2:24" ht="14.4" x14ac:dyDescent="0.3">
      <c r="B2433" s="57">
        <v>1790816990348</v>
      </c>
      <c r="C2433" s="58">
        <v>102</v>
      </c>
      <c r="D2433" s="59" t="s">
        <v>1658</v>
      </c>
      <c r="E2433" s="59" t="s">
        <v>1577</v>
      </c>
      <c r="F2433" s="59" t="s">
        <v>2275</v>
      </c>
      <c r="G2433" s="59" t="s">
        <v>3584</v>
      </c>
      <c r="H2433" s="59" t="s">
        <v>2281</v>
      </c>
      <c r="I2433" s="59" t="b">
        <v>1</v>
      </c>
      <c r="J2433" s="59"/>
      <c r="K2433" s="58">
        <v>1833</v>
      </c>
      <c r="L2433" s="58">
        <v>1342</v>
      </c>
      <c r="M2433" s="59">
        <v>10</v>
      </c>
      <c r="N2433" s="59">
        <v>10</v>
      </c>
      <c r="O2433" s="59" t="s">
        <v>3578</v>
      </c>
      <c r="P2433" s="58">
        <v>94</v>
      </c>
      <c r="Q2433" s="59">
        <v>0</v>
      </c>
      <c r="R2433" s="59">
        <v>0</v>
      </c>
      <c r="S2433" s="60">
        <f>tblJTL[[#This Row],[timeStamp]]/86400000+DATE(1970,1,1)+TIME(9,0,0)</f>
        <v>46296.423499398152</v>
      </c>
      <c r="T2433" s="57">
        <f>tblJTL[[#This Row],[timeStamp]]+tblJTL[[#This Row],[elapsed]]</f>
        <v>1790816990450</v>
      </c>
      <c r="U2433" s="61">
        <f>(tblJTL[[#This Row],[timeStamp]]-'17_分析サンプル'!$E$18)/1000</f>
        <v>590.16800000000001</v>
      </c>
      <c r="V2433" s="57">
        <f>INT(tblJTL[[#This Row],[経過秒]]/60)</f>
        <v>9</v>
      </c>
      <c r="W2433" s="57">
        <f>IF(OR(tblJTL[[#This Row],[success]]=FALSE,tblJTL[[#This Row],[success]]="false"),1,0)</f>
        <v>0</v>
      </c>
      <c r="X2433" s="57">
        <f>IF(AND(tblJTL[[#This Row],[経過秒]]&gt;='17_分析サンプル'!$E$11,tblJTL[[#This Row],[経過秒]]&lt;'17_分析サンプル'!$E$12),1,0)</f>
        <v>0</v>
      </c>
    </row>
    <row r="2434" spans="2:24" ht="14.4" x14ac:dyDescent="0.3">
      <c r="B2434" s="57">
        <v>1790816990072</v>
      </c>
      <c r="C2434" s="58">
        <v>395</v>
      </c>
      <c r="D2434" s="59" t="s">
        <v>1677</v>
      </c>
      <c r="E2434" s="59" t="s">
        <v>3579</v>
      </c>
      <c r="F2434" s="59" t="s">
        <v>3580</v>
      </c>
      <c r="G2434" s="59" t="s">
        <v>3583</v>
      </c>
      <c r="H2434" s="59" t="s">
        <v>2281</v>
      </c>
      <c r="I2434" s="59" t="b">
        <v>1</v>
      </c>
      <c r="J2434" s="59"/>
      <c r="K2434" s="58">
        <v>433</v>
      </c>
      <c r="L2434" s="58">
        <v>1478</v>
      </c>
      <c r="M2434" s="59">
        <v>10</v>
      </c>
      <c r="N2434" s="59">
        <v>10</v>
      </c>
      <c r="O2434" s="59" t="s">
        <v>3581</v>
      </c>
      <c r="P2434" s="58">
        <v>388</v>
      </c>
      <c r="Q2434" s="59">
        <v>0</v>
      </c>
      <c r="R2434" s="59">
        <v>0</v>
      </c>
      <c r="S2434" s="60">
        <f>tblJTL[[#This Row],[timeStamp]]/86400000+DATE(1970,1,1)+TIME(9,0,0)</f>
        <v>46296.423496203701</v>
      </c>
      <c r="T2434" s="57">
        <f>tblJTL[[#This Row],[timeStamp]]+tblJTL[[#This Row],[elapsed]]</f>
        <v>1790816990467</v>
      </c>
      <c r="U2434" s="61">
        <f>(tblJTL[[#This Row],[timeStamp]]-'17_分析サンプル'!$E$18)/1000</f>
        <v>589.89200000000005</v>
      </c>
      <c r="V2434" s="57">
        <f>INT(tblJTL[[#This Row],[経過秒]]/60)</f>
        <v>9</v>
      </c>
      <c r="W2434" s="57">
        <f>IF(OR(tblJTL[[#This Row],[success]]=FALSE,tblJTL[[#This Row],[success]]="false"),1,0)</f>
        <v>0</v>
      </c>
      <c r="X2434" s="57">
        <f>IF(AND(tblJTL[[#This Row],[経過秒]]&gt;='17_分析サンプル'!$E$11,tblJTL[[#This Row],[経過秒]]&lt;'17_分析サンプル'!$E$12),1,0)</f>
        <v>0</v>
      </c>
    </row>
    <row r="2435" spans="2:24" ht="14.4" x14ac:dyDescent="0.3">
      <c r="B2435" s="57">
        <v>1790816990608</v>
      </c>
      <c r="C2435" s="58">
        <v>168</v>
      </c>
      <c r="D2435" s="59" t="s">
        <v>1677</v>
      </c>
      <c r="E2435" s="59" t="s">
        <v>3579</v>
      </c>
      <c r="F2435" s="59" t="s">
        <v>3580</v>
      </c>
      <c r="G2435" s="59" t="s">
        <v>3588</v>
      </c>
      <c r="H2435" s="59" t="s">
        <v>2281</v>
      </c>
      <c r="I2435" s="59" t="b">
        <v>1</v>
      </c>
      <c r="J2435" s="59"/>
      <c r="K2435" s="58">
        <v>435</v>
      </c>
      <c r="L2435" s="58">
        <v>1478</v>
      </c>
      <c r="M2435" s="59">
        <v>10</v>
      </c>
      <c r="N2435" s="59">
        <v>10</v>
      </c>
      <c r="O2435" s="59" t="s">
        <v>3581</v>
      </c>
      <c r="P2435" s="58">
        <v>166</v>
      </c>
      <c r="Q2435" s="59">
        <v>0</v>
      </c>
      <c r="R2435" s="59">
        <v>0</v>
      </c>
      <c r="S2435" s="60">
        <f>tblJTL[[#This Row],[timeStamp]]/86400000+DATE(1970,1,1)+TIME(9,0,0)</f>
        <v>46296.423502407408</v>
      </c>
      <c r="T2435" s="57">
        <f>tblJTL[[#This Row],[timeStamp]]+tblJTL[[#This Row],[elapsed]]</f>
        <v>1790816990776</v>
      </c>
      <c r="U2435" s="61">
        <f>(tblJTL[[#This Row],[timeStamp]]-'17_分析サンプル'!$E$18)/1000</f>
        <v>590.428</v>
      </c>
      <c r="V2435" s="57">
        <f>INT(tblJTL[[#This Row],[経過秒]]/60)</f>
        <v>9</v>
      </c>
      <c r="W2435" s="57">
        <f>IF(OR(tblJTL[[#This Row],[success]]=FALSE,tblJTL[[#This Row],[success]]="false"),1,0)</f>
        <v>0</v>
      </c>
      <c r="X2435" s="57">
        <f>IF(AND(tblJTL[[#This Row],[経過秒]]&gt;='17_分析サンプル'!$E$11,tblJTL[[#This Row],[経過秒]]&lt;'17_分析サンプル'!$E$12),1,0)</f>
        <v>0</v>
      </c>
    </row>
    <row r="2436" spans="2:24" ht="14.4" x14ac:dyDescent="0.3">
      <c r="B2436" s="57">
        <v>1790816990655</v>
      </c>
      <c r="C2436" s="58">
        <v>281</v>
      </c>
      <c r="D2436" s="59" t="s">
        <v>1677</v>
      </c>
      <c r="E2436" s="59" t="s">
        <v>3579</v>
      </c>
      <c r="F2436" s="59" t="s">
        <v>3580</v>
      </c>
      <c r="G2436" s="59" t="s">
        <v>3582</v>
      </c>
      <c r="H2436" s="59" t="s">
        <v>2281</v>
      </c>
      <c r="I2436" s="59" t="b">
        <v>1</v>
      </c>
      <c r="J2436" s="59"/>
      <c r="K2436" s="58">
        <v>439</v>
      </c>
      <c r="L2436" s="58">
        <v>1478</v>
      </c>
      <c r="M2436" s="59">
        <v>10</v>
      </c>
      <c r="N2436" s="59">
        <v>10</v>
      </c>
      <c r="O2436" s="59" t="s">
        <v>3581</v>
      </c>
      <c r="P2436" s="58">
        <v>275</v>
      </c>
      <c r="Q2436" s="59">
        <v>0</v>
      </c>
      <c r="R2436" s="59">
        <v>0</v>
      </c>
      <c r="S2436" s="60">
        <f>tblJTL[[#This Row],[timeStamp]]/86400000+DATE(1970,1,1)+TIME(9,0,0)</f>
        <v>46296.423502951387</v>
      </c>
      <c r="T2436" s="57">
        <f>tblJTL[[#This Row],[timeStamp]]+tblJTL[[#This Row],[elapsed]]</f>
        <v>1790816990936</v>
      </c>
      <c r="U2436" s="61">
        <f>(tblJTL[[#This Row],[timeStamp]]-'17_分析サンプル'!$E$18)/1000</f>
        <v>590.47500000000002</v>
      </c>
      <c r="V2436" s="57">
        <f>INT(tblJTL[[#This Row],[経過秒]]/60)</f>
        <v>9</v>
      </c>
      <c r="W2436" s="57">
        <f>IF(OR(tblJTL[[#This Row],[success]]=FALSE,tblJTL[[#This Row],[success]]="false"),1,0)</f>
        <v>0</v>
      </c>
      <c r="X2436" s="57">
        <f>IF(AND(tblJTL[[#This Row],[経過秒]]&gt;='17_分析サンプル'!$E$11,tblJTL[[#This Row],[経過秒]]&lt;'17_分析サンプル'!$E$12),1,0)</f>
        <v>0</v>
      </c>
    </row>
    <row r="2437" spans="2:24" ht="14.4" x14ac:dyDescent="0.3">
      <c r="B2437" s="57">
        <v>1790816990936</v>
      </c>
      <c r="C2437" s="58">
        <v>143</v>
      </c>
      <c r="D2437" s="59" t="s">
        <v>1677</v>
      </c>
      <c r="E2437" s="59" t="s">
        <v>3579</v>
      </c>
      <c r="F2437" s="59" t="s">
        <v>3580</v>
      </c>
      <c r="G2437" s="59" t="s">
        <v>3587</v>
      </c>
      <c r="H2437" s="59" t="s">
        <v>2281</v>
      </c>
      <c r="I2437" s="59" t="b">
        <v>1</v>
      </c>
      <c r="J2437" s="59"/>
      <c r="K2437" s="58">
        <v>437</v>
      </c>
      <c r="L2437" s="58">
        <v>1478</v>
      </c>
      <c r="M2437" s="59">
        <v>10</v>
      </c>
      <c r="N2437" s="59">
        <v>10</v>
      </c>
      <c r="O2437" s="59" t="s">
        <v>3581</v>
      </c>
      <c r="P2437" s="58">
        <v>135</v>
      </c>
      <c r="Q2437" s="59">
        <v>0</v>
      </c>
      <c r="R2437" s="59">
        <v>0</v>
      </c>
      <c r="S2437" s="60">
        <f>tblJTL[[#This Row],[timeStamp]]/86400000+DATE(1970,1,1)+TIME(9,0,0)</f>
        <v>46296.423506203704</v>
      </c>
      <c r="T2437" s="57">
        <f>tblJTL[[#This Row],[timeStamp]]+tblJTL[[#This Row],[elapsed]]</f>
        <v>1790816991079</v>
      </c>
      <c r="U2437" s="61">
        <f>(tblJTL[[#This Row],[timeStamp]]-'17_分析サンプル'!$E$18)/1000</f>
        <v>590.75599999999997</v>
      </c>
      <c r="V2437" s="57">
        <f>INT(tblJTL[[#This Row],[経過秒]]/60)</f>
        <v>9</v>
      </c>
      <c r="W2437" s="57">
        <f>IF(OR(tblJTL[[#This Row],[success]]=FALSE,tblJTL[[#This Row],[success]]="false"),1,0)</f>
        <v>0</v>
      </c>
      <c r="X2437" s="57">
        <f>IF(AND(tblJTL[[#This Row],[経過秒]]&gt;='17_分析サンプル'!$E$11,tblJTL[[#This Row],[経過秒]]&lt;'17_分析サンプル'!$E$12),1,0)</f>
        <v>0</v>
      </c>
    </row>
    <row r="2438" spans="2:24" ht="14.4" x14ac:dyDescent="0.3">
      <c r="B2438" s="57">
        <v>1790816991000</v>
      </c>
      <c r="C2438" s="58">
        <v>155</v>
      </c>
      <c r="D2438" s="59" t="s">
        <v>1658</v>
      </c>
      <c r="E2438" s="59" t="s">
        <v>1577</v>
      </c>
      <c r="F2438" s="59" t="s">
        <v>2275</v>
      </c>
      <c r="G2438" s="59" t="s">
        <v>3586</v>
      </c>
      <c r="H2438" s="59" t="s">
        <v>2281</v>
      </c>
      <c r="I2438" s="59" t="b">
        <v>1</v>
      </c>
      <c r="J2438" s="59"/>
      <c r="K2438" s="58">
        <v>1869</v>
      </c>
      <c r="L2438" s="58">
        <v>1342</v>
      </c>
      <c r="M2438" s="59">
        <v>10</v>
      </c>
      <c r="N2438" s="59">
        <v>10</v>
      </c>
      <c r="O2438" s="59" t="s">
        <v>3578</v>
      </c>
      <c r="P2438" s="58">
        <v>147</v>
      </c>
      <c r="Q2438" s="59">
        <v>0</v>
      </c>
      <c r="R2438" s="59">
        <v>69</v>
      </c>
      <c r="S2438" s="60">
        <f>tblJTL[[#This Row],[timeStamp]]/86400000+DATE(1970,1,1)+TIME(9,0,0)</f>
        <v>46296.42350694444</v>
      </c>
      <c r="T2438" s="57">
        <f>tblJTL[[#This Row],[timeStamp]]+tblJTL[[#This Row],[elapsed]]</f>
        <v>1790816991155</v>
      </c>
      <c r="U2438" s="61">
        <f>(tblJTL[[#This Row],[timeStamp]]-'17_分析サンプル'!$E$18)/1000</f>
        <v>590.82000000000005</v>
      </c>
      <c r="V2438" s="57">
        <f>INT(tblJTL[[#This Row],[経過秒]]/60)</f>
        <v>9</v>
      </c>
      <c r="W2438" s="57">
        <f>IF(OR(tblJTL[[#This Row],[success]]=FALSE,tblJTL[[#This Row],[success]]="false"),1,0)</f>
        <v>0</v>
      </c>
      <c r="X2438" s="57">
        <f>IF(AND(tblJTL[[#This Row],[経過秒]]&gt;='17_分析サンプル'!$E$11,tblJTL[[#This Row],[経過秒]]&lt;'17_分析サンプル'!$E$12),1,0)</f>
        <v>0</v>
      </c>
    </row>
    <row r="2439" spans="2:24" ht="14.4" x14ac:dyDescent="0.3">
      <c r="B2439" s="57">
        <v>1790816991306</v>
      </c>
      <c r="C2439" s="58">
        <v>271</v>
      </c>
      <c r="D2439" s="59" t="s">
        <v>1677</v>
      </c>
      <c r="E2439" s="59" t="s">
        <v>3579</v>
      </c>
      <c r="F2439" s="59" t="s">
        <v>3580</v>
      </c>
      <c r="G2439" s="59" t="s">
        <v>3585</v>
      </c>
      <c r="H2439" s="59" t="s">
        <v>2281</v>
      </c>
      <c r="I2439" s="59" t="b">
        <v>1</v>
      </c>
      <c r="J2439" s="59"/>
      <c r="K2439" s="58">
        <v>426</v>
      </c>
      <c r="L2439" s="58">
        <v>1478</v>
      </c>
      <c r="M2439" s="59">
        <v>10</v>
      </c>
      <c r="N2439" s="59">
        <v>10</v>
      </c>
      <c r="O2439" s="59" t="s">
        <v>3581</v>
      </c>
      <c r="P2439" s="58">
        <v>265</v>
      </c>
      <c r="Q2439" s="59">
        <v>0</v>
      </c>
      <c r="R2439" s="59">
        <v>0</v>
      </c>
      <c r="S2439" s="60">
        <f>tblJTL[[#This Row],[timeStamp]]/86400000+DATE(1970,1,1)+TIME(9,0,0)</f>
        <v>46296.423510486115</v>
      </c>
      <c r="T2439" s="57">
        <f>tblJTL[[#This Row],[timeStamp]]+tblJTL[[#This Row],[elapsed]]</f>
        <v>1790816991577</v>
      </c>
      <c r="U2439" s="61">
        <f>(tblJTL[[#This Row],[timeStamp]]-'17_分析サンプル'!$E$18)/1000</f>
        <v>591.12599999999998</v>
      </c>
      <c r="V2439" s="57">
        <f>INT(tblJTL[[#This Row],[経過秒]]/60)</f>
        <v>9</v>
      </c>
      <c r="W2439" s="57">
        <f>IF(OR(tblJTL[[#This Row],[success]]=FALSE,tblJTL[[#This Row],[success]]="false"),1,0)</f>
        <v>0</v>
      </c>
      <c r="X2439" s="57">
        <f>IF(AND(tblJTL[[#This Row],[経過秒]]&gt;='17_分析サンプル'!$E$11,tblJTL[[#This Row],[経過秒]]&lt;'17_分析サンプル'!$E$12),1,0)</f>
        <v>0</v>
      </c>
    </row>
    <row r="2440" spans="2:24" ht="14.4" x14ac:dyDescent="0.3">
      <c r="B2440" s="57">
        <v>1790816991546</v>
      </c>
      <c r="C2440" s="58">
        <v>404</v>
      </c>
      <c r="D2440" s="59" t="s">
        <v>1677</v>
      </c>
      <c r="E2440" s="59" t="s">
        <v>3579</v>
      </c>
      <c r="F2440" s="59" t="s">
        <v>3580</v>
      </c>
      <c r="G2440" s="59" t="s">
        <v>3589</v>
      </c>
      <c r="H2440" s="59" t="s">
        <v>2281</v>
      </c>
      <c r="I2440" s="59" t="b">
        <v>1</v>
      </c>
      <c r="J2440" s="59"/>
      <c r="K2440" s="58">
        <v>439</v>
      </c>
      <c r="L2440" s="58">
        <v>1478</v>
      </c>
      <c r="M2440" s="59">
        <v>10</v>
      </c>
      <c r="N2440" s="59">
        <v>10</v>
      </c>
      <c r="O2440" s="59" t="s">
        <v>3581</v>
      </c>
      <c r="P2440" s="58">
        <v>396</v>
      </c>
      <c r="Q2440" s="59">
        <v>0</v>
      </c>
      <c r="R2440" s="59">
        <v>0</v>
      </c>
      <c r="S2440" s="60">
        <f>tblJTL[[#This Row],[timeStamp]]/86400000+DATE(1970,1,1)+TIME(9,0,0)</f>
        <v>46296.423513263886</v>
      </c>
      <c r="T2440" s="57">
        <f>tblJTL[[#This Row],[timeStamp]]+tblJTL[[#This Row],[elapsed]]</f>
        <v>1790816991950</v>
      </c>
      <c r="U2440" s="61">
        <f>(tblJTL[[#This Row],[timeStamp]]-'17_分析サンプル'!$E$18)/1000</f>
        <v>591.36599999999999</v>
      </c>
      <c r="V2440" s="57">
        <f>INT(tblJTL[[#This Row],[経過秒]]/60)</f>
        <v>9</v>
      </c>
      <c r="W2440" s="57">
        <f>IF(OR(tblJTL[[#This Row],[success]]=FALSE,tblJTL[[#This Row],[success]]="false"),1,0)</f>
        <v>0</v>
      </c>
      <c r="X2440" s="57">
        <f>IF(AND(tblJTL[[#This Row],[経過秒]]&gt;='17_分析サンプル'!$E$11,tblJTL[[#This Row],[経過秒]]&lt;'17_分析サンプル'!$E$12),1,0)</f>
        <v>0</v>
      </c>
    </row>
    <row r="2441" spans="2:24" ht="14.4" x14ac:dyDescent="0.3">
      <c r="B2441" s="57">
        <v>1790816991796</v>
      </c>
      <c r="C2441" s="58">
        <v>158</v>
      </c>
      <c r="D2441" s="59" t="s">
        <v>1677</v>
      </c>
      <c r="E2441" s="59" t="s">
        <v>3579</v>
      </c>
      <c r="F2441" s="59" t="s">
        <v>3580</v>
      </c>
      <c r="G2441" s="59" t="s">
        <v>3577</v>
      </c>
      <c r="H2441" s="59" t="s">
        <v>2281</v>
      </c>
      <c r="I2441" s="59" t="b">
        <v>1</v>
      </c>
      <c r="J2441" s="59"/>
      <c r="K2441" s="58">
        <v>423</v>
      </c>
      <c r="L2441" s="58">
        <v>1478</v>
      </c>
      <c r="M2441" s="59">
        <v>10</v>
      </c>
      <c r="N2441" s="59">
        <v>10</v>
      </c>
      <c r="O2441" s="59" t="s">
        <v>3581</v>
      </c>
      <c r="P2441" s="58">
        <v>156</v>
      </c>
      <c r="Q2441" s="59">
        <v>0</v>
      </c>
      <c r="R2441" s="59">
        <v>0</v>
      </c>
      <c r="S2441" s="60">
        <f>tblJTL[[#This Row],[timeStamp]]/86400000+DATE(1970,1,1)+TIME(9,0,0)</f>
        <v>46296.423516157403</v>
      </c>
      <c r="T2441" s="57">
        <f>tblJTL[[#This Row],[timeStamp]]+tblJTL[[#This Row],[elapsed]]</f>
        <v>1790816991954</v>
      </c>
      <c r="U2441" s="61">
        <f>(tblJTL[[#This Row],[timeStamp]]-'17_分析サンプル'!$E$18)/1000</f>
        <v>591.61599999999999</v>
      </c>
      <c r="V2441" s="57">
        <f>INT(tblJTL[[#This Row],[経過秒]]/60)</f>
        <v>9</v>
      </c>
      <c r="W2441" s="57">
        <f>IF(OR(tblJTL[[#This Row],[success]]=FALSE,tblJTL[[#This Row],[success]]="false"),1,0)</f>
        <v>0</v>
      </c>
      <c r="X2441" s="57">
        <f>IF(AND(tblJTL[[#This Row],[経過秒]]&gt;='17_分析サンプル'!$E$11,tblJTL[[#This Row],[経過秒]]&lt;'17_分析サンプル'!$E$12),1,0)</f>
        <v>0</v>
      </c>
    </row>
    <row r="2442" spans="2:24" ht="14.4" x14ac:dyDescent="0.3">
      <c r="B2442" s="57">
        <v>1790816991783</v>
      </c>
      <c r="C2442" s="58">
        <v>269</v>
      </c>
      <c r="D2442" s="59" t="s">
        <v>1677</v>
      </c>
      <c r="E2442" s="59" t="s">
        <v>3579</v>
      </c>
      <c r="F2442" s="59" t="s">
        <v>3580</v>
      </c>
      <c r="G2442" s="59" t="s">
        <v>3584</v>
      </c>
      <c r="H2442" s="59" t="s">
        <v>2281</v>
      </c>
      <c r="I2442" s="59" t="b">
        <v>1</v>
      </c>
      <c r="J2442" s="59"/>
      <c r="K2442" s="58">
        <v>434</v>
      </c>
      <c r="L2442" s="58">
        <v>1478</v>
      </c>
      <c r="M2442" s="59">
        <v>10</v>
      </c>
      <c r="N2442" s="59">
        <v>10</v>
      </c>
      <c r="O2442" s="59" t="s">
        <v>3581</v>
      </c>
      <c r="P2442" s="58">
        <v>265</v>
      </c>
      <c r="Q2442" s="59">
        <v>0</v>
      </c>
      <c r="R2442" s="59">
        <v>0</v>
      </c>
      <c r="S2442" s="60">
        <f>tblJTL[[#This Row],[timeStamp]]/86400000+DATE(1970,1,1)+TIME(9,0,0)</f>
        <v>46296.423516006944</v>
      </c>
      <c r="T2442" s="57">
        <f>tblJTL[[#This Row],[timeStamp]]+tblJTL[[#This Row],[elapsed]]</f>
        <v>1790816992052</v>
      </c>
      <c r="U2442" s="61">
        <f>(tblJTL[[#This Row],[timeStamp]]-'17_分析サンプル'!$E$18)/1000</f>
        <v>591.60299999999995</v>
      </c>
      <c r="V2442" s="57">
        <f>INT(tblJTL[[#This Row],[経過秒]]/60)</f>
        <v>9</v>
      </c>
      <c r="W2442" s="57">
        <f>IF(OR(tblJTL[[#This Row],[success]]=FALSE,tblJTL[[#This Row],[success]]="false"),1,0)</f>
        <v>0</v>
      </c>
      <c r="X2442" s="57">
        <f>IF(AND(tblJTL[[#This Row],[経過秒]]&gt;='17_分析サンプル'!$E$11,tblJTL[[#This Row],[経過秒]]&lt;'17_分析サンプル'!$E$12),1,0)</f>
        <v>0</v>
      </c>
    </row>
    <row r="2443" spans="2:24" ht="14.4" x14ac:dyDescent="0.3">
      <c r="B2443" s="57">
        <v>1790816991966</v>
      </c>
      <c r="C2443" s="58">
        <v>91</v>
      </c>
      <c r="D2443" s="59" t="s">
        <v>1658</v>
      </c>
      <c r="E2443" s="59" t="s">
        <v>1577</v>
      </c>
      <c r="F2443" s="59" t="s">
        <v>2275</v>
      </c>
      <c r="G2443" s="59" t="s">
        <v>3588</v>
      </c>
      <c r="H2443" s="59" t="s">
        <v>2281</v>
      </c>
      <c r="I2443" s="59" t="b">
        <v>1</v>
      </c>
      <c r="J2443" s="59"/>
      <c r="K2443" s="58">
        <v>1835</v>
      </c>
      <c r="L2443" s="58">
        <v>1342</v>
      </c>
      <c r="M2443" s="59">
        <v>10</v>
      </c>
      <c r="N2443" s="59">
        <v>10</v>
      </c>
      <c r="O2443" s="59" t="s">
        <v>3578</v>
      </c>
      <c r="P2443" s="58">
        <v>85</v>
      </c>
      <c r="Q2443" s="59">
        <v>0</v>
      </c>
      <c r="R2443" s="59">
        <v>0</v>
      </c>
      <c r="S2443" s="60">
        <f>tblJTL[[#This Row],[timeStamp]]/86400000+DATE(1970,1,1)+TIME(9,0,0)</f>
        <v>46296.423518124997</v>
      </c>
      <c r="T2443" s="57">
        <f>tblJTL[[#This Row],[timeStamp]]+tblJTL[[#This Row],[elapsed]]</f>
        <v>1790816992057</v>
      </c>
      <c r="U2443" s="61">
        <f>(tblJTL[[#This Row],[timeStamp]]-'17_分析サンプル'!$E$18)/1000</f>
        <v>591.78599999999994</v>
      </c>
      <c r="V2443" s="57">
        <f>INT(tblJTL[[#This Row],[経過秒]]/60)</f>
        <v>9</v>
      </c>
      <c r="W2443" s="57">
        <f>IF(OR(tblJTL[[#This Row],[success]]=FALSE,tblJTL[[#This Row],[success]]="false"),1,0)</f>
        <v>0</v>
      </c>
      <c r="X2443" s="57">
        <f>IF(AND(tblJTL[[#This Row],[経過秒]]&gt;='17_分析サンプル'!$E$11,tblJTL[[#This Row],[経過秒]]&lt;'17_分析サンプル'!$E$12),1,0)</f>
        <v>0</v>
      </c>
    </row>
    <row r="2444" spans="2:24" ht="14.4" x14ac:dyDescent="0.3">
      <c r="B2444" s="57">
        <v>1790816992061</v>
      </c>
      <c r="C2444" s="58">
        <v>81</v>
      </c>
      <c r="D2444" s="59" t="s">
        <v>1658</v>
      </c>
      <c r="E2444" s="59" t="s">
        <v>1577</v>
      </c>
      <c r="F2444" s="59" t="s">
        <v>2275</v>
      </c>
      <c r="G2444" s="59" t="s">
        <v>3583</v>
      </c>
      <c r="H2444" s="59" t="s">
        <v>2281</v>
      </c>
      <c r="I2444" s="59" t="b">
        <v>1</v>
      </c>
      <c r="J2444" s="59"/>
      <c r="K2444" s="58">
        <v>1882</v>
      </c>
      <c r="L2444" s="58">
        <v>1342</v>
      </c>
      <c r="M2444" s="59">
        <v>10</v>
      </c>
      <c r="N2444" s="59">
        <v>10</v>
      </c>
      <c r="O2444" s="59" t="s">
        <v>3578</v>
      </c>
      <c r="P2444" s="58">
        <v>78</v>
      </c>
      <c r="Q2444" s="59">
        <v>0</v>
      </c>
      <c r="R2444" s="59">
        <v>0</v>
      </c>
      <c r="S2444" s="60">
        <f>tblJTL[[#This Row],[timeStamp]]/86400000+DATE(1970,1,1)+TIME(9,0,0)</f>
        <v>46296.42351922454</v>
      </c>
      <c r="T2444" s="57">
        <f>tblJTL[[#This Row],[timeStamp]]+tblJTL[[#This Row],[elapsed]]</f>
        <v>1790816992142</v>
      </c>
      <c r="U2444" s="61">
        <f>(tblJTL[[#This Row],[timeStamp]]-'17_分析サンプル'!$E$18)/1000</f>
        <v>591.88099999999997</v>
      </c>
      <c r="V2444" s="57">
        <f>INT(tblJTL[[#This Row],[経過秒]]/60)</f>
        <v>9</v>
      </c>
      <c r="W2444" s="57">
        <f>IF(OR(tblJTL[[#This Row],[success]]=FALSE,tblJTL[[#This Row],[success]]="false"),1,0)</f>
        <v>0</v>
      </c>
      <c r="X2444" s="57">
        <f>IF(AND(tblJTL[[#This Row],[経過秒]]&gt;='17_分析サンプル'!$E$11,tblJTL[[#This Row],[経過秒]]&lt;'17_分析サンプル'!$E$12),1,0)</f>
        <v>0</v>
      </c>
    </row>
    <row r="2445" spans="2:24" ht="14.4" x14ac:dyDescent="0.3">
      <c r="B2445" s="57">
        <v>1790816992060</v>
      </c>
      <c r="C2445" s="58">
        <v>115</v>
      </c>
      <c r="D2445" s="59" t="s">
        <v>1658</v>
      </c>
      <c r="E2445" s="59" t="s">
        <v>1577</v>
      </c>
      <c r="F2445" s="59" t="s">
        <v>2275</v>
      </c>
      <c r="G2445" s="59" t="s">
        <v>3582</v>
      </c>
      <c r="H2445" s="59" t="s">
        <v>2281</v>
      </c>
      <c r="I2445" s="59" t="b">
        <v>1</v>
      </c>
      <c r="J2445" s="59"/>
      <c r="K2445" s="58">
        <v>1825</v>
      </c>
      <c r="L2445" s="58">
        <v>1342</v>
      </c>
      <c r="M2445" s="59">
        <v>10</v>
      </c>
      <c r="N2445" s="59">
        <v>10</v>
      </c>
      <c r="O2445" s="59" t="s">
        <v>3578</v>
      </c>
      <c r="P2445" s="58">
        <v>109</v>
      </c>
      <c r="Q2445" s="59">
        <v>0</v>
      </c>
      <c r="R2445" s="59">
        <v>0</v>
      </c>
      <c r="S2445" s="60">
        <f>tblJTL[[#This Row],[timeStamp]]/86400000+DATE(1970,1,1)+TIME(9,0,0)</f>
        <v>46296.423519212964</v>
      </c>
      <c r="T2445" s="57">
        <f>tblJTL[[#This Row],[timeStamp]]+tblJTL[[#This Row],[elapsed]]</f>
        <v>1790816992175</v>
      </c>
      <c r="U2445" s="61">
        <f>(tblJTL[[#This Row],[timeStamp]]-'17_分析サンプル'!$E$18)/1000</f>
        <v>591.88</v>
      </c>
      <c r="V2445" s="57">
        <f>INT(tblJTL[[#This Row],[経過秒]]/60)</f>
        <v>9</v>
      </c>
      <c r="W2445" s="57">
        <f>IF(OR(tblJTL[[#This Row],[success]]=FALSE,tblJTL[[#This Row],[success]]="false"),1,0)</f>
        <v>0</v>
      </c>
      <c r="X2445" s="57">
        <f>IF(AND(tblJTL[[#This Row],[経過秒]]&gt;='17_分析サンプル'!$E$11,tblJTL[[#This Row],[経過秒]]&lt;'17_分析サンプル'!$E$12),1,0)</f>
        <v>0</v>
      </c>
    </row>
    <row r="2446" spans="2:24" ht="14.4" x14ac:dyDescent="0.3">
      <c r="B2446" s="57">
        <v>1790816991844</v>
      </c>
      <c r="C2446" s="58">
        <v>446</v>
      </c>
      <c r="D2446" s="59" t="s">
        <v>1677</v>
      </c>
      <c r="E2446" s="59" t="s">
        <v>3579</v>
      </c>
      <c r="F2446" s="59" t="s">
        <v>3580</v>
      </c>
      <c r="G2446" s="59" t="s">
        <v>2278</v>
      </c>
      <c r="H2446" s="59" t="s">
        <v>2281</v>
      </c>
      <c r="I2446" s="59" t="b">
        <v>1</v>
      </c>
      <c r="J2446" s="59"/>
      <c r="K2446" s="58">
        <v>432</v>
      </c>
      <c r="L2446" s="58">
        <v>1478</v>
      </c>
      <c r="M2446" s="59">
        <v>10</v>
      </c>
      <c r="N2446" s="59">
        <v>10</v>
      </c>
      <c r="O2446" s="59" t="s">
        <v>3581</v>
      </c>
      <c r="P2446" s="58">
        <v>443</v>
      </c>
      <c r="Q2446" s="59">
        <v>0</v>
      </c>
      <c r="R2446" s="59">
        <v>0</v>
      </c>
      <c r="S2446" s="60">
        <f>tblJTL[[#This Row],[timeStamp]]/86400000+DATE(1970,1,1)+TIME(9,0,0)</f>
        <v>46296.423516712966</v>
      </c>
      <c r="T2446" s="57">
        <f>tblJTL[[#This Row],[timeStamp]]+tblJTL[[#This Row],[elapsed]]</f>
        <v>1790816992290</v>
      </c>
      <c r="U2446" s="61">
        <f>(tblJTL[[#This Row],[timeStamp]]-'17_分析サンプル'!$E$18)/1000</f>
        <v>591.66399999999999</v>
      </c>
      <c r="V2446" s="57">
        <f>INT(tblJTL[[#This Row],[経過秒]]/60)</f>
        <v>9</v>
      </c>
      <c r="W2446" s="57">
        <f>IF(OR(tblJTL[[#This Row],[success]]=FALSE,tblJTL[[#This Row],[success]]="false"),1,0)</f>
        <v>0</v>
      </c>
      <c r="X2446" s="57">
        <f>IF(AND(tblJTL[[#This Row],[経過秒]]&gt;='17_分析サンプル'!$E$11,tblJTL[[#This Row],[経過秒]]&lt;'17_分析サンプル'!$E$12),1,0)</f>
        <v>0</v>
      </c>
    </row>
    <row r="2447" spans="2:24" ht="14.4" x14ac:dyDescent="0.3">
      <c r="B2447" s="57">
        <v>1790816993006</v>
      </c>
      <c r="C2447" s="58">
        <v>129</v>
      </c>
      <c r="D2447" s="59" t="s">
        <v>1658</v>
      </c>
      <c r="E2447" s="59" t="s">
        <v>1577</v>
      </c>
      <c r="F2447" s="59" t="s">
        <v>2275</v>
      </c>
      <c r="G2447" s="59" t="s">
        <v>3587</v>
      </c>
      <c r="H2447" s="59" t="s">
        <v>2281</v>
      </c>
      <c r="I2447" s="59" t="b">
        <v>1</v>
      </c>
      <c r="J2447" s="59"/>
      <c r="K2447" s="58">
        <v>1896</v>
      </c>
      <c r="L2447" s="58">
        <v>1342</v>
      </c>
      <c r="M2447" s="59">
        <v>10</v>
      </c>
      <c r="N2447" s="59">
        <v>10</v>
      </c>
      <c r="O2447" s="59" t="s">
        <v>3578</v>
      </c>
      <c r="P2447" s="58">
        <v>121</v>
      </c>
      <c r="Q2447" s="59">
        <v>0</v>
      </c>
      <c r="R2447" s="59">
        <v>0</v>
      </c>
      <c r="S2447" s="60">
        <f>tblJTL[[#This Row],[timeStamp]]/86400000+DATE(1970,1,1)+TIME(9,0,0)</f>
        <v>46296.423530162036</v>
      </c>
      <c r="T2447" s="57">
        <f>tblJTL[[#This Row],[timeStamp]]+tblJTL[[#This Row],[elapsed]]</f>
        <v>1790816993135</v>
      </c>
      <c r="U2447" s="61">
        <f>(tblJTL[[#This Row],[timeStamp]]-'17_分析サンプル'!$E$18)/1000</f>
        <v>592.82600000000002</v>
      </c>
      <c r="V2447" s="57">
        <f>INT(tblJTL[[#This Row],[経過秒]]/60)</f>
        <v>9</v>
      </c>
      <c r="W2447" s="57">
        <f>IF(OR(tblJTL[[#This Row],[success]]=FALSE,tblJTL[[#This Row],[success]]="false"),1,0)</f>
        <v>0</v>
      </c>
      <c r="X2447" s="57">
        <f>IF(AND(tblJTL[[#This Row],[経過秒]]&gt;='17_分析サンプル'!$E$11,tblJTL[[#This Row],[経過秒]]&lt;'17_分析サンプル'!$E$12),1,0)</f>
        <v>0</v>
      </c>
    </row>
    <row r="2448" spans="2:24" ht="14.4" x14ac:dyDescent="0.3">
      <c r="B2448" s="57">
        <v>1790816993048</v>
      </c>
      <c r="C2448" s="58">
        <v>156</v>
      </c>
      <c r="D2448" s="59" t="s">
        <v>1658</v>
      </c>
      <c r="E2448" s="59" t="s">
        <v>1577</v>
      </c>
      <c r="F2448" s="59" t="s">
        <v>2275</v>
      </c>
      <c r="G2448" s="59" t="s">
        <v>3585</v>
      </c>
      <c r="H2448" s="59" t="s">
        <v>2281</v>
      </c>
      <c r="I2448" s="59" t="b">
        <v>1</v>
      </c>
      <c r="J2448" s="59"/>
      <c r="K2448" s="58">
        <v>1861</v>
      </c>
      <c r="L2448" s="58">
        <v>1342</v>
      </c>
      <c r="M2448" s="59">
        <v>10</v>
      </c>
      <c r="N2448" s="59">
        <v>10</v>
      </c>
      <c r="O2448" s="59" t="s">
        <v>3578</v>
      </c>
      <c r="P2448" s="58">
        <v>150</v>
      </c>
      <c r="Q2448" s="59">
        <v>0</v>
      </c>
      <c r="R2448" s="59">
        <v>0</v>
      </c>
      <c r="S2448" s="60">
        <f>tblJTL[[#This Row],[timeStamp]]/86400000+DATE(1970,1,1)+TIME(9,0,0)</f>
        <v>46296.42353064815</v>
      </c>
      <c r="T2448" s="57">
        <f>tblJTL[[#This Row],[timeStamp]]+tblJTL[[#This Row],[elapsed]]</f>
        <v>1790816993204</v>
      </c>
      <c r="U2448" s="61">
        <f>(tblJTL[[#This Row],[timeStamp]]-'17_分析サンプル'!$E$18)/1000</f>
        <v>592.86800000000005</v>
      </c>
      <c r="V2448" s="57">
        <f>INT(tblJTL[[#This Row],[経過秒]]/60)</f>
        <v>9</v>
      </c>
      <c r="W2448" s="57">
        <f>IF(OR(tblJTL[[#This Row],[success]]=FALSE,tblJTL[[#This Row],[success]]="false"),1,0)</f>
        <v>0</v>
      </c>
      <c r="X2448" s="57">
        <f>IF(AND(tblJTL[[#This Row],[経過秒]]&gt;='17_分析サンプル'!$E$11,tblJTL[[#This Row],[経過秒]]&lt;'17_分析サンプル'!$E$12),1,0)</f>
        <v>0</v>
      </c>
    </row>
    <row r="2449" spans="2:24" ht="14.4" x14ac:dyDescent="0.3">
      <c r="B2449" s="57">
        <v>1790816993357</v>
      </c>
      <c r="C2449" s="58">
        <v>270</v>
      </c>
      <c r="D2449" s="59" t="s">
        <v>1677</v>
      </c>
      <c r="E2449" s="59" t="s">
        <v>3579</v>
      </c>
      <c r="F2449" s="59" t="s">
        <v>3580</v>
      </c>
      <c r="G2449" s="59" t="s">
        <v>3586</v>
      </c>
      <c r="H2449" s="59" t="s">
        <v>2281</v>
      </c>
      <c r="I2449" s="59" t="b">
        <v>1</v>
      </c>
      <c r="J2449" s="59"/>
      <c r="K2449" s="58">
        <v>436</v>
      </c>
      <c r="L2449" s="58">
        <v>1478</v>
      </c>
      <c r="M2449" s="59">
        <v>10</v>
      </c>
      <c r="N2449" s="59">
        <v>10</v>
      </c>
      <c r="O2449" s="59" t="s">
        <v>3581</v>
      </c>
      <c r="P2449" s="58">
        <v>263</v>
      </c>
      <c r="Q2449" s="59">
        <v>0</v>
      </c>
      <c r="R2449" s="59">
        <v>0</v>
      </c>
      <c r="S2449" s="60">
        <f>tblJTL[[#This Row],[timeStamp]]/86400000+DATE(1970,1,1)+TIME(9,0,0)</f>
        <v>46296.423534224537</v>
      </c>
      <c r="T2449" s="57">
        <f>tblJTL[[#This Row],[timeStamp]]+tblJTL[[#This Row],[elapsed]]</f>
        <v>1790816993627</v>
      </c>
      <c r="U2449" s="61">
        <f>(tblJTL[[#This Row],[timeStamp]]-'17_分析サンプル'!$E$18)/1000</f>
        <v>593.17700000000002</v>
      </c>
      <c r="V2449" s="57">
        <f>INT(tblJTL[[#This Row],[経過秒]]/60)</f>
        <v>9</v>
      </c>
      <c r="W2449" s="57">
        <f>IF(OR(tblJTL[[#This Row],[success]]=FALSE,tblJTL[[#This Row],[success]]="false"),1,0)</f>
        <v>0</v>
      </c>
      <c r="X2449" s="57">
        <f>IF(AND(tblJTL[[#This Row],[経過秒]]&gt;='17_分析サンプル'!$E$11,tblJTL[[#This Row],[経過秒]]&lt;'17_分析サンプル'!$E$12),1,0)</f>
        <v>0</v>
      </c>
    </row>
    <row r="2450" spans="2:24" ht="14.4" x14ac:dyDescent="0.3">
      <c r="B2450" s="57">
        <v>1790816993535</v>
      </c>
      <c r="C2450" s="58">
        <v>111</v>
      </c>
      <c r="D2450" s="59" t="s">
        <v>1658</v>
      </c>
      <c r="E2450" s="59" t="s">
        <v>1577</v>
      </c>
      <c r="F2450" s="59" t="s">
        <v>2275</v>
      </c>
      <c r="G2450" s="59" t="s">
        <v>3584</v>
      </c>
      <c r="H2450" s="59" t="s">
        <v>2281</v>
      </c>
      <c r="I2450" s="59" t="b">
        <v>1</v>
      </c>
      <c r="J2450" s="59"/>
      <c r="K2450" s="58">
        <v>1867</v>
      </c>
      <c r="L2450" s="58">
        <v>1342</v>
      </c>
      <c r="M2450" s="59">
        <v>10</v>
      </c>
      <c r="N2450" s="59">
        <v>10</v>
      </c>
      <c r="O2450" s="59" t="s">
        <v>3578</v>
      </c>
      <c r="P2450" s="58">
        <v>107</v>
      </c>
      <c r="Q2450" s="59">
        <v>0</v>
      </c>
      <c r="R2450" s="59">
        <v>0</v>
      </c>
      <c r="S2450" s="60">
        <f>tblJTL[[#This Row],[timeStamp]]/86400000+DATE(1970,1,1)+TIME(9,0,0)</f>
        <v>46296.423536284725</v>
      </c>
      <c r="T2450" s="57">
        <f>tblJTL[[#This Row],[timeStamp]]+tblJTL[[#This Row],[elapsed]]</f>
        <v>1790816993646</v>
      </c>
      <c r="U2450" s="61">
        <f>(tblJTL[[#This Row],[timeStamp]]-'17_分析サンプル'!$E$18)/1000</f>
        <v>593.35500000000002</v>
      </c>
      <c r="V2450" s="57">
        <f>INT(tblJTL[[#This Row],[経過秒]]/60)</f>
        <v>9</v>
      </c>
      <c r="W2450" s="57">
        <f>IF(OR(tblJTL[[#This Row],[success]]=FALSE,tblJTL[[#This Row],[success]]="false"),1,0)</f>
        <v>0</v>
      </c>
      <c r="X2450" s="57">
        <f>IF(AND(tblJTL[[#This Row],[経過秒]]&gt;='17_分析サンプル'!$E$11,tblJTL[[#This Row],[経過秒]]&lt;'17_分析サンプル'!$E$12),1,0)</f>
        <v>0</v>
      </c>
    </row>
    <row r="2451" spans="2:24" ht="14.4" x14ac:dyDescent="0.3">
      <c r="B2451" s="57">
        <v>1790816994195</v>
      </c>
      <c r="C2451" s="58">
        <v>249</v>
      </c>
      <c r="D2451" s="59" t="s">
        <v>1677</v>
      </c>
      <c r="E2451" s="59" t="s">
        <v>3579</v>
      </c>
      <c r="F2451" s="59" t="s">
        <v>3580</v>
      </c>
      <c r="G2451" s="59" t="s">
        <v>3582</v>
      </c>
      <c r="H2451" s="59" t="s">
        <v>2281</v>
      </c>
      <c r="I2451" s="59" t="b">
        <v>1</v>
      </c>
      <c r="J2451" s="59"/>
      <c r="K2451" s="58">
        <v>422</v>
      </c>
      <c r="L2451" s="58">
        <v>1478</v>
      </c>
      <c r="M2451" s="59">
        <v>10</v>
      </c>
      <c r="N2451" s="59">
        <v>10</v>
      </c>
      <c r="O2451" s="59" t="s">
        <v>3581</v>
      </c>
      <c r="P2451" s="58">
        <v>243</v>
      </c>
      <c r="Q2451" s="59">
        <v>0</v>
      </c>
      <c r="R2451" s="59">
        <v>0</v>
      </c>
      <c r="S2451" s="60">
        <f>tblJTL[[#This Row],[timeStamp]]/86400000+DATE(1970,1,1)+TIME(9,0,0)</f>
        <v>46296.423543923607</v>
      </c>
      <c r="T2451" s="57">
        <f>tblJTL[[#This Row],[timeStamp]]+tblJTL[[#This Row],[elapsed]]</f>
        <v>1790816994444</v>
      </c>
      <c r="U2451" s="61">
        <f>(tblJTL[[#This Row],[timeStamp]]-'17_分析サンプル'!$E$18)/1000</f>
        <v>594.01499999999999</v>
      </c>
      <c r="V2451" s="57">
        <f>INT(tblJTL[[#This Row],[経過秒]]/60)</f>
        <v>9</v>
      </c>
      <c r="W2451" s="57">
        <f>IF(OR(tblJTL[[#This Row],[success]]=FALSE,tblJTL[[#This Row],[success]]="false"),1,0)</f>
        <v>0</v>
      </c>
      <c r="X2451" s="57">
        <f>IF(AND(tblJTL[[#This Row],[経過秒]]&gt;='17_分析サンプル'!$E$11,tblJTL[[#This Row],[経過秒]]&lt;'17_分析サンプル'!$E$12),1,0)</f>
        <v>0</v>
      </c>
    </row>
    <row r="2452" spans="2:24" ht="14.4" x14ac:dyDescent="0.3">
      <c r="B2452" s="57">
        <v>1790816994566</v>
      </c>
      <c r="C2452" s="58">
        <v>129</v>
      </c>
      <c r="D2452" s="59" t="s">
        <v>1658</v>
      </c>
      <c r="E2452" s="59" t="s">
        <v>1577</v>
      </c>
      <c r="F2452" s="59" t="s">
        <v>2275</v>
      </c>
      <c r="G2452" s="59" t="s">
        <v>3589</v>
      </c>
      <c r="H2452" s="59" t="s">
        <v>2281</v>
      </c>
      <c r="I2452" s="59" t="b">
        <v>1</v>
      </c>
      <c r="J2452" s="59"/>
      <c r="K2452" s="58">
        <v>1850</v>
      </c>
      <c r="L2452" s="58">
        <v>1342</v>
      </c>
      <c r="M2452" s="59">
        <v>10</v>
      </c>
      <c r="N2452" s="59">
        <v>10</v>
      </c>
      <c r="O2452" s="59" t="s">
        <v>3578</v>
      </c>
      <c r="P2452" s="58">
        <v>127</v>
      </c>
      <c r="Q2452" s="59">
        <v>0</v>
      </c>
      <c r="R2452" s="59">
        <v>0</v>
      </c>
      <c r="S2452" s="60">
        <f>tblJTL[[#This Row],[timeStamp]]/86400000+DATE(1970,1,1)+TIME(9,0,0)</f>
        <v>46296.423548217594</v>
      </c>
      <c r="T2452" s="57">
        <f>tblJTL[[#This Row],[timeStamp]]+tblJTL[[#This Row],[elapsed]]</f>
        <v>1790816994695</v>
      </c>
      <c r="U2452" s="61">
        <f>(tblJTL[[#This Row],[timeStamp]]-'17_分析サンプル'!$E$18)/1000</f>
        <v>594.38599999999997</v>
      </c>
      <c r="V2452" s="57">
        <f>INT(tblJTL[[#This Row],[経過秒]]/60)</f>
        <v>9</v>
      </c>
      <c r="W2452" s="57">
        <f>IF(OR(tblJTL[[#This Row],[success]]=FALSE,tblJTL[[#This Row],[success]]="false"),1,0)</f>
        <v>0</v>
      </c>
      <c r="X2452" s="57">
        <f>IF(AND(tblJTL[[#This Row],[経過秒]]&gt;='17_分析サンプル'!$E$11,tblJTL[[#This Row],[経過秒]]&lt;'17_分析サンプル'!$E$12),1,0)</f>
        <v>0</v>
      </c>
    </row>
    <row r="2453" spans="2:24" ht="14.4" x14ac:dyDescent="0.3">
      <c r="B2453" s="57">
        <v>1790816994465</v>
      </c>
      <c r="C2453" s="58">
        <v>276</v>
      </c>
      <c r="D2453" s="59" t="s">
        <v>1677</v>
      </c>
      <c r="E2453" s="59" t="s">
        <v>3579</v>
      </c>
      <c r="F2453" s="59" t="s">
        <v>3580</v>
      </c>
      <c r="G2453" s="59" t="s">
        <v>3583</v>
      </c>
      <c r="H2453" s="59" t="s">
        <v>2281</v>
      </c>
      <c r="I2453" s="59" t="b">
        <v>1</v>
      </c>
      <c r="J2453" s="59"/>
      <c r="K2453" s="58">
        <v>435</v>
      </c>
      <c r="L2453" s="58">
        <v>1478</v>
      </c>
      <c r="M2453" s="59">
        <v>10</v>
      </c>
      <c r="N2453" s="59">
        <v>10</v>
      </c>
      <c r="O2453" s="59" t="s">
        <v>3581</v>
      </c>
      <c r="P2453" s="58">
        <v>272</v>
      </c>
      <c r="Q2453" s="59">
        <v>0</v>
      </c>
      <c r="R2453" s="59">
        <v>0</v>
      </c>
      <c r="S2453" s="60">
        <f>tblJTL[[#This Row],[timeStamp]]/86400000+DATE(1970,1,1)+TIME(9,0,0)</f>
        <v>46296.423547048616</v>
      </c>
      <c r="T2453" s="57">
        <f>tblJTL[[#This Row],[timeStamp]]+tblJTL[[#This Row],[elapsed]]</f>
        <v>1790816994741</v>
      </c>
      <c r="U2453" s="61">
        <f>(tblJTL[[#This Row],[timeStamp]]-'17_分析サンプル'!$E$18)/1000</f>
        <v>594.28499999999997</v>
      </c>
      <c r="V2453" s="57">
        <f>INT(tblJTL[[#This Row],[経過秒]]/60)</f>
        <v>9</v>
      </c>
      <c r="W2453" s="57">
        <f>IF(OR(tblJTL[[#This Row],[success]]=FALSE,tblJTL[[#This Row],[success]]="false"),1,0)</f>
        <v>0</v>
      </c>
      <c r="X2453" s="57">
        <f>IF(AND(tblJTL[[#This Row],[経過秒]]&gt;='17_分析サンプル'!$E$11,tblJTL[[#This Row],[経過秒]]&lt;'17_分析サンプル'!$E$12),1,0)</f>
        <v>0</v>
      </c>
    </row>
    <row r="2454" spans="2:24" ht="14.4" x14ac:dyDescent="0.3">
      <c r="B2454" s="57">
        <v>1790816994919</v>
      </c>
      <c r="C2454" s="58">
        <v>88</v>
      </c>
      <c r="D2454" s="59" t="s">
        <v>1658</v>
      </c>
      <c r="E2454" s="59" t="s">
        <v>1577</v>
      </c>
      <c r="F2454" s="59" t="s">
        <v>2275</v>
      </c>
      <c r="G2454" s="59" t="s">
        <v>3577</v>
      </c>
      <c r="H2454" s="59" t="s">
        <v>2281</v>
      </c>
      <c r="I2454" s="59" t="b">
        <v>1</v>
      </c>
      <c r="J2454" s="59"/>
      <c r="K2454" s="58">
        <v>1828</v>
      </c>
      <c r="L2454" s="58">
        <v>1342</v>
      </c>
      <c r="M2454" s="59">
        <v>10</v>
      </c>
      <c r="N2454" s="59">
        <v>10</v>
      </c>
      <c r="O2454" s="59" t="s">
        <v>3578</v>
      </c>
      <c r="P2454" s="58">
        <v>86</v>
      </c>
      <c r="Q2454" s="59">
        <v>0</v>
      </c>
      <c r="R2454" s="59">
        <v>0</v>
      </c>
      <c r="S2454" s="60">
        <f>tblJTL[[#This Row],[timeStamp]]/86400000+DATE(1970,1,1)+TIME(9,0,0)</f>
        <v>46296.42355230324</v>
      </c>
      <c r="T2454" s="57">
        <f>tblJTL[[#This Row],[timeStamp]]+tblJTL[[#This Row],[elapsed]]</f>
        <v>1790816995007</v>
      </c>
      <c r="U2454" s="61">
        <f>(tblJTL[[#This Row],[timeStamp]]-'17_分析サンプル'!$E$18)/1000</f>
        <v>594.73900000000003</v>
      </c>
      <c r="V2454" s="57">
        <f>INT(tblJTL[[#This Row],[経過秒]]/60)</f>
        <v>9</v>
      </c>
      <c r="W2454" s="57">
        <f>IF(OR(tblJTL[[#This Row],[success]]=FALSE,tblJTL[[#This Row],[success]]="false"),1,0)</f>
        <v>0</v>
      </c>
      <c r="X2454" s="57">
        <f>IF(AND(tblJTL[[#This Row],[経過秒]]&gt;='17_分析サンプル'!$E$11,tblJTL[[#This Row],[経過秒]]&lt;'17_分析サンプル'!$E$12),1,0)</f>
        <v>0</v>
      </c>
    </row>
    <row r="2455" spans="2:24" ht="14.4" x14ac:dyDescent="0.3">
      <c r="B2455" s="57">
        <v>1790816994978</v>
      </c>
      <c r="C2455" s="58">
        <v>76</v>
      </c>
      <c r="D2455" s="59" t="s">
        <v>1658</v>
      </c>
      <c r="E2455" s="59" t="s">
        <v>1577</v>
      </c>
      <c r="F2455" s="59" t="s">
        <v>2275</v>
      </c>
      <c r="G2455" s="59" t="s">
        <v>3586</v>
      </c>
      <c r="H2455" s="59" t="s">
        <v>2281</v>
      </c>
      <c r="I2455" s="59" t="b">
        <v>1</v>
      </c>
      <c r="J2455" s="59"/>
      <c r="K2455" s="58">
        <v>1885</v>
      </c>
      <c r="L2455" s="58">
        <v>1342</v>
      </c>
      <c r="M2455" s="59">
        <v>10</v>
      </c>
      <c r="N2455" s="59">
        <v>10</v>
      </c>
      <c r="O2455" s="59" t="s">
        <v>3578</v>
      </c>
      <c r="P2455" s="58">
        <v>71</v>
      </c>
      <c r="Q2455" s="59">
        <v>0</v>
      </c>
      <c r="R2455" s="59">
        <v>0</v>
      </c>
      <c r="S2455" s="60">
        <f>tblJTL[[#This Row],[timeStamp]]/86400000+DATE(1970,1,1)+TIME(9,0,0)</f>
        <v>46296.423552986111</v>
      </c>
      <c r="T2455" s="57">
        <f>tblJTL[[#This Row],[timeStamp]]+tblJTL[[#This Row],[elapsed]]</f>
        <v>1790816995054</v>
      </c>
      <c r="U2455" s="61">
        <f>(tblJTL[[#This Row],[timeStamp]]-'17_分析サンプル'!$E$18)/1000</f>
        <v>594.798</v>
      </c>
      <c r="V2455" s="57">
        <f>INT(tblJTL[[#This Row],[経過秒]]/60)</f>
        <v>9</v>
      </c>
      <c r="W2455" s="57">
        <f>IF(OR(tblJTL[[#This Row],[success]]=FALSE,tblJTL[[#This Row],[success]]="false"),1,0)</f>
        <v>0</v>
      </c>
      <c r="X2455" s="57">
        <f>IF(AND(tblJTL[[#This Row],[経過秒]]&gt;='17_分析サンプル'!$E$11,tblJTL[[#This Row],[経過秒]]&lt;'17_分析サンプル'!$E$12),1,0)</f>
        <v>0</v>
      </c>
    </row>
    <row r="2456" spans="2:24" ht="14.4" x14ac:dyDescent="0.3">
      <c r="B2456" s="57">
        <v>1790816994780</v>
      </c>
      <c r="C2456" s="58">
        <v>351</v>
      </c>
      <c r="D2456" s="59" t="s">
        <v>1677</v>
      </c>
      <c r="E2456" s="59" t="s">
        <v>3579</v>
      </c>
      <c r="F2456" s="59" t="s">
        <v>3580</v>
      </c>
      <c r="G2456" s="59" t="s">
        <v>3588</v>
      </c>
      <c r="H2456" s="59" t="s">
        <v>2281</v>
      </c>
      <c r="I2456" s="59" t="b">
        <v>1</v>
      </c>
      <c r="J2456" s="59"/>
      <c r="K2456" s="58">
        <v>411</v>
      </c>
      <c r="L2456" s="58">
        <v>1478</v>
      </c>
      <c r="M2456" s="59">
        <v>10</v>
      </c>
      <c r="N2456" s="59">
        <v>10</v>
      </c>
      <c r="O2456" s="59" t="s">
        <v>3581</v>
      </c>
      <c r="P2456" s="58">
        <v>349</v>
      </c>
      <c r="Q2456" s="59">
        <v>0</v>
      </c>
      <c r="R2456" s="59">
        <v>0</v>
      </c>
      <c r="S2456" s="60">
        <f>tblJTL[[#This Row],[timeStamp]]/86400000+DATE(1970,1,1)+TIME(9,0,0)</f>
        <v>46296.423550694446</v>
      </c>
      <c r="T2456" s="57">
        <f>tblJTL[[#This Row],[timeStamp]]+tblJTL[[#This Row],[elapsed]]</f>
        <v>1790816995131</v>
      </c>
      <c r="U2456" s="61">
        <f>(tblJTL[[#This Row],[timeStamp]]-'17_分析サンプル'!$E$18)/1000</f>
        <v>594.6</v>
      </c>
      <c r="V2456" s="57">
        <f>INT(tblJTL[[#This Row],[経過秒]]/60)</f>
        <v>9</v>
      </c>
      <c r="W2456" s="57">
        <f>IF(OR(tblJTL[[#This Row],[success]]=FALSE,tblJTL[[#This Row],[success]]="false"),1,0)</f>
        <v>0</v>
      </c>
      <c r="X2456" s="57">
        <f>IF(AND(tblJTL[[#This Row],[経過秒]]&gt;='17_分析サンプル'!$E$11,tblJTL[[#This Row],[経過秒]]&lt;'17_分析サンプル'!$E$12),1,0)</f>
        <v>0</v>
      </c>
    </row>
    <row r="2457" spans="2:24" ht="14.4" x14ac:dyDescent="0.3">
      <c r="B2457" s="57">
        <v>1790816995265</v>
      </c>
      <c r="C2457" s="58">
        <v>173</v>
      </c>
      <c r="D2457" s="59" t="s">
        <v>1658</v>
      </c>
      <c r="E2457" s="59" t="s">
        <v>1577</v>
      </c>
      <c r="F2457" s="59" t="s">
        <v>2275</v>
      </c>
      <c r="G2457" s="59" t="s">
        <v>2278</v>
      </c>
      <c r="H2457" s="59" t="s">
        <v>2281</v>
      </c>
      <c r="I2457" s="59" t="b">
        <v>1</v>
      </c>
      <c r="J2457" s="59"/>
      <c r="K2457" s="58">
        <v>1836</v>
      </c>
      <c r="L2457" s="58">
        <v>1342</v>
      </c>
      <c r="M2457" s="59">
        <v>10</v>
      </c>
      <c r="N2457" s="59">
        <v>10</v>
      </c>
      <c r="O2457" s="59" t="s">
        <v>3578</v>
      </c>
      <c r="P2457" s="58">
        <v>167</v>
      </c>
      <c r="Q2457" s="59">
        <v>0</v>
      </c>
      <c r="R2457" s="59">
        <v>0</v>
      </c>
      <c r="S2457" s="60">
        <f>tblJTL[[#This Row],[timeStamp]]/86400000+DATE(1970,1,1)+TIME(9,0,0)</f>
        <v>46296.423556307869</v>
      </c>
      <c r="T2457" s="57">
        <f>tblJTL[[#This Row],[timeStamp]]+tblJTL[[#This Row],[elapsed]]</f>
        <v>1790816995438</v>
      </c>
      <c r="U2457" s="61">
        <f>(tblJTL[[#This Row],[timeStamp]]-'17_分析サンプル'!$E$18)/1000</f>
        <v>595.08500000000004</v>
      </c>
      <c r="V2457" s="57">
        <f>INT(tblJTL[[#This Row],[経過秒]]/60)</f>
        <v>9</v>
      </c>
      <c r="W2457" s="57">
        <f>IF(OR(tblJTL[[#This Row],[success]]=FALSE,tblJTL[[#This Row],[success]]="false"),1,0)</f>
        <v>0</v>
      </c>
      <c r="X2457" s="57">
        <f>IF(AND(tblJTL[[#This Row],[経過秒]]&gt;='17_分析サンプル'!$E$11,tblJTL[[#This Row],[経過秒]]&lt;'17_分析サンプル'!$E$12),1,0)</f>
        <v>0</v>
      </c>
    </row>
    <row r="2458" spans="2:24" ht="14.4" x14ac:dyDescent="0.3">
      <c r="B2458" s="57">
        <v>1790816995681</v>
      </c>
      <c r="C2458" s="58">
        <v>221</v>
      </c>
      <c r="D2458" s="59" t="s">
        <v>1677</v>
      </c>
      <c r="E2458" s="59" t="s">
        <v>3579</v>
      </c>
      <c r="F2458" s="59" t="s">
        <v>3580</v>
      </c>
      <c r="G2458" s="59" t="s">
        <v>3584</v>
      </c>
      <c r="H2458" s="59" t="s">
        <v>2281</v>
      </c>
      <c r="I2458" s="59" t="b">
        <v>1</v>
      </c>
      <c r="J2458" s="59"/>
      <c r="K2458" s="58">
        <v>412</v>
      </c>
      <c r="L2458" s="58">
        <v>1478</v>
      </c>
      <c r="M2458" s="59">
        <v>10</v>
      </c>
      <c r="N2458" s="59">
        <v>10</v>
      </c>
      <c r="O2458" s="59" t="s">
        <v>3581</v>
      </c>
      <c r="P2458" s="58">
        <v>218</v>
      </c>
      <c r="Q2458" s="59">
        <v>0</v>
      </c>
      <c r="R2458" s="59">
        <v>0</v>
      </c>
      <c r="S2458" s="60">
        <f>tblJTL[[#This Row],[timeStamp]]/86400000+DATE(1970,1,1)+TIME(9,0,0)</f>
        <v>46296.42356112269</v>
      </c>
      <c r="T2458" s="57">
        <f>tblJTL[[#This Row],[timeStamp]]+tblJTL[[#This Row],[elapsed]]</f>
        <v>1790816995902</v>
      </c>
      <c r="U2458" s="61">
        <f>(tblJTL[[#This Row],[timeStamp]]-'17_分析サンプル'!$E$18)/1000</f>
        <v>595.50099999999998</v>
      </c>
      <c r="V2458" s="57">
        <f>INT(tblJTL[[#This Row],[経過秒]]/60)</f>
        <v>9</v>
      </c>
      <c r="W2458" s="57">
        <f>IF(OR(tblJTL[[#This Row],[success]]=FALSE,tblJTL[[#This Row],[success]]="false"),1,0)</f>
        <v>0</v>
      </c>
      <c r="X2458" s="57">
        <f>IF(AND(tblJTL[[#This Row],[経過秒]]&gt;='17_分析サンプル'!$E$11,tblJTL[[#This Row],[経過秒]]&lt;'17_分析サンプル'!$E$12),1,0)</f>
        <v>0</v>
      </c>
    </row>
    <row r="2459" spans="2:24" ht="14.4" x14ac:dyDescent="0.3">
      <c r="B2459" s="57">
        <v>1790816995651</v>
      </c>
      <c r="C2459" s="58">
        <v>265</v>
      </c>
      <c r="D2459" s="59" t="s">
        <v>1677</v>
      </c>
      <c r="E2459" s="59" t="s">
        <v>3579</v>
      </c>
      <c r="F2459" s="59" t="s">
        <v>3580</v>
      </c>
      <c r="G2459" s="59" t="s">
        <v>3585</v>
      </c>
      <c r="H2459" s="59" t="s">
        <v>2281</v>
      </c>
      <c r="I2459" s="59" t="b">
        <v>1</v>
      </c>
      <c r="J2459" s="59"/>
      <c r="K2459" s="58">
        <v>430</v>
      </c>
      <c r="L2459" s="58">
        <v>1478</v>
      </c>
      <c r="M2459" s="59">
        <v>10</v>
      </c>
      <c r="N2459" s="59">
        <v>10</v>
      </c>
      <c r="O2459" s="59" t="s">
        <v>3581</v>
      </c>
      <c r="P2459" s="58">
        <v>260</v>
      </c>
      <c r="Q2459" s="59">
        <v>0</v>
      </c>
      <c r="R2459" s="59">
        <v>0</v>
      </c>
      <c r="S2459" s="60">
        <f>tblJTL[[#This Row],[timeStamp]]/86400000+DATE(1970,1,1)+TIME(9,0,0)</f>
        <v>46296.423560775467</v>
      </c>
      <c r="T2459" s="57">
        <f>tblJTL[[#This Row],[timeStamp]]+tblJTL[[#This Row],[elapsed]]</f>
        <v>1790816995916</v>
      </c>
      <c r="U2459" s="61">
        <f>(tblJTL[[#This Row],[timeStamp]]-'17_分析サンプル'!$E$18)/1000</f>
        <v>595.471</v>
      </c>
      <c r="V2459" s="57">
        <f>INT(tblJTL[[#This Row],[経過秒]]/60)</f>
        <v>9</v>
      </c>
      <c r="W2459" s="57">
        <f>IF(OR(tblJTL[[#This Row],[success]]=FALSE,tblJTL[[#This Row],[success]]="false"),1,0)</f>
        <v>0</v>
      </c>
      <c r="X2459" s="57">
        <f>IF(AND(tblJTL[[#This Row],[経過秒]]&gt;='17_分析サンプル'!$E$11,tblJTL[[#This Row],[経過秒]]&lt;'17_分析サンプル'!$E$12),1,0)</f>
        <v>0</v>
      </c>
    </row>
    <row r="2460" spans="2:24" ht="14.4" x14ac:dyDescent="0.3">
      <c r="B2460" s="57">
        <v>1790816995856</v>
      </c>
      <c r="C2460" s="58">
        <v>89</v>
      </c>
      <c r="D2460" s="59" t="s">
        <v>1658</v>
      </c>
      <c r="E2460" s="59" t="s">
        <v>1577</v>
      </c>
      <c r="F2460" s="59" t="s">
        <v>2275</v>
      </c>
      <c r="G2460" s="59" t="s">
        <v>3582</v>
      </c>
      <c r="H2460" s="59" t="s">
        <v>2281</v>
      </c>
      <c r="I2460" s="59" t="b">
        <v>1</v>
      </c>
      <c r="J2460" s="59"/>
      <c r="K2460" s="58">
        <v>1822</v>
      </c>
      <c r="L2460" s="58">
        <v>1342</v>
      </c>
      <c r="M2460" s="59">
        <v>10</v>
      </c>
      <c r="N2460" s="59">
        <v>10</v>
      </c>
      <c r="O2460" s="59" t="s">
        <v>3578</v>
      </c>
      <c r="P2460" s="58">
        <v>84</v>
      </c>
      <c r="Q2460" s="59">
        <v>0</v>
      </c>
      <c r="R2460" s="59">
        <v>0</v>
      </c>
      <c r="S2460" s="60">
        <f>tblJTL[[#This Row],[timeStamp]]/86400000+DATE(1970,1,1)+TIME(9,0,0)</f>
        <v>46296.42356314815</v>
      </c>
      <c r="T2460" s="57">
        <f>tblJTL[[#This Row],[timeStamp]]+tblJTL[[#This Row],[elapsed]]</f>
        <v>1790816995945</v>
      </c>
      <c r="U2460" s="61">
        <f>(tblJTL[[#This Row],[timeStamp]]-'17_分析サンプル'!$E$18)/1000</f>
        <v>595.67600000000004</v>
      </c>
      <c r="V2460" s="57">
        <f>INT(tblJTL[[#This Row],[経過秒]]/60)</f>
        <v>9</v>
      </c>
      <c r="W2460" s="57">
        <f>IF(OR(tblJTL[[#This Row],[success]]=FALSE,tblJTL[[#This Row],[success]]="false"),1,0)</f>
        <v>0</v>
      </c>
      <c r="X2460" s="57">
        <f>IF(AND(tblJTL[[#This Row],[経過秒]]&gt;='17_分析サンプル'!$E$11,tblJTL[[#This Row],[経過秒]]&lt;'17_分析サンプル'!$E$12),1,0)</f>
        <v>0</v>
      </c>
    </row>
    <row r="2461" spans="2:24" ht="14.4" x14ac:dyDescent="0.3">
      <c r="B2461" s="57">
        <v>1790816995837</v>
      </c>
      <c r="C2461" s="58">
        <v>294</v>
      </c>
      <c r="D2461" s="59" t="s">
        <v>1677</v>
      </c>
      <c r="E2461" s="59" t="s">
        <v>3579</v>
      </c>
      <c r="F2461" s="59" t="s">
        <v>3580</v>
      </c>
      <c r="G2461" s="59" t="s">
        <v>3587</v>
      </c>
      <c r="H2461" s="59" t="s">
        <v>2281</v>
      </c>
      <c r="I2461" s="59" t="b">
        <v>1</v>
      </c>
      <c r="J2461" s="59"/>
      <c r="K2461" s="58">
        <v>422</v>
      </c>
      <c r="L2461" s="58">
        <v>1478</v>
      </c>
      <c r="M2461" s="59">
        <v>10</v>
      </c>
      <c r="N2461" s="59">
        <v>10</v>
      </c>
      <c r="O2461" s="59" t="s">
        <v>3581</v>
      </c>
      <c r="P2461" s="58">
        <v>289</v>
      </c>
      <c r="Q2461" s="59">
        <v>0</v>
      </c>
      <c r="R2461" s="59">
        <v>58</v>
      </c>
      <c r="S2461" s="60">
        <f>tblJTL[[#This Row],[timeStamp]]/86400000+DATE(1970,1,1)+TIME(9,0,0)</f>
        <v>46296.423562928241</v>
      </c>
      <c r="T2461" s="57">
        <f>tblJTL[[#This Row],[timeStamp]]+tblJTL[[#This Row],[elapsed]]</f>
        <v>1790816996131</v>
      </c>
      <c r="U2461" s="61">
        <f>(tblJTL[[#This Row],[timeStamp]]-'17_分析サンプル'!$E$18)/1000</f>
        <v>595.65700000000004</v>
      </c>
      <c r="V2461" s="57">
        <f>INT(tblJTL[[#This Row],[経過秒]]/60)</f>
        <v>9</v>
      </c>
      <c r="W2461" s="57">
        <f>IF(OR(tblJTL[[#This Row],[success]]=FALSE,tblJTL[[#This Row],[success]]="false"),1,0)</f>
        <v>0</v>
      </c>
      <c r="X2461" s="57">
        <f>IF(AND(tblJTL[[#This Row],[経過秒]]&gt;='17_分析サンプル'!$E$11,tblJTL[[#This Row],[経過秒]]&lt;'17_分析サンプル'!$E$12),1,0)</f>
        <v>0</v>
      </c>
    </row>
    <row r="2462" spans="2:24" ht="14.4" x14ac:dyDescent="0.3">
      <c r="B2462" s="57">
        <v>1790816996166</v>
      </c>
      <c r="C2462" s="58">
        <v>235</v>
      </c>
      <c r="D2462" s="59" t="s">
        <v>1677</v>
      </c>
      <c r="E2462" s="59" t="s">
        <v>3579</v>
      </c>
      <c r="F2462" s="59" t="s">
        <v>3580</v>
      </c>
      <c r="G2462" s="59" t="s">
        <v>3577</v>
      </c>
      <c r="H2462" s="59" t="s">
        <v>2281</v>
      </c>
      <c r="I2462" s="59" t="b">
        <v>1</v>
      </c>
      <c r="J2462" s="59"/>
      <c r="K2462" s="58">
        <v>421</v>
      </c>
      <c r="L2462" s="58">
        <v>1478</v>
      </c>
      <c r="M2462" s="59">
        <v>10</v>
      </c>
      <c r="N2462" s="59">
        <v>10</v>
      </c>
      <c r="O2462" s="59" t="s">
        <v>3581</v>
      </c>
      <c r="P2462" s="58">
        <v>227</v>
      </c>
      <c r="Q2462" s="59">
        <v>0</v>
      </c>
      <c r="R2462" s="59">
        <v>0</v>
      </c>
      <c r="S2462" s="60">
        <f>tblJTL[[#This Row],[timeStamp]]/86400000+DATE(1970,1,1)+TIME(9,0,0)</f>
        <v>46296.423566736106</v>
      </c>
      <c r="T2462" s="57">
        <f>tblJTL[[#This Row],[timeStamp]]+tblJTL[[#This Row],[elapsed]]</f>
        <v>1790816996401</v>
      </c>
      <c r="U2462" s="61">
        <f>(tblJTL[[#This Row],[timeStamp]]-'17_分析サンプル'!$E$18)/1000</f>
        <v>595.98599999999999</v>
      </c>
      <c r="V2462" s="57">
        <f>INT(tblJTL[[#This Row],[経過秒]]/60)</f>
        <v>9</v>
      </c>
      <c r="W2462" s="57">
        <f>IF(OR(tblJTL[[#This Row],[success]]=FALSE,tblJTL[[#This Row],[success]]="false"),1,0)</f>
        <v>0</v>
      </c>
      <c r="X2462" s="57">
        <f>IF(AND(tblJTL[[#This Row],[経過秒]]&gt;='17_分析サンプル'!$E$11,tblJTL[[#This Row],[経過秒]]&lt;'17_分析サンプル'!$E$12),1,0)</f>
        <v>0</v>
      </c>
    </row>
    <row r="2463" spans="2:24" ht="14.4" x14ac:dyDescent="0.3">
      <c r="B2463" s="57">
        <v>1790816996474</v>
      </c>
      <c r="C2463" s="58">
        <v>238</v>
      </c>
      <c r="D2463" s="59" t="s">
        <v>1677</v>
      </c>
      <c r="E2463" s="59" t="s">
        <v>3579</v>
      </c>
      <c r="F2463" s="59" t="s">
        <v>3580</v>
      </c>
      <c r="G2463" s="59" t="s">
        <v>3586</v>
      </c>
      <c r="H2463" s="59" t="s">
        <v>2281</v>
      </c>
      <c r="I2463" s="59" t="b">
        <v>1</v>
      </c>
      <c r="J2463" s="59"/>
      <c r="K2463" s="58">
        <v>411</v>
      </c>
      <c r="L2463" s="58">
        <v>1478</v>
      </c>
      <c r="M2463" s="59">
        <v>10</v>
      </c>
      <c r="N2463" s="59">
        <v>10</v>
      </c>
      <c r="O2463" s="59" t="s">
        <v>3581</v>
      </c>
      <c r="P2463" s="58">
        <v>232</v>
      </c>
      <c r="Q2463" s="59">
        <v>0</v>
      </c>
      <c r="R2463" s="59">
        <v>0</v>
      </c>
      <c r="S2463" s="60">
        <f>tblJTL[[#This Row],[timeStamp]]/86400000+DATE(1970,1,1)+TIME(9,0,0)</f>
        <v>46296.423570300925</v>
      </c>
      <c r="T2463" s="57">
        <f>tblJTL[[#This Row],[timeStamp]]+tblJTL[[#This Row],[elapsed]]</f>
        <v>1790816996712</v>
      </c>
      <c r="U2463" s="61">
        <f>(tblJTL[[#This Row],[timeStamp]]-'17_分析サンプル'!$E$18)/1000</f>
        <v>596.29399999999998</v>
      </c>
      <c r="V2463" s="57">
        <f>INT(tblJTL[[#This Row],[経過秒]]/60)</f>
        <v>9</v>
      </c>
      <c r="W2463" s="57">
        <f>IF(OR(tblJTL[[#This Row],[success]]=FALSE,tblJTL[[#This Row],[success]]="false"),1,0)</f>
        <v>0</v>
      </c>
      <c r="X2463" s="57">
        <f>IF(AND(tblJTL[[#This Row],[経過秒]]&gt;='17_分析サンプル'!$E$11,tblJTL[[#This Row],[経過秒]]&lt;'17_分析サンプル'!$E$12),1,0)</f>
        <v>0</v>
      </c>
    </row>
    <row r="2464" spans="2:24" ht="14.4" x14ac:dyDescent="0.3">
      <c r="B2464" s="57">
        <v>1790816996570</v>
      </c>
      <c r="C2464" s="58">
        <v>394</v>
      </c>
      <c r="D2464" s="59" t="s">
        <v>1677</v>
      </c>
      <c r="E2464" s="59" t="s">
        <v>3579</v>
      </c>
      <c r="F2464" s="59" t="s">
        <v>3580</v>
      </c>
      <c r="G2464" s="59" t="s">
        <v>3589</v>
      </c>
      <c r="H2464" s="59" t="s">
        <v>2281</v>
      </c>
      <c r="I2464" s="59" t="b">
        <v>1</v>
      </c>
      <c r="J2464" s="59"/>
      <c r="K2464" s="58">
        <v>438</v>
      </c>
      <c r="L2464" s="58">
        <v>1478</v>
      </c>
      <c r="M2464" s="59">
        <v>10</v>
      </c>
      <c r="N2464" s="59">
        <v>10</v>
      </c>
      <c r="O2464" s="59" t="s">
        <v>3581</v>
      </c>
      <c r="P2464" s="58">
        <v>387</v>
      </c>
      <c r="Q2464" s="59">
        <v>0</v>
      </c>
      <c r="R2464" s="59">
        <v>0</v>
      </c>
      <c r="S2464" s="60">
        <f>tblJTL[[#This Row],[timeStamp]]/86400000+DATE(1970,1,1)+TIME(9,0,0)</f>
        <v>46296.423571412037</v>
      </c>
      <c r="T2464" s="57">
        <f>tblJTL[[#This Row],[timeStamp]]+tblJTL[[#This Row],[elapsed]]</f>
        <v>1790816996964</v>
      </c>
      <c r="U2464" s="61">
        <f>(tblJTL[[#This Row],[timeStamp]]-'17_分析サンプル'!$E$18)/1000</f>
        <v>596.39</v>
      </c>
      <c r="V2464" s="57">
        <f>INT(tblJTL[[#This Row],[経過秒]]/60)</f>
        <v>9</v>
      </c>
      <c r="W2464" s="57">
        <f>IF(OR(tblJTL[[#This Row],[success]]=FALSE,tblJTL[[#This Row],[success]]="false"),1,0)</f>
        <v>0</v>
      </c>
      <c r="X2464" s="57">
        <f>IF(AND(tblJTL[[#This Row],[経過秒]]&gt;='17_分析サンプル'!$E$11,tblJTL[[#This Row],[経過秒]]&lt;'17_分析サンプル'!$E$12),1,0)</f>
        <v>0</v>
      </c>
    </row>
    <row r="2465" spans="2:24" ht="14.4" x14ac:dyDescent="0.3">
      <c r="B2465" s="57">
        <v>1790816997398</v>
      </c>
      <c r="C2465" s="58">
        <v>83</v>
      </c>
      <c r="D2465" s="59" t="s">
        <v>1658</v>
      </c>
      <c r="E2465" s="59" t="s">
        <v>1577</v>
      </c>
      <c r="F2465" s="59" t="s">
        <v>2275</v>
      </c>
      <c r="G2465" s="59" t="s">
        <v>3583</v>
      </c>
      <c r="H2465" s="59" t="s">
        <v>2281</v>
      </c>
      <c r="I2465" s="59" t="b">
        <v>1</v>
      </c>
      <c r="J2465" s="59"/>
      <c r="K2465" s="58">
        <v>1861</v>
      </c>
      <c r="L2465" s="58">
        <v>1342</v>
      </c>
      <c r="M2465" s="59">
        <v>10</v>
      </c>
      <c r="N2465" s="59">
        <v>10</v>
      </c>
      <c r="O2465" s="59" t="s">
        <v>3578</v>
      </c>
      <c r="P2465" s="58">
        <v>75</v>
      </c>
      <c r="Q2465" s="59">
        <v>0</v>
      </c>
      <c r="R2465" s="59">
        <v>0</v>
      </c>
      <c r="S2465" s="60">
        <f>tblJTL[[#This Row],[timeStamp]]/86400000+DATE(1970,1,1)+TIME(9,0,0)</f>
        <v>46296.423580995368</v>
      </c>
      <c r="T2465" s="57">
        <f>tblJTL[[#This Row],[timeStamp]]+tblJTL[[#This Row],[elapsed]]</f>
        <v>1790816997481</v>
      </c>
      <c r="U2465" s="61">
        <f>(tblJTL[[#This Row],[timeStamp]]-'17_分析サンプル'!$E$18)/1000</f>
        <v>597.21799999999996</v>
      </c>
      <c r="V2465" s="57">
        <f>INT(tblJTL[[#This Row],[経過秒]]/60)</f>
        <v>9</v>
      </c>
      <c r="W2465" s="57">
        <f>IF(OR(tblJTL[[#This Row],[success]]=FALSE,tblJTL[[#This Row],[success]]="false"),1,0)</f>
        <v>0</v>
      </c>
      <c r="X2465" s="57">
        <f>IF(AND(tblJTL[[#This Row],[経過秒]]&gt;='17_分析サンプル'!$E$11,tblJTL[[#This Row],[経過秒]]&lt;'17_分析サンプル'!$E$12),1,0)</f>
        <v>0</v>
      </c>
    </row>
    <row r="2466" spans="2:24" ht="14.4" x14ac:dyDescent="0.3">
      <c r="B2466" s="57">
        <v>1790816997449</v>
      </c>
      <c r="C2466" s="58">
        <v>139</v>
      </c>
      <c r="D2466" s="59" t="s">
        <v>1658</v>
      </c>
      <c r="E2466" s="59" t="s">
        <v>1577</v>
      </c>
      <c r="F2466" s="59" t="s">
        <v>2275</v>
      </c>
      <c r="G2466" s="59" t="s">
        <v>3577</v>
      </c>
      <c r="H2466" s="59" t="s">
        <v>2281</v>
      </c>
      <c r="I2466" s="59" t="b">
        <v>1</v>
      </c>
      <c r="J2466" s="59"/>
      <c r="K2466" s="58">
        <v>1853</v>
      </c>
      <c r="L2466" s="58">
        <v>1342</v>
      </c>
      <c r="M2466" s="59">
        <v>10</v>
      </c>
      <c r="N2466" s="59">
        <v>10</v>
      </c>
      <c r="O2466" s="59" t="s">
        <v>3578</v>
      </c>
      <c r="P2466" s="58">
        <v>133</v>
      </c>
      <c r="Q2466" s="59">
        <v>0</v>
      </c>
      <c r="R2466" s="59">
        <v>0</v>
      </c>
      <c r="S2466" s="60">
        <f>tblJTL[[#This Row],[timeStamp]]/86400000+DATE(1970,1,1)+TIME(9,0,0)</f>
        <v>46296.423581585652</v>
      </c>
      <c r="T2466" s="57">
        <f>tblJTL[[#This Row],[timeStamp]]+tblJTL[[#This Row],[elapsed]]</f>
        <v>1790816997588</v>
      </c>
      <c r="U2466" s="61">
        <f>(tblJTL[[#This Row],[timeStamp]]-'17_分析サンプル'!$E$18)/1000</f>
        <v>597.26900000000001</v>
      </c>
      <c r="V2466" s="57">
        <f>INT(tblJTL[[#This Row],[経過秒]]/60)</f>
        <v>9</v>
      </c>
      <c r="W2466" s="57">
        <f>IF(OR(tblJTL[[#This Row],[success]]=FALSE,tblJTL[[#This Row],[success]]="false"),1,0)</f>
        <v>0</v>
      </c>
      <c r="X2466" s="57">
        <f>IF(AND(tblJTL[[#This Row],[経過秒]]&gt;='17_分析サンプル'!$E$11,tblJTL[[#This Row],[経過秒]]&lt;'17_分析サンプル'!$E$12),1,0)</f>
        <v>0</v>
      </c>
    </row>
    <row r="2467" spans="2:24" ht="14.4" x14ac:dyDescent="0.3">
      <c r="B2467" s="57">
        <v>1790816997511</v>
      </c>
      <c r="C2467" s="58">
        <v>196</v>
      </c>
      <c r="D2467" s="59" t="s">
        <v>1677</v>
      </c>
      <c r="E2467" s="59" t="s">
        <v>3579</v>
      </c>
      <c r="F2467" s="59" t="s">
        <v>3580</v>
      </c>
      <c r="G2467" s="59" t="s">
        <v>2278</v>
      </c>
      <c r="H2467" s="59" t="s">
        <v>2281</v>
      </c>
      <c r="I2467" s="59" t="b">
        <v>1</v>
      </c>
      <c r="J2467" s="59"/>
      <c r="K2467" s="58">
        <v>416</v>
      </c>
      <c r="L2467" s="58">
        <v>1478</v>
      </c>
      <c r="M2467" s="59">
        <v>10</v>
      </c>
      <c r="N2467" s="59">
        <v>10</v>
      </c>
      <c r="O2467" s="59" t="s">
        <v>3581</v>
      </c>
      <c r="P2467" s="58">
        <v>188</v>
      </c>
      <c r="Q2467" s="59">
        <v>0</v>
      </c>
      <c r="R2467" s="59">
        <v>0</v>
      </c>
      <c r="S2467" s="60">
        <f>tblJTL[[#This Row],[timeStamp]]/86400000+DATE(1970,1,1)+TIME(9,0,0)</f>
        <v>46296.423582303236</v>
      </c>
      <c r="T2467" s="57">
        <f>tblJTL[[#This Row],[timeStamp]]+tblJTL[[#This Row],[elapsed]]</f>
        <v>1790816997707</v>
      </c>
      <c r="U2467" s="61">
        <f>(tblJTL[[#This Row],[timeStamp]]-'17_分析サンプル'!$E$18)/1000</f>
        <v>597.33100000000002</v>
      </c>
      <c r="V2467" s="57">
        <f>INT(tblJTL[[#This Row],[経過秒]]/60)</f>
        <v>9</v>
      </c>
      <c r="W2467" s="57">
        <f>IF(OR(tblJTL[[#This Row],[success]]=FALSE,tblJTL[[#This Row],[success]]="false"),1,0)</f>
        <v>0</v>
      </c>
      <c r="X2467" s="57">
        <f>IF(AND(tblJTL[[#This Row],[経過秒]]&gt;='17_分析サンプル'!$E$11,tblJTL[[#This Row],[経過秒]]&lt;'17_分析サンプル'!$E$12),1,0)</f>
        <v>0</v>
      </c>
    </row>
    <row r="2468" spans="2:24" ht="14.4" x14ac:dyDescent="0.3">
      <c r="B2468" s="57">
        <v>1790816997705</v>
      </c>
      <c r="C2468" s="58">
        <v>143</v>
      </c>
      <c r="D2468" s="59" t="s">
        <v>1658</v>
      </c>
      <c r="E2468" s="59" t="s">
        <v>1577</v>
      </c>
      <c r="F2468" s="59" t="s">
        <v>2275</v>
      </c>
      <c r="G2468" s="59" t="s">
        <v>3584</v>
      </c>
      <c r="H2468" s="59" t="s">
        <v>2281</v>
      </c>
      <c r="I2468" s="59" t="b">
        <v>1</v>
      </c>
      <c r="J2468" s="59"/>
      <c r="K2468" s="58">
        <v>1899</v>
      </c>
      <c r="L2468" s="58">
        <v>1342</v>
      </c>
      <c r="M2468" s="59">
        <v>10</v>
      </c>
      <c r="N2468" s="59">
        <v>10</v>
      </c>
      <c r="O2468" s="59" t="s">
        <v>3578</v>
      </c>
      <c r="P2468" s="58">
        <v>138</v>
      </c>
      <c r="Q2468" s="59">
        <v>0</v>
      </c>
      <c r="R2468" s="59">
        <v>0</v>
      </c>
      <c r="S2468" s="60">
        <f>tblJTL[[#This Row],[timeStamp]]/86400000+DATE(1970,1,1)+TIME(9,0,0)</f>
        <v>46296.423584548611</v>
      </c>
      <c r="T2468" s="57">
        <f>tblJTL[[#This Row],[timeStamp]]+tblJTL[[#This Row],[elapsed]]</f>
        <v>1790816997848</v>
      </c>
      <c r="U2468" s="61">
        <f>(tblJTL[[#This Row],[timeStamp]]-'17_分析サンプル'!$E$18)/1000</f>
        <v>597.52499999999998</v>
      </c>
      <c r="V2468" s="57">
        <f>INT(tblJTL[[#This Row],[経過秒]]/60)</f>
        <v>9</v>
      </c>
      <c r="W2468" s="57">
        <f>IF(OR(tblJTL[[#This Row],[success]]=FALSE,tblJTL[[#This Row],[success]]="false"),1,0)</f>
        <v>0</v>
      </c>
      <c r="X2468" s="57">
        <f>IF(AND(tblJTL[[#This Row],[経過秒]]&gt;='17_分析サンプル'!$E$11,tblJTL[[#This Row],[経過秒]]&lt;'17_分析サンプル'!$E$12),1,0)</f>
        <v>0</v>
      </c>
    </row>
    <row r="2469" spans="2:24" ht="14.4" x14ac:dyDescent="0.3">
      <c r="B2469" s="57">
        <v>1790816997739</v>
      </c>
      <c r="C2469" s="58">
        <v>160</v>
      </c>
      <c r="D2469" s="59" t="s">
        <v>1658</v>
      </c>
      <c r="E2469" s="59" t="s">
        <v>1577</v>
      </c>
      <c r="F2469" s="59" t="s">
        <v>2275</v>
      </c>
      <c r="G2469" s="59" t="s">
        <v>3587</v>
      </c>
      <c r="H2469" s="59" t="s">
        <v>2281</v>
      </c>
      <c r="I2469" s="59" t="b">
        <v>1</v>
      </c>
      <c r="J2469" s="59"/>
      <c r="K2469" s="58">
        <v>1834</v>
      </c>
      <c r="L2469" s="58">
        <v>1342</v>
      </c>
      <c r="M2469" s="59">
        <v>10</v>
      </c>
      <c r="N2469" s="59">
        <v>10</v>
      </c>
      <c r="O2469" s="59" t="s">
        <v>3578</v>
      </c>
      <c r="P2469" s="58">
        <v>153</v>
      </c>
      <c r="Q2469" s="59">
        <v>0</v>
      </c>
      <c r="R2469" s="59">
        <v>0</v>
      </c>
      <c r="S2469" s="60">
        <f>tblJTL[[#This Row],[timeStamp]]/86400000+DATE(1970,1,1)+TIME(9,0,0)</f>
        <v>46296.423584942131</v>
      </c>
      <c r="T2469" s="57">
        <f>tblJTL[[#This Row],[timeStamp]]+tblJTL[[#This Row],[elapsed]]</f>
        <v>1790816997899</v>
      </c>
      <c r="U2469" s="61">
        <f>(tblJTL[[#This Row],[timeStamp]]-'17_分析サンプル'!$E$18)/1000</f>
        <v>597.55899999999997</v>
      </c>
      <c r="V2469" s="57">
        <f>INT(tblJTL[[#This Row],[経過秒]]/60)</f>
        <v>9</v>
      </c>
      <c r="W2469" s="57">
        <f>IF(OR(tblJTL[[#This Row],[success]]=FALSE,tblJTL[[#This Row],[success]]="false"),1,0)</f>
        <v>0</v>
      </c>
      <c r="X2469" s="57">
        <f>IF(AND(tblJTL[[#This Row],[経過秒]]&gt;='17_分析サンプル'!$E$11,tblJTL[[#This Row],[経過秒]]&lt;'17_分析サンプル'!$E$12),1,0)</f>
        <v>0</v>
      </c>
    </row>
    <row r="2470" spans="2:24" ht="14.4" x14ac:dyDescent="0.3">
      <c r="B2470" s="57">
        <v>1790816998033</v>
      </c>
      <c r="C2470" s="58">
        <v>91</v>
      </c>
      <c r="D2470" s="59" t="s">
        <v>1658</v>
      </c>
      <c r="E2470" s="59" t="s">
        <v>1577</v>
      </c>
      <c r="F2470" s="59" t="s">
        <v>2275</v>
      </c>
      <c r="G2470" s="59" t="s">
        <v>3588</v>
      </c>
      <c r="H2470" s="59" t="s">
        <v>2281</v>
      </c>
      <c r="I2470" s="59" t="b">
        <v>1</v>
      </c>
      <c r="J2470" s="59"/>
      <c r="K2470" s="58">
        <v>1824</v>
      </c>
      <c r="L2470" s="58">
        <v>1342</v>
      </c>
      <c r="M2470" s="59">
        <v>10</v>
      </c>
      <c r="N2470" s="59">
        <v>10</v>
      </c>
      <c r="O2470" s="59" t="s">
        <v>3578</v>
      </c>
      <c r="P2470" s="58">
        <v>87</v>
      </c>
      <c r="Q2470" s="59">
        <v>0</v>
      </c>
      <c r="R2470" s="59">
        <v>0</v>
      </c>
      <c r="S2470" s="60">
        <f>tblJTL[[#This Row],[timeStamp]]/86400000+DATE(1970,1,1)+TIME(9,0,0)</f>
        <v>46296.423588344907</v>
      </c>
      <c r="T2470" s="57">
        <f>tblJTL[[#This Row],[timeStamp]]+tblJTL[[#This Row],[elapsed]]</f>
        <v>1790816998124</v>
      </c>
      <c r="U2470" s="61">
        <f>(tblJTL[[#This Row],[timeStamp]]-'17_分析サンプル'!$E$18)/1000</f>
        <v>597.85299999999995</v>
      </c>
      <c r="V2470" s="57">
        <f>INT(tblJTL[[#This Row],[経過秒]]/60)</f>
        <v>9</v>
      </c>
      <c r="W2470" s="57">
        <f>IF(OR(tblJTL[[#This Row],[success]]=FALSE,tblJTL[[#This Row],[success]]="false"),1,0)</f>
        <v>0</v>
      </c>
      <c r="X2470" s="57">
        <f>IF(AND(tblJTL[[#This Row],[経過秒]]&gt;='17_分析サンプル'!$E$11,tblJTL[[#This Row],[経過秒]]&lt;'17_分析サンプル'!$E$12),1,0)</f>
        <v>0</v>
      </c>
    </row>
    <row r="2471" spans="2:24" ht="14.4" x14ac:dyDescent="0.3">
      <c r="B2471" s="57">
        <v>1790816997984</v>
      </c>
      <c r="C2471" s="58">
        <v>195</v>
      </c>
      <c r="D2471" s="59" t="s">
        <v>1677</v>
      </c>
      <c r="E2471" s="59" t="s">
        <v>3579</v>
      </c>
      <c r="F2471" s="59" t="s">
        <v>3580</v>
      </c>
      <c r="G2471" s="59" t="s">
        <v>3582</v>
      </c>
      <c r="H2471" s="59" t="s">
        <v>2281</v>
      </c>
      <c r="I2471" s="59" t="b">
        <v>1</v>
      </c>
      <c r="J2471" s="59"/>
      <c r="K2471" s="58">
        <v>415</v>
      </c>
      <c r="L2471" s="58">
        <v>1478</v>
      </c>
      <c r="M2471" s="59">
        <v>10</v>
      </c>
      <c r="N2471" s="59">
        <v>10</v>
      </c>
      <c r="O2471" s="59" t="s">
        <v>3581</v>
      </c>
      <c r="P2471" s="58">
        <v>188</v>
      </c>
      <c r="Q2471" s="59">
        <v>0</v>
      </c>
      <c r="R2471" s="59">
        <v>0</v>
      </c>
      <c r="S2471" s="60">
        <f>tblJTL[[#This Row],[timeStamp]]/86400000+DATE(1970,1,1)+TIME(9,0,0)</f>
        <v>46296.423587777783</v>
      </c>
      <c r="T2471" s="57">
        <f>tblJTL[[#This Row],[timeStamp]]+tblJTL[[#This Row],[elapsed]]</f>
        <v>1790816998179</v>
      </c>
      <c r="U2471" s="61">
        <f>(tblJTL[[#This Row],[timeStamp]]-'17_分析サンプル'!$E$18)/1000</f>
        <v>597.80399999999997</v>
      </c>
      <c r="V2471" s="57">
        <f>INT(tblJTL[[#This Row],[経過秒]]/60)</f>
        <v>9</v>
      </c>
      <c r="W2471" s="57">
        <f>IF(OR(tblJTL[[#This Row],[success]]=FALSE,tblJTL[[#This Row],[success]]="false"),1,0)</f>
        <v>0</v>
      </c>
      <c r="X2471" s="57">
        <f>IF(AND(tblJTL[[#This Row],[経過秒]]&gt;='17_分析サンプル'!$E$11,tblJTL[[#This Row],[経過秒]]&lt;'17_分析サンプル'!$E$12),1,0)</f>
        <v>0</v>
      </c>
    </row>
    <row r="2472" spans="2:24" ht="14.4" x14ac:dyDescent="0.3">
      <c r="B2472" s="57">
        <v>1790816998477</v>
      </c>
      <c r="C2472" s="58">
        <v>116</v>
      </c>
      <c r="D2472" s="59" t="s">
        <v>1658</v>
      </c>
      <c r="E2472" s="59" t="s">
        <v>1577</v>
      </c>
      <c r="F2472" s="59" t="s">
        <v>2275</v>
      </c>
      <c r="G2472" s="59" t="s">
        <v>3585</v>
      </c>
      <c r="H2472" s="59" t="s">
        <v>2281</v>
      </c>
      <c r="I2472" s="59" t="b">
        <v>1</v>
      </c>
      <c r="J2472" s="59"/>
      <c r="K2472" s="58">
        <v>1831</v>
      </c>
      <c r="L2472" s="58">
        <v>1342</v>
      </c>
      <c r="M2472" s="59">
        <v>10</v>
      </c>
      <c r="N2472" s="59">
        <v>10</v>
      </c>
      <c r="O2472" s="59" t="s">
        <v>3578</v>
      </c>
      <c r="P2472" s="58">
        <v>111</v>
      </c>
      <c r="Q2472" s="59">
        <v>0</v>
      </c>
      <c r="R2472" s="59">
        <v>0</v>
      </c>
      <c r="S2472" s="60">
        <f>tblJTL[[#This Row],[timeStamp]]/86400000+DATE(1970,1,1)+TIME(9,0,0)</f>
        <v>46296.423593483793</v>
      </c>
      <c r="T2472" s="57">
        <f>tblJTL[[#This Row],[timeStamp]]+tblJTL[[#This Row],[elapsed]]</f>
        <v>1790816998593</v>
      </c>
      <c r="U2472" s="61">
        <f>(tblJTL[[#This Row],[timeStamp]]-'17_分析サンプル'!$E$18)/1000</f>
        <v>598.29700000000003</v>
      </c>
      <c r="V2472" s="57">
        <f>INT(tblJTL[[#This Row],[経過秒]]/60)</f>
        <v>9</v>
      </c>
      <c r="W2472" s="57">
        <f>IF(OR(tblJTL[[#This Row],[success]]=FALSE,tblJTL[[#This Row],[success]]="false"),1,0)</f>
        <v>0</v>
      </c>
      <c r="X2472" s="57">
        <f>IF(AND(tblJTL[[#This Row],[経過秒]]&gt;='17_分析サンプル'!$E$11,tblJTL[[#This Row],[経過秒]]&lt;'17_分析サンプル'!$E$12),1,0)</f>
        <v>0</v>
      </c>
    </row>
    <row r="2473" spans="2:24" ht="14.4" x14ac:dyDescent="0.3">
      <c r="B2473" s="57">
        <v>1790816998957</v>
      </c>
      <c r="C2473" s="58">
        <v>145</v>
      </c>
      <c r="D2473" s="59" t="s">
        <v>1658</v>
      </c>
      <c r="E2473" s="59" t="s">
        <v>1577</v>
      </c>
      <c r="F2473" s="59" t="s">
        <v>2275</v>
      </c>
      <c r="G2473" s="59" t="s">
        <v>3586</v>
      </c>
      <c r="H2473" s="59" t="s">
        <v>2281</v>
      </c>
      <c r="I2473" s="59" t="b">
        <v>1</v>
      </c>
      <c r="J2473" s="59"/>
      <c r="K2473" s="58">
        <v>1872</v>
      </c>
      <c r="L2473" s="58">
        <v>1342</v>
      </c>
      <c r="M2473" s="59">
        <v>10</v>
      </c>
      <c r="N2473" s="59">
        <v>10</v>
      </c>
      <c r="O2473" s="59" t="s">
        <v>3578</v>
      </c>
      <c r="P2473" s="58">
        <v>139</v>
      </c>
      <c r="Q2473" s="59">
        <v>0</v>
      </c>
      <c r="R2473" s="59">
        <v>0</v>
      </c>
      <c r="S2473" s="60">
        <f>tblJTL[[#This Row],[timeStamp]]/86400000+DATE(1970,1,1)+TIME(9,0,0)</f>
        <v>46296.42359903935</v>
      </c>
      <c r="T2473" s="57">
        <f>tblJTL[[#This Row],[timeStamp]]+tblJTL[[#This Row],[elapsed]]</f>
        <v>1790816999102</v>
      </c>
      <c r="U2473" s="61">
        <f>(tblJTL[[#This Row],[timeStamp]]-'17_分析サンプル'!$E$18)/1000</f>
        <v>598.77700000000004</v>
      </c>
      <c r="V2473" s="57">
        <f>INT(tblJTL[[#This Row],[経過秒]]/60)</f>
        <v>9</v>
      </c>
      <c r="W2473" s="57">
        <f>IF(OR(tblJTL[[#This Row],[success]]=FALSE,tblJTL[[#This Row],[success]]="false"),1,0)</f>
        <v>0</v>
      </c>
      <c r="X2473" s="57">
        <f>IF(AND(tblJTL[[#This Row],[経過秒]]&gt;='17_分析サンプル'!$E$11,tblJTL[[#This Row],[経過秒]]&lt;'17_分析サンプル'!$E$12),1,0)</f>
        <v>0</v>
      </c>
    </row>
    <row r="2474" spans="2:24" ht="14.4" x14ac:dyDescent="0.3">
      <c r="B2474" s="57">
        <v>1790816999074</v>
      </c>
      <c r="C2474" s="58">
        <v>163</v>
      </c>
      <c r="D2474" s="59" t="s">
        <v>1677</v>
      </c>
      <c r="E2474" s="59" t="s">
        <v>3579</v>
      </c>
      <c r="F2474" s="59" t="s">
        <v>3580</v>
      </c>
      <c r="G2474" s="59" t="s">
        <v>3583</v>
      </c>
      <c r="H2474" s="59" t="s">
        <v>2281</v>
      </c>
      <c r="I2474" s="59" t="b">
        <v>1</v>
      </c>
      <c r="J2474" s="59"/>
      <c r="K2474" s="58">
        <v>431</v>
      </c>
      <c r="L2474" s="58">
        <v>1478</v>
      </c>
      <c r="M2474" s="59">
        <v>10</v>
      </c>
      <c r="N2474" s="59">
        <v>10</v>
      </c>
      <c r="O2474" s="59" t="s">
        <v>3581</v>
      </c>
      <c r="P2474" s="58">
        <v>157</v>
      </c>
      <c r="Q2474" s="59">
        <v>0</v>
      </c>
      <c r="R2474" s="59">
        <v>0</v>
      </c>
      <c r="S2474" s="60">
        <f>tblJTL[[#This Row],[timeStamp]]/86400000+DATE(1970,1,1)+TIME(9,0,0)</f>
        <v>46296.423600393522</v>
      </c>
      <c r="T2474" s="57">
        <f>tblJTL[[#This Row],[timeStamp]]+tblJTL[[#This Row],[elapsed]]</f>
        <v>1790816999237</v>
      </c>
      <c r="U2474" s="61">
        <f>(tblJTL[[#This Row],[timeStamp]]-'17_分析サンプル'!$E$18)/1000</f>
        <v>598.89400000000001</v>
      </c>
      <c r="V2474" s="57">
        <f>INT(tblJTL[[#This Row],[経過秒]]/60)</f>
        <v>9</v>
      </c>
      <c r="W2474" s="57">
        <f>IF(OR(tblJTL[[#This Row],[success]]=FALSE,tblJTL[[#This Row],[success]]="false"),1,0)</f>
        <v>0</v>
      </c>
      <c r="X2474" s="57">
        <f>IF(AND(tblJTL[[#This Row],[経過秒]]&gt;='17_分析サンプル'!$E$11,tblJTL[[#This Row],[経過秒]]&lt;'17_分析サンプル'!$E$12),1,0)</f>
        <v>0</v>
      </c>
    </row>
    <row r="2475" spans="2:24" ht="14.4" x14ac:dyDescent="0.3">
      <c r="B2475" s="57">
        <v>1790816999247</v>
      </c>
      <c r="C2475" s="58">
        <v>168</v>
      </c>
      <c r="D2475" s="59" t="s">
        <v>1677</v>
      </c>
      <c r="E2475" s="59" t="s">
        <v>3579</v>
      </c>
      <c r="F2475" s="59" t="s">
        <v>3580</v>
      </c>
      <c r="G2475" s="59" t="s">
        <v>3577</v>
      </c>
      <c r="H2475" s="59" t="s">
        <v>2281</v>
      </c>
      <c r="I2475" s="59" t="b">
        <v>1</v>
      </c>
      <c r="J2475" s="59"/>
      <c r="K2475" s="58">
        <v>439</v>
      </c>
      <c r="L2475" s="58">
        <v>1478</v>
      </c>
      <c r="M2475" s="59">
        <v>10</v>
      </c>
      <c r="N2475" s="59">
        <v>10</v>
      </c>
      <c r="O2475" s="59" t="s">
        <v>3581</v>
      </c>
      <c r="P2475" s="58">
        <v>163</v>
      </c>
      <c r="Q2475" s="59">
        <v>0</v>
      </c>
      <c r="R2475" s="59">
        <v>0</v>
      </c>
      <c r="S2475" s="60">
        <f>tblJTL[[#This Row],[timeStamp]]/86400000+DATE(1970,1,1)+TIME(9,0,0)</f>
        <v>46296.423602395836</v>
      </c>
      <c r="T2475" s="57">
        <f>tblJTL[[#This Row],[timeStamp]]+tblJTL[[#This Row],[elapsed]]</f>
        <v>1790816999415</v>
      </c>
      <c r="U2475" s="61">
        <f>(tblJTL[[#This Row],[timeStamp]]-'17_分析サンプル'!$E$18)/1000</f>
        <v>599.06700000000001</v>
      </c>
      <c r="V2475" s="57">
        <f>INT(tblJTL[[#This Row],[経過秒]]/60)</f>
        <v>9</v>
      </c>
      <c r="W2475" s="57">
        <f>IF(OR(tblJTL[[#This Row],[success]]=FALSE,tblJTL[[#This Row],[success]]="false"),1,0)</f>
        <v>0</v>
      </c>
      <c r="X2475" s="57">
        <f>IF(AND(tblJTL[[#This Row],[経過秒]]&gt;='17_分析サンプル'!$E$11,tblJTL[[#This Row],[経過秒]]&lt;'17_分析サンプル'!$E$12),1,0)</f>
        <v>0</v>
      </c>
    </row>
    <row r="2476" spans="2:24" ht="14.4" x14ac:dyDescent="0.3">
      <c r="B2476" s="57">
        <v>1790816999301</v>
      </c>
      <c r="C2476" s="58">
        <v>140</v>
      </c>
      <c r="D2476" s="59" t="s">
        <v>1677</v>
      </c>
      <c r="E2476" s="59" t="s">
        <v>3579</v>
      </c>
      <c r="F2476" s="59" t="s">
        <v>3580</v>
      </c>
      <c r="G2476" s="59" t="s">
        <v>3584</v>
      </c>
      <c r="H2476" s="59" t="s">
        <v>2281</v>
      </c>
      <c r="I2476" s="59" t="b">
        <v>1</v>
      </c>
      <c r="J2476" s="59"/>
      <c r="K2476" s="58">
        <v>413</v>
      </c>
      <c r="L2476" s="58">
        <v>1478</v>
      </c>
      <c r="M2476" s="59">
        <v>10</v>
      </c>
      <c r="N2476" s="59">
        <v>10</v>
      </c>
      <c r="O2476" s="59" t="s">
        <v>3581</v>
      </c>
      <c r="P2476" s="58">
        <v>136</v>
      </c>
      <c r="Q2476" s="59">
        <v>0</v>
      </c>
      <c r="R2476" s="59">
        <v>0</v>
      </c>
      <c r="S2476" s="60">
        <f>tblJTL[[#This Row],[timeStamp]]/86400000+DATE(1970,1,1)+TIME(9,0,0)</f>
        <v>46296.423603020834</v>
      </c>
      <c r="T2476" s="57">
        <f>tblJTL[[#This Row],[timeStamp]]+tblJTL[[#This Row],[elapsed]]</f>
        <v>1790816999441</v>
      </c>
      <c r="U2476" s="61">
        <f>(tblJTL[[#This Row],[timeStamp]]-'17_分析サンプル'!$E$18)/1000</f>
        <v>599.12099999999998</v>
      </c>
      <c r="V2476" s="57">
        <f>INT(tblJTL[[#This Row],[経過秒]]/60)</f>
        <v>9</v>
      </c>
      <c r="W2476" s="57">
        <f>IF(OR(tblJTL[[#This Row],[success]]=FALSE,tblJTL[[#This Row],[success]]="false"),1,0)</f>
        <v>0</v>
      </c>
      <c r="X2476" s="57">
        <f>IF(AND(tblJTL[[#This Row],[経過秒]]&gt;='17_分析サンプル'!$E$11,tblJTL[[#This Row],[経過秒]]&lt;'17_分析サンプル'!$E$12),1,0)</f>
        <v>0</v>
      </c>
    </row>
    <row r="2477" spans="2:24" ht="14.4" x14ac:dyDescent="0.3">
      <c r="B2477" s="57">
        <v>1790816999472</v>
      </c>
      <c r="C2477" s="58">
        <v>121</v>
      </c>
      <c r="D2477" s="59" t="s">
        <v>1658</v>
      </c>
      <c r="E2477" s="59" t="s">
        <v>1577</v>
      </c>
      <c r="F2477" s="59" t="s">
        <v>2275</v>
      </c>
      <c r="G2477" s="59" t="s">
        <v>3589</v>
      </c>
      <c r="H2477" s="59" t="s">
        <v>2281</v>
      </c>
      <c r="I2477" s="59" t="b">
        <v>1</v>
      </c>
      <c r="J2477" s="59"/>
      <c r="K2477" s="58">
        <v>1821</v>
      </c>
      <c r="L2477" s="58">
        <v>1342</v>
      </c>
      <c r="M2477" s="59">
        <v>10</v>
      </c>
      <c r="N2477" s="59">
        <v>10</v>
      </c>
      <c r="O2477" s="59" t="s">
        <v>3578</v>
      </c>
      <c r="P2477" s="58">
        <v>113</v>
      </c>
      <c r="Q2477" s="59">
        <v>0</v>
      </c>
      <c r="R2477" s="59">
        <v>0</v>
      </c>
      <c r="S2477" s="60">
        <f>tblJTL[[#This Row],[timeStamp]]/86400000+DATE(1970,1,1)+TIME(9,0,0)</f>
        <v>46296.423605000004</v>
      </c>
      <c r="T2477" s="57">
        <f>tblJTL[[#This Row],[timeStamp]]+tblJTL[[#This Row],[elapsed]]</f>
        <v>1790816999593</v>
      </c>
      <c r="U2477" s="61">
        <f>(tblJTL[[#This Row],[timeStamp]]-'17_分析サンプル'!$E$18)/1000</f>
        <v>599.29200000000003</v>
      </c>
      <c r="V2477" s="57">
        <f>INT(tblJTL[[#This Row],[経過秒]]/60)</f>
        <v>9</v>
      </c>
      <c r="W2477" s="57">
        <f>IF(OR(tblJTL[[#This Row],[success]]=FALSE,tblJTL[[#This Row],[success]]="false"),1,0)</f>
        <v>0</v>
      </c>
      <c r="X2477" s="57">
        <f>IF(AND(tblJTL[[#This Row],[経過秒]]&gt;='17_分析サンプル'!$E$11,tblJTL[[#This Row],[経過秒]]&lt;'17_分析サンプル'!$E$12),1,0)</f>
        <v>0</v>
      </c>
    </row>
    <row r="2478" spans="2:24" ht="14.4" x14ac:dyDescent="0.3">
      <c r="B2478" s="57">
        <v>1790816999351</v>
      </c>
      <c r="C2478" s="58">
        <v>251</v>
      </c>
      <c r="D2478" s="59" t="s">
        <v>1677</v>
      </c>
      <c r="E2478" s="59" t="s">
        <v>3579</v>
      </c>
      <c r="F2478" s="59" t="s">
        <v>3580</v>
      </c>
      <c r="G2478" s="59" t="s">
        <v>3588</v>
      </c>
      <c r="H2478" s="59" t="s">
        <v>2281</v>
      </c>
      <c r="I2478" s="59" t="b">
        <v>1</v>
      </c>
      <c r="J2478" s="59"/>
      <c r="K2478" s="58">
        <v>425</v>
      </c>
      <c r="L2478" s="58">
        <v>1478</v>
      </c>
      <c r="M2478" s="59">
        <v>10</v>
      </c>
      <c r="N2478" s="59">
        <v>10</v>
      </c>
      <c r="O2478" s="59" t="s">
        <v>3581</v>
      </c>
      <c r="P2478" s="58">
        <v>246</v>
      </c>
      <c r="Q2478" s="59">
        <v>0</v>
      </c>
      <c r="R2478" s="59">
        <v>0</v>
      </c>
      <c r="S2478" s="60">
        <f>tblJTL[[#This Row],[timeStamp]]/86400000+DATE(1970,1,1)+TIME(9,0,0)</f>
        <v>46296.423603599542</v>
      </c>
      <c r="T2478" s="57">
        <f>tblJTL[[#This Row],[timeStamp]]+tblJTL[[#This Row],[elapsed]]</f>
        <v>1790816999602</v>
      </c>
      <c r="U2478" s="61">
        <f>(tblJTL[[#This Row],[timeStamp]]-'17_分析サンプル'!$E$18)/1000</f>
        <v>599.17100000000005</v>
      </c>
      <c r="V2478" s="57">
        <f>INT(tblJTL[[#This Row],[経過秒]]/60)</f>
        <v>9</v>
      </c>
      <c r="W2478" s="57">
        <f>IF(OR(tblJTL[[#This Row],[success]]=FALSE,tblJTL[[#This Row],[success]]="false"),1,0)</f>
        <v>0</v>
      </c>
      <c r="X2478" s="57">
        <f>IF(AND(tblJTL[[#This Row],[経過秒]]&gt;='17_分析サンプル'!$E$11,tblJTL[[#This Row],[経過秒]]&lt;'17_分析サンプル'!$E$12),1,0)</f>
        <v>0</v>
      </c>
    </row>
    <row r="2479" spans="2:24" ht="14.4" x14ac:dyDescent="0.3">
      <c r="B2479" s="57">
        <v>1790816999953</v>
      </c>
      <c r="C2479" s="58">
        <v>144</v>
      </c>
      <c r="D2479" s="59" t="s">
        <v>1658</v>
      </c>
      <c r="E2479" s="59" t="s">
        <v>1577</v>
      </c>
      <c r="F2479" s="59" t="s">
        <v>2275</v>
      </c>
      <c r="G2479" s="59" t="s">
        <v>2278</v>
      </c>
      <c r="H2479" s="59" t="s">
        <v>2281</v>
      </c>
      <c r="I2479" s="59" t="b">
        <v>1</v>
      </c>
      <c r="J2479" s="59"/>
      <c r="K2479" s="58">
        <v>1849</v>
      </c>
      <c r="L2479" s="58">
        <v>1342</v>
      </c>
      <c r="M2479" s="59">
        <v>10</v>
      </c>
      <c r="N2479" s="59">
        <v>10</v>
      </c>
      <c r="O2479" s="59" t="s">
        <v>3578</v>
      </c>
      <c r="P2479" s="58">
        <v>142</v>
      </c>
      <c r="Q2479" s="59">
        <v>0</v>
      </c>
      <c r="R2479" s="59">
        <v>0</v>
      </c>
      <c r="S2479" s="60">
        <f>tblJTL[[#This Row],[timeStamp]]/86400000+DATE(1970,1,1)+TIME(9,0,0)</f>
        <v>46296.42361056713</v>
      </c>
      <c r="T2479" s="57">
        <f>tblJTL[[#This Row],[timeStamp]]+tblJTL[[#This Row],[elapsed]]</f>
        <v>1790817000097</v>
      </c>
      <c r="U2479" s="61">
        <f>(tblJTL[[#This Row],[timeStamp]]-'17_分析サンプル'!$E$18)/1000</f>
        <v>599.77300000000002</v>
      </c>
      <c r="V2479" s="57">
        <f>INT(tblJTL[[#This Row],[経過秒]]/60)</f>
        <v>9</v>
      </c>
      <c r="W2479" s="57">
        <f>IF(OR(tblJTL[[#This Row],[success]]=FALSE,tblJTL[[#This Row],[success]]="false"),1,0)</f>
        <v>0</v>
      </c>
      <c r="X2479" s="57">
        <f>IF(AND(tblJTL[[#This Row],[経過秒]]&gt;='17_分析サンプル'!$E$11,tblJTL[[#This Row],[経過秒]]&lt;'17_分析サンプル'!$E$12),1,0)</f>
        <v>0</v>
      </c>
    </row>
    <row r="2480" spans="2:24" ht="14.4" x14ac:dyDescent="0.3">
      <c r="B2480" s="57">
        <v>1790816999986</v>
      </c>
      <c r="C2480" s="58">
        <v>135</v>
      </c>
      <c r="D2480" s="59" t="s">
        <v>1677</v>
      </c>
      <c r="E2480" s="59" t="s">
        <v>3579</v>
      </c>
      <c r="F2480" s="59" t="s">
        <v>3580</v>
      </c>
      <c r="G2480" s="59" t="s">
        <v>3587</v>
      </c>
      <c r="H2480" s="59" t="s">
        <v>2281</v>
      </c>
      <c r="I2480" s="59" t="b">
        <v>1</v>
      </c>
      <c r="J2480" s="59"/>
      <c r="K2480" s="58">
        <v>431</v>
      </c>
      <c r="L2480" s="58">
        <v>1478</v>
      </c>
      <c r="M2480" s="59">
        <v>10</v>
      </c>
      <c r="N2480" s="59">
        <v>10</v>
      </c>
      <c r="O2480" s="59" t="s">
        <v>3581</v>
      </c>
      <c r="P2480" s="58">
        <v>130</v>
      </c>
      <c r="Q2480" s="59">
        <v>0</v>
      </c>
      <c r="R2480" s="59">
        <v>0</v>
      </c>
      <c r="S2480" s="60">
        <f>tblJTL[[#This Row],[timeStamp]]/86400000+DATE(1970,1,1)+TIME(9,0,0)</f>
        <v>46296.423610949074</v>
      </c>
      <c r="T2480" s="57">
        <f>tblJTL[[#This Row],[timeStamp]]+tblJTL[[#This Row],[elapsed]]</f>
        <v>1790817000121</v>
      </c>
      <c r="U2480" s="61">
        <f>(tblJTL[[#This Row],[timeStamp]]-'17_分析サンプル'!$E$18)/1000</f>
        <v>599.80600000000004</v>
      </c>
      <c r="V2480" s="57">
        <f>INT(tblJTL[[#This Row],[経過秒]]/60)</f>
        <v>9</v>
      </c>
      <c r="W2480" s="57">
        <f>IF(OR(tblJTL[[#This Row],[success]]=FALSE,tblJTL[[#This Row],[success]]="false"),1,0)</f>
        <v>0</v>
      </c>
      <c r="X2480" s="57">
        <f>IF(AND(tblJTL[[#This Row],[経過秒]]&gt;='17_分析サンプル'!$E$11,tblJTL[[#This Row],[経過秒]]&lt;'17_分析サンプル'!$E$12),1,0)</f>
        <v>0</v>
      </c>
    </row>
    <row r="2481" spans="2:24" ht="14.4" x14ac:dyDescent="0.3">
      <c r="B2481" s="57">
        <v>1790817000253</v>
      </c>
      <c r="C2481" s="58">
        <v>129</v>
      </c>
      <c r="D2481" s="59" t="s">
        <v>1658</v>
      </c>
      <c r="E2481" s="59" t="s">
        <v>1577</v>
      </c>
      <c r="F2481" s="59" t="s">
        <v>2275</v>
      </c>
      <c r="G2481" s="59" t="s">
        <v>3582</v>
      </c>
      <c r="H2481" s="59" t="s">
        <v>2281</v>
      </c>
      <c r="I2481" s="59" t="b">
        <v>1</v>
      </c>
      <c r="J2481" s="59"/>
      <c r="K2481" s="58">
        <v>1828</v>
      </c>
      <c r="L2481" s="58">
        <v>1342</v>
      </c>
      <c r="M2481" s="59">
        <v>10</v>
      </c>
      <c r="N2481" s="59">
        <v>10</v>
      </c>
      <c r="O2481" s="59" t="s">
        <v>3578</v>
      </c>
      <c r="P2481" s="58">
        <v>125</v>
      </c>
      <c r="Q2481" s="59">
        <v>0</v>
      </c>
      <c r="R2481" s="59">
        <v>0</v>
      </c>
      <c r="S2481" s="60">
        <f>tblJTL[[#This Row],[timeStamp]]/86400000+DATE(1970,1,1)+TIME(9,0,0)</f>
        <v>46296.423614039348</v>
      </c>
      <c r="T2481" s="57">
        <f>tblJTL[[#This Row],[timeStamp]]+tblJTL[[#This Row],[elapsed]]</f>
        <v>1790817000382</v>
      </c>
      <c r="U2481" s="61">
        <f>(tblJTL[[#This Row],[timeStamp]]-'17_分析サンプル'!$E$18)/1000</f>
        <v>600.07299999999998</v>
      </c>
      <c r="V2481" s="57">
        <f>INT(tblJTL[[#This Row],[経過秒]]/60)</f>
        <v>10</v>
      </c>
      <c r="W2481" s="57">
        <f>IF(OR(tblJTL[[#This Row],[success]]=FALSE,tblJTL[[#This Row],[success]]="false"),1,0)</f>
        <v>0</v>
      </c>
      <c r="X2481" s="57">
        <f>IF(AND(tblJTL[[#This Row],[経過秒]]&gt;='17_分析サンプル'!$E$11,tblJTL[[#This Row],[経過秒]]&lt;'17_分析サンプル'!$E$12),1,0)</f>
        <v>0</v>
      </c>
    </row>
    <row r="2482" spans="2:24" ht="14.4" x14ac:dyDescent="0.3">
      <c r="B2482" s="57">
        <v>1790817000413</v>
      </c>
      <c r="C2482" s="58">
        <v>204</v>
      </c>
      <c r="D2482" s="59" t="s">
        <v>1677</v>
      </c>
      <c r="E2482" s="59" t="s">
        <v>3579</v>
      </c>
      <c r="F2482" s="59" t="s">
        <v>3580</v>
      </c>
      <c r="G2482" s="59" t="s">
        <v>3586</v>
      </c>
      <c r="H2482" s="59" t="s">
        <v>2281</v>
      </c>
      <c r="I2482" s="59" t="b">
        <v>1</v>
      </c>
      <c r="J2482" s="59"/>
      <c r="K2482" s="58">
        <v>440</v>
      </c>
      <c r="L2482" s="58">
        <v>1478</v>
      </c>
      <c r="M2482" s="59">
        <v>10</v>
      </c>
      <c r="N2482" s="59">
        <v>10</v>
      </c>
      <c r="O2482" s="59" t="s">
        <v>3581</v>
      </c>
      <c r="P2482" s="58">
        <v>199</v>
      </c>
      <c r="Q2482" s="59">
        <v>0</v>
      </c>
      <c r="R2482" s="59">
        <v>0</v>
      </c>
      <c r="S2482" s="60">
        <f>tblJTL[[#This Row],[timeStamp]]/86400000+DATE(1970,1,1)+TIME(9,0,0)</f>
        <v>46296.423615891203</v>
      </c>
      <c r="T2482" s="57">
        <f>tblJTL[[#This Row],[timeStamp]]+tblJTL[[#This Row],[elapsed]]</f>
        <v>1790817000617</v>
      </c>
      <c r="U2482" s="61">
        <f>(tblJTL[[#This Row],[timeStamp]]-'17_分析サンプル'!$E$18)/1000</f>
        <v>600.23299999999995</v>
      </c>
      <c r="V2482" s="57">
        <f>INT(tblJTL[[#This Row],[経過秒]]/60)</f>
        <v>10</v>
      </c>
      <c r="W2482" s="57">
        <f>IF(OR(tblJTL[[#This Row],[success]]=FALSE,tblJTL[[#This Row],[success]]="false"),1,0)</f>
        <v>0</v>
      </c>
      <c r="X2482" s="57">
        <f>IF(AND(tblJTL[[#This Row],[経過秒]]&gt;='17_分析サンプル'!$E$11,tblJTL[[#This Row],[経過秒]]&lt;'17_分析サンプル'!$E$12),1,0)</f>
        <v>0</v>
      </c>
    </row>
  </sheetData>
  <mergeCells count="3">
    <mergeCell ref="U2:X2"/>
    <mergeCell ref="B2:T2"/>
    <mergeCell ref="B1:X1"/>
  </mergeCells>
  <phoneticPr fontId="27"/>
  <hyperlinks>
    <hyperlink ref="U2" location="'目次'!A1" display="▲ 目次へ戻る" xr:uid="{00000000-0004-0000-1200-000000000000}"/>
  </hyperlinks>
  <pageMargins left="0.75" right="0.75" top="1" bottom="1" header="0.5" footer="0.5"/>
  <pageSetup paperSize="9" fitToHeight="0" orientation="landscape"/>
  <ignoredErrors>
    <ignoredError sqref="E6:E2482" numberStoredAsText="1"/>
  </ignoredErrors>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pageSetUpPr fitToPage="1"/>
  </sheetPr>
  <dimension ref="B1:N115"/>
  <sheetViews>
    <sheetView showGridLines="0" zoomScaleNormal="100" workbookViewId="0">
      <pane ySplit="2" topLeftCell="A3" activePane="bottomLeft" state="frozen"/>
      <selection pane="bottomLeft"/>
    </sheetView>
  </sheetViews>
  <sheetFormatPr defaultRowHeight="14.4" x14ac:dyDescent="0.3"/>
  <cols>
    <col min="1" max="1" width="1.6328125" customWidth="1"/>
    <col min="2" max="2" width="26" customWidth="1"/>
    <col min="3" max="13" width="11.453125" customWidth="1"/>
    <col min="14" max="14" width="10" customWidth="1"/>
    <col min="15" max="15" width="1.6328125" customWidth="1"/>
  </cols>
  <sheetData>
    <row r="1" spans="2:14" ht="37.950000000000003" customHeight="1" x14ac:dyDescent="0.3">
      <c r="B1" s="138" t="s">
        <v>3597</v>
      </c>
      <c r="C1" s="118"/>
      <c r="D1" s="118"/>
      <c r="E1" s="118"/>
      <c r="F1" s="118"/>
      <c r="G1" s="118"/>
      <c r="H1" s="118"/>
      <c r="I1" s="118"/>
      <c r="J1" s="118"/>
      <c r="K1" s="118"/>
      <c r="L1" s="118"/>
      <c r="M1" s="118"/>
      <c r="N1" s="118"/>
    </row>
    <row r="2" spans="2:14" ht="24" customHeight="1" x14ac:dyDescent="0.3">
      <c r="B2" s="141" t="s">
        <v>3598</v>
      </c>
      <c r="C2" s="113"/>
      <c r="D2" s="113"/>
      <c r="E2" s="113"/>
      <c r="F2" s="113"/>
      <c r="G2" s="113"/>
      <c r="H2" s="113"/>
      <c r="I2" s="113"/>
      <c r="J2" s="113"/>
      <c r="K2" s="113"/>
      <c r="L2" s="113"/>
      <c r="M2" s="113"/>
      <c r="N2" s="4" t="s">
        <v>38</v>
      </c>
    </row>
    <row r="3" spans="2:14" ht="12" customHeight="1" x14ac:dyDescent="0.3"/>
    <row r="4" spans="2:14" ht="27" customHeight="1" x14ac:dyDescent="0.3">
      <c r="B4" s="128" t="s">
        <v>3599</v>
      </c>
      <c r="C4" s="124"/>
      <c r="D4" s="124"/>
      <c r="E4" s="124"/>
      <c r="F4" s="124"/>
      <c r="G4" s="124"/>
      <c r="H4" s="124"/>
      <c r="I4" s="124"/>
      <c r="J4" s="124"/>
      <c r="K4" s="124"/>
      <c r="L4" s="124"/>
      <c r="M4" s="124"/>
      <c r="N4" s="124"/>
    </row>
    <row r="5" spans="2:14" ht="4.95" customHeight="1" x14ac:dyDescent="0.3"/>
    <row r="6" spans="2:14" ht="31.95" customHeight="1" x14ac:dyDescent="0.3">
      <c r="B6" s="190" t="s">
        <v>369</v>
      </c>
      <c r="C6" s="171"/>
      <c r="D6" s="145"/>
      <c r="E6" s="190" t="s">
        <v>3600</v>
      </c>
      <c r="F6" s="145"/>
      <c r="G6" s="190" t="s">
        <v>772</v>
      </c>
      <c r="H6" s="171"/>
      <c r="I6" s="171"/>
      <c r="J6" s="171"/>
      <c r="K6" s="171"/>
      <c r="L6" s="171"/>
      <c r="M6" s="171"/>
      <c r="N6" s="145"/>
    </row>
    <row r="7" spans="2:14" ht="22.05" customHeight="1" x14ac:dyDescent="0.3">
      <c r="B7" s="184" t="s">
        <v>3601</v>
      </c>
      <c r="C7" s="153"/>
      <c r="D7" s="105"/>
      <c r="E7" s="198">
        <v>1000</v>
      </c>
      <c r="F7" s="108"/>
      <c r="G7" s="186" t="s">
        <v>3602</v>
      </c>
      <c r="H7" s="110"/>
      <c r="I7" s="110"/>
      <c r="J7" s="110"/>
      <c r="K7" s="110"/>
      <c r="L7" s="110"/>
      <c r="M7" s="110"/>
      <c r="N7" s="111"/>
    </row>
    <row r="8" spans="2:14" ht="22.05" customHeight="1" x14ac:dyDescent="0.3">
      <c r="B8" s="184" t="s">
        <v>3603</v>
      </c>
      <c r="C8" s="153"/>
      <c r="D8" s="105"/>
      <c r="E8" s="192">
        <v>0.01</v>
      </c>
      <c r="F8" s="108"/>
      <c r="G8" s="186" t="s">
        <v>3604</v>
      </c>
      <c r="H8" s="110"/>
      <c r="I8" s="110"/>
      <c r="J8" s="110"/>
      <c r="K8" s="110"/>
      <c r="L8" s="110"/>
      <c r="M8" s="110"/>
      <c r="N8" s="111"/>
    </row>
    <row r="9" spans="2:14" ht="22.05" customHeight="1" x14ac:dyDescent="0.3">
      <c r="B9" s="184" t="s">
        <v>3605</v>
      </c>
      <c r="C9" s="153"/>
      <c r="D9" s="105"/>
      <c r="E9" s="195">
        <v>4</v>
      </c>
      <c r="F9" s="108"/>
      <c r="G9" s="186" t="s">
        <v>3606</v>
      </c>
      <c r="H9" s="110"/>
      <c r="I9" s="110"/>
      <c r="J9" s="110"/>
      <c r="K9" s="110"/>
      <c r="L9" s="110"/>
      <c r="M9" s="110"/>
      <c r="N9" s="111"/>
    </row>
    <row r="10" spans="2:14" ht="22.05" customHeight="1" x14ac:dyDescent="0.3">
      <c r="B10" s="184" t="s">
        <v>3607</v>
      </c>
      <c r="C10" s="153"/>
      <c r="D10" s="105"/>
      <c r="E10" s="194" t="s">
        <v>1383</v>
      </c>
      <c r="F10" s="108"/>
      <c r="G10" s="186" t="s">
        <v>3608</v>
      </c>
      <c r="H10" s="110"/>
      <c r="I10" s="110"/>
      <c r="J10" s="110"/>
      <c r="K10" s="110"/>
      <c r="L10" s="110"/>
      <c r="M10" s="110"/>
      <c r="N10" s="111"/>
    </row>
    <row r="11" spans="2:14" ht="22.05" customHeight="1" x14ac:dyDescent="0.3">
      <c r="B11" s="184" t="s">
        <v>3609</v>
      </c>
      <c r="C11" s="153"/>
      <c r="D11" s="105"/>
      <c r="E11" s="185">
        <v>60</v>
      </c>
      <c r="F11" s="108"/>
      <c r="G11" s="186" t="s">
        <v>3610</v>
      </c>
      <c r="H11" s="110"/>
      <c r="I11" s="110"/>
      <c r="J11" s="110"/>
      <c r="K11" s="110"/>
      <c r="L11" s="110"/>
      <c r="M11" s="110"/>
      <c r="N11" s="111"/>
    </row>
    <row r="12" spans="2:14" ht="22.05" customHeight="1" x14ac:dyDescent="0.3">
      <c r="B12" s="184" t="s">
        <v>3611</v>
      </c>
      <c r="C12" s="153"/>
      <c r="D12" s="105"/>
      <c r="E12" s="185">
        <v>540</v>
      </c>
      <c r="F12" s="108"/>
      <c r="G12" s="186" t="s">
        <v>3612</v>
      </c>
      <c r="H12" s="110"/>
      <c r="I12" s="110"/>
      <c r="J12" s="110"/>
      <c r="K12" s="110"/>
      <c r="L12" s="110"/>
      <c r="M12" s="110"/>
      <c r="N12" s="111"/>
    </row>
    <row r="13" spans="2:14" ht="6" customHeight="1" x14ac:dyDescent="0.3"/>
    <row r="14" spans="2:14" ht="12" customHeight="1" x14ac:dyDescent="0.3"/>
    <row r="15" spans="2:14" ht="27" customHeight="1" x14ac:dyDescent="0.3">
      <c r="B15" s="128" t="s">
        <v>3613</v>
      </c>
      <c r="C15" s="124"/>
      <c r="D15" s="124"/>
      <c r="E15" s="124"/>
      <c r="F15" s="124"/>
      <c r="G15" s="124"/>
      <c r="H15" s="124"/>
      <c r="I15" s="124"/>
      <c r="J15" s="124"/>
      <c r="K15" s="124"/>
      <c r="L15" s="124"/>
      <c r="M15" s="124"/>
      <c r="N15" s="124"/>
    </row>
    <row r="16" spans="2:14" ht="4.95" customHeight="1" x14ac:dyDescent="0.3"/>
    <row r="17" spans="2:14" ht="31.95" customHeight="1" x14ac:dyDescent="0.3">
      <c r="B17" s="190" t="s">
        <v>369</v>
      </c>
      <c r="C17" s="171"/>
      <c r="D17" s="145"/>
      <c r="E17" s="190" t="s">
        <v>370</v>
      </c>
      <c r="F17" s="145"/>
      <c r="G17" s="190" t="s">
        <v>3614</v>
      </c>
      <c r="H17" s="171"/>
      <c r="I17" s="171"/>
      <c r="J17" s="171"/>
      <c r="K17" s="171"/>
      <c r="L17" s="171"/>
      <c r="M17" s="171"/>
      <c r="N17" s="145"/>
    </row>
    <row r="18" spans="2:14" ht="22.05" customHeight="1" x14ac:dyDescent="0.3">
      <c r="B18" s="184" t="s">
        <v>3377</v>
      </c>
      <c r="C18" s="153"/>
      <c r="D18" s="105"/>
      <c r="E18" s="199">
        <f>MIN(tblJTL[timeStamp])</f>
        <v>1790816400180</v>
      </c>
      <c r="F18" s="111"/>
      <c r="G18" s="187" t="s">
        <v>3378</v>
      </c>
      <c r="H18" s="188"/>
      <c r="I18" s="188"/>
      <c r="J18" s="188"/>
      <c r="K18" s="188"/>
      <c r="L18" s="188"/>
      <c r="M18" s="188"/>
      <c r="N18" s="137"/>
    </row>
    <row r="19" spans="2:14" ht="22.05" customHeight="1" x14ac:dyDescent="0.3">
      <c r="B19" s="184" t="s">
        <v>3379</v>
      </c>
      <c r="C19" s="153"/>
      <c r="D19" s="105"/>
      <c r="E19" s="193">
        <f>E18/86400000+DATE(1970,1,1)+TIME(9,0,0)</f>
        <v>46296.416668749996</v>
      </c>
      <c r="F19" s="111"/>
      <c r="G19" s="187" t="s">
        <v>3380</v>
      </c>
      <c r="H19" s="188"/>
      <c r="I19" s="188"/>
      <c r="J19" s="188"/>
      <c r="K19" s="188"/>
      <c r="L19" s="188"/>
      <c r="M19" s="188"/>
      <c r="N19" s="137"/>
    </row>
    <row r="20" spans="2:14" ht="22.05" customHeight="1" x14ac:dyDescent="0.3">
      <c r="B20" s="184" t="s">
        <v>3382</v>
      </c>
      <c r="C20" s="153"/>
      <c r="D20" s="105"/>
      <c r="E20" s="193">
        <f>MAX(tblJTL[終了ms])/86400000+DATE(1970,1,1)+TIME(9,0,0)</f>
        <v>46296.423618252316</v>
      </c>
      <c r="F20" s="111"/>
      <c r="G20" s="187" t="s">
        <v>3383</v>
      </c>
      <c r="H20" s="188"/>
      <c r="I20" s="188"/>
      <c r="J20" s="188"/>
      <c r="K20" s="188"/>
      <c r="L20" s="188"/>
      <c r="M20" s="188"/>
      <c r="N20" s="137"/>
    </row>
    <row r="21" spans="2:14" ht="22.05" customHeight="1" x14ac:dyDescent="0.3">
      <c r="B21" s="184" t="s">
        <v>360</v>
      </c>
      <c r="C21" s="153"/>
      <c r="D21" s="105"/>
      <c r="E21" s="196">
        <f>(MAX(tblJTL[終了ms])-E18)/1000</f>
        <v>600.43700000000001</v>
      </c>
      <c r="F21" s="111"/>
      <c r="G21" s="187" t="s">
        <v>3384</v>
      </c>
      <c r="H21" s="188"/>
      <c r="I21" s="188"/>
      <c r="J21" s="188"/>
      <c r="K21" s="188"/>
      <c r="L21" s="188"/>
      <c r="M21" s="188"/>
      <c r="N21" s="137"/>
    </row>
    <row r="22" spans="2:14" ht="22.05" customHeight="1" x14ac:dyDescent="0.3">
      <c r="B22" s="184" t="s">
        <v>3386</v>
      </c>
      <c r="C22" s="153"/>
      <c r="D22" s="105"/>
      <c r="E22" s="191">
        <f>COUNTA(tblJTL[label])</f>
        <v>2477</v>
      </c>
      <c r="F22" s="111"/>
      <c r="G22" s="187" t="s">
        <v>3387</v>
      </c>
      <c r="H22" s="188"/>
      <c r="I22" s="188"/>
      <c r="J22" s="188"/>
      <c r="K22" s="188"/>
      <c r="L22" s="188"/>
      <c r="M22" s="188"/>
      <c r="N22" s="137"/>
    </row>
    <row r="23" spans="2:14" ht="22.05" customHeight="1" x14ac:dyDescent="0.3">
      <c r="B23" s="184" t="s">
        <v>3389</v>
      </c>
      <c r="C23" s="153"/>
      <c r="D23" s="105"/>
      <c r="E23" s="191">
        <f>SUM(tblJTL[エラー])</f>
        <v>13</v>
      </c>
      <c r="F23" s="111"/>
      <c r="G23" s="187" t="s">
        <v>3390</v>
      </c>
      <c r="H23" s="188"/>
      <c r="I23" s="188"/>
      <c r="J23" s="188"/>
      <c r="K23" s="188"/>
      <c r="L23" s="188"/>
      <c r="M23" s="188"/>
      <c r="N23" s="137"/>
    </row>
    <row r="24" spans="2:14" ht="22.05" customHeight="1" x14ac:dyDescent="0.3">
      <c r="B24" s="184" t="s">
        <v>3391</v>
      </c>
      <c r="C24" s="153"/>
      <c r="D24" s="105"/>
      <c r="E24" s="189">
        <f>IF(E22=0,0,E23/E22)</f>
        <v>5.248284214775939E-3</v>
      </c>
      <c r="F24" s="111"/>
      <c r="G24" s="187" t="s">
        <v>3392</v>
      </c>
      <c r="H24" s="188"/>
      <c r="I24" s="188"/>
      <c r="J24" s="188"/>
      <c r="K24" s="188"/>
      <c r="L24" s="188"/>
      <c r="M24" s="188"/>
      <c r="N24" s="137"/>
    </row>
    <row r="25" spans="2:14" ht="22.05" customHeight="1" x14ac:dyDescent="0.3">
      <c r="B25" s="184" t="s">
        <v>3394</v>
      </c>
      <c r="C25" s="153"/>
      <c r="D25" s="105"/>
      <c r="E25" s="191">
        <f>MAX(tblJTL[allThreads])</f>
        <v>10</v>
      </c>
      <c r="F25" s="111"/>
      <c r="G25" s="187" t="s">
        <v>3395</v>
      </c>
      <c r="H25" s="188"/>
      <c r="I25" s="188"/>
      <c r="J25" s="188"/>
      <c r="K25" s="188"/>
      <c r="L25" s="188"/>
      <c r="M25" s="188"/>
      <c r="N25" s="137"/>
    </row>
    <row r="26" spans="2:14" ht="22.05" customHeight="1" x14ac:dyDescent="0.3">
      <c r="B26" s="184" t="s">
        <v>3615</v>
      </c>
      <c r="C26" s="153"/>
      <c r="D26" s="105"/>
      <c r="E26" s="197" t="str">
        <f>TEXT(E19+MAX(0,$E$11)/86400,"hh:mm:ss")&amp;" ～ "&amp;TEXT(E19+MIN($E$12,E21)/86400,"hh:mm:ss")</f>
        <v>10:01:00 ～ 10:09:00</v>
      </c>
      <c r="F26" s="111"/>
      <c r="G26" s="187" t="s">
        <v>3616</v>
      </c>
      <c r="H26" s="188"/>
      <c r="I26" s="188"/>
      <c r="J26" s="188"/>
      <c r="K26" s="188"/>
      <c r="L26" s="188"/>
      <c r="M26" s="188"/>
      <c r="N26" s="137"/>
    </row>
    <row r="27" spans="2:14" ht="22.05" customHeight="1" x14ac:dyDescent="0.3">
      <c r="B27" s="184" t="s">
        <v>3617</v>
      </c>
      <c r="C27" s="153"/>
      <c r="D27" s="105"/>
      <c r="E27" s="196">
        <f>MAX(0,MIN($E$12,E21)-MAX(0,$E$11))</f>
        <v>480</v>
      </c>
      <c r="F27" s="111"/>
      <c r="G27" s="187" t="s">
        <v>3618</v>
      </c>
      <c r="H27" s="188"/>
      <c r="I27" s="188"/>
      <c r="J27" s="188"/>
      <c r="K27" s="188"/>
      <c r="L27" s="188"/>
      <c r="M27" s="188"/>
      <c r="N27" s="137"/>
    </row>
    <row r="28" spans="2:14" ht="22.05" customHeight="1" x14ac:dyDescent="0.3">
      <c r="B28" s="184" t="s">
        <v>3619</v>
      </c>
      <c r="C28" s="153"/>
      <c r="D28" s="105"/>
      <c r="E28" s="191">
        <f>SUM(tblJTL[評価対象])</f>
        <v>2065</v>
      </c>
      <c r="F28" s="111"/>
      <c r="G28" s="187" t="s">
        <v>3620</v>
      </c>
      <c r="H28" s="188"/>
      <c r="I28" s="188"/>
      <c r="J28" s="188"/>
      <c r="K28" s="188"/>
      <c r="L28" s="188"/>
      <c r="M28" s="188"/>
      <c r="N28" s="137"/>
    </row>
    <row r="29" spans="2:14" ht="6" customHeight="1" x14ac:dyDescent="0.3"/>
    <row r="30" spans="2:14" ht="12" customHeight="1" x14ac:dyDescent="0.3"/>
    <row r="31" spans="2:14" ht="27" customHeight="1" x14ac:dyDescent="0.3">
      <c r="B31" s="128" t="s">
        <v>3621</v>
      </c>
      <c r="C31" s="124"/>
      <c r="D31" s="124"/>
      <c r="E31" s="124"/>
      <c r="F31" s="124"/>
      <c r="G31" s="124"/>
      <c r="H31" s="124"/>
      <c r="I31" s="124"/>
      <c r="J31" s="124"/>
      <c r="K31" s="124"/>
      <c r="L31" s="124"/>
      <c r="M31" s="124"/>
      <c r="N31" s="124"/>
    </row>
    <row r="32" spans="2:14" ht="4.95" customHeight="1" x14ac:dyDescent="0.3"/>
    <row r="33" spans="2:14" ht="31.95" customHeight="1" x14ac:dyDescent="0.3">
      <c r="B33" s="62" t="s">
        <v>3622</v>
      </c>
      <c r="C33" s="62" t="s">
        <v>2122</v>
      </c>
      <c r="D33" s="62" t="s">
        <v>3623</v>
      </c>
      <c r="E33" s="62" t="s">
        <v>3624</v>
      </c>
      <c r="F33" s="62" t="s">
        <v>3625</v>
      </c>
      <c r="G33" s="62" t="s">
        <v>3626</v>
      </c>
      <c r="H33" s="62" t="s">
        <v>3627</v>
      </c>
      <c r="I33" s="62" t="s">
        <v>3628</v>
      </c>
      <c r="J33" s="62" t="s">
        <v>3629</v>
      </c>
      <c r="K33" s="62" t="s">
        <v>3415</v>
      </c>
      <c r="L33" s="62" t="s">
        <v>2146</v>
      </c>
      <c r="M33" s="62" t="s">
        <v>3630</v>
      </c>
      <c r="N33" s="62" t="s">
        <v>3631</v>
      </c>
    </row>
    <row r="34" spans="2:14" ht="22.05" customHeight="1" x14ac:dyDescent="0.3">
      <c r="B34" s="63" t="s">
        <v>1383</v>
      </c>
      <c r="C34" s="65">
        <f>COUNTIFS(tblJTL[label],$B34)</f>
        <v>1</v>
      </c>
      <c r="D34" s="64">
        <f>AVERAGEIFS(tblJTL[elapsed],tblJTL[label],$B34)</f>
        <v>186</v>
      </c>
      <c r="E34" s="65">
        <f>_xlfn.AGGREGATE(15,6,tblJTL[elapsed]/((tblJTL[label]=$B34)),1)</f>
        <v>186</v>
      </c>
      <c r="F34" s="65">
        <f>_xlfn.AGGREGATE(14,6,tblJTL[elapsed]/((tblJTL[label]=$B34)),1)</f>
        <v>186</v>
      </c>
      <c r="G34" s="64">
        <f>_xlfn.AGGREGATE(16,6,tblJTL[elapsed]/((tblJTL[label]=$B34)),0.5)</f>
        <v>186</v>
      </c>
      <c r="H34" s="64">
        <f>_xlfn.AGGREGATE(16,6,tblJTL[elapsed]/((tblJTL[label]=$B34)),0.9)</f>
        <v>186</v>
      </c>
      <c r="I34" s="64">
        <f>_xlfn.AGGREGATE(16,6,tblJTL[elapsed]/((tblJTL[label]=$B34)),0.95)</f>
        <v>186</v>
      </c>
      <c r="J34" s="64">
        <f>_xlfn.AGGREGATE(16,6,tblJTL[elapsed]/((tblJTL[label]=$B34)),0.99)</f>
        <v>186</v>
      </c>
      <c r="K34" s="65">
        <f>SUMIFS(tblJTL[エラー],tblJTL[label],$B34)</f>
        <v>0</v>
      </c>
      <c r="L34" s="66">
        <f>IF(C34=0,0,K34/C34)</f>
        <v>0</v>
      </c>
      <c r="M34" s="67">
        <f>IF(C34=0,0,C34/((_xlfn.AGGREGATE(14,6,tblJTL[終了ms]/((tblJTL[label]=$B34)),1)-_xlfn.AGGREGATE(15,6,tblJTL[timeStamp]/((tblJTL[label]=$B34)),1))/1000))</f>
        <v>5.376344086021505</v>
      </c>
      <c r="N34" s="68" t="str">
        <f>IF($B34=$E$10,"対象外",IF(AND(I34&lt;=$E$7,L34&lt;$E$8),"OK","NG"))</f>
        <v>対象外</v>
      </c>
    </row>
    <row r="35" spans="2:14" ht="22.05" customHeight="1" x14ac:dyDescent="0.3">
      <c r="B35" s="63" t="s">
        <v>1658</v>
      </c>
      <c r="C35" s="65">
        <f>COUNTIFS(tblJTL[label],$B35)</f>
        <v>1240</v>
      </c>
      <c r="D35" s="64">
        <f>AVERAGEIFS(tblJTL[elapsed],tblJTL[label],$B35)</f>
        <v>136.46209677419355</v>
      </c>
      <c r="E35" s="65">
        <f>_xlfn.AGGREGATE(15,6,tblJTL[elapsed]/((tblJTL[label]=$B35)),1)</f>
        <v>26</v>
      </c>
      <c r="F35" s="65">
        <f>_xlfn.AGGREGATE(14,6,tblJTL[elapsed]/((tblJTL[label]=$B35)),1)</f>
        <v>796</v>
      </c>
      <c r="G35" s="64">
        <f>_xlfn.AGGREGATE(16,6,tblJTL[elapsed]/((tblJTL[label]=$B35)),0.5)</f>
        <v>121</v>
      </c>
      <c r="H35" s="64">
        <f>_xlfn.AGGREGATE(16,6,tblJTL[elapsed]/((tblJTL[label]=$B35)),0.9)</f>
        <v>201</v>
      </c>
      <c r="I35" s="64">
        <f>_xlfn.AGGREGATE(16,6,tblJTL[elapsed]/((tblJTL[label]=$B35)),0.95)</f>
        <v>250</v>
      </c>
      <c r="J35" s="64">
        <f>_xlfn.AGGREGATE(16,6,tblJTL[elapsed]/((tblJTL[label]=$B35)),0.99)</f>
        <v>376.4399999999996</v>
      </c>
      <c r="K35" s="65">
        <f>SUMIFS(tblJTL[エラー],tblJTL[label],$B35)</f>
        <v>5</v>
      </c>
      <c r="L35" s="66">
        <f>IF(C35=0,0,K35/C35)</f>
        <v>4.0322580645161289E-3</v>
      </c>
      <c r="M35" s="67">
        <f>IF(C35=0,0,C35/((_xlfn.AGGREGATE(14,6,tblJTL[終了ms]/((tblJTL[label]=$B35)),1)-_xlfn.AGGREGATE(15,6,tblJTL[timeStamp]/((tblJTL[label]=$B35)),1))/1000))</f>
        <v>2.0724972923825695</v>
      </c>
      <c r="N35" s="68" t="str">
        <f>IF($B35=$E$10,"対象外",IF(AND(I35&lt;=$E$7,L35&lt;$E$8),"OK","NG"))</f>
        <v>OK</v>
      </c>
    </row>
    <row r="36" spans="2:14" ht="22.05" customHeight="1" x14ac:dyDescent="0.3">
      <c r="B36" s="63" t="s">
        <v>1677</v>
      </c>
      <c r="C36" s="65">
        <f>COUNTIFS(tblJTL[label],$B36)</f>
        <v>1236</v>
      </c>
      <c r="D36" s="64">
        <f>AVERAGEIFS(tblJTL[elapsed],tblJTL[label],$B36)</f>
        <v>459.39563106796118</v>
      </c>
      <c r="E36" s="65">
        <f>_xlfn.AGGREGATE(15,6,tblJTL[elapsed]/((tblJTL[label]=$B36)),1)</f>
        <v>26</v>
      </c>
      <c r="F36" s="65">
        <f>_xlfn.AGGREGATE(14,6,tblJTL[elapsed]/((tblJTL[label]=$B36)),1)</f>
        <v>29041</v>
      </c>
      <c r="G36" s="64">
        <f>_xlfn.AGGREGATE(16,6,tblJTL[elapsed]/((tblJTL[label]=$B36)),0.5)</f>
        <v>250</v>
      </c>
      <c r="H36" s="64">
        <f>_xlfn.AGGREGATE(16,6,tblJTL[elapsed]/((tblJTL[label]=$B36)),0.9)</f>
        <v>960</v>
      </c>
      <c r="I36" s="64">
        <f>_xlfn.AGGREGATE(16,6,tblJTL[elapsed]/((tblJTL[label]=$B36)),0.95)</f>
        <v>1646.25</v>
      </c>
      <c r="J36" s="64">
        <f>_xlfn.AGGREGATE(16,6,tblJTL[elapsed]/((tblJTL[label]=$B36)),0.99)</f>
        <v>2703.6000000000004</v>
      </c>
      <c r="K36" s="65">
        <f>SUMIFS(tblJTL[エラー],tblJTL[label],$B36)</f>
        <v>8</v>
      </c>
      <c r="L36" s="66">
        <f>IF(C36=0,0,K36/C36)</f>
        <v>6.4724919093851136E-3</v>
      </c>
      <c r="M36" s="67">
        <f>IF(C36=0,0,C36/((_xlfn.AGGREGATE(14,6,tblJTL[終了ms]/((tblJTL[label]=$B36)),1)-_xlfn.AGGREGATE(15,6,tblJTL[timeStamp]/((tblJTL[label]=$B36)),1))/1000))</f>
        <v>2.0698594304202347</v>
      </c>
      <c r="N36" s="68" t="str">
        <f>IF($B36=$E$10,"対象外",IF(AND(I36&lt;=$E$7,L36&lt;$E$8),"OK","NG"))</f>
        <v>NG</v>
      </c>
    </row>
    <row r="37" spans="2:14" ht="22.05" customHeight="1" x14ac:dyDescent="0.3">
      <c r="B37" s="69" t="s">
        <v>3632</v>
      </c>
      <c r="C37" s="70">
        <f>COUNTIFS(tblJTL[label],"&lt;&gt;"&amp;$E$10)</f>
        <v>2476</v>
      </c>
      <c r="D37" s="71">
        <f>AVERAGEIFS(tblJTL[elapsed],tblJTL[label],"&lt;&gt;"&amp;$E$10)</f>
        <v>297.66801292407109</v>
      </c>
      <c r="E37" s="70">
        <f>_xlfn.AGGREGATE(15,6,tblJTL[elapsed]/((tblJTL[label]&lt;&gt;$E$10)),1)</f>
        <v>26</v>
      </c>
      <c r="F37" s="70">
        <f>_xlfn.AGGREGATE(14,6,tblJTL[elapsed]/((tblJTL[label]&lt;&gt;$E$10)),1)</f>
        <v>29041</v>
      </c>
      <c r="G37" s="71">
        <f>_xlfn.AGGREGATE(16,6,tblJTL[elapsed]/((tblJTL[label]&lt;&gt;$E$10)),0.5)</f>
        <v>177</v>
      </c>
      <c r="H37" s="71">
        <f>_xlfn.AGGREGATE(16,6,tblJTL[elapsed]/((tblJTL[label]&lt;&gt;$E$10)),0.9)</f>
        <v>365</v>
      </c>
      <c r="I37" s="71">
        <f>_xlfn.AGGREGATE(16,6,tblJTL[elapsed]/((tblJTL[label]&lt;&gt;$E$10)),0.95)</f>
        <v>955</v>
      </c>
      <c r="J37" s="71">
        <f>_xlfn.AGGREGATE(16,6,tblJTL[elapsed]/((tblJTL[label]&lt;&gt;$E$10)),0.99)</f>
        <v>2237</v>
      </c>
      <c r="K37" s="70">
        <f>SUMIFS(tblJTL[エラー],tblJTL[label],"&lt;&gt;"&amp;$E$10)</f>
        <v>13</v>
      </c>
      <c r="L37" s="72">
        <f>IF(C37=0,0,K37/C37)</f>
        <v>5.2504038772213249E-3</v>
      </c>
      <c r="M37" s="73">
        <f>IF(C37=0,0,C37/((_xlfn.AGGREGATE(14,6,tblJTL[終了ms]/((tblJTL[label]&lt;&gt;$E$10)),1)-_xlfn.AGGREGATE(15,6,tblJTL[timeStamp]/((tblJTL[label]&lt;&gt;$E$10)),1))/1000))</f>
        <v>4.1366843372366748</v>
      </c>
      <c r="N37" s="6" t="str">
        <f>IF(AND(I37&lt;=$E$7,L37&lt;$E$8,M37&gt;=$E$9),"OK","NG")</f>
        <v>OK</v>
      </c>
    </row>
    <row r="38" spans="2:14" ht="31.35" customHeight="1" x14ac:dyDescent="0.3">
      <c r="B38" s="166" t="s">
        <v>3633</v>
      </c>
      <c r="C38" s="113"/>
      <c r="D38" s="113"/>
      <c r="E38" s="113"/>
      <c r="F38" s="113"/>
      <c r="G38" s="113"/>
      <c r="H38" s="113"/>
      <c r="I38" s="113"/>
      <c r="J38" s="113"/>
      <c r="K38" s="113"/>
      <c r="L38" s="113"/>
      <c r="M38" s="113"/>
      <c r="N38" s="113"/>
    </row>
    <row r="39" spans="2:14" ht="6" customHeight="1" x14ac:dyDescent="0.3"/>
    <row r="40" spans="2:14" ht="12" customHeight="1" x14ac:dyDescent="0.3"/>
    <row r="41" spans="2:14" ht="27" customHeight="1" x14ac:dyDescent="0.3">
      <c r="B41" s="128" t="s">
        <v>3634</v>
      </c>
      <c r="C41" s="124"/>
      <c r="D41" s="124"/>
      <c r="E41" s="124"/>
      <c r="F41" s="124"/>
      <c r="G41" s="124"/>
      <c r="H41" s="124"/>
      <c r="I41" s="124"/>
      <c r="J41" s="124"/>
      <c r="K41" s="124"/>
      <c r="L41" s="124"/>
      <c r="M41" s="124"/>
      <c r="N41" s="124"/>
    </row>
    <row r="42" spans="2:14" ht="4.95" customHeight="1" x14ac:dyDescent="0.3"/>
    <row r="43" spans="2:14" ht="31.95" customHeight="1" x14ac:dyDescent="0.3">
      <c r="B43" s="62" t="s">
        <v>3622</v>
      </c>
      <c r="C43" s="62" t="s">
        <v>2122</v>
      </c>
      <c r="D43" s="62" t="s">
        <v>3623</v>
      </c>
      <c r="E43" s="62" t="s">
        <v>3624</v>
      </c>
      <c r="F43" s="62" t="s">
        <v>3625</v>
      </c>
      <c r="G43" s="62" t="s">
        <v>3626</v>
      </c>
      <c r="H43" s="62" t="s">
        <v>3627</v>
      </c>
      <c r="I43" s="62" t="s">
        <v>3628</v>
      </c>
      <c r="J43" s="62" t="s">
        <v>3629</v>
      </c>
      <c r="K43" s="62" t="s">
        <v>3415</v>
      </c>
      <c r="L43" s="62" t="s">
        <v>2146</v>
      </c>
      <c r="M43" s="62" t="s">
        <v>3630</v>
      </c>
      <c r="N43" s="62" t="s">
        <v>3422</v>
      </c>
    </row>
    <row r="44" spans="2:14" ht="22.05" customHeight="1" x14ac:dyDescent="0.3">
      <c r="B44" s="63" t="s">
        <v>1658</v>
      </c>
      <c r="C44" s="65">
        <f>COUNTIFS(tblJTL[label],$B44,tblJTL[評価対象],1)</f>
        <v>1032</v>
      </c>
      <c r="D44" s="64">
        <f>IF(C44=0,"―",AVERAGEIFS(tblJTL[elapsed],tblJTL[label],$B44,tblJTL[評価対象],1))</f>
        <v>139.21220930232559</v>
      </c>
      <c r="E44" s="65">
        <f>IF(C44=0,"―",_xlfn.AGGREGATE(15,6,tblJTL[elapsed]/((tblJTL[label]=$B44)*(tblJTL[評価対象]=1)),1))</f>
        <v>26</v>
      </c>
      <c r="F44" s="65">
        <f>IF(C44=0,"―",_xlfn.AGGREGATE(14,6,tblJTL[elapsed]/((tblJTL[label]=$B44)*(tblJTL[評価対象]=1)),1))</f>
        <v>796</v>
      </c>
      <c r="G44" s="64">
        <f>IF(C44=0,"―",_xlfn.AGGREGATE(16,6,tblJTL[elapsed]/((tblJTL[label]=$B44)*(tblJTL[評価対象]=1)),0.5))</f>
        <v>122</v>
      </c>
      <c r="H44" s="64">
        <f>IF(C44=0,"―",_xlfn.AGGREGATE(16,6,tblJTL[elapsed]/((tblJTL[label]=$B44)*(tblJTL[評価対象]=1)),0.9))</f>
        <v>212.89999999999998</v>
      </c>
      <c r="I44" s="64">
        <f>IF(C44=0,"―",_xlfn.AGGREGATE(16,6,tblJTL[elapsed]/((tblJTL[label]=$B44)*(tblJTL[評価対象]=1)),0.95))</f>
        <v>268.44999999999993</v>
      </c>
      <c r="J44" s="64">
        <f>IF(C44=0,"―",_xlfn.AGGREGATE(16,6,tblJTL[elapsed]/((tblJTL[label]=$B44)*(tblJTL[評価対象]=1)),0.99))</f>
        <v>379.68999999999994</v>
      </c>
      <c r="K44" s="65">
        <f>SUMIFS(tblJTL[エラー],tblJTL[label],$B44,tblJTL[評価対象],1)</f>
        <v>5</v>
      </c>
      <c r="L44" s="66">
        <f>IF(C44=0,0,K44/C44)</f>
        <v>4.8449612403100775E-3</v>
      </c>
      <c r="M44" s="67">
        <f>IF($E$27=0,0,C44/$E$27)</f>
        <v>2.15</v>
      </c>
      <c r="N44" s="68" t="str">
        <f>IF(C44=0,"―",IF(AND(I44&lt;=$E$7,L44&lt;$E$8),"OK","NG"))</f>
        <v>OK</v>
      </c>
    </row>
    <row r="45" spans="2:14" ht="22.05" customHeight="1" x14ac:dyDescent="0.3">
      <c r="B45" s="63" t="s">
        <v>1677</v>
      </c>
      <c r="C45" s="65">
        <f>COUNTIFS(tblJTL[label],$B45,tblJTL[評価対象],1)</f>
        <v>1033</v>
      </c>
      <c r="D45" s="64">
        <f>IF(C45=0,"―",AVERAGEIFS(tblJTL[elapsed],tblJTL[label],$B45,tblJTL[評価対象],1))</f>
        <v>496.35043562439495</v>
      </c>
      <c r="E45" s="65">
        <f>IF(C45=0,"―",_xlfn.AGGREGATE(15,6,tblJTL[elapsed]/((tblJTL[label]=$B45)*(tblJTL[評価対象]=1)),1))</f>
        <v>26</v>
      </c>
      <c r="F45" s="65">
        <f>IF(C45=0,"―",_xlfn.AGGREGATE(14,6,tblJTL[elapsed]/((tblJTL[label]=$B45)*(tblJTL[評価対象]=1)),1))</f>
        <v>29041</v>
      </c>
      <c r="G45" s="64">
        <f>IF(C45=0,"―",_xlfn.AGGREGATE(16,6,tblJTL[elapsed]/((tblJTL[label]=$B45)*(tblJTL[評価対象]=1)),0.5))</f>
        <v>253</v>
      </c>
      <c r="H45" s="64">
        <f>IF(C45=0,"―",_xlfn.AGGREGATE(16,6,tblJTL[elapsed]/((tblJTL[label]=$B45)*(tblJTL[評価対象]=1)),0.9))</f>
        <v>1214</v>
      </c>
      <c r="I45" s="64">
        <f>IF(C45=0,"―",_xlfn.AGGREGATE(16,6,tblJTL[elapsed]/((tblJTL[label]=$B45)*(tblJTL[評価対象]=1)),0.95))</f>
        <v>1767.7999999999997</v>
      </c>
      <c r="J45" s="64">
        <f>IF(C45=0,"―",_xlfn.AGGREGATE(16,6,tblJTL[elapsed]/((tblJTL[label]=$B45)*(tblJTL[評価対象]=1)),0.99))</f>
        <v>2817.1199999999935</v>
      </c>
      <c r="K45" s="65">
        <f>SUMIFS(tblJTL[エラー],tblJTL[label],$B45,tblJTL[評価対象],1)</f>
        <v>8</v>
      </c>
      <c r="L45" s="66">
        <f>IF(C45=0,0,K45/C45)</f>
        <v>7.7444336882865443E-3</v>
      </c>
      <c r="M45" s="67">
        <f>IF($E$27=0,0,C45/$E$27)</f>
        <v>2.1520833333333331</v>
      </c>
      <c r="N45" s="68" t="str">
        <f>IF(C45=0,"―",IF(AND(I45&lt;=$E$7,L45&lt;$E$8),"OK","NG"))</f>
        <v>NG</v>
      </c>
    </row>
    <row r="46" spans="2:14" ht="22.05" customHeight="1" x14ac:dyDescent="0.3">
      <c r="B46" s="69" t="s">
        <v>3632</v>
      </c>
      <c r="C46" s="70">
        <f>COUNTIFS(tblJTL[label],"&lt;&gt;"&amp;$E$10,tblJTL[評価対象],1)</f>
        <v>2065</v>
      </c>
      <c r="D46" s="71">
        <f>IF(C46=0,"―",AVERAGEIFS(tblJTL[elapsed],tblJTL[label],"&lt;&gt;"&amp;$E$10,tblJTL[評価対象],1))</f>
        <v>317.86779661016948</v>
      </c>
      <c r="E46" s="70">
        <f>IF(C46=0,"―",_xlfn.AGGREGATE(15,6,tblJTL[elapsed]/((tblJTL[label]&lt;&gt;$E$10)*(tblJTL[評価対象]=1)),1))</f>
        <v>26</v>
      </c>
      <c r="F46" s="70">
        <f>IF(C46=0,"―",_xlfn.AGGREGATE(14,6,tblJTL[elapsed]/((tblJTL[label]&lt;&gt;$E$10)*(tblJTL[評価対象]=1)),1))</f>
        <v>29041</v>
      </c>
      <c r="G46" s="71">
        <f>IF(C46=0,"―",_xlfn.AGGREGATE(16,6,tblJTL[elapsed]/((tblJTL[label]&lt;&gt;$E$10)*(tblJTL[評価対象]=1)),0.5))</f>
        <v>180</v>
      </c>
      <c r="H46" s="71">
        <f>IF(C46=0,"―",_xlfn.AGGREGATE(16,6,tblJTL[elapsed]/((tblJTL[label]&lt;&gt;$E$10)*(tblJTL[評価対象]=1)),0.9))</f>
        <v>382.60000000000014</v>
      </c>
      <c r="I46" s="71">
        <f>IF(C46=0,"―",_xlfn.AGGREGATE(16,6,tblJTL[elapsed]/((tblJTL[label]&lt;&gt;$E$10)*(tblJTL[評価対象]=1)),0.95))</f>
        <v>1214</v>
      </c>
      <c r="J46" s="71">
        <f>IF(C46=0,"―",_xlfn.AGGREGATE(16,6,tblJTL[elapsed]/((tblJTL[label]&lt;&gt;$E$10)*(tblJTL[評価対象]=1)),0.99))</f>
        <v>2313.2399999999989</v>
      </c>
      <c r="K46" s="70">
        <f>SUMIFS(tblJTL[エラー],tblJTL[label],"&lt;&gt;"&amp;$E$10,tblJTL[評価対象],1)</f>
        <v>13</v>
      </c>
      <c r="L46" s="72">
        <f>IF(C46=0,0,K46/C46)</f>
        <v>6.2953995157384989E-3</v>
      </c>
      <c r="M46" s="73">
        <f>IF($E$27=0,0,C46/$E$27)</f>
        <v>4.302083333333333</v>
      </c>
      <c r="N46" s="6" t="str">
        <f>IF(C46=0,"―",IF(AND(I46&lt;=$E$7,L46&lt;$E$8,M46&gt;=$E$9),"OK","NG"))</f>
        <v>NG</v>
      </c>
    </row>
    <row r="47" spans="2:14" ht="44.55" customHeight="1" x14ac:dyDescent="0.3">
      <c r="B47" s="166" t="s">
        <v>3635</v>
      </c>
      <c r="C47" s="113"/>
      <c r="D47" s="113"/>
      <c r="E47" s="113"/>
      <c r="F47" s="113"/>
      <c r="G47" s="113"/>
      <c r="H47" s="113"/>
      <c r="I47" s="113"/>
      <c r="J47" s="113"/>
      <c r="K47" s="113"/>
      <c r="L47" s="113"/>
      <c r="M47" s="113"/>
      <c r="N47" s="113"/>
    </row>
    <row r="48" spans="2:14" ht="6" customHeight="1" x14ac:dyDescent="0.3"/>
    <row r="49" spans="2:14" ht="12" customHeight="1" x14ac:dyDescent="0.3"/>
    <row r="50" spans="2:14" ht="27" customHeight="1" x14ac:dyDescent="0.3">
      <c r="B50" s="128" t="s">
        <v>3636</v>
      </c>
      <c r="C50" s="124"/>
      <c r="D50" s="124"/>
      <c r="E50" s="124"/>
      <c r="F50" s="124"/>
      <c r="G50" s="124"/>
      <c r="H50" s="124"/>
      <c r="I50" s="124"/>
      <c r="J50" s="124"/>
      <c r="K50" s="124"/>
      <c r="L50" s="124"/>
      <c r="M50" s="124"/>
      <c r="N50" s="124"/>
    </row>
    <row r="51" spans="2:14" ht="4.95" customHeight="1" x14ac:dyDescent="0.3"/>
    <row r="52" spans="2:14" ht="31.95" customHeight="1" x14ac:dyDescent="0.3">
      <c r="B52" s="62" t="s">
        <v>3622</v>
      </c>
      <c r="C52" s="62" t="s">
        <v>1577</v>
      </c>
      <c r="D52" s="62" t="s">
        <v>3579</v>
      </c>
      <c r="E52" s="62" t="s">
        <v>3590</v>
      </c>
      <c r="F52" s="62" t="s">
        <v>3594</v>
      </c>
      <c r="G52" s="62" t="s">
        <v>3637</v>
      </c>
      <c r="H52" s="62" t="s">
        <v>3638</v>
      </c>
    </row>
    <row r="53" spans="2:14" ht="22.05" customHeight="1" x14ac:dyDescent="0.3">
      <c r="B53" s="63" t="s">
        <v>1383</v>
      </c>
      <c r="C53" s="65">
        <f>COUNTIFS(tblJTL[label],$B53,tblJTL[responseCode],C$52)</f>
        <v>1</v>
      </c>
      <c r="D53" s="65">
        <f>COUNTIFS(tblJTL[label],$B53,tblJTL[responseCode],D$52)</f>
        <v>0</v>
      </c>
      <c r="E53" s="65">
        <f>COUNTIFS(tblJTL[label],$B53,tblJTL[responseCode],E$52)</f>
        <v>0</v>
      </c>
      <c r="F53" s="65">
        <f>COUNTIFS(tblJTL[label],$B53,tblJTL[responseCode],F$52)</f>
        <v>0</v>
      </c>
      <c r="G53" s="65">
        <f>H53-SUM(C53:F53)</f>
        <v>0</v>
      </c>
      <c r="H53" s="74">
        <f>COUNTIFS(tblJTL[label],$B53)</f>
        <v>1</v>
      </c>
    </row>
    <row r="54" spans="2:14" ht="22.05" customHeight="1" x14ac:dyDescent="0.3">
      <c r="B54" s="63" t="s">
        <v>1658</v>
      </c>
      <c r="C54" s="65">
        <f>COUNTIFS(tblJTL[label],$B54,tblJTL[responseCode],C$52)</f>
        <v>1235</v>
      </c>
      <c r="D54" s="65">
        <f>COUNTIFS(tblJTL[label],$B54,tblJTL[responseCode],D$52)</f>
        <v>0</v>
      </c>
      <c r="E54" s="65">
        <f>COUNTIFS(tblJTL[label],$B54,tblJTL[responseCode],E$52)</f>
        <v>5</v>
      </c>
      <c r="F54" s="65">
        <f>COUNTIFS(tblJTL[label],$B54,tblJTL[responseCode],F$52)</f>
        <v>0</v>
      </c>
      <c r="G54" s="65">
        <f>H54-SUM(C54:F54)</f>
        <v>0</v>
      </c>
      <c r="H54" s="74">
        <f>COUNTIFS(tblJTL[label],$B54)</f>
        <v>1240</v>
      </c>
    </row>
    <row r="55" spans="2:14" ht="22.05" customHeight="1" x14ac:dyDescent="0.3">
      <c r="B55" s="63" t="s">
        <v>1677</v>
      </c>
      <c r="C55" s="65">
        <f>COUNTIFS(tblJTL[label],$B55,tblJTL[responseCode],C$52)</f>
        <v>0</v>
      </c>
      <c r="D55" s="65">
        <f>COUNTIFS(tblJTL[label],$B55,tblJTL[responseCode],D$52)</f>
        <v>1228</v>
      </c>
      <c r="E55" s="65">
        <f>COUNTIFS(tblJTL[label],$B55,tblJTL[responseCode],E$52)</f>
        <v>6</v>
      </c>
      <c r="F55" s="65">
        <f>COUNTIFS(tblJTL[label],$B55,tblJTL[responseCode],F$52)</f>
        <v>2</v>
      </c>
      <c r="G55" s="65">
        <f>H55-SUM(C55:F55)</f>
        <v>0</v>
      </c>
      <c r="H55" s="74">
        <f>COUNTIFS(tblJTL[label],$B55)</f>
        <v>1236</v>
      </c>
    </row>
    <row r="56" spans="2:14" ht="22.05" customHeight="1" x14ac:dyDescent="0.3">
      <c r="B56" s="69" t="s">
        <v>3638</v>
      </c>
      <c r="C56" s="70">
        <f t="shared" ref="C56:H56" si="0">SUM(C53:C55)</f>
        <v>1236</v>
      </c>
      <c r="D56" s="70">
        <f t="shared" si="0"/>
        <v>1228</v>
      </c>
      <c r="E56" s="70">
        <f t="shared" si="0"/>
        <v>11</v>
      </c>
      <c r="F56" s="70">
        <f t="shared" si="0"/>
        <v>2</v>
      </c>
      <c r="G56" s="70">
        <f t="shared" si="0"/>
        <v>0</v>
      </c>
      <c r="H56" s="70">
        <f t="shared" si="0"/>
        <v>2477</v>
      </c>
    </row>
    <row r="57" spans="2:14" ht="19.350000000000001" customHeight="1" x14ac:dyDescent="0.3">
      <c r="B57" s="166" t="s">
        <v>3639</v>
      </c>
      <c r="C57" s="113"/>
      <c r="D57" s="113"/>
      <c r="E57" s="113"/>
      <c r="F57" s="113"/>
      <c r="G57" s="113"/>
      <c r="H57" s="113"/>
      <c r="I57" s="113"/>
      <c r="J57" s="113"/>
      <c r="K57" s="113"/>
      <c r="L57" s="113"/>
      <c r="M57" s="113"/>
      <c r="N57" s="113"/>
    </row>
    <row r="58" spans="2:14" ht="6" customHeight="1" x14ac:dyDescent="0.3"/>
    <row r="59" spans="2:14" ht="12" customHeight="1" x14ac:dyDescent="0.3"/>
    <row r="60" spans="2:14" ht="27" customHeight="1" x14ac:dyDescent="0.3">
      <c r="B60" s="128" t="s">
        <v>3640</v>
      </c>
      <c r="C60" s="124"/>
      <c r="D60" s="124"/>
      <c r="E60" s="124"/>
      <c r="F60" s="124"/>
      <c r="G60" s="124"/>
      <c r="H60" s="124"/>
      <c r="I60" s="124"/>
      <c r="J60" s="124"/>
      <c r="K60" s="124"/>
      <c r="L60" s="124"/>
      <c r="M60" s="124"/>
      <c r="N60" s="124"/>
    </row>
    <row r="61" spans="2:14" ht="4.95" customHeight="1" x14ac:dyDescent="0.3"/>
    <row r="62" spans="2:14" ht="31.95" customHeight="1" x14ac:dyDescent="0.3">
      <c r="B62" s="62" t="s">
        <v>3364</v>
      </c>
      <c r="C62" s="62" t="s">
        <v>3641</v>
      </c>
      <c r="D62" s="62" t="s">
        <v>3439</v>
      </c>
      <c r="E62" s="62" t="s">
        <v>3630</v>
      </c>
      <c r="F62" s="62" t="s">
        <v>3642</v>
      </c>
      <c r="G62" s="62" t="s">
        <v>3628</v>
      </c>
      <c r="H62" s="62" t="s">
        <v>3415</v>
      </c>
      <c r="I62" s="62" t="s">
        <v>3643</v>
      </c>
      <c r="J62" s="62" t="s">
        <v>3644</v>
      </c>
    </row>
    <row r="63" spans="2:14" ht="19.95" customHeight="1" x14ac:dyDescent="0.3">
      <c r="B63" s="75">
        <v>0</v>
      </c>
      <c r="C63" s="76">
        <f t="shared" ref="C63:C73" si="1">$E$19+B63/1440</f>
        <v>46296.416668749996</v>
      </c>
      <c r="D63" s="65">
        <f>COUNTIFS(tblJTL[経過分],$B63)</f>
        <v>142</v>
      </c>
      <c r="E63" s="67">
        <f t="shared" ref="E63:E73" si="2">D63/60</f>
        <v>2.3666666666666667</v>
      </c>
      <c r="F63" s="64">
        <f>IFERROR(AVERAGEIFS(tblJTL[elapsed],tblJTL[経過分],$B63),0)</f>
        <v>181.28873239436621</v>
      </c>
      <c r="G63" s="64">
        <f>IFERROR(_xlfn.AGGREGATE(16,6,tblJTL[elapsed]/(tblJTL[経過分]=$B63),0.95),0)</f>
        <v>311.79999999999995</v>
      </c>
      <c r="H63" s="65">
        <f>SUMIFS(tblJTL[エラー],tblJTL[経過分],$B63)</f>
        <v>0</v>
      </c>
      <c r="I63" s="77">
        <f>IFERROR(AVERAGEIFS(tblJTL[allThreads],tblJTL[経過分],$B63),0)</f>
        <v>6.943661971830986</v>
      </c>
      <c r="J63" s="68" t="str">
        <f t="shared" ref="J63:J73" si="3">IF(AND(B63*60&gt;=$E$11,(B63+1)*60&lt;=$E$12),"○",IF(AND((B63+1)*60&gt;$E$11,B63*60&lt;$E$12),"△",""))</f>
        <v/>
      </c>
    </row>
    <row r="64" spans="2:14" ht="19.95" customHeight="1" x14ac:dyDescent="0.3">
      <c r="B64" s="75">
        <v>1</v>
      </c>
      <c r="C64" s="76">
        <f t="shared" si="1"/>
        <v>46296.417363194443</v>
      </c>
      <c r="D64" s="65">
        <f>COUNTIFS(tblJTL[経過分],$B64)</f>
        <v>280</v>
      </c>
      <c r="E64" s="67">
        <f t="shared" si="2"/>
        <v>4.666666666666667</v>
      </c>
      <c r="F64" s="64">
        <f>IFERROR(AVERAGEIFS(tblJTL[elapsed],tblJTL[経過分],$B64),0)</f>
        <v>189.46428571428572</v>
      </c>
      <c r="G64" s="64">
        <f>IFERROR(_xlfn.AGGREGATE(16,6,tblJTL[elapsed]/(tblJTL[経過分]=$B64),0.95),0)</f>
        <v>339</v>
      </c>
      <c r="H64" s="65">
        <f>SUMIFS(tblJTL[エラー],tblJTL[経過分],$B64)</f>
        <v>0</v>
      </c>
      <c r="I64" s="77">
        <f>IFERROR(AVERAGEIFS(tblJTL[allThreads],tblJTL[経過分],$B64),0)</f>
        <v>10</v>
      </c>
      <c r="J64" s="68" t="str">
        <f t="shared" si="3"/>
        <v>○</v>
      </c>
    </row>
    <row r="65" spans="2:14" ht="19.95" customHeight="1" x14ac:dyDescent="0.3">
      <c r="B65" s="75">
        <v>2</v>
      </c>
      <c r="C65" s="76">
        <f t="shared" si="1"/>
        <v>46296.418057638883</v>
      </c>
      <c r="D65" s="65">
        <f>COUNTIFS(tblJTL[経過分],$B65)</f>
        <v>272</v>
      </c>
      <c r="E65" s="67">
        <f t="shared" si="2"/>
        <v>4.5333333333333332</v>
      </c>
      <c r="F65" s="64">
        <f>IFERROR(AVERAGEIFS(tblJTL[elapsed],tblJTL[経過分],$B65),0)</f>
        <v>190.02573529411765</v>
      </c>
      <c r="G65" s="64">
        <f>IFERROR(_xlfn.AGGREGATE(16,6,tblJTL[elapsed]/(tblJTL[経過分]=$B65),0.95),0)</f>
        <v>362.9</v>
      </c>
      <c r="H65" s="65">
        <f>SUMIFS(tblJTL[エラー],tblJTL[経過分],$B65)</f>
        <v>0</v>
      </c>
      <c r="I65" s="77">
        <f>IFERROR(AVERAGEIFS(tblJTL[allThreads],tblJTL[経過分],$B65),0)</f>
        <v>10</v>
      </c>
      <c r="J65" s="68" t="str">
        <f t="shared" si="3"/>
        <v>○</v>
      </c>
    </row>
    <row r="66" spans="2:14" ht="19.95" customHeight="1" x14ac:dyDescent="0.3">
      <c r="B66" s="75">
        <v>3</v>
      </c>
      <c r="C66" s="76">
        <f t="shared" si="1"/>
        <v>46296.418752083329</v>
      </c>
      <c r="D66" s="65">
        <f>COUNTIFS(tblJTL[経過分],$B66)</f>
        <v>273</v>
      </c>
      <c r="E66" s="67">
        <f t="shared" si="2"/>
        <v>4.55</v>
      </c>
      <c r="F66" s="64">
        <f>IFERROR(AVERAGEIFS(tblJTL[elapsed],tblJTL[経過分],$B66),0)</f>
        <v>187.69963369963369</v>
      </c>
      <c r="G66" s="64">
        <f>IFERROR(_xlfn.AGGREGATE(16,6,tblJTL[elapsed]/(tblJTL[経過分]=$B66),0.95),0)</f>
        <v>334.79999999999984</v>
      </c>
      <c r="H66" s="65">
        <f>SUMIFS(tblJTL[エラー],tblJTL[経過分],$B66)</f>
        <v>0</v>
      </c>
      <c r="I66" s="77">
        <f>IFERROR(AVERAGEIFS(tblJTL[allThreads],tblJTL[経過分],$B66),0)</f>
        <v>10</v>
      </c>
      <c r="J66" s="68" t="str">
        <f t="shared" si="3"/>
        <v>○</v>
      </c>
    </row>
    <row r="67" spans="2:14" ht="19.95" customHeight="1" x14ac:dyDescent="0.3">
      <c r="B67" s="75">
        <v>4</v>
      </c>
      <c r="C67" s="76">
        <f t="shared" si="1"/>
        <v>46296.419446527776</v>
      </c>
      <c r="D67" s="65">
        <f>COUNTIFS(tblJTL[経過分],$B67)</f>
        <v>211</v>
      </c>
      <c r="E67" s="67">
        <f t="shared" si="2"/>
        <v>3.5166666666666666</v>
      </c>
      <c r="F67" s="64">
        <f>IFERROR(AVERAGEIFS(tblJTL[elapsed],tblJTL[経過分],$B67),0)</f>
        <v>1017.2796208530806</v>
      </c>
      <c r="G67" s="64">
        <f>IFERROR(_xlfn.AGGREGATE(16,6,tblJTL[elapsed]/(tblJTL[経過分]=$B67),0.95),0)</f>
        <v>2348.5</v>
      </c>
      <c r="H67" s="65">
        <f>SUMIFS(tblJTL[エラー],tblJTL[経過分],$B67)</f>
        <v>8</v>
      </c>
      <c r="I67" s="77">
        <f>IFERROR(AVERAGEIFS(tblJTL[allThreads],tblJTL[経過分],$B67),0)</f>
        <v>10</v>
      </c>
      <c r="J67" s="68" t="str">
        <f t="shared" si="3"/>
        <v>○</v>
      </c>
    </row>
    <row r="68" spans="2:14" ht="19.95" customHeight="1" x14ac:dyDescent="0.3">
      <c r="B68" s="75">
        <v>5</v>
      </c>
      <c r="C68" s="76">
        <f t="shared" si="1"/>
        <v>46296.420140972215</v>
      </c>
      <c r="D68" s="65">
        <f>COUNTIFS(tblJTL[経過分],$B68)</f>
        <v>208</v>
      </c>
      <c r="E68" s="67">
        <f t="shared" si="2"/>
        <v>3.4666666666666668</v>
      </c>
      <c r="F68" s="64">
        <f>IFERROR(AVERAGEIFS(tblJTL[elapsed],tblJTL[経過分],$B68),0)</f>
        <v>626.70192307692309</v>
      </c>
      <c r="G68" s="64">
        <f>IFERROR(_xlfn.AGGREGATE(16,6,tblJTL[elapsed]/(tblJTL[経過分]=$B68),0.95),0)</f>
        <v>2230.1499999999996</v>
      </c>
      <c r="H68" s="65">
        <f>SUMIFS(tblJTL[エラー],tblJTL[経過分],$B68)</f>
        <v>5</v>
      </c>
      <c r="I68" s="77">
        <f>IFERROR(AVERAGEIFS(tblJTL[allThreads],tblJTL[経過分],$B68),0)</f>
        <v>10</v>
      </c>
      <c r="J68" s="68" t="str">
        <f t="shared" si="3"/>
        <v>○</v>
      </c>
    </row>
    <row r="69" spans="2:14" ht="19.95" customHeight="1" x14ac:dyDescent="0.3">
      <c r="B69" s="75">
        <v>6</v>
      </c>
      <c r="C69" s="76">
        <f t="shared" si="1"/>
        <v>46296.420835416662</v>
      </c>
      <c r="D69" s="65">
        <f>COUNTIFS(tblJTL[経過分],$B69)</f>
        <v>282</v>
      </c>
      <c r="E69" s="67">
        <f t="shared" si="2"/>
        <v>4.7</v>
      </c>
      <c r="F69" s="64">
        <f>IFERROR(AVERAGEIFS(tblJTL[elapsed],tblJTL[経過分],$B69),0)</f>
        <v>186.44326241134752</v>
      </c>
      <c r="G69" s="64">
        <f>IFERROR(_xlfn.AGGREGATE(16,6,tblJTL[elapsed]/(tblJTL[経過分]=$B69),0.95),0)</f>
        <v>368.95</v>
      </c>
      <c r="H69" s="65">
        <f>SUMIFS(tblJTL[エラー],tblJTL[経過分],$B69)</f>
        <v>0</v>
      </c>
      <c r="I69" s="77">
        <f>IFERROR(AVERAGEIFS(tblJTL[allThreads],tblJTL[経過分],$B69),0)</f>
        <v>10</v>
      </c>
      <c r="J69" s="68" t="str">
        <f t="shared" si="3"/>
        <v>○</v>
      </c>
    </row>
    <row r="70" spans="2:14" ht="19.95" customHeight="1" x14ac:dyDescent="0.3">
      <c r="B70" s="75">
        <v>7</v>
      </c>
      <c r="C70" s="76">
        <f t="shared" si="1"/>
        <v>46296.421529861109</v>
      </c>
      <c r="D70" s="65">
        <f>COUNTIFS(tblJTL[経過分],$B70)</f>
        <v>267</v>
      </c>
      <c r="E70" s="67">
        <f t="shared" si="2"/>
        <v>4.45</v>
      </c>
      <c r="F70" s="64">
        <f>IFERROR(AVERAGEIFS(tblJTL[elapsed],tblJTL[経過分],$B70),0)</f>
        <v>194.24719101123594</v>
      </c>
      <c r="G70" s="64">
        <f>IFERROR(_xlfn.AGGREGATE(16,6,tblJTL[elapsed]/(tblJTL[経過分]=$B70),0.95),0)</f>
        <v>368.5999999999998</v>
      </c>
      <c r="H70" s="65">
        <f>SUMIFS(tblJTL[エラー],tblJTL[経過分],$B70)</f>
        <v>0</v>
      </c>
      <c r="I70" s="77">
        <f>IFERROR(AVERAGEIFS(tblJTL[allThreads],tblJTL[経過分],$B70),0)</f>
        <v>10</v>
      </c>
      <c r="J70" s="68" t="str">
        <f t="shared" si="3"/>
        <v>○</v>
      </c>
    </row>
    <row r="71" spans="2:14" ht="19.95" customHeight="1" x14ac:dyDescent="0.3">
      <c r="B71" s="75">
        <v>8</v>
      </c>
      <c r="C71" s="76">
        <f t="shared" si="1"/>
        <v>46296.422224305556</v>
      </c>
      <c r="D71" s="65">
        <f>COUNTIFS(tblJTL[経過分],$B71)</f>
        <v>272</v>
      </c>
      <c r="E71" s="67">
        <f t="shared" si="2"/>
        <v>4.5333333333333332</v>
      </c>
      <c r="F71" s="64">
        <f>IFERROR(AVERAGEIFS(tblJTL[elapsed],tblJTL[経過分],$B71),0)</f>
        <v>187.41544117647058</v>
      </c>
      <c r="G71" s="64">
        <f>IFERROR(_xlfn.AGGREGATE(16,6,tblJTL[elapsed]/(tblJTL[経過分]=$B71),0.95),0)</f>
        <v>350.94999999999987</v>
      </c>
      <c r="H71" s="65">
        <f>SUMIFS(tblJTL[エラー],tblJTL[経過分],$B71)</f>
        <v>0</v>
      </c>
      <c r="I71" s="77">
        <f>IFERROR(AVERAGEIFS(tblJTL[allThreads],tblJTL[経過分],$B71),0)</f>
        <v>10</v>
      </c>
      <c r="J71" s="68" t="str">
        <f t="shared" si="3"/>
        <v>○</v>
      </c>
    </row>
    <row r="72" spans="2:14" ht="19.95" customHeight="1" x14ac:dyDescent="0.3">
      <c r="B72" s="75">
        <v>9</v>
      </c>
      <c r="C72" s="76">
        <f t="shared" si="1"/>
        <v>46296.422918749995</v>
      </c>
      <c r="D72" s="65">
        <f>COUNTIFS(tblJTL[経過分],$B72)</f>
        <v>268</v>
      </c>
      <c r="E72" s="67">
        <f t="shared" si="2"/>
        <v>4.4666666666666668</v>
      </c>
      <c r="F72" s="64">
        <f>IFERROR(AVERAGEIFS(tblJTL[elapsed],tblJTL[経過分],$B72),0)</f>
        <v>204.25</v>
      </c>
      <c r="G72" s="64">
        <f>IFERROR(_xlfn.AGGREGATE(16,6,tblJTL[elapsed]/(tblJTL[経過分]=$B72),0.95),0)</f>
        <v>393.65</v>
      </c>
      <c r="H72" s="65">
        <f>SUMIFS(tblJTL[エラー],tblJTL[経過分],$B72)</f>
        <v>0</v>
      </c>
      <c r="I72" s="77">
        <f>IFERROR(AVERAGEIFS(tblJTL[allThreads],tblJTL[経過分],$B72),0)</f>
        <v>10</v>
      </c>
      <c r="J72" s="68" t="str">
        <f t="shared" si="3"/>
        <v/>
      </c>
    </row>
    <row r="73" spans="2:14" ht="19.95" customHeight="1" x14ac:dyDescent="0.3">
      <c r="B73" s="75">
        <v>10</v>
      </c>
      <c r="C73" s="76">
        <f t="shared" si="1"/>
        <v>46296.423613194442</v>
      </c>
      <c r="D73" s="65">
        <f>COUNTIFS(tblJTL[経過分],$B73)</f>
        <v>2</v>
      </c>
      <c r="E73" s="67">
        <f t="shared" si="2"/>
        <v>3.3333333333333333E-2</v>
      </c>
      <c r="F73" s="64">
        <f>IFERROR(AVERAGEIFS(tblJTL[elapsed],tblJTL[経過分],$B73),0)</f>
        <v>166.5</v>
      </c>
      <c r="G73" s="64">
        <f>IFERROR(_xlfn.AGGREGATE(16,6,tblJTL[elapsed]/(tblJTL[経過分]=$B73),0.95),0)</f>
        <v>200.25</v>
      </c>
      <c r="H73" s="65">
        <f>SUMIFS(tblJTL[エラー],tblJTL[経過分],$B73)</f>
        <v>0</v>
      </c>
      <c r="I73" s="77">
        <f>IFERROR(AVERAGEIFS(tblJTL[allThreads],tblJTL[経過分],$B73),0)</f>
        <v>10</v>
      </c>
      <c r="J73" s="68" t="str">
        <f t="shared" si="3"/>
        <v/>
      </c>
    </row>
    <row r="74" spans="2:14" ht="31.35" customHeight="1" x14ac:dyDescent="0.3">
      <c r="B74" s="166" t="s">
        <v>3645</v>
      </c>
      <c r="C74" s="113"/>
      <c r="D74" s="113"/>
      <c r="E74" s="113"/>
      <c r="F74" s="113"/>
      <c r="G74" s="113"/>
      <c r="H74" s="113"/>
      <c r="I74" s="113"/>
      <c r="J74" s="113"/>
      <c r="K74" s="113"/>
      <c r="L74" s="113"/>
      <c r="M74" s="113"/>
      <c r="N74" s="113"/>
    </row>
    <row r="75" spans="2:14" ht="6" customHeight="1" x14ac:dyDescent="0.3"/>
    <row r="76" spans="2:14" ht="12" customHeight="1" x14ac:dyDescent="0.3"/>
    <row r="77" spans="2:14" ht="27" customHeight="1" x14ac:dyDescent="0.3">
      <c r="B77" s="128" t="s">
        <v>3646</v>
      </c>
      <c r="C77" s="124"/>
      <c r="D77" s="124"/>
      <c r="E77" s="124"/>
      <c r="F77" s="124"/>
      <c r="G77" s="124"/>
      <c r="H77" s="124"/>
      <c r="I77" s="124"/>
      <c r="J77" s="124"/>
      <c r="K77" s="124"/>
      <c r="L77" s="124"/>
      <c r="M77" s="124"/>
      <c r="N77" s="124"/>
    </row>
    <row r="78" spans="2:14" ht="4.95" customHeight="1" x14ac:dyDescent="0.3"/>
    <row r="80" spans="2:14" ht="15" customHeight="1" x14ac:dyDescent="0.3"/>
    <row r="81" ht="15" customHeight="1" x14ac:dyDescent="0.3"/>
    <row r="82" ht="15" customHeight="1" x14ac:dyDescent="0.3"/>
    <row r="83" ht="15" customHeight="1" x14ac:dyDescent="0.3"/>
    <row r="84" ht="15" customHeight="1" x14ac:dyDescent="0.3"/>
    <row r="85" ht="15" customHeight="1" x14ac:dyDescent="0.3"/>
    <row r="86" ht="15" customHeight="1" x14ac:dyDescent="0.3"/>
    <row r="87" ht="15" customHeight="1" x14ac:dyDescent="0.3"/>
    <row r="88" ht="15" customHeight="1" x14ac:dyDescent="0.3"/>
    <row r="89" ht="15" customHeight="1" x14ac:dyDescent="0.3"/>
    <row r="90" ht="15" customHeight="1" x14ac:dyDescent="0.3"/>
    <row r="91" ht="15" customHeight="1" x14ac:dyDescent="0.3"/>
    <row r="92" ht="15" customHeight="1" x14ac:dyDescent="0.3"/>
    <row r="93" ht="15" customHeight="1" x14ac:dyDescent="0.3"/>
    <row r="94" ht="15" customHeight="1" x14ac:dyDescent="0.3"/>
    <row r="95" ht="15" customHeight="1" x14ac:dyDescent="0.3"/>
    <row r="96" ht="15" customHeight="1" x14ac:dyDescent="0.3"/>
    <row r="97" ht="15" customHeight="1" x14ac:dyDescent="0.3"/>
    <row r="98" ht="15" customHeight="1" x14ac:dyDescent="0.3"/>
    <row r="99" ht="15" customHeight="1" x14ac:dyDescent="0.3"/>
    <row r="100" ht="15" customHeight="1" x14ac:dyDescent="0.3"/>
    <row r="101" ht="15" customHeight="1" x14ac:dyDescent="0.3"/>
    <row r="102" ht="15" customHeight="1" x14ac:dyDescent="0.3"/>
    <row r="103" ht="15" customHeight="1" x14ac:dyDescent="0.3"/>
    <row r="104" ht="15" customHeight="1" x14ac:dyDescent="0.3"/>
    <row r="105" ht="15" customHeight="1" x14ac:dyDescent="0.3"/>
    <row r="106" ht="15" customHeight="1" x14ac:dyDescent="0.3"/>
    <row r="107" ht="15" customHeight="1" x14ac:dyDescent="0.3"/>
    <row r="108" ht="15" customHeight="1" x14ac:dyDescent="0.3"/>
    <row r="109" ht="15" customHeight="1" x14ac:dyDescent="0.3"/>
    <row r="110" ht="15" customHeight="1" x14ac:dyDescent="0.3"/>
    <row r="111" ht="15" customHeight="1" x14ac:dyDescent="0.3"/>
    <row r="112" ht="15" customHeight="1" x14ac:dyDescent="0.3"/>
    <row r="113" ht="15" customHeight="1" x14ac:dyDescent="0.3"/>
    <row r="114" ht="15" customHeight="1" x14ac:dyDescent="0.3"/>
    <row r="115" ht="15" customHeight="1" x14ac:dyDescent="0.3"/>
  </sheetData>
  <mergeCells count="70">
    <mergeCell ref="B1:N1"/>
    <mergeCell ref="E7:F7"/>
    <mergeCell ref="E18:F18"/>
    <mergeCell ref="B22:D22"/>
    <mergeCell ref="E25:F25"/>
    <mergeCell ref="G25:N25"/>
    <mergeCell ref="B18:D18"/>
    <mergeCell ref="E22:F22"/>
    <mergeCell ref="B21:D21"/>
    <mergeCell ref="B12:D12"/>
    <mergeCell ref="G9:N9"/>
    <mergeCell ref="E21:F21"/>
    <mergeCell ref="B77:N77"/>
    <mergeCell ref="B7:D7"/>
    <mergeCell ref="B25:D25"/>
    <mergeCell ref="E26:F26"/>
    <mergeCell ref="B60:N60"/>
    <mergeCell ref="G20:N20"/>
    <mergeCell ref="G26:N26"/>
    <mergeCell ref="B57:N57"/>
    <mergeCell ref="B27:D27"/>
    <mergeCell ref="B47:N47"/>
    <mergeCell ref="B20:D20"/>
    <mergeCell ref="G18:N18"/>
    <mergeCell ref="E6:F6"/>
    <mergeCell ref="B31:N31"/>
    <mergeCell ref="E11:F11"/>
    <mergeCell ref="G24:N24"/>
    <mergeCell ref="B26:D26"/>
    <mergeCell ref="E27:F27"/>
    <mergeCell ref="B74:N74"/>
    <mergeCell ref="B15:N15"/>
    <mergeCell ref="G27:N27"/>
    <mergeCell ref="E17:F17"/>
    <mergeCell ref="E8:F8"/>
    <mergeCell ref="G23:N23"/>
    <mergeCell ref="G8:N8"/>
    <mergeCell ref="B10:D10"/>
    <mergeCell ref="B28:D28"/>
    <mergeCell ref="G17:N17"/>
    <mergeCell ref="B19:D19"/>
    <mergeCell ref="E20:F20"/>
    <mergeCell ref="B41:N41"/>
    <mergeCell ref="E10:F10"/>
    <mergeCell ref="E19:F19"/>
    <mergeCell ref="B50:N50"/>
    <mergeCell ref="B23:D23"/>
    <mergeCell ref="E24:F24"/>
    <mergeCell ref="B8:D8"/>
    <mergeCell ref="B38:N38"/>
    <mergeCell ref="G11:N11"/>
    <mergeCell ref="B17:D17"/>
    <mergeCell ref="G22:N22"/>
    <mergeCell ref="E23:F23"/>
    <mergeCell ref="B9:D9"/>
    <mergeCell ref="G19:N19"/>
    <mergeCell ref="E28:F28"/>
    <mergeCell ref="G10:N10"/>
    <mergeCell ref="G28:N28"/>
    <mergeCell ref="E9:F9"/>
    <mergeCell ref="B24:D24"/>
    <mergeCell ref="B11:D11"/>
    <mergeCell ref="B2:M2"/>
    <mergeCell ref="E12:F12"/>
    <mergeCell ref="G12:N12"/>
    <mergeCell ref="G21:N21"/>
    <mergeCell ref="G7:N7"/>
    <mergeCell ref="B4:N4"/>
    <mergeCell ref="G6:N6"/>
    <mergeCell ref="B6:D6"/>
  </mergeCells>
  <phoneticPr fontId="27"/>
  <conditionalFormatting sqref="N34:N37">
    <cfRule type="cellIs" dxfId="4" priority="1" operator="equal">
      <formula>"NG"</formula>
    </cfRule>
  </conditionalFormatting>
  <conditionalFormatting sqref="N44:N46">
    <cfRule type="cellIs" dxfId="3" priority="2" operator="equal">
      <formula>"NG"</formula>
    </cfRule>
  </conditionalFormatting>
  <hyperlinks>
    <hyperlink ref="N2" location="'目次'!A1" display="▲ 目次へ戻る" xr:uid="{00000000-0004-0000-13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C52:F52" numberStoredAsText="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pageSetUpPr fitToPage="1"/>
  </sheetPr>
  <dimension ref="B1:I171"/>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24" customWidth="1"/>
    <col min="3" max="8" width="14" customWidth="1"/>
    <col min="9" max="9" width="22" customWidth="1"/>
    <col min="10" max="10" width="1.6328125" customWidth="1"/>
  </cols>
  <sheetData>
    <row r="1" spans="2:9" ht="37.950000000000003" customHeight="1" x14ac:dyDescent="0.3">
      <c r="B1" s="138" t="s">
        <v>3647</v>
      </c>
      <c r="C1" s="118"/>
      <c r="D1" s="118"/>
      <c r="E1" s="118"/>
      <c r="F1" s="118"/>
      <c r="G1" s="118"/>
      <c r="H1" s="118"/>
      <c r="I1" s="118"/>
    </row>
    <row r="2" spans="2:9" ht="31.35" customHeight="1" x14ac:dyDescent="0.3">
      <c r="B2" s="141" t="s">
        <v>3648</v>
      </c>
      <c r="C2" s="113"/>
      <c r="D2" s="113"/>
      <c r="E2" s="113"/>
      <c r="F2" s="113"/>
      <c r="G2" s="113"/>
      <c r="H2" s="113"/>
      <c r="I2" s="4" t="s">
        <v>38</v>
      </c>
    </row>
    <row r="3" spans="2:9" ht="12" customHeight="1" x14ac:dyDescent="0.3"/>
    <row r="4" spans="2:9" ht="27" customHeight="1" x14ac:dyDescent="0.3">
      <c r="B4" s="128" t="s">
        <v>3649</v>
      </c>
      <c r="C4" s="124"/>
      <c r="D4" s="124"/>
      <c r="E4" s="124"/>
      <c r="F4" s="124"/>
      <c r="G4" s="124"/>
      <c r="H4" s="124"/>
      <c r="I4" s="124"/>
    </row>
    <row r="5" spans="2:9" ht="4.95" customHeight="1" x14ac:dyDescent="0.3"/>
    <row r="6" spans="2:9" ht="22.05" customHeight="1" x14ac:dyDescent="0.3">
      <c r="B6" s="144" t="s">
        <v>369</v>
      </c>
      <c r="C6" s="145"/>
      <c r="D6" s="144" t="s">
        <v>75</v>
      </c>
      <c r="E6" s="171"/>
      <c r="F6" s="171"/>
      <c r="G6" s="171"/>
      <c r="H6" s="171"/>
      <c r="I6" s="145"/>
    </row>
    <row r="7" spans="2:9" ht="19.95" customHeight="1" x14ac:dyDescent="0.3">
      <c r="B7" s="174" t="s">
        <v>3650</v>
      </c>
      <c r="C7" s="111"/>
      <c r="D7" s="201" t="s">
        <v>3651</v>
      </c>
      <c r="E7" s="107"/>
      <c r="F7" s="107"/>
      <c r="G7" s="107"/>
      <c r="H7" s="107"/>
      <c r="I7" s="108"/>
    </row>
    <row r="8" spans="2:9" ht="19.95" customHeight="1" x14ac:dyDescent="0.3">
      <c r="B8" s="173" t="s">
        <v>3652</v>
      </c>
      <c r="C8" s="133"/>
      <c r="D8" s="201" t="s">
        <v>3653</v>
      </c>
      <c r="E8" s="107"/>
      <c r="F8" s="107"/>
      <c r="G8" s="107"/>
      <c r="H8" s="107"/>
      <c r="I8" s="108"/>
    </row>
    <row r="9" spans="2:9" ht="19.95" customHeight="1" x14ac:dyDescent="0.3">
      <c r="B9" s="174" t="s">
        <v>3654</v>
      </c>
      <c r="C9" s="111"/>
      <c r="D9" s="201" t="s">
        <v>3655</v>
      </c>
      <c r="E9" s="107"/>
      <c r="F9" s="107"/>
      <c r="G9" s="107"/>
      <c r="H9" s="107"/>
      <c r="I9" s="108"/>
    </row>
    <row r="10" spans="2:9" ht="19.95" customHeight="1" x14ac:dyDescent="0.3">
      <c r="B10" s="173" t="s">
        <v>6</v>
      </c>
      <c r="C10" s="133"/>
      <c r="D10" s="201" t="s">
        <v>3656</v>
      </c>
      <c r="E10" s="107"/>
      <c r="F10" s="107"/>
      <c r="G10" s="107"/>
      <c r="H10" s="107"/>
      <c r="I10" s="108"/>
    </row>
    <row r="11" spans="2:9" ht="6" customHeight="1" x14ac:dyDescent="0.3"/>
    <row r="12" spans="2:9" ht="12" customHeight="1" x14ac:dyDescent="0.3"/>
    <row r="13" spans="2:9" ht="27" customHeight="1" x14ac:dyDescent="0.3">
      <c r="B13" s="128" t="s">
        <v>3531</v>
      </c>
      <c r="C13" s="124"/>
      <c r="D13" s="124"/>
      <c r="E13" s="124"/>
      <c r="F13" s="124"/>
      <c r="G13" s="124"/>
      <c r="H13" s="124"/>
      <c r="I13" s="124"/>
    </row>
    <row r="14" spans="2:9" ht="4.95" customHeight="1" x14ac:dyDescent="0.3"/>
    <row r="15" spans="2:9" ht="22.05" customHeight="1" x14ac:dyDescent="0.3">
      <c r="B15" s="144" t="s">
        <v>369</v>
      </c>
      <c r="C15" s="145"/>
      <c r="D15" s="144" t="s">
        <v>75</v>
      </c>
      <c r="E15" s="171"/>
      <c r="F15" s="171"/>
      <c r="G15" s="171"/>
      <c r="H15" s="171"/>
      <c r="I15" s="145"/>
    </row>
    <row r="16" spans="2:9" ht="19.95" customHeight="1" x14ac:dyDescent="0.3">
      <c r="B16" s="174" t="s">
        <v>3657</v>
      </c>
      <c r="C16" s="111"/>
      <c r="D16" s="201" t="s">
        <v>3658</v>
      </c>
      <c r="E16" s="107"/>
      <c r="F16" s="107"/>
      <c r="G16" s="107"/>
      <c r="H16" s="107"/>
      <c r="I16" s="108"/>
    </row>
    <row r="17" spans="2:9" ht="19.95" customHeight="1" x14ac:dyDescent="0.3">
      <c r="B17" s="173" t="s">
        <v>3659</v>
      </c>
      <c r="C17" s="133"/>
      <c r="D17" s="201" t="s">
        <v>3660</v>
      </c>
      <c r="E17" s="107"/>
      <c r="F17" s="107"/>
      <c r="G17" s="107"/>
      <c r="H17" s="107"/>
      <c r="I17" s="108"/>
    </row>
    <row r="18" spans="2:9" ht="19.95" customHeight="1" x14ac:dyDescent="0.3">
      <c r="B18" s="174" t="s">
        <v>3661</v>
      </c>
      <c r="C18" s="111"/>
      <c r="D18" s="201" t="str">
        <f>"例）"&amp;TEXT('17_分析サンプル'!$E$19,"yyyy/mm/dd hh:mm")&amp;" ～ "&amp;TEXT('17_分析サンプル'!$E$20,"hh:mm")&amp;"（日本時間）"</f>
        <v>例）2026/10/01 10:00 ～ 10:10（日本時間）</v>
      </c>
      <c r="E18" s="107"/>
      <c r="F18" s="107"/>
      <c r="G18" s="107"/>
      <c r="H18" s="107"/>
      <c r="I18" s="108"/>
    </row>
    <row r="19" spans="2:9" ht="19.95" customHeight="1" x14ac:dyDescent="0.3">
      <c r="B19" s="173" t="s">
        <v>3662</v>
      </c>
      <c r="C19" s="133"/>
      <c r="D19" s="201" t="s">
        <v>3663</v>
      </c>
      <c r="E19" s="107"/>
      <c r="F19" s="107"/>
      <c r="G19" s="107"/>
      <c r="H19" s="107"/>
      <c r="I19" s="108"/>
    </row>
    <row r="20" spans="2:9" ht="19.95" customHeight="1" x14ac:dyDescent="0.3">
      <c r="B20" s="174" t="s">
        <v>3664</v>
      </c>
      <c r="C20" s="111"/>
      <c r="D20" s="201" t="s">
        <v>3665</v>
      </c>
      <c r="E20" s="107"/>
      <c r="F20" s="107"/>
      <c r="G20" s="107"/>
      <c r="H20" s="107"/>
      <c r="I20" s="108"/>
    </row>
    <row r="21" spans="2:9" ht="6" customHeight="1" x14ac:dyDescent="0.3"/>
    <row r="22" spans="2:9" ht="12" customHeight="1" x14ac:dyDescent="0.3"/>
    <row r="23" spans="2:9" ht="27" customHeight="1" x14ac:dyDescent="0.3">
      <c r="B23" s="128" t="s">
        <v>3534</v>
      </c>
      <c r="C23" s="124"/>
      <c r="D23" s="124"/>
      <c r="E23" s="124"/>
      <c r="F23" s="124"/>
      <c r="G23" s="124"/>
      <c r="H23" s="124"/>
      <c r="I23" s="124"/>
    </row>
    <row r="24" spans="2:9" ht="4.95" customHeight="1" x14ac:dyDescent="0.3"/>
    <row r="25" spans="2:9" ht="22.05" customHeight="1" x14ac:dyDescent="0.3">
      <c r="B25" s="7" t="s">
        <v>3666</v>
      </c>
      <c r="C25" s="144" t="s">
        <v>369</v>
      </c>
      <c r="D25" s="145"/>
      <c r="E25" s="144" t="s">
        <v>75</v>
      </c>
      <c r="F25" s="171"/>
      <c r="G25" s="171"/>
      <c r="H25" s="171"/>
      <c r="I25" s="145"/>
    </row>
    <row r="26" spans="2:9" ht="19.95" customHeight="1" x14ac:dyDescent="0.3">
      <c r="B26" s="14" t="s">
        <v>3667</v>
      </c>
      <c r="C26" s="130" t="s">
        <v>3668</v>
      </c>
      <c r="D26" s="111"/>
      <c r="E26" s="201" t="s">
        <v>3669</v>
      </c>
      <c r="F26" s="107"/>
      <c r="G26" s="107"/>
      <c r="H26" s="107"/>
      <c r="I26" s="108"/>
    </row>
    <row r="27" spans="2:9" ht="19.95" customHeight="1" x14ac:dyDescent="0.3">
      <c r="B27" s="15" t="s">
        <v>3667</v>
      </c>
      <c r="C27" s="132" t="s">
        <v>3670</v>
      </c>
      <c r="D27" s="133"/>
      <c r="E27" s="201" t="s">
        <v>3671</v>
      </c>
      <c r="F27" s="107"/>
      <c r="G27" s="107"/>
      <c r="H27" s="107"/>
      <c r="I27" s="108"/>
    </row>
    <row r="28" spans="2:9" ht="19.95" customHeight="1" x14ac:dyDescent="0.3">
      <c r="B28" s="14" t="s">
        <v>3659</v>
      </c>
      <c r="C28" s="130" t="s">
        <v>3672</v>
      </c>
      <c r="D28" s="111"/>
      <c r="E28" s="201" t="s">
        <v>3673</v>
      </c>
      <c r="F28" s="107"/>
      <c r="G28" s="107"/>
      <c r="H28" s="107"/>
      <c r="I28" s="108"/>
    </row>
    <row r="29" spans="2:9" ht="19.95" customHeight="1" x14ac:dyDescent="0.3">
      <c r="B29" s="15" t="s">
        <v>3659</v>
      </c>
      <c r="C29" s="132" t="s">
        <v>3674</v>
      </c>
      <c r="D29" s="133"/>
      <c r="E29" s="201" t="s">
        <v>3675</v>
      </c>
      <c r="F29" s="107"/>
      <c r="G29" s="107"/>
      <c r="H29" s="107"/>
      <c r="I29" s="108"/>
    </row>
    <row r="30" spans="2:9" ht="19.95" customHeight="1" x14ac:dyDescent="0.3">
      <c r="B30" s="14" t="s">
        <v>3659</v>
      </c>
      <c r="C30" s="130" t="s">
        <v>3676</v>
      </c>
      <c r="D30" s="111"/>
      <c r="E30" s="201" t="s">
        <v>3677</v>
      </c>
      <c r="F30" s="107"/>
      <c r="G30" s="107"/>
      <c r="H30" s="107"/>
      <c r="I30" s="108"/>
    </row>
    <row r="31" spans="2:9" ht="6" customHeight="1" x14ac:dyDescent="0.3"/>
    <row r="32" spans="2:9" ht="15" customHeight="1" x14ac:dyDescent="0.3">
      <c r="B32" s="158" t="s">
        <v>3678</v>
      </c>
      <c r="C32" s="159"/>
      <c r="D32" s="159"/>
      <c r="E32" s="159"/>
      <c r="F32" s="159"/>
      <c r="G32" s="159"/>
      <c r="H32" s="159"/>
      <c r="I32" s="160"/>
    </row>
    <row r="33" spans="2:9" ht="15" customHeight="1" x14ac:dyDescent="0.3">
      <c r="B33" s="161"/>
      <c r="C33" s="113"/>
      <c r="D33" s="113"/>
      <c r="E33" s="113"/>
      <c r="F33" s="113"/>
      <c r="G33" s="113"/>
      <c r="H33" s="113"/>
      <c r="I33" s="162"/>
    </row>
    <row r="34" spans="2:9" ht="15" customHeight="1" x14ac:dyDescent="0.3">
      <c r="B34" s="161"/>
      <c r="C34" s="113"/>
      <c r="D34" s="113"/>
      <c r="E34" s="113"/>
      <c r="F34" s="113"/>
      <c r="G34" s="113"/>
      <c r="H34" s="113"/>
      <c r="I34" s="162"/>
    </row>
    <row r="35" spans="2:9" ht="15" customHeight="1" x14ac:dyDescent="0.3">
      <c r="B35" s="161"/>
      <c r="C35" s="113"/>
      <c r="D35" s="113"/>
      <c r="E35" s="113"/>
      <c r="F35" s="113"/>
      <c r="G35" s="113"/>
      <c r="H35" s="113"/>
      <c r="I35" s="162"/>
    </row>
    <row r="36" spans="2:9" ht="15" customHeight="1" x14ac:dyDescent="0.3">
      <c r="B36" s="161"/>
      <c r="C36" s="113"/>
      <c r="D36" s="113"/>
      <c r="E36" s="113"/>
      <c r="F36" s="113"/>
      <c r="G36" s="113"/>
      <c r="H36" s="113"/>
      <c r="I36" s="162"/>
    </row>
    <row r="37" spans="2:9" ht="15" customHeight="1" x14ac:dyDescent="0.3">
      <c r="B37" s="161"/>
      <c r="C37" s="113"/>
      <c r="D37" s="113"/>
      <c r="E37" s="113"/>
      <c r="F37" s="113"/>
      <c r="G37" s="113"/>
      <c r="H37" s="113"/>
      <c r="I37" s="162"/>
    </row>
    <row r="38" spans="2:9" ht="15" customHeight="1" x14ac:dyDescent="0.3">
      <c r="B38" s="161"/>
      <c r="C38" s="113"/>
      <c r="D38" s="113"/>
      <c r="E38" s="113"/>
      <c r="F38" s="113"/>
      <c r="G38" s="113"/>
      <c r="H38" s="113"/>
      <c r="I38" s="162"/>
    </row>
    <row r="39" spans="2:9" ht="15" customHeight="1" x14ac:dyDescent="0.3">
      <c r="B39" s="161"/>
      <c r="C39" s="113"/>
      <c r="D39" s="113"/>
      <c r="E39" s="113"/>
      <c r="F39" s="113"/>
      <c r="G39" s="113"/>
      <c r="H39" s="113"/>
      <c r="I39" s="162"/>
    </row>
    <row r="40" spans="2:9" ht="15" customHeight="1" x14ac:dyDescent="0.3">
      <c r="B40" s="161"/>
      <c r="C40" s="113"/>
      <c r="D40" s="113"/>
      <c r="E40" s="113"/>
      <c r="F40" s="113"/>
      <c r="G40" s="113"/>
      <c r="H40" s="113"/>
      <c r="I40" s="162"/>
    </row>
    <row r="41" spans="2:9" ht="15" customHeight="1" x14ac:dyDescent="0.3">
      <c r="B41" s="161"/>
      <c r="C41" s="113"/>
      <c r="D41" s="113"/>
      <c r="E41" s="113"/>
      <c r="F41" s="113"/>
      <c r="G41" s="113"/>
      <c r="H41" s="113"/>
      <c r="I41" s="162"/>
    </row>
    <row r="42" spans="2:9" ht="15" customHeight="1" x14ac:dyDescent="0.3">
      <c r="B42" s="161"/>
      <c r="C42" s="113"/>
      <c r="D42" s="113"/>
      <c r="E42" s="113"/>
      <c r="F42" s="113"/>
      <c r="G42" s="113"/>
      <c r="H42" s="113"/>
      <c r="I42" s="162"/>
    </row>
    <row r="43" spans="2:9" ht="15" customHeight="1" x14ac:dyDescent="0.3">
      <c r="B43" s="161"/>
      <c r="C43" s="113"/>
      <c r="D43" s="113"/>
      <c r="E43" s="113"/>
      <c r="F43" s="113"/>
      <c r="G43" s="113"/>
      <c r="H43" s="113"/>
      <c r="I43" s="162"/>
    </row>
    <row r="44" spans="2:9" ht="15" customHeight="1" x14ac:dyDescent="0.3">
      <c r="B44" s="161"/>
      <c r="C44" s="113"/>
      <c r="D44" s="113"/>
      <c r="E44" s="113"/>
      <c r="F44" s="113"/>
      <c r="G44" s="113"/>
      <c r="H44" s="113"/>
      <c r="I44" s="162"/>
    </row>
    <row r="45" spans="2:9" ht="15" customHeight="1" x14ac:dyDescent="0.3">
      <c r="B45" s="161"/>
      <c r="C45" s="113"/>
      <c r="D45" s="113"/>
      <c r="E45" s="113"/>
      <c r="F45" s="113"/>
      <c r="G45" s="113"/>
      <c r="H45" s="113"/>
      <c r="I45" s="162"/>
    </row>
    <row r="46" spans="2:9" ht="15" customHeight="1" x14ac:dyDescent="0.3">
      <c r="B46" s="161"/>
      <c r="C46" s="113"/>
      <c r="D46" s="113"/>
      <c r="E46" s="113"/>
      <c r="F46" s="113"/>
      <c r="G46" s="113"/>
      <c r="H46" s="113"/>
      <c r="I46" s="162"/>
    </row>
    <row r="47" spans="2:9" ht="15" customHeight="1" x14ac:dyDescent="0.3">
      <c r="B47" s="161"/>
      <c r="C47" s="113"/>
      <c r="D47" s="113"/>
      <c r="E47" s="113"/>
      <c r="F47" s="113"/>
      <c r="G47" s="113"/>
      <c r="H47" s="113"/>
      <c r="I47" s="162"/>
    </row>
    <row r="48" spans="2:9" ht="15" customHeight="1" x14ac:dyDescent="0.3">
      <c r="B48" s="161"/>
      <c r="C48" s="113"/>
      <c r="D48" s="113"/>
      <c r="E48" s="113"/>
      <c r="F48" s="113"/>
      <c r="G48" s="113"/>
      <c r="H48" s="113"/>
      <c r="I48" s="162"/>
    </row>
    <row r="49" spans="2:9" ht="15" customHeight="1" x14ac:dyDescent="0.3">
      <c r="B49" s="163"/>
      <c r="C49" s="164"/>
      <c r="D49" s="164"/>
      <c r="E49" s="164"/>
      <c r="F49" s="164"/>
      <c r="G49" s="164"/>
      <c r="H49" s="164"/>
      <c r="I49" s="165"/>
    </row>
    <row r="50" spans="2:9" ht="19.95" customHeight="1" x14ac:dyDescent="0.3">
      <c r="B50" s="151" t="s">
        <v>3679</v>
      </c>
      <c r="C50" s="113"/>
      <c r="D50" s="113"/>
      <c r="E50" s="113"/>
      <c r="F50" s="113"/>
      <c r="G50" s="113"/>
      <c r="H50" s="113"/>
      <c r="I50" s="113"/>
    </row>
    <row r="51" spans="2:9" ht="6" customHeight="1" x14ac:dyDescent="0.3"/>
    <row r="52" spans="2:9" ht="12" customHeight="1" x14ac:dyDescent="0.3"/>
    <row r="53" spans="2:9" ht="27" customHeight="1" x14ac:dyDescent="0.3">
      <c r="B53" s="128" t="s">
        <v>3537</v>
      </c>
      <c r="C53" s="124"/>
      <c r="D53" s="124"/>
      <c r="E53" s="124"/>
      <c r="F53" s="124"/>
      <c r="G53" s="124"/>
      <c r="H53" s="124"/>
      <c r="I53" s="124"/>
    </row>
    <row r="54" spans="2:9" ht="4.95" customHeight="1" x14ac:dyDescent="0.3"/>
    <row r="55" spans="2:9" ht="22.05" customHeight="1" x14ac:dyDescent="0.3">
      <c r="B55" s="144" t="s">
        <v>369</v>
      </c>
      <c r="C55" s="145"/>
      <c r="D55" s="144" t="s">
        <v>3600</v>
      </c>
      <c r="E55" s="171"/>
      <c r="F55" s="145"/>
      <c r="G55" s="144" t="s">
        <v>230</v>
      </c>
      <c r="H55" s="171"/>
      <c r="I55" s="145"/>
    </row>
    <row r="56" spans="2:9" ht="19.95" customHeight="1" x14ac:dyDescent="0.3">
      <c r="B56" s="174" t="s">
        <v>2693</v>
      </c>
      <c r="C56" s="111"/>
      <c r="D56" s="201" t="s">
        <v>3680</v>
      </c>
      <c r="E56" s="107"/>
      <c r="F56" s="108"/>
      <c r="G56" s="201" t="s">
        <v>3681</v>
      </c>
      <c r="H56" s="107"/>
      <c r="I56" s="108"/>
    </row>
    <row r="57" spans="2:9" ht="19.95" customHeight="1" x14ac:dyDescent="0.3">
      <c r="B57" s="173" t="s">
        <v>3682</v>
      </c>
      <c r="C57" s="133"/>
      <c r="D57" s="202">
        <f>'17_分析サンプル'!$E$25</f>
        <v>10</v>
      </c>
      <c r="E57" s="107"/>
      <c r="F57" s="108"/>
      <c r="G57" s="201" t="s">
        <v>3683</v>
      </c>
      <c r="H57" s="107"/>
      <c r="I57" s="108"/>
    </row>
    <row r="58" spans="2:9" ht="19.95" customHeight="1" x14ac:dyDescent="0.3">
      <c r="B58" s="174" t="s">
        <v>3684</v>
      </c>
      <c r="C58" s="111"/>
      <c r="D58" s="201" t="s">
        <v>3685</v>
      </c>
      <c r="E58" s="107"/>
      <c r="F58" s="108"/>
      <c r="G58" s="201" t="s">
        <v>3686</v>
      </c>
      <c r="H58" s="107"/>
      <c r="I58" s="108"/>
    </row>
    <row r="59" spans="2:9" ht="19.95" customHeight="1" x14ac:dyDescent="0.3">
      <c r="B59" s="173" t="s">
        <v>2325</v>
      </c>
      <c r="C59" s="133"/>
      <c r="D59" s="201" t="s">
        <v>3687</v>
      </c>
      <c r="E59" s="107"/>
      <c r="F59" s="108"/>
      <c r="G59" s="201"/>
      <c r="H59" s="107"/>
      <c r="I59" s="108"/>
    </row>
    <row r="60" spans="2:9" ht="31.95" customHeight="1" x14ac:dyDescent="0.3">
      <c r="B60" s="174" t="s">
        <v>3644</v>
      </c>
      <c r="C60" s="111"/>
      <c r="D60" s="201" t="str">
        <f>"試験開始から "&amp;'17_分析サンプル'!$E$11&amp;"～"&amp;'17_分析サンプル'!$E$12&amp;" 秒（"&amp;'17_分析サンプル'!$E$26&amp;"）"</f>
        <v>試験開始から 60～540 秒（10:01:00 ～ 10:09:00）</v>
      </c>
      <c r="E60" s="107"/>
      <c r="F60" s="108"/>
      <c r="G60" s="201" t="s">
        <v>3688</v>
      </c>
      <c r="H60" s="107"/>
      <c r="I60" s="108"/>
    </row>
    <row r="61" spans="2:9" ht="6" customHeight="1" x14ac:dyDescent="0.3"/>
    <row r="62" spans="2:9" ht="12" customHeight="1" x14ac:dyDescent="0.3"/>
    <row r="63" spans="2:9" ht="27" customHeight="1" x14ac:dyDescent="0.3">
      <c r="B63" s="128" t="s">
        <v>3689</v>
      </c>
      <c r="C63" s="124"/>
      <c r="D63" s="124"/>
      <c r="E63" s="124"/>
      <c r="F63" s="124"/>
      <c r="G63" s="124"/>
      <c r="H63" s="124"/>
      <c r="I63" s="124"/>
    </row>
    <row r="64" spans="2:9" ht="4.95" customHeight="1" x14ac:dyDescent="0.3"/>
    <row r="65" spans="2:9" ht="22.05" customHeight="1" x14ac:dyDescent="0.3">
      <c r="B65" s="144" t="s">
        <v>369</v>
      </c>
      <c r="C65" s="145"/>
      <c r="D65" s="144" t="s">
        <v>3690</v>
      </c>
      <c r="E65" s="171"/>
      <c r="F65" s="145"/>
      <c r="G65" s="144" t="s">
        <v>230</v>
      </c>
      <c r="H65" s="171"/>
      <c r="I65" s="145"/>
    </row>
    <row r="66" spans="2:9" ht="19.95" customHeight="1" x14ac:dyDescent="0.3">
      <c r="B66" s="174" t="s">
        <v>3691</v>
      </c>
      <c r="C66" s="111"/>
      <c r="D66" s="200">
        <f>'17_分析サンプル'!$E$7</f>
        <v>1000</v>
      </c>
      <c r="E66" s="110"/>
      <c r="F66" s="111"/>
      <c r="G66" s="130" t="s">
        <v>3692</v>
      </c>
      <c r="H66" s="110"/>
      <c r="I66" s="111"/>
    </row>
    <row r="67" spans="2:9" ht="19.95" customHeight="1" x14ac:dyDescent="0.3">
      <c r="B67" s="173" t="s">
        <v>2146</v>
      </c>
      <c r="C67" s="133"/>
      <c r="D67" s="204">
        <f>'17_分析サンプル'!$E$8</f>
        <v>0.01</v>
      </c>
      <c r="E67" s="169"/>
      <c r="F67" s="133"/>
      <c r="G67" s="132" t="s">
        <v>3693</v>
      </c>
      <c r="H67" s="169"/>
      <c r="I67" s="133"/>
    </row>
    <row r="68" spans="2:9" ht="19.95" customHeight="1" x14ac:dyDescent="0.3">
      <c r="B68" s="174" t="s">
        <v>2150</v>
      </c>
      <c r="C68" s="111"/>
      <c r="D68" s="203">
        <f>'17_分析サンプル'!$E$9</f>
        <v>4</v>
      </c>
      <c r="E68" s="110"/>
      <c r="F68" s="111"/>
      <c r="G68" s="130" t="s">
        <v>3694</v>
      </c>
      <c r="H68" s="110"/>
      <c r="I68" s="111"/>
    </row>
    <row r="69" spans="2:9" ht="6" customHeight="1" x14ac:dyDescent="0.3"/>
    <row r="70" spans="2:9" ht="12" customHeight="1" x14ac:dyDescent="0.3"/>
    <row r="71" spans="2:9" ht="27" customHeight="1" x14ac:dyDescent="0.3">
      <c r="B71" s="128" t="s">
        <v>3695</v>
      </c>
      <c r="C71" s="124"/>
      <c r="D71" s="124"/>
      <c r="E71" s="124"/>
      <c r="F71" s="124"/>
      <c r="G71" s="124"/>
      <c r="H71" s="124"/>
      <c r="I71" s="124"/>
    </row>
    <row r="72" spans="2:9" ht="4.95" customHeight="1" x14ac:dyDescent="0.3"/>
    <row r="73" spans="2:9" ht="33.75" customHeight="1" x14ac:dyDescent="0.3">
      <c r="B73" s="7" t="s">
        <v>3696</v>
      </c>
      <c r="C73" s="7" t="s">
        <v>2122</v>
      </c>
      <c r="D73" s="7" t="s">
        <v>3623</v>
      </c>
      <c r="E73" s="7" t="s">
        <v>3628</v>
      </c>
      <c r="F73" s="7" t="s">
        <v>3629</v>
      </c>
      <c r="G73" s="7" t="s">
        <v>2146</v>
      </c>
      <c r="H73" s="7" t="s">
        <v>3630</v>
      </c>
      <c r="I73" s="7" t="s">
        <v>3422</v>
      </c>
    </row>
    <row r="74" spans="2:9" ht="19.95" customHeight="1" x14ac:dyDescent="0.3">
      <c r="B74" s="14" t="str">
        <f>'17_分析サンプル'!B44</f>
        <v>A01_GET_items</v>
      </c>
      <c r="C74" s="78">
        <f>'17_分析サンプル'!C44</f>
        <v>1032</v>
      </c>
      <c r="D74" s="79">
        <f>'17_分析サンプル'!D44</f>
        <v>139.21220930232559</v>
      </c>
      <c r="E74" s="79">
        <f>'17_分析サンプル'!I44</f>
        <v>268.44999999999993</v>
      </c>
      <c r="F74" s="79">
        <f>'17_分析サンプル'!J44</f>
        <v>379.68999999999994</v>
      </c>
      <c r="G74" s="80">
        <f>'17_分析サンプル'!L44</f>
        <v>4.8449612403100775E-3</v>
      </c>
      <c r="H74" s="81">
        <f>'17_分析サンプル'!M44</f>
        <v>2.15</v>
      </c>
      <c r="I74" s="82" t="str">
        <f>'17_分析サンプル'!N44</f>
        <v>OK</v>
      </c>
    </row>
    <row r="75" spans="2:9" ht="19.95" customHeight="1" x14ac:dyDescent="0.3">
      <c r="B75" s="15" t="str">
        <f>'17_分析サンプル'!B45</f>
        <v>A02_POST_orders</v>
      </c>
      <c r="C75" s="83">
        <f>'17_分析サンプル'!C45</f>
        <v>1033</v>
      </c>
      <c r="D75" s="84">
        <f>'17_分析サンプル'!D45</f>
        <v>496.35043562439495</v>
      </c>
      <c r="E75" s="84">
        <f>'17_分析サンプル'!I45</f>
        <v>1767.7999999999997</v>
      </c>
      <c r="F75" s="84">
        <f>'17_分析サンプル'!J45</f>
        <v>2817.1199999999935</v>
      </c>
      <c r="G75" s="85">
        <f>'17_分析サンプル'!L45</f>
        <v>7.7444336882865443E-3</v>
      </c>
      <c r="H75" s="86">
        <f>'17_分析サンプル'!M45</f>
        <v>2.1520833333333331</v>
      </c>
      <c r="I75" s="87" t="str">
        <f>'17_分析サンプル'!N45</f>
        <v>NG</v>
      </c>
    </row>
    <row r="76" spans="2:9" ht="19.95" customHeight="1" x14ac:dyDescent="0.3">
      <c r="B76" s="14" t="str">
        <f>'17_分析サンプル'!B46</f>
        <v>業務API合計（T01 除く）</v>
      </c>
      <c r="C76" s="78">
        <f>'17_分析サンプル'!C46</f>
        <v>2065</v>
      </c>
      <c r="D76" s="79">
        <f>'17_分析サンプル'!D46</f>
        <v>317.86779661016948</v>
      </c>
      <c r="E76" s="79">
        <f>'17_分析サンプル'!I46</f>
        <v>1214</v>
      </c>
      <c r="F76" s="79">
        <f>'17_分析サンプル'!J46</f>
        <v>2313.2399999999989</v>
      </c>
      <c r="G76" s="80">
        <f>'17_分析サンプル'!L46</f>
        <v>6.2953995157384989E-3</v>
      </c>
      <c r="H76" s="81">
        <f>'17_分析サンプル'!M46</f>
        <v>4.302083333333333</v>
      </c>
      <c r="I76" s="82" t="str">
        <f>'17_分析サンプル'!N46</f>
        <v>NG</v>
      </c>
    </row>
    <row r="77" spans="2:9" ht="6" customHeight="1" x14ac:dyDescent="0.3"/>
    <row r="78" spans="2:9" ht="31.35" customHeight="1" x14ac:dyDescent="0.3">
      <c r="B78" s="166" t="s">
        <v>3697</v>
      </c>
      <c r="C78" s="113"/>
      <c r="D78" s="113"/>
      <c r="E78" s="113"/>
      <c r="F78" s="113"/>
      <c r="G78" s="113"/>
      <c r="H78" s="113"/>
      <c r="I78" s="113"/>
    </row>
    <row r="79" spans="2:9" ht="12" customHeight="1" x14ac:dyDescent="0.3"/>
    <row r="80" spans="2:9" ht="27" customHeight="1" x14ac:dyDescent="0.3">
      <c r="B80" s="128" t="s">
        <v>3698</v>
      </c>
      <c r="C80" s="124"/>
      <c r="D80" s="124"/>
      <c r="E80" s="124"/>
      <c r="F80" s="124"/>
      <c r="G80" s="124"/>
      <c r="H80" s="124"/>
      <c r="I80" s="124"/>
    </row>
    <row r="81" spans="2:9" ht="4.95" customHeight="1" x14ac:dyDescent="0.3"/>
    <row r="82" spans="2:9" ht="15" customHeight="1" x14ac:dyDescent="0.3">
      <c r="B82" s="158" t="s">
        <v>3699</v>
      </c>
      <c r="C82" s="159"/>
      <c r="D82" s="159"/>
      <c r="E82" s="159"/>
      <c r="F82" s="159"/>
      <c r="G82" s="159"/>
      <c r="H82" s="159"/>
      <c r="I82" s="160"/>
    </row>
    <row r="83" spans="2:9" ht="15" customHeight="1" x14ac:dyDescent="0.3">
      <c r="B83" s="161"/>
      <c r="C83" s="113"/>
      <c r="D83" s="113"/>
      <c r="E83" s="113"/>
      <c r="F83" s="113"/>
      <c r="G83" s="113"/>
      <c r="H83" s="113"/>
      <c r="I83" s="162"/>
    </row>
    <row r="84" spans="2:9" ht="15" customHeight="1" x14ac:dyDescent="0.3">
      <c r="B84" s="161"/>
      <c r="C84" s="113"/>
      <c r="D84" s="113"/>
      <c r="E84" s="113"/>
      <c r="F84" s="113"/>
      <c r="G84" s="113"/>
      <c r="H84" s="113"/>
      <c r="I84" s="162"/>
    </row>
    <row r="85" spans="2:9" ht="15" customHeight="1" x14ac:dyDescent="0.3">
      <c r="B85" s="161"/>
      <c r="C85" s="113"/>
      <c r="D85" s="113"/>
      <c r="E85" s="113"/>
      <c r="F85" s="113"/>
      <c r="G85" s="113"/>
      <c r="H85" s="113"/>
      <c r="I85" s="162"/>
    </row>
    <row r="86" spans="2:9" ht="15" customHeight="1" x14ac:dyDescent="0.3">
      <c r="B86" s="161"/>
      <c r="C86" s="113"/>
      <c r="D86" s="113"/>
      <c r="E86" s="113"/>
      <c r="F86" s="113"/>
      <c r="G86" s="113"/>
      <c r="H86" s="113"/>
      <c r="I86" s="162"/>
    </row>
    <row r="87" spans="2:9" ht="15" customHeight="1" x14ac:dyDescent="0.3">
      <c r="B87" s="161"/>
      <c r="C87" s="113"/>
      <c r="D87" s="113"/>
      <c r="E87" s="113"/>
      <c r="F87" s="113"/>
      <c r="G87" s="113"/>
      <c r="H87" s="113"/>
      <c r="I87" s="162"/>
    </row>
    <row r="88" spans="2:9" ht="15" customHeight="1" x14ac:dyDescent="0.3">
      <c r="B88" s="161"/>
      <c r="C88" s="113"/>
      <c r="D88" s="113"/>
      <c r="E88" s="113"/>
      <c r="F88" s="113"/>
      <c r="G88" s="113"/>
      <c r="H88" s="113"/>
      <c r="I88" s="162"/>
    </row>
    <row r="89" spans="2:9" ht="15" customHeight="1" x14ac:dyDescent="0.3">
      <c r="B89" s="161"/>
      <c r="C89" s="113"/>
      <c r="D89" s="113"/>
      <c r="E89" s="113"/>
      <c r="F89" s="113"/>
      <c r="G89" s="113"/>
      <c r="H89" s="113"/>
      <c r="I89" s="162"/>
    </row>
    <row r="90" spans="2:9" ht="15" customHeight="1" x14ac:dyDescent="0.3">
      <c r="B90" s="161"/>
      <c r="C90" s="113"/>
      <c r="D90" s="113"/>
      <c r="E90" s="113"/>
      <c r="F90" s="113"/>
      <c r="G90" s="113"/>
      <c r="H90" s="113"/>
      <c r="I90" s="162"/>
    </row>
    <row r="91" spans="2:9" ht="15" customHeight="1" x14ac:dyDescent="0.3">
      <c r="B91" s="161"/>
      <c r="C91" s="113"/>
      <c r="D91" s="113"/>
      <c r="E91" s="113"/>
      <c r="F91" s="113"/>
      <c r="G91" s="113"/>
      <c r="H91" s="113"/>
      <c r="I91" s="162"/>
    </row>
    <row r="92" spans="2:9" ht="15" customHeight="1" x14ac:dyDescent="0.3">
      <c r="B92" s="161"/>
      <c r="C92" s="113"/>
      <c r="D92" s="113"/>
      <c r="E92" s="113"/>
      <c r="F92" s="113"/>
      <c r="G92" s="113"/>
      <c r="H92" s="113"/>
      <c r="I92" s="162"/>
    </row>
    <row r="93" spans="2:9" ht="15" customHeight="1" x14ac:dyDescent="0.3">
      <c r="B93" s="161"/>
      <c r="C93" s="113"/>
      <c r="D93" s="113"/>
      <c r="E93" s="113"/>
      <c r="F93" s="113"/>
      <c r="G93" s="113"/>
      <c r="H93" s="113"/>
      <c r="I93" s="162"/>
    </row>
    <row r="94" spans="2:9" ht="15" customHeight="1" x14ac:dyDescent="0.3">
      <c r="B94" s="161"/>
      <c r="C94" s="113"/>
      <c r="D94" s="113"/>
      <c r="E94" s="113"/>
      <c r="F94" s="113"/>
      <c r="G94" s="113"/>
      <c r="H94" s="113"/>
      <c r="I94" s="162"/>
    </row>
    <row r="95" spans="2:9" ht="15" customHeight="1" x14ac:dyDescent="0.3">
      <c r="B95" s="161"/>
      <c r="C95" s="113"/>
      <c r="D95" s="113"/>
      <c r="E95" s="113"/>
      <c r="F95" s="113"/>
      <c r="G95" s="113"/>
      <c r="H95" s="113"/>
      <c r="I95" s="162"/>
    </row>
    <row r="96" spans="2:9" ht="15" customHeight="1" x14ac:dyDescent="0.3">
      <c r="B96" s="161"/>
      <c r="C96" s="113"/>
      <c r="D96" s="113"/>
      <c r="E96" s="113"/>
      <c r="F96" s="113"/>
      <c r="G96" s="113"/>
      <c r="H96" s="113"/>
      <c r="I96" s="162"/>
    </row>
    <row r="97" spans="2:9" ht="15" customHeight="1" x14ac:dyDescent="0.3">
      <c r="B97" s="163"/>
      <c r="C97" s="164"/>
      <c r="D97" s="164"/>
      <c r="E97" s="164"/>
      <c r="F97" s="164"/>
      <c r="G97" s="164"/>
      <c r="H97" s="164"/>
      <c r="I97" s="165"/>
    </row>
    <row r="98" spans="2:9" ht="19.95" customHeight="1" x14ac:dyDescent="0.3">
      <c r="B98" s="151" t="s">
        <v>3700</v>
      </c>
      <c r="C98" s="113"/>
      <c r="D98" s="113"/>
      <c r="E98" s="113"/>
      <c r="F98" s="113"/>
      <c r="G98" s="113"/>
      <c r="H98" s="113"/>
      <c r="I98" s="113"/>
    </row>
    <row r="99" spans="2:9" ht="6" customHeight="1" x14ac:dyDescent="0.3"/>
    <row r="100" spans="2:9" ht="15" customHeight="1" x14ac:dyDescent="0.3">
      <c r="B100" s="158" t="s">
        <v>3701</v>
      </c>
      <c r="C100" s="159"/>
      <c r="D100" s="159"/>
      <c r="E100" s="159"/>
      <c r="F100" s="159"/>
      <c r="G100" s="159"/>
      <c r="H100" s="159"/>
      <c r="I100" s="160"/>
    </row>
    <row r="101" spans="2:9" ht="15" customHeight="1" x14ac:dyDescent="0.3">
      <c r="B101" s="161"/>
      <c r="C101" s="113"/>
      <c r="D101" s="113"/>
      <c r="E101" s="113"/>
      <c r="F101" s="113"/>
      <c r="G101" s="113"/>
      <c r="H101" s="113"/>
      <c r="I101" s="162"/>
    </row>
    <row r="102" spans="2:9" ht="15" customHeight="1" x14ac:dyDescent="0.3">
      <c r="B102" s="161"/>
      <c r="C102" s="113"/>
      <c r="D102" s="113"/>
      <c r="E102" s="113"/>
      <c r="F102" s="113"/>
      <c r="G102" s="113"/>
      <c r="H102" s="113"/>
      <c r="I102" s="162"/>
    </row>
    <row r="103" spans="2:9" ht="15" customHeight="1" x14ac:dyDescent="0.3">
      <c r="B103" s="161"/>
      <c r="C103" s="113"/>
      <c r="D103" s="113"/>
      <c r="E103" s="113"/>
      <c r="F103" s="113"/>
      <c r="G103" s="113"/>
      <c r="H103" s="113"/>
      <c r="I103" s="162"/>
    </row>
    <row r="104" spans="2:9" ht="15" customHeight="1" x14ac:dyDescent="0.3">
      <c r="B104" s="161"/>
      <c r="C104" s="113"/>
      <c r="D104" s="113"/>
      <c r="E104" s="113"/>
      <c r="F104" s="113"/>
      <c r="G104" s="113"/>
      <c r="H104" s="113"/>
      <c r="I104" s="162"/>
    </row>
    <row r="105" spans="2:9" ht="15" customHeight="1" x14ac:dyDescent="0.3">
      <c r="B105" s="161"/>
      <c r="C105" s="113"/>
      <c r="D105" s="113"/>
      <c r="E105" s="113"/>
      <c r="F105" s="113"/>
      <c r="G105" s="113"/>
      <c r="H105" s="113"/>
      <c r="I105" s="162"/>
    </row>
    <row r="106" spans="2:9" ht="15" customHeight="1" x14ac:dyDescent="0.3">
      <c r="B106" s="161"/>
      <c r="C106" s="113"/>
      <c r="D106" s="113"/>
      <c r="E106" s="113"/>
      <c r="F106" s="113"/>
      <c r="G106" s="113"/>
      <c r="H106" s="113"/>
      <c r="I106" s="162"/>
    </row>
    <row r="107" spans="2:9" ht="15" customHeight="1" x14ac:dyDescent="0.3">
      <c r="B107" s="161"/>
      <c r="C107" s="113"/>
      <c r="D107" s="113"/>
      <c r="E107" s="113"/>
      <c r="F107" s="113"/>
      <c r="G107" s="113"/>
      <c r="H107" s="113"/>
      <c r="I107" s="162"/>
    </row>
    <row r="108" spans="2:9" ht="15" customHeight="1" x14ac:dyDescent="0.3">
      <c r="B108" s="161"/>
      <c r="C108" s="113"/>
      <c r="D108" s="113"/>
      <c r="E108" s="113"/>
      <c r="F108" s="113"/>
      <c r="G108" s="113"/>
      <c r="H108" s="113"/>
      <c r="I108" s="162"/>
    </row>
    <row r="109" spans="2:9" ht="15" customHeight="1" x14ac:dyDescent="0.3">
      <c r="B109" s="161"/>
      <c r="C109" s="113"/>
      <c r="D109" s="113"/>
      <c r="E109" s="113"/>
      <c r="F109" s="113"/>
      <c r="G109" s="113"/>
      <c r="H109" s="113"/>
      <c r="I109" s="162"/>
    </row>
    <row r="110" spans="2:9" ht="15" customHeight="1" x14ac:dyDescent="0.3">
      <c r="B110" s="161"/>
      <c r="C110" s="113"/>
      <c r="D110" s="113"/>
      <c r="E110" s="113"/>
      <c r="F110" s="113"/>
      <c r="G110" s="113"/>
      <c r="H110" s="113"/>
      <c r="I110" s="162"/>
    </row>
    <row r="111" spans="2:9" ht="15" customHeight="1" x14ac:dyDescent="0.3">
      <c r="B111" s="161"/>
      <c r="C111" s="113"/>
      <c r="D111" s="113"/>
      <c r="E111" s="113"/>
      <c r="F111" s="113"/>
      <c r="G111" s="113"/>
      <c r="H111" s="113"/>
      <c r="I111" s="162"/>
    </row>
    <row r="112" spans="2:9" ht="15" customHeight="1" x14ac:dyDescent="0.3">
      <c r="B112" s="161"/>
      <c r="C112" s="113"/>
      <c r="D112" s="113"/>
      <c r="E112" s="113"/>
      <c r="F112" s="113"/>
      <c r="G112" s="113"/>
      <c r="H112" s="113"/>
      <c r="I112" s="162"/>
    </row>
    <row r="113" spans="2:9" ht="15" customHeight="1" x14ac:dyDescent="0.3">
      <c r="B113" s="161"/>
      <c r="C113" s="113"/>
      <c r="D113" s="113"/>
      <c r="E113" s="113"/>
      <c r="F113" s="113"/>
      <c r="G113" s="113"/>
      <c r="H113" s="113"/>
      <c r="I113" s="162"/>
    </row>
    <row r="114" spans="2:9" ht="15" customHeight="1" x14ac:dyDescent="0.3">
      <c r="B114" s="161"/>
      <c r="C114" s="113"/>
      <c r="D114" s="113"/>
      <c r="E114" s="113"/>
      <c r="F114" s="113"/>
      <c r="G114" s="113"/>
      <c r="H114" s="113"/>
      <c r="I114" s="162"/>
    </row>
    <row r="115" spans="2:9" ht="15" customHeight="1" x14ac:dyDescent="0.3">
      <c r="B115" s="163"/>
      <c r="C115" s="164"/>
      <c r="D115" s="164"/>
      <c r="E115" s="164"/>
      <c r="F115" s="164"/>
      <c r="G115" s="164"/>
      <c r="H115" s="164"/>
      <c r="I115" s="165"/>
    </row>
    <row r="116" spans="2:9" ht="19.95" customHeight="1" x14ac:dyDescent="0.3">
      <c r="B116" s="151" t="s">
        <v>3702</v>
      </c>
      <c r="C116" s="113"/>
      <c r="D116" s="113"/>
      <c r="E116" s="113"/>
      <c r="F116" s="113"/>
      <c r="G116" s="113"/>
      <c r="H116" s="113"/>
      <c r="I116" s="113"/>
    </row>
    <row r="117" spans="2:9" ht="6" customHeight="1" x14ac:dyDescent="0.3"/>
    <row r="118" spans="2:9" ht="15" customHeight="1" x14ac:dyDescent="0.3">
      <c r="B118" s="158" t="s">
        <v>3703</v>
      </c>
      <c r="C118" s="159"/>
      <c r="D118" s="159"/>
      <c r="E118" s="159"/>
      <c r="F118" s="159"/>
      <c r="G118" s="159"/>
      <c r="H118" s="159"/>
      <c r="I118" s="160"/>
    </row>
    <row r="119" spans="2:9" ht="15" customHeight="1" x14ac:dyDescent="0.3">
      <c r="B119" s="161"/>
      <c r="C119" s="113"/>
      <c r="D119" s="113"/>
      <c r="E119" s="113"/>
      <c r="F119" s="113"/>
      <c r="G119" s="113"/>
      <c r="H119" s="113"/>
      <c r="I119" s="162"/>
    </row>
    <row r="120" spans="2:9" ht="15" customHeight="1" x14ac:dyDescent="0.3">
      <c r="B120" s="161"/>
      <c r="C120" s="113"/>
      <c r="D120" s="113"/>
      <c r="E120" s="113"/>
      <c r="F120" s="113"/>
      <c r="G120" s="113"/>
      <c r="H120" s="113"/>
      <c r="I120" s="162"/>
    </row>
    <row r="121" spans="2:9" ht="15" customHeight="1" x14ac:dyDescent="0.3">
      <c r="B121" s="161"/>
      <c r="C121" s="113"/>
      <c r="D121" s="113"/>
      <c r="E121" s="113"/>
      <c r="F121" s="113"/>
      <c r="G121" s="113"/>
      <c r="H121" s="113"/>
      <c r="I121" s="162"/>
    </row>
    <row r="122" spans="2:9" ht="15" customHeight="1" x14ac:dyDescent="0.3">
      <c r="B122" s="161"/>
      <c r="C122" s="113"/>
      <c r="D122" s="113"/>
      <c r="E122" s="113"/>
      <c r="F122" s="113"/>
      <c r="G122" s="113"/>
      <c r="H122" s="113"/>
      <c r="I122" s="162"/>
    </row>
    <row r="123" spans="2:9" ht="15" customHeight="1" x14ac:dyDescent="0.3">
      <c r="B123" s="161"/>
      <c r="C123" s="113"/>
      <c r="D123" s="113"/>
      <c r="E123" s="113"/>
      <c r="F123" s="113"/>
      <c r="G123" s="113"/>
      <c r="H123" s="113"/>
      <c r="I123" s="162"/>
    </row>
    <row r="124" spans="2:9" ht="15" customHeight="1" x14ac:dyDescent="0.3">
      <c r="B124" s="161"/>
      <c r="C124" s="113"/>
      <c r="D124" s="113"/>
      <c r="E124" s="113"/>
      <c r="F124" s="113"/>
      <c r="G124" s="113"/>
      <c r="H124" s="113"/>
      <c r="I124" s="162"/>
    </row>
    <row r="125" spans="2:9" ht="15" customHeight="1" x14ac:dyDescent="0.3">
      <c r="B125" s="161"/>
      <c r="C125" s="113"/>
      <c r="D125" s="113"/>
      <c r="E125" s="113"/>
      <c r="F125" s="113"/>
      <c r="G125" s="113"/>
      <c r="H125" s="113"/>
      <c r="I125" s="162"/>
    </row>
    <row r="126" spans="2:9" ht="15" customHeight="1" x14ac:dyDescent="0.3">
      <c r="B126" s="161"/>
      <c r="C126" s="113"/>
      <c r="D126" s="113"/>
      <c r="E126" s="113"/>
      <c r="F126" s="113"/>
      <c r="G126" s="113"/>
      <c r="H126" s="113"/>
      <c r="I126" s="162"/>
    </row>
    <row r="127" spans="2:9" ht="15" customHeight="1" x14ac:dyDescent="0.3">
      <c r="B127" s="161"/>
      <c r="C127" s="113"/>
      <c r="D127" s="113"/>
      <c r="E127" s="113"/>
      <c r="F127" s="113"/>
      <c r="G127" s="113"/>
      <c r="H127" s="113"/>
      <c r="I127" s="162"/>
    </row>
    <row r="128" spans="2:9" ht="15" customHeight="1" x14ac:dyDescent="0.3">
      <c r="B128" s="161"/>
      <c r="C128" s="113"/>
      <c r="D128" s="113"/>
      <c r="E128" s="113"/>
      <c r="F128" s="113"/>
      <c r="G128" s="113"/>
      <c r="H128" s="113"/>
      <c r="I128" s="162"/>
    </row>
    <row r="129" spans="2:9" ht="15" customHeight="1" x14ac:dyDescent="0.3">
      <c r="B129" s="161"/>
      <c r="C129" s="113"/>
      <c r="D129" s="113"/>
      <c r="E129" s="113"/>
      <c r="F129" s="113"/>
      <c r="G129" s="113"/>
      <c r="H129" s="113"/>
      <c r="I129" s="162"/>
    </row>
    <row r="130" spans="2:9" ht="15" customHeight="1" x14ac:dyDescent="0.3">
      <c r="B130" s="161"/>
      <c r="C130" s="113"/>
      <c r="D130" s="113"/>
      <c r="E130" s="113"/>
      <c r="F130" s="113"/>
      <c r="G130" s="113"/>
      <c r="H130" s="113"/>
      <c r="I130" s="162"/>
    </row>
    <row r="131" spans="2:9" ht="15" customHeight="1" x14ac:dyDescent="0.3">
      <c r="B131" s="161"/>
      <c r="C131" s="113"/>
      <c r="D131" s="113"/>
      <c r="E131" s="113"/>
      <c r="F131" s="113"/>
      <c r="G131" s="113"/>
      <c r="H131" s="113"/>
      <c r="I131" s="162"/>
    </row>
    <row r="132" spans="2:9" ht="15" customHeight="1" x14ac:dyDescent="0.3">
      <c r="B132" s="161"/>
      <c r="C132" s="113"/>
      <c r="D132" s="113"/>
      <c r="E132" s="113"/>
      <c r="F132" s="113"/>
      <c r="G132" s="113"/>
      <c r="H132" s="113"/>
      <c r="I132" s="162"/>
    </row>
    <row r="133" spans="2:9" ht="15" customHeight="1" x14ac:dyDescent="0.3">
      <c r="B133" s="163"/>
      <c r="C133" s="164"/>
      <c r="D133" s="164"/>
      <c r="E133" s="164"/>
      <c r="F133" s="164"/>
      <c r="G133" s="164"/>
      <c r="H133" s="164"/>
      <c r="I133" s="165"/>
    </row>
    <row r="134" spans="2:9" ht="19.95" customHeight="1" x14ac:dyDescent="0.3">
      <c r="B134" s="151" t="s">
        <v>3704</v>
      </c>
      <c r="C134" s="113"/>
      <c r="D134" s="113"/>
      <c r="E134" s="113"/>
      <c r="F134" s="113"/>
      <c r="G134" s="113"/>
      <c r="H134" s="113"/>
      <c r="I134" s="113"/>
    </row>
    <row r="135" spans="2:9" ht="6" customHeight="1" x14ac:dyDescent="0.3"/>
    <row r="136" spans="2:9" ht="12" customHeight="1" x14ac:dyDescent="0.3"/>
    <row r="137" spans="2:9" ht="27" customHeight="1" x14ac:dyDescent="0.3">
      <c r="B137" s="128" t="s">
        <v>3705</v>
      </c>
      <c r="C137" s="124"/>
      <c r="D137" s="124"/>
      <c r="E137" s="124"/>
      <c r="F137" s="124"/>
      <c r="G137" s="124"/>
      <c r="H137" s="124"/>
      <c r="I137" s="124"/>
    </row>
    <row r="138" spans="2:9" ht="4.95" customHeight="1" x14ac:dyDescent="0.3"/>
    <row r="139" spans="2:9" ht="30" customHeight="1" x14ac:dyDescent="0.3">
      <c r="B139" s="214" t="s">
        <v>3706</v>
      </c>
      <c r="C139" s="122"/>
      <c r="D139" s="205" t="str">
        <f>IF(COUNTIF('17_分析サンプル'!N44:N46,"NG")&gt;0,"NG（目標を満たさない項目あり）","OK（すべての目標を達成）")</f>
        <v>NG（目標を満たさない項目あり）</v>
      </c>
      <c r="E139" s="110"/>
      <c r="F139" s="110"/>
      <c r="G139" s="110"/>
      <c r="H139" s="110"/>
      <c r="I139" s="111"/>
    </row>
    <row r="140" spans="2:9" ht="4.05" customHeight="1" x14ac:dyDescent="0.3"/>
    <row r="141" spans="2:9" ht="22.05" customHeight="1" x14ac:dyDescent="0.3">
      <c r="B141" s="144" t="s">
        <v>3707</v>
      </c>
      <c r="C141" s="171"/>
      <c r="D141" s="171"/>
      <c r="E141" s="171"/>
      <c r="F141" s="171"/>
      <c r="G141" s="171"/>
      <c r="H141" s="171"/>
      <c r="I141" s="145"/>
    </row>
    <row r="142" spans="2:9" ht="19.95" customHeight="1" x14ac:dyDescent="0.3">
      <c r="B142" s="201" t="s">
        <v>3708</v>
      </c>
      <c r="C142" s="107"/>
      <c r="D142" s="107"/>
      <c r="E142" s="107"/>
      <c r="F142" s="107"/>
      <c r="G142" s="107"/>
      <c r="H142" s="107"/>
      <c r="I142" s="108"/>
    </row>
    <row r="143" spans="2:9" ht="6" customHeight="1" x14ac:dyDescent="0.3"/>
    <row r="144" spans="2:9" ht="12" customHeight="1" x14ac:dyDescent="0.3"/>
    <row r="145" spans="2:9" ht="27" customHeight="1" x14ac:dyDescent="0.3">
      <c r="B145" s="128" t="s">
        <v>3709</v>
      </c>
      <c r="C145" s="124"/>
      <c r="D145" s="124"/>
      <c r="E145" s="124"/>
      <c r="F145" s="124"/>
      <c r="G145" s="124"/>
      <c r="H145" s="124"/>
      <c r="I145" s="124"/>
    </row>
    <row r="146" spans="2:9" ht="4.95" customHeight="1" x14ac:dyDescent="0.3"/>
    <row r="147" spans="2:9" ht="18" customHeight="1" x14ac:dyDescent="0.3">
      <c r="B147" s="206" t="s">
        <v>3710</v>
      </c>
      <c r="C147" s="207"/>
      <c r="D147" s="207"/>
      <c r="E147" s="207"/>
      <c r="F147" s="207"/>
      <c r="G147" s="207"/>
      <c r="H147" s="207"/>
      <c r="I147" s="208"/>
    </row>
    <row r="148" spans="2:9" ht="18" customHeight="1" x14ac:dyDescent="0.3">
      <c r="B148" s="209"/>
      <c r="C148" s="113"/>
      <c r="D148" s="113"/>
      <c r="E148" s="113"/>
      <c r="F148" s="113"/>
      <c r="G148" s="113"/>
      <c r="H148" s="113"/>
      <c r="I148" s="210"/>
    </row>
    <row r="149" spans="2:9" ht="18" customHeight="1" x14ac:dyDescent="0.3">
      <c r="B149" s="209"/>
      <c r="C149" s="113"/>
      <c r="D149" s="113"/>
      <c r="E149" s="113"/>
      <c r="F149" s="113"/>
      <c r="G149" s="113"/>
      <c r="H149" s="113"/>
      <c r="I149" s="210"/>
    </row>
    <row r="150" spans="2:9" ht="18" customHeight="1" x14ac:dyDescent="0.3">
      <c r="B150" s="209"/>
      <c r="C150" s="113"/>
      <c r="D150" s="113"/>
      <c r="E150" s="113"/>
      <c r="F150" s="113"/>
      <c r="G150" s="113"/>
      <c r="H150" s="113"/>
      <c r="I150" s="210"/>
    </row>
    <row r="151" spans="2:9" ht="18" customHeight="1" x14ac:dyDescent="0.3">
      <c r="B151" s="209"/>
      <c r="C151" s="113"/>
      <c r="D151" s="113"/>
      <c r="E151" s="113"/>
      <c r="F151" s="113"/>
      <c r="G151" s="113"/>
      <c r="H151" s="113"/>
      <c r="I151" s="210"/>
    </row>
    <row r="152" spans="2:9" ht="18" customHeight="1" x14ac:dyDescent="0.3">
      <c r="B152" s="209"/>
      <c r="C152" s="113"/>
      <c r="D152" s="113"/>
      <c r="E152" s="113"/>
      <c r="F152" s="113"/>
      <c r="G152" s="113"/>
      <c r="H152" s="113"/>
      <c r="I152" s="210"/>
    </row>
    <row r="153" spans="2:9" ht="18" customHeight="1" x14ac:dyDescent="0.3">
      <c r="B153" s="209"/>
      <c r="C153" s="113"/>
      <c r="D153" s="113"/>
      <c r="E153" s="113"/>
      <c r="F153" s="113"/>
      <c r="G153" s="113"/>
      <c r="H153" s="113"/>
      <c r="I153" s="210"/>
    </row>
    <row r="154" spans="2:9" ht="18" customHeight="1" x14ac:dyDescent="0.3">
      <c r="B154" s="209"/>
      <c r="C154" s="113"/>
      <c r="D154" s="113"/>
      <c r="E154" s="113"/>
      <c r="F154" s="113"/>
      <c r="G154" s="113"/>
      <c r="H154" s="113"/>
      <c r="I154" s="210"/>
    </row>
    <row r="155" spans="2:9" ht="18" customHeight="1" x14ac:dyDescent="0.3">
      <c r="B155" s="211"/>
      <c r="C155" s="212"/>
      <c r="D155" s="212"/>
      <c r="E155" s="212"/>
      <c r="F155" s="212"/>
      <c r="G155" s="212"/>
      <c r="H155" s="212"/>
      <c r="I155" s="213"/>
    </row>
    <row r="156" spans="2:9" ht="6" customHeight="1" x14ac:dyDescent="0.3"/>
    <row r="157" spans="2:9" ht="12" customHeight="1" x14ac:dyDescent="0.3"/>
    <row r="158" spans="2:9" ht="27" customHeight="1" x14ac:dyDescent="0.3">
      <c r="B158" s="128" t="s">
        <v>3711</v>
      </c>
      <c r="C158" s="124"/>
      <c r="D158" s="124"/>
      <c r="E158" s="124"/>
      <c r="F158" s="124"/>
      <c r="G158" s="124"/>
      <c r="H158" s="124"/>
      <c r="I158" s="124"/>
    </row>
    <row r="159" spans="2:9" ht="4.95" customHeight="1" x14ac:dyDescent="0.3"/>
    <row r="160" spans="2:9" ht="22.05" customHeight="1" x14ac:dyDescent="0.3">
      <c r="B160" s="7" t="s">
        <v>73</v>
      </c>
      <c r="C160" s="144" t="s">
        <v>3712</v>
      </c>
      <c r="D160" s="171"/>
      <c r="E160" s="145"/>
      <c r="F160" s="144" t="s">
        <v>3713</v>
      </c>
      <c r="G160" s="145"/>
      <c r="H160" s="7" t="s">
        <v>25</v>
      </c>
      <c r="I160" s="7" t="s">
        <v>3714</v>
      </c>
    </row>
    <row r="161" spans="2:9" ht="33.75" customHeight="1" x14ac:dyDescent="0.3">
      <c r="B161" s="8" t="s">
        <v>77</v>
      </c>
      <c r="C161" s="201" t="s">
        <v>3715</v>
      </c>
      <c r="D161" s="107"/>
      <c r="E161" s="108"/>
      <c r="F161" s="201" t="s">
        <v>3716</v>
      </c>
      <c r="G161" s="108"/>
      <c r="H161" s="21" t="s">
        <v>3717</v>
      </c>
      <c r="I161" s="21" t="s">
        <v>3718</v>
      </c>
    </row>
    <row r="162" spans="2:9" ht="19.95" customHeight="1" x14ac:dyDescent="0.3">
      <c r="B162" s="11" t="s">
        <v>81</v>
      </c>
      <c r="C162" s="201"/>
      <c r="D162" s="107"/>
      <c r="E162" s="108"/>
      <c r="F162" s="201"/>
      <c r="G162" s="108"/>
      <c r="H162" s="21"/>
      <c r="I162" s="21"/>
    </row>
    <row r="163" spans="2:9" ht="19.95" customHeight="1" x14ac:dyDescent="0.3">
      <c r="B163" s="8" t="s">
        <v>85</v>
      </c>
      <c r="C163" s="201"/>
      <c r="D163" s="107"/>
      <c r="E163" s="108"/>
      <c r="F163" s="201"/>
      <c r="G163" s="108"/>
      <c r="H163" s="21"/>
      <c r="I163" s="21"/>
    </row>
    <row r="164" spans="2:9" ht="6" customHeight="1" x14ac:dyDescent="0.3"/>
    <row r="165" spans="2:9" ht="12" customHeight="1" x14ac:dyDescent="0.3"/>
    <row r="166" spans="2:9" ht="27" customHeight="1" x14ac:dyDescent="0.3">
      <c r="B166" s="128" t="s">
        <v>3719</v>
      </c>
      <c r="C166" s="124"/>
      <c r="D166" s="124"/>
      <c r="E166" s="124"/>
      <c r="F166" s="124"/>
      <c r="G166" s="124"/>
      <c r="H166" s="124"/>
      <c r="I166" s="124"/>
    </row>
    <row r="167" spans="2:9" ht="4.95" customHeight="1" x14ac:dyDescent="0.3"/>
    <row r="168" spans="2:9" ht="19.350000000000001" customHeight="1" x14ac:dyDescent="0.3">
      <c r="B168" s="5" t="s">
        <v>40</v>
      </c>
      <c r="C168" s="129" t="s">
        <v>3720</v>
      </c>
      <c r="D168" s="113"/>
      <c r="E168" s="113"/>
      <c r="F168" s="113"/>
      <c r="G168" s="113"/>
      <c r="H168" s="113"/>
      <c r="I168" s="113"/>
    </row>
    <row r="169" spans="2:9" ht="19.350000000000001" customHeight="1" x14ac:dyDescent="0.3">
      <c r="B169" s="5" t="s">
        <v>40</v>
      </c>
      <c r="C169" s="129" t="s">
        <v>3721</v>
      </c>
      <c r="D169" s="113"/>
      <c r="E169" s="113"/>
      <c r="F169" s="113"/>
      <c r="G169" s="113"/>
      <c r="H169" s="113"/>
      <c r="I169" s="113"/>
    </row>
    <row r="170" spans="2:9" ht="19.350000000000001" customHeight="1" x14ac:dyDescent="0.3">
      <c r="B170" s="5" t="s">
        <v>40</v>
      </c>
      <c r="C170" s="129" t="s">
        <v>3722</v>
      </c>
      <c r="D170" s="113"/>
      <c r="E170" s="113"/>
      <c r="F170" s="113"/>
      <c r="G170" s="113"/>
      <c r="H170" s="113"/>
      <c r="I170" s="113"/>
    </row>
    <row r="171" spans="2:9" ht="19.350000000000001" customHeight="1" x14ac:dyDescent="0.3">
      <c r="B171" s="5" t="s">
        <v>40</v>
      </c>
      <c r="C171" s="129" t="s">
        <v>3723</v>
      </c>
      <c r="D171" s="113"/>
      <c r="E171" s="113"/>
      <c r="F171" s="113"/>
      <c r="G171" s="113"/>
      <c r="H171" s="113"/>
      <c r="I171" s="113"/>
    </row>
  </sheetData>
  <mergeCells count="103">
    <mergeCell ref="C171:I171"/>
    <mergeCell ref="E27:I27"/>
    <mergeCell ref="G59:I59"/>
    <mergeCell ref="B65:C65"/>
    <mergeCell ref="C160:E160"/>
    <mergeCell ref="B68:C68"/>
    <mergeCell ref="B139:C139"/>
    <mergeCell ref="G67:I67"/>
    <mergeCell ref="D65:F65"/>
    <mergeCell ref="B142:I142"/>
    <mergeCell ref="B80:I80"/>
    <mergeCell ref="B118:I133"/>
    <mergeCell ref="C168:I168"/>
    <mergeCell ref="D10:I10"/>
    <mergeCell ref="B20:C20"/>
    <mergeCell ref="C162:E162"/>
    <mergeCell ref="D139:I139"/>
    <mergeCell ref="B147:I155"/>
    <mergeCell ref="G57:I57"/>
    <mergeCell ref="B59:C59"/>
    <mergeCell ref="D17:I17"/>
    <mergeCell ref="C26:D26"/>
    <mergeCell ref="B71:I71"/>
    <mergeCell ref="B32:I49"/>
    <mergeCell ref="C25:D25"/>
    <mergeCell ref="D56:F56"/>
    <mergeCell ref="B53:I53"/>
    <mergeCell ref="G60:I60"/>
    <mergeCell ref="B10:C10"/>
    <mergeCell ref="C169:I169"/>
    <mergeCell ref="B50:I50"/>
    <mergeCell ref="G66:I66"/>
    <mergeCell ref="B7:C7"/>
    <mergeCell ref="C163:E163"/>
    <mergeCell ref="B56:C56"/>
    <mergeCell ref="G68:I68"/>
    <mergeCell ref="C170:I170"/>
    <mergeCell ref="B58:C58"/>
    <mergeCell ref="G58:I58"/>
    <mergeCell ref="C29:D29"/>
    <mergeCell ref="D9:I9"/>
    <mergeCell ref="D58:F58"/>
    <mergeCell ref="B60:C60"/>
    <mergeCell ref="B17:C17"/>
    <mergeCell ref="F163:G163"/>
    <mergeCell ref="B57:C57"/>
    <mergeCell ref="B166:I166"/>
    <mergeCell ref="D15:I15"/>
    <mergeCell ref="B116:I116"/>
    <mergeCell ref="B19:C19"/>
    <mergeCell ref="D59:F59"/>
    <mergeCell ref="B9:C9"/>
    <mergeCell ref="B158:I158"/>
    <mergeCell ref="B1:I1"/>
    <mergeCell ref="D8:I8"/>
    <mergeCell ref="D55:F55"/>
    <mergeCell ref="B13:I13"/>
    <mergeCell ref="E30:I30"/>
    <mergeCell ref="C161:E161"/>
    <mergeCell ref="D67:F67"/>
    <mergeCell ref="B78:I78"/>
    <mergeCell ref="D60:F60"/>
    <mergeCell ref="G56:I56"/>
    <mergeCell ref="D19:I19"/>
    <mergeCell ref="B6:C6"/>
    <mergeCell ref="B15:C15"/>
    <mergeCell ref="F161:G161"/>
    <mergeCell ref="B63:I63"/>
    <mergeCell ref="B8:C8"/>
    <mergeCell ref="B4:I4"/>
    <mergeCell ref="B2:H2"/>
    <mergeCell ref="D20:I20"/>
    <mergeCell ref="E26:I26"/>
    <mergeCell ref="B55:C55"/>
    <mergeCell ref="E25:I25"/>
    <mergeCell ref="C28:D28"/>
    <mergeCell ref="D6:I6"/>
    <mergeCell ref="D57:F57"/>
    <mergeCell ref="F162:G162"/>
    <mergeCell ref="B16:C16"/>
    <mergeCell ref="C30:D30"/>
    <mergeCell ref="B100:I115"/>
    <mergeCell ref="B141:I141"/>
    <mergeCell ref="B66:C66"/>
    <mergeCell ref="B18:C18"/>
    <mergeCell ref="D7:I7"/>
    <mergeCell ref="E28:I28"/>
    <mergeCell ref="G55:I55"/>
    <mergeCell ref="B23:I23"/>
    <mergeCell ref="D68:F68"/>
    <mergeCell ref="D66:F66"/>
    <mergeCell ref="B134:I134"/>
    <mergeCell ref="D16:I16"/>
    <mergeCell ref="E29:I29"/>
    <mergeCell ref="G65:I65"/>
    <mergeCell ref="D18:I18"/>
    <mergeCell ref="B67:C67"/>
    <mergeCell ref="B145:I145"/>
    <mergeCell ref="F160:G160"/>
    <mergeCell ref="B98:I98"/>
    <mergeCell ref="C27:D27"/>
    <mergeCell ref="B82:I97"/>
    <mergeCell ref="B137:I137"/>
  </mergeCells>
  <phoneticPr fontId="27"/>
  <conditionalFormatting sqref="D139">
    <cfRule type="expression" dxfId="2" priority="2">
      <formula>LEFT($D$139,2)="NG"</formula>
    </cfRule>
  </conditionalFormatting>
  <conditionalFormatting sqref="I74:I76">
    <cfRule type="cellIs" dxfId="1" priority="1" operator="equal">
      <formula>"NG"</formula>
    </cfRule>
  </conditionalFormatting>
  <hyperlinks>
    <hyperlink ref="I2" location="'目次'!A1" display="▲ 目次へ戻る" xr:uid="{00000000-0004-0000-1400-000000000000}"/>
  </hyperlinks>
  <printOptions horizontalCentered="1"/>
  <pageMargins left="0.35" right="0.35" top="0.55000000000000004" bottom="0.55000000000000004" header="0.25" footer="0.25"/>
  <pageSetup paperSize="9" fitToHeight="0" orientation="portrait"/>
  <headerFooter>
    <oddHeader>&amp;R&amp;"Meiryo UI,Regular"&amp;8 &amp;A</oddHeader>
    <oddFooter>&amp;C&amp;"Meiryo UI,Regular"&amp;8 &amp;P / &amp;N</oddFooter>
  </headerFooter>
  <ignoredErrors>
    <ignoredError sqref="B161:B163"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F7F7F"/>
    <pageSetUpPr fitToPage="1"/>
  </sheetPr>
  <dimension ref="B1:Q70"/>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5.453125" customWidth="1"/>
    <col min="3" max="3" width="11.453125" customWidth="1"/>
    <col min="4" max="5" width="7.453125" customWidth="1"/>
    <col min="6" max="6" width="10" customWidth="1"/>
    <col min="7" max="7" width="8" customWidth="1"/>
    <col min="8" max="9" width="8.453125" customWidth="1"/>
    <col min="10" max="10" width="31" customWidth="1"/>
    <col min="11" max="11" width="9.453125" customWidth="1"/>
    <col min="12" max="12" width="8.453125" customWidth="1"/>
    <col min="13" max="13" width="9.453125" customWidth="1"/>
    <col min="14" max="14" width="10.453125" customWidth="1"/>
    <col min="15" max="15" width="7.453125" customWidth="1"/>
    <col min="16" max="16" width="36" customWidth="1"/>
    <col min="17" max="17" width="10" customWidth="1"/>
    <col min="18" max="18" width="1.6328125" customWidth="1"/>
  </cols>
  <sheetData>
    <row r="1" spans="2:17" ht="37.950000000000003" customHeight="1" x14ac:dyDescent="0.3">
      <c r="B1" s="138" t="s">
        <v>3724</v>
      </c>
      <c r="C1" s="118"/>
      <c r="D1" s="118"/>
      <c r="E1" s="118"/>
      <c r="F1" s="118"/>
      <c r="G1" s="118"/>
      <c r="H1" s="118"/>
      <c r="I1" s="118"/>
      <c r="J1" s="118"/>
      <c r="K1" s="118"/>
      <c r="L1" s="118"/>
      <c r="M1" s="118"/>
      <c r="N1" s="118"/>
      <c r="O1" s="118"/>
      <c r="P1" s="118"/>
      <c r="Q1" s="118"/>
    </row>
    <row r="2" spans="2:17" ht="24" customHeight="1" x14ac:dyDescent="0.3">
      <c r="B2" s="141" t="s">
        <v>3725</v>
      </c>
      <c r="C2" s="113"/>
      <c r="D2" s="113"/>
      <c r="E2" s="113"/>
      <c r="F2" s="113"/>
      <c r="G2" s="113"/>
      <c r="H2" s="113"/>
      <c r="I2" s="113"/>
      <c r="J2" s="113"/>
      <c r="K2" s="113"/>
      <c r="L2" s="113"/>
      <c r="M2" s="113"/>
      <c r="N2" s="113"/>
      <c r="O2" s="113"/>
      <c r="P2" s="113"/>
      <c r="Q2" s="4" t="s">
        <v>38</v>
      </c>
    </row>
    <row r="3" spans="2:17" ht="12" customHeight="1" x14ac:dyDescent="0.3"/>
    <row r="4" spans="2:17" ht="27" customHeight="1" x14ac:dyDescent="0.3">
      <c r="B4" s="128" t="s">
        <v>3726</v>
      </c>
      <c r="C4" s="124"/>
      <c r="D4" s="124"/>
      <c r="E4" s="124"/>
      <c r="F4" s="124"/>
      <c r="G4" s="124"/>
      <c r="H4" s="124"/>
      <c r="I4" s="124"/>
      <c r="J4" s="124"/>
      <c r="K4" s="124"/>
      <c r="L4" s="124"/>
      <c r="M4" s="124"/>
      <c r="N4" s="124"/>
      <c r="O4" s="124"/>
      <c r="P4" s="124"/>
      <c r="Q4" s="124"/>
    </row>
    <row r="5" spans="2:17" ht="4.95" customHeight="1" x14ac:dyDescent="0.3"/>
    <row r="6" spans="2:17" ht="19.350000000000001" customHeight="1" x14ac:dyDescent="0.3">
      <c r="B6" s="5" t="s">
        <v>40</v>
      </c>
      <c r="C6" s="129" t="s">
        <v>3727</v>
      </c>
      <c r="D6" s="113"/>
      <c r="E6" s="113"/>
      <c r="F6" s="113"/>
      <c r="G6" s="113"/>
      <c r="H6" s="113"/>
      <c r="I6" s="113"/>
      <c r="J6" s="113"/>
      <c r="K6" s="113"/>
      <c r="L6" s="113"/>
      <c r="M6" s="113"/>
      <c r="N6" s="113"/>
      <c r="O6" s="113"/>
      <c r="P6" s="113"/>
      <c r="Q6" s="113"/>
    </row>
    <row r="7" spans="2:17" ht="19.350000000000001" customHeight="1" x14ac:dyDescent="0.3">
      <c r="B7" s="5" t="s">
        <v>40</v>
      </c>
      <c r="C7" s="129" t="s">
        <v>3728</v>
      </c>
      <c r="D7" s="113"/>
      <c r="E7" s="113"/>
      <c r="F7" s="113"/>
      <c r="G7" s="113"/>
      <c r="H7" s="113"/>
      <c r="I7" s="113"/>
      <c r="J7" s="113"/>
      <c r="K7" s="113"/>
      <c r="L7" s="113"/>
      <c r="M7" s="113"/>
      <c r="N7" s="113"/>
      <c r="O7" s="113"/>
      <c r="P7" s="113"/>
      <c r="Q7" s="113"/>
    </row>
    <row r="8" spans="2:17" ht="19.350000000000001" customHeight="1" x14ac:dyDescent="0.3">
      <c r="B8" s="5" t="s">
        <v>40</v>
      </c>
      <c r="C8" s="129" t="s">
        <v>3729</v>
      </c>
      <c r="D8" s="113"/>
      <c r="E8" s="113"/>
      <c r="F8" s="113"/>
      <c r="G8" s="113"/>
      <c r="H8" s="113"/>
      <c r="I8" s="113"/>
      <c r="J8" s="113"/>
      <c r="K8" s="113"/>
      <c r="L8" s="113"/>
      <c r="M8" s="113"/>
      <c r="N8" s="113"/>
      <c r="O8" s="113"/>
      <c r="P8" s="113"/>
      <c r="Q8" s="113"/>
    </row>
    <row r="9" spans="2:17" ht="19.350000000000001" customHeight="1" x14ac:dyDescent="0.3">
      <c r="B9" s="5" t="s">
        <v>40</v>
      </c>
      <c r="C9" s="129" t="s">
        <v>3730</v>
      </c>
      <c r="D9" s="113"/>
      <c r="E9" s="113"/>
      <c r="F9" s="113"/>
      <c r="G9" s="113"/>
      <c r="H9" s="113"/>
      <c r="I9" s="113"/>
      <c r="J9" s="113"/>
      <c r="K9" s="113"/>
      <c r="L9" s="113"/>
      <c r="M9" s="113"/>
      <c r="N9" s="113"/>
      <c r="O9" s="113"/>
      <c r="P9" s="113"/>
      <c r="Q9" s="113"/>
    </row>
    <row r="10" spans="2:17" ht="19.350000000000001" customHeight="1" x14ac:dyDescent="0.3">
      <c r="B10" s="5" t="s">
        <v>40</v>
      </c>
      <c r="C10" s="129" t="s">
        <v>3731</v>
      </c>
      <c r="D10" s="113"/>
      <c r="E10" s="113"/>
      <c r="F10" s="113"/>
      <c r="G10" s="113"/>
      <c r="H10" s="113"/>
      <c r="I10" s="113"/>
      <c r="J10" s="113"/>
      <c r="K10" s="113"/>
      <c r="L10" s="113"/>
      <c r="M10" s="113"/>
      <c r="N10" s="113"/>
      <c r="O10" s="113"/>
      <c r="P10" s="113"/>
      <c r="Q10" s="113"/>
    </row>
    <row r="11" spans="2:17" ht="22.05" customHeight="1" x14ac:dyDescent="0.3">
      <c r="B11" s="16" t="s">
        <v>64</v>
      </c>
      <c r="C11" s="152" t="s">
        <v>3732</v>
      </c>
      <c r="D11" s="153"/>
      <c r="E11" s="153"/>
      <c r="F11" s="153"/>
      <c r="G11" s="153"/>
      <c r="H11" s="153"/>
      <c r="I11" s="153"/>
      <c r="J11" s="153"/>
      <c r="K11" s="153"/>
      <c r="L11" s="153"/>
      <c r="M11" s="153"/>
      <c r="N11" s="153"/>
      <c r="O11" s="153"/>
      <c r="P11" s="153"/>
      <c r="Q11" s="105"/>
    </row>
    <row r="12" spans="2:17" ht="4.95" customHeight="1" x14ac:dyDescent="0.3"/>
    <row r="13" spans="2:17" ht="12" customHeight="1" x14ac:dyDescent="0.3"/>
    <row r="14" spans="2:17" ht="27" customHeight="1" x14ac:dyDescent="0.3">
      <c r="B14" s="128" t="s">
        <v>3733</v>
      </c>
      <c r="C14" s="124"/>
      <c r="D14" s="124"/>
      <c r="E14" s="124"/>
      <c r="F14" s="124"/>
      <c r="G14" s="124"/>
      <c r="H14" s="124"/>
      <c r="I14" s="124"/>
      <c r="J14" s="124"/>
      <c r="K14" s="124"/>
      <c r="L14" s="124"/>
      <c r="M14" s="124"/>
      <c r="N14" s="124"/>
      <c r="O14" s="124"/>
      <c r="P14" s="124"/>
      <c r="Q14" s="124"/>
    </row>
    <row r="15" spans="2:17" ht="4.95" customHeight="1" x14ac:dyDescent="0.3"/>
    <row r="16" spans="2:17" ht="34.049999999999997" customHeight="1" x14ac:dyDescent="0.3">
      <c r="B16" s="7" t="s">
        <v>73</v>
      </c>
      <c r="C16" s="7" t="s">
        <v>3734</v>
      </c>
      <c r="D16" s="7" t="s">
        <v>3735</v>
      </c>
      <c r="E16" s="7" t="s">
        <v>3736</v>
      </c>
      <c r="F16" s="7" t="s">
        <v>3737</v>
      </c>
      <c r="G16" s="7" t="s">
        <v>3738</v>
      </c>
      <c r="H16" s="7" t="s">
        <v>3739</v>
      </c>
      <c r="I16" s="7" t="s">
        <v>3740</v>
      </c>
      <c r="J16" s="7" t="s">
        <v>3741</v>
      </c>
      <c r="K16" s="7" t="s">
        <v>2122</v>
      </c>
      <c r="L16" s="7" t="s">
        <v>2146</v>
      </c>
      <c r="M16" s="7" t="s">
        <v>3628</v>
      </c>
      <c r="N16" s="7" t="s">
        <v>3630</v>
      </c>
      <c r="O16" s="7" t="s">
        <v>3422</v>
      </c>
      <c r="P16" s="7" t="s">
        <v>3742</v>
      </c>
      <c r="Q16" s="7" t="s">
        <v>3664</v>
      </c>
    </row>
    <row r="17" spans="2:17" ht="44.55" customHeight="1" x14ac:dyDescent="0.3">
      <c r="B17" s="88" t="s">
        <v>1851</v>
      </c>
      <c r="C17" s="89">
        <f>INT('17_分析サンプル'!$E$19)</f>
        <v>46296</v>
      </c>
      <c r="D17" s="90">
        <f>'17_分析サンプル'!$E$19</f>
        <v>46296.416668749996</v>
      </c>
      <c r="E17" s="90">
        <f>'17_分析サンプル'!$E$20</f>
        <v>46296.423618252316</v>
      </c>
      <c r="F17" s="91" t="s">
        <v>3743</v>
      </c>
      <c r="G17" s="92">
        <f>'17_分析サンプル'!$E$25</f>
        <v>10</v>
      </c>
      <c r="H17" s="92">
        <v>60</v>
      </c>
      <c r="I17" s="92">
        <v>600</v>
      </c>
      <c r="J17" s="93" t="s">
        <v>3744</v>
      </c>
      <c r="K17" s="92">
        <f>'17_分析サンプル'!C46</f>
        <v>2065</v>
      </c>
      <c r="L17" s="94">
        <f>'17_分析サンプル'!L46</f>
        <v>6.2953995157384989E-3</v>
      </c>
      <c r="M17" s="92">
        <f>'17_分析サンプル'!I46</f>
        <v>1214</v>
      </c>
      <c r="N17" s="95">
        <f>'17_分析サンプル'!M46</f>
        <v>4.302083333333333</v>
      </c>
      <c r="O17" s="88" t="str">
        <f>'17_分析サンプル'!N46</f>
        <v>NG</v>
      </c>
      <c r="P17" s="93" t="s">
        <v>3745</v>
      </c>
      <c r="Q17" s="91" t="s">
        <v>3746</v>
      </c>
    </row>
    <row r="18" spans="2:17" ht="19.95" customHeight="1" x14ac:dyDescent="0.3">
      <c r="B18" s="8" t="s">
        <v>77</v>
      </c>
      <c r="C18" s="96"/>
      <c r="D18" s="97"/>
      <c r="E18" s="97"/>
      <c r="F18" s="53"/>
      <c r="G18" s="98"/>
      <c r="H18" s="98"/>
      <c r="I18" s="98"/>
      <c r="J18" s="21"/>
      <c r="K18" s="98"/>
      <c r="L18" s="99"/>
      <c r="M18" s="98"/>
      <c r="N18" s="100"/>
      <c r="O18" s="53"/>
      <c r="P18" s="21"/>
      <c r="Q18" s="53"/>
    </row>
    <row r="19" spans="2:17" ht="19.95" customHeight="1" x14ac:dyDescent="0.3">
      <c r="B19" s="8" t="s">
        <v>81</v>
      </c>
      <c r="C19" s="96"/>
      <c r="D19" s="97"/>
      <c r="E19" s="97"/>
      <c r="F19" s="53"/>
      <c r="G19" s="98"/>
      <c r="H19" s="98"/>
      <c r="I19" s="98"/>
      <c r="J19" s="21"/>
      <c r="K19" s="98"/>
      <c r="L19" s="99"/>
      <c r="M19" s="98"/>
      <c r="N19" s="100"/>
      <c r="O19" s="53"/>
      <c r="P19" s="21"/>
      <c r="Q19" s="53"/>
    </row>
    <row r="20" spans="2:17" ht="19.95" customHeight="1" x14ac:dyDescent="0.3">
      <c r="B20" s="8" t="s">
        <v>85</v>
      </c>
      <c r="C20" s="96"/>
      <c r="D20" s="97"/>
      <c r="E20" s="97"/>
      <c r="F20" s="53"/>
      <c r="G20" s="98"/>
      <c r="H20" s="98"/>
      <c r="I20" s="98"/>
      <c r="J20" s="21"/>
      <c r="K20" s="98"/>
      <c r="L20" s="99"/>
      <c r="M20" s="98"/>
      <c r="N20" s="100"/>
      <c r="O20" s="53"/>
      <c r="P20" s="21"/>
      <c r="Q20" s="53"/>
    </row>
    <row r="21" spans="2:17" ht="19.95" customHeight="1" x14ac:dyDescent="0.3">
      <c r="B21" s="8" t="s">
        <v>88</v>
      </c>
      <c r="C21" s="96"/>
      <c r="D21" s="97"/>
      <c r="E21" s="97"/>
      <c r="F21" s="53"/>
      <c r="G21" s="98"/>
      <c r="H21" s="98"/>
      <c r="I21" s="98"/>
      <c r="J21" s="21"/>
      <c r="K21" s="98"/>
      <c r="L21" s="99"/>
      <c r="M21" s="98"/>
      <c r="N21" s="100"/>
      <c r="O21" s="53"/>
      <c r="P21" s="21"/>
      <c r="Q21" s="53"/>
    </row>
    <row r="22" spans="2:17" ht="19.95" customHeight="1" x14ac:dyDescent="0.3">
      <c r="B22" s="8" t="s">
        <v>91</v>
      </c>
      <c r="C22" s="96"/>
      <c r="D22" s="97"/>
      <c r="E22" s="97"/>
      <c r="F22" s="53"/>
      <c r="G22" s="98"/>
      <c r="H22" s="98"/>
      <c r="I22" s="98"/>
      <c r="J22" s="21"/>
      <c r="K22" s="98"/>
      <c r="L22" s="99"/>
      <c r="M22" s="98"/>
      <c r="N22" s="100"/>
      <c r="O22" s="53"/>
      <c r="P22" s="21"/>
      <c r="Q22" s="53"/>
    </row>
    <row r="23" spans="2:17" ht="19.95" customHeight="1" x14ac:dyDescent="0.3">
      <c r="B23" s="8" t="s">
        <v>94</v>
      </c>
      <c r="C23" s="96"/>
      <c r="D23" s="97"/>
      <c r="E23" s="97"/>
      <c r="F23" s="53"/>
      <c r="G23" s="98"/>
      <c r="H23" s="98"/>
      <c r="I23" s="98"/>
      <c r="J23" s="21"/>
      <c r="K23" s="98"/>
      <c r="L23" s="99"/>
      <c r="M23" s="98"/>
      <c r="N23" s="100"/>
      <c r="O23" s="53"/>
      <c r="P23" s="21"/>
      <c r="Q23" s="53"/>
    </row>
    <row r="24" spans="2:17" ht="19.95" customHeight="1" x14ac:dyDescent="0.3">
      <c r="B24" s="8" t="s">
        <v>97</v>
      </c>
      <c r="C24" s="96"/>
      <c r="D24" s="97"/>
      <c r="E24" s="97"/>
      <c r="F24" s="53"/>
      <c r="G24" s="98"/>
      <c r="H24" s="98"/>
      <c r="I24" s="98"/>
      <c r="J24" s="21"/>
      <c r="K24" s="98"/>
      <c r="L24" s="99"/>
      <c r="M24" s="98"/>
      <c r="N24" s="100"/>
      <c r="O24" s="53"/>
      <c r="P24" s="21"/>
      <c r="Q24" s="53"/>
    </row>
    <row r="25" spans="2:17" ht="19.95" customHeight="1" x14ac:dyDescent="0.3">
      <c r="B25" s="8" t="s">
        <v>100</v>
      </c>
      <c r="C25" s="96"/>
      <c r="D25" s="97"/>
      <c r="E25" s="97"/>
      <c r="F25" s="53"/>
      <c r="G25" s="98"/>
      <c r="H25" s="98"/>
      <c r="I25" s="98"/>
      <c r="J25" s="21"/>
      <c r="K25" s="98"/>
      <c r="L25" s="99"/>
      <c r="M25" s="98"/>
      <c r="N25" s="100"/>
      <c r="O25" s="53"/>
      <c r="P25" s="21"/>
      <c r="Q25" s="53"/>
    </row>
    <row r="26" spans="2:17" ht="19.95" customHeight="1" x14ac:dyDescent="0.3">
      <c r="B26" s="8" t="s">
        <v>103</v>
      </c>
      <c r="C26" s="96"/>
      <c r="D26" s="97"/>
      <c r="E26" s="97"/>
      <c r="F26" s="53"/>
      <c r="G26" s="98"/>
      <c r="H26" s="98"/>
      <c r="I26" s="98"/>
      <c r="J26" s="21"/>
      <c r="K26" s="98"/>
      <c r="L26" s="99"/>
      <c r="M26" s="98"/>
      <c r="N26" s="100"/>
      <c r="O26" s="53"/>
      <c r="P26" s="21"/>
      <c r="Q26" s="53"/>
    </row>
    <row r="27" spans="2:17" ht="19.95" customHeight="1" x14ac:dyDescent="0.3">
      <c r="B27" s="8" t="s">
        <v>106</v>
      </c>
      <c r="C27" s="96"/>
      <c r="D27" s="97"/>
      <c r="E27" s="97"/>
      <c r="F27" s="53"/>
      <c r="G27" s="98"/>
      <c r="H27" s="98"/>
      <c r="I27" s="98"/>
      <c r="J27" s="21"/>
      <c r="K27" s="98"/>
      <c r="L27" s="99"/>
      <c r="M27" s="98"/>
      <c r="N27" s="100"/>
      <c r="O27" s="53"/>
      <c r="P27" s="21"/>
      <c r="Q27" s="53"/>
    </row>
    <row r="28" spans="2:17" ht="19.95" customHeight="1" x14ac:dyDescent="0.3">
      <c r="B28" s="8" t="s">
        <v>109</v>
      </c>
      <c r="C28" s="96"/>
      <c r="D28" s="97"/>
      <c r="E28" s="97"/>
      <c r="F28" s="53"/>
      <c r="G28" s="98"/>
      <c r="H28" s="98"/>
      <c r="I28" s="98"/>
      <c r="J28" s="21"/>
      <c r="K28" s="98"/>
      <c r="L28" s="99"/>
      <c r="M28" s="98"/>
      <c r="N28" s="100"/>
      <c r="O28" s="53"/>
      <c r="P28" s="21"/>
      <c r="Q28" s="53"/>
    </row>
    <row r="29" spans="2:17" ht="19.95" customHeight="1" x14ac:dyDescent="0.3">
      <c r="B29" s="8" t="s">
        <v>113</v>
      </c>
      <c r="C29" s="96"/>
      <c r="D29" s="97"/>
      <c r="E29" s="97"/>
      <c r="F29" s="53"/>
      <c r="G29" s="98"/>
      <c r="H29" s="98"/>
      <c r="I29" s="98"/>
      <c r="J29" s="21"/>
      <c r="K29" s="98"/>
      <c r="L29" s="99"/>
      <c r="M29" s="98"/>
      <c r="N29" s="100"/>
      <c r="O29" s="53"/>
      <c r="P29" s="21"/>
      <c r="Q29" s="53"/>
    </row>
    <row r="30" spans="2:17" ht="6" customHeight="1" x14ac:dyDescent="0.3"/>
    <row r="31" spans="2:17" ht="19.350000000000001" customHeight="1" x14ac:dyDescent="0.3">
      <c r="B31" s="166" t="s">
        <v>3747</v>
      </c>
      <c r="C31" s="113"/>
      <c r="D31" s="113"/>
      <c r="E31" s="113"/>
      <c r="F31" s="113"/>
      <c r="G31" s="113"/>
      <c r="H31" s="113"/>
      <c r="I31" s="113"/>
      <c r="J31" s="113"/>
      <c r="K31" s="113"/>
      <c r="L31" s="113"/>
      <c r="M31" s="113"/>
      <c r="N31" s="113"/>
      <c r="O31" s="113"/>
      <c r="P31" s="113"/>
      <c r="Q31" s="113"/>
    </row>
    <row r="32" spans="2:17" ht="12" customHeight="1" x14ac:dyDescent="0.3"/>
    <row r="33" spans="2:17" ht="27" customHeight="1" x14ac:dyDescent="0.3">
      <c r="B33" s="128" t="s">
        <v>3748</v>
      </c>
      <c r="C33" s="124"/>
      <c r="D33" s="124"/>
      <c r="E33" s="124"/>
      <c r="F33" s="124"/>
      <c r="G33" s="124"/>
      <c r="H33" s="124"/>
      <c r="I33" s="124"/>
      <c r="J33" s="124"/>
      <c r="K33" s="124"/>
      <c r="L33" s="124"/>
      <c r="M33" s="124"/>
      <c r="N33" s="124"/>
      <c r="O33" s="124"/>
      <c r="P33" s="124"/>
      <c r="Q33" s="124"/>
    </row>
    <row r="34" spans="2:17" ht="4.95" customHeight="1" x14ac:dyDescent="0.3"/>
    <row r="35" spans="2:17" ht="19.350000000000001" customHeight="1" x14ac:dyDescent="0.3">
      <c r="B35" s="129" t="s">
        <v>3749</v>
      </c>
      <c r="C35" s="113"/>
      <c r="D35" s="113"/>
      <c r="E35" s="113"/>
      <c r="F35" s="113"/>
      <c r="G35" s="113"/>
      <c r="H35" s="113"/>
      <c r="I35" s="113"/>
      <c r="J35" s="113"/>
      <c r="K35" s="113"/>
      <c r="L35" s="113"/>
      <c r="M35" s="113"/>
      <c r="N35" s="113"/>
      <c r="O35" s="113"/>
      <c r="P35" s="113"/>
      <c r="Q35" s="113"/>
    </row>
    <row r="36" spans="2:17" ht="22.05" customHeight="1" x14ac:dyDescent="0.3">
      <c r="B36" s="7" t="s">
        <v>73</v>
      </c>
      <c r="C36" s="144" t="s">
        <v>3750</v>
      </c>
      <c r="D36" s="145"/>
      <c r="E36" s="144" t="s">
        <v>3666</v>
      </c>
      <c r="F36" s="145"/>
      <c r="G36" s="144" t="s">
        <v>3751</v>
      </c>
      <c r="H36" s="171"/>
      <c r="I36" s="171"/>
      <c r="J36" s="171"/>
      <c r="K36" s="171"/>
      <c r="L36" s="145"/>
      <c r="M36" s="144" t="s">
        <v>3752</v>
      </c>
      <c r="N36" s="171"/>
      <c r="O36" s="171"/>
      <c r="P36" s="145"/>
      <c r="Q36" s="7" t="s">
        <v>3753</v>
      </c>
    </row>
    <row r="37" spans="2:17" ht="19.95" customHeight="1" x14ac:dyDescent="0.3">
      <c r="B37" s="88" t="s">
        <v>1851</v>
      </c>
      <c r="C37" s="219" t="s">
        <v>3754</v>
      </c>
      <c r="D37" s="135"/>
      <c r="E37" s="219" t="s">
        <v>3755</v>
      </c>
      <c r="F37" s="135"/>
      <c r="G37" s="218" t="s">
        <v>3756</v>
      </c>
      <c r="H37" s="177"/>
      <c r="I37" s="177"/>
      <c r="J37" s="177"/>
      <c r="K37" s="177"/>
      <c r="L37" s="135"/>
      <c r="M37" s="218" t="s">
        <v>3757</v>
      </c>
      <c r="N37" s="177"/>
      <c r="O37" s="177"/>
      <c r="P37" s="135"/>
      <c r="Q37" s="91" t="s">
        <v>3746</v>
      </c>
    </row>
    <row r="38" spans="2:17" ht="19.95" customHeight="1" x14ac:dyDescent="0.3">
      <c r="B38" s="88" t="s">
        <v>1851</v>
      </c>
      <c r="C38" s="219" t="s">
        <v>3758</v>
      </c>
      <c r="D38" s="135"/>
      <c r="E38" s="219" t="s">
        <v>3735</v>
      </c>
      <c r="F38" s="135"/>
      <c r="G38" s="218" t="s">
        <v>3759</v>
      </c>
      <c r="H38" s="177"/>
      <c r="I38" s="177"/>
      <c r="J38" s="177"/>
      <c r="K38" s="177"/>
      <c r="L38" s="135"/>
      <c r="M38" s="218" t="s">
        <v>80</v>
      </c>
      <c r="N38" s="177"/>
      <c r="O38" s="177"/>
      <c r="P38" s="135"/>
      <c r="Q38" s="91" t="s">
        <v>3746</v>
      </c>
    </row>
    <row r="39" spans="2:17" ht="19.95" customHeight="1" x14ac:dyDescent="0.3">
      <c r="B39" s="88" t="s">
        <v>1851</v>
      </c>
      <c r="C39" s="219" t="s">
        <v>3760</v>
      </c>
      <c r="D39" s="135"/>
      <c r="E39" s="219" t="s">
        <v>3761</v>
      </c>
      <c r="F39" s="135"/>
      <c r="G39" s="218" t="s">
        <v>3762</v>
      </c>
      <c r="H39" s="177"/>
      <c r="I39" s="177"/>
      <c r="J39" s="177"/>
      <c r="K39" s="177"/>
      <c r="L39" s="135"/>
      <c r="M39" s="218" t="s">
        <v>3763</v>
      </c>
      <c r="N39" s="177"/>
      <c r="O39" s="177"/>
      <c r="P39" s="135"/>
      <c r="Q39" s="91" t="s">
        <v>3746</v>
      </c>
    </row>
    <row r="40" spans="2:17" ht="19.95" customHeight="1" x14ac:dyDescent="0.3">
      <c r="B40" s="88" t="s">
        <v>1851</v>
      </c>
      <c r="C40" s="219" t="s">
        <v>3764</v>
      </c>
      <c r="D40" s="135"/>
      <c r="E40" s="219" t="s">
        <v>3736</v>
      </c>
      <c r="F40" s="135"/>
      <c r="G40" s="218" t="s">
        <v>3765</v>
      </c>
      <c r="H40" s="177"/>
      <c r="I40" s="177"/>
      <c r="J40" s="177"/>
      <c r="K40" s="177"/>
      <c r="L40" s="135"/>
      <c r="M40" s="218" t="s">
        <v>3766</v>
      </c>
      <c r="N40" s="177"/>
      <c r="O40" s="177"/>
      <c r="P40" s="135"/>
      <c r="Q40" s="91" t="s">
        <v>3746</v>
      </c>
    </row>
    <row r="41" spans="2:17" ht="19.95" customHeight="1" x14ac:dyDescent="0.3">
      <c r="B41" s="8" t="s">
        <v>77</v>
      </c>
      <c r="C41" s="217"/>
      <c r="D41" s="108"/>
      <c r="E41" s="217"/>
      <c r="F41" s="108"/>
      <c r="G41" s="201"/>
      <c r="H41" s="107"/>
      <c r="I41" s="107"/>
      <c r="J41" s="107"/>
      <c r="K41" s="107"/>
      <c r="L41" s="108"/>
      <c r="M41" s="201"/>
      <c r="N41" s="107"/>
      <c r="O41" s="107"/>
      <c r="P41" s="108"/>
      <c r="Q41" s="53"/>
    </row>
    <row r="42" spans="2:17" ht="19.95" customHeight="1" x14ac:dyDescent="0.3">
      <c r="B42" s="8" t="s">
        <v>81</v>
      </c>
      <c r="C42" s="217"/>
      <c r="D42" s="108"/>
      <c r="E42" s="217"/>
      <c r="F42" s="108"/>
      <c r="G42" s="201"/>
      <c r="H42" s="107"/>
      <c r="I42" s="107"/>
      <c r="J42" s="107"/>
      <c r="K42" s="107"/>
      <c r="L42" s="108"/>
      <c r="M42" s="201"/>
      <c r="N42" s="107"/>
      <c r="O42" s="107"/>
      <c r="P42" s="108"/>
      <c r="Q42" s="53"/>
    </row>
    <row r="43" spans="2:17" ht="19.95" customHeight="1" x14ac:dyDescent="0.3">
      <c r="B43" s="8" t="s">
        <v>85</v>
      </c>
      <c r="C43" s="217"/>
      <c r="D43" s="108"/>
      <c r="E43" s="217"/>
      <c r="F43" s="108"/>
      <c r="G43" s="201"/>
      <c r="H43" s="107"/>
      <c r="I43" s="107"/>
      <c r="J43" s="107"/>
      <c r="K43" s="107"/>
      <c r="L43" s="108"/>
      <c r="M43" s="201"/>
      <c r="N43" s="107"/>
      <c r="O43" s="107"/>
      <c r="P43" s="108"/>
      <c r="Q43" s="53"/>
    </row>
    <row r="44" spans="2:17" ht="19.95" customHeight="1" x14ac:dyDescent="0.3">
      <c r="B44" s="8" t="s">
        <v>88</v>
      </c>
      <c r="C44" s="217"/>
      <c r="D44" s="108"/>
      <c r="E44" s="217"/>
      <c r="F44" s="108"/>
      <c r="G44" s="201"/>
      <c r="H44" s="107"/>
      <c r="I44" s="107"/>
      <c r="J44" s="107"/>
      <c r="K44" s="107"/>
      <c r="L44" s="108"/>
      <c r="M44" s="201"/>
      <c r="N44" s="107"/>
      <c r="O44" s="107"/>
      <c r="P44" s="108"/>
      <c r="Q44" s="53"/>
    </row>
    <row r="45" spans="2:17" ht="19.95" customHeight="1" x14ac:dyDescent="0.3">
      <c r="B45" s="8" t="s">
        <v>91</v>
      </c>
      <c r="C45" s="217"/>
      <c r="D45" s="108"/>
      <c r="E45" s="217"/>
      <c r="F45" s="108"/>
      <c r="G45" s="201"/>
      <c r="H45" s="107"/>
      <c r="I45" s="107"/>
      <c r="J45" s="107"/>
      <c r="K45" s="107"/>
      <c r="L45" s="108"/>
      <c r="M45" s="201"/>
      <c r="N45" s="107"/>
      <c r="O45" s="107"/>
      <c r="P45" s="108"/>
      <c r="Q45" s="53"/>
    </row>
    <row r="46" spans="2:17" ht="19.95" customHeight="1" x14ac:dyDescent="0.3">
      <c r="B46" s="8" t="s">
        <v>94</v>
      </c>
      <c r="C46" s="217"/>
      <c r="D46" s="108"/>
      <c r="E46" s="217"/>
      <c r="F46" s="108"/>
      <c r="G46" s="201"/>
      <c r="H46" s="107"/>
      <c r="I46" s="107"/>
      <c r="J46" s="107"/>
      <c r="K46" s="107"/>
      <c r="L46" s="108"/>
      <c r="M46" s="201"/>
      <c r="N46" s="107"/>
      <c r="O46" s="107"/>
      <c r="P46" s="108"/>
      <c r="Q46" s="53"/>
    </row>
    <row r="47" spans="2:17" ht="19.95" customHeight="1" x14ac:dyDescent="0.3">
      <c r="B47" s="8" t="s">
        <v>97</v>
      </c>
      <c r="C47" s="217"/>
      <c r="D47" s="108"/>
      <c r="E47" s="217"/>
      <c r="F47" s="108"/>
      <c r="G47" s="201"/>
      <c r="H47" s="107"/>
      <c r="I47" s="107"/>
      <c r="J47" s="107"/>
      <c r="K47" s="107"/>
      <c r="L47" s="108"/>
      <c r="M47" s="201"/>
      <c r="N47" s="107"/>
      <c r="O47" s="107"/>
      <c r="P47" s="108"/>
      <c r="Q47" s="53"/>
    </row>
    <row r="48" spans="2:17" ht="19.95" customHeight="1" x14ac:dyDescent="0.3">
      <c r="B48" s="8" t="s">
        <v>100</v>
      </c>
      <c r="C48" s="217"/>
      <c r="D48" s="108"/>
      <c r="E48" s="217"/>
      <c r="F48" s="108"/>
      <c r="G48" s="201"/>
      <c r="H48" s="107"/>
      <c r="I48" s="107"/>
      <c r="J48" s="107"/>
      <c r="K48" s="107"/>
      <c r="L48" s="108"/>
      <c r="M48" s="201"/>
      <c r="N48" s="107"/>
      <c r="O48" s="107"/>
      <c r="P48" s="108"/>
      <c r="Q48" s="53"/>
    </row>
    <row r="49" spans="2:17" ht="19.95" customHeight="1" x14ac:dyDescent="0.3">
      <c r="B49" s="8" t="s">
        <v>103</v>
      </c>
      <c r="C49" s="217"/>
      <c r="D49" s="108"/>
      <c r="E49" s="217"/>
      <c r="F49" s="108"/>
      <c r="G49" s="201"/>
      <c r="H49" s="107"/>
      <c r="I49" s="107"/>
      <c r="J49" s="107"/>
      <c r="K49" s="107"/>
      <c r="L49" s="108"/>
      <c r="M49" s="201"/>
      <c r="N49" s="107"/>
      <c r="O49" s="107"/>
      <c r="P49" s="108"/>
      <c r="Q49" s="53"/>
    </row>
    <row r="50" spans="2:17" ht="19.95" customHeight="1" x14ac:dyDescent="0.3">
      <c r="B50" s="8" t="s">
        <v>106</v>
      </c>
      <c r="C50" s="217"/>
      <c r="D50" s="108"/>
      <c r="E50" s="217"/>
      <c r="F50" s="108"/>
      <c r="G50" s="201"/>
      <c r="H50" s="107"/>
      <c r="I50" s="107"/>
      <c r="J50" s="107"/>
      <c r="K50" s="107"/>
      <c r="L50" s="108"/>
      <c r="M50" s="201"/>
      <c r="N50" s="107"/>
      <c r="O50" s="107"/>
      <c r="P50" s="108"/>
      <c r="Q50" s="53"/>
    </row>
    <row r="51" spans="2:17" ht="6" customHeight="1" x14ac:dyDescent="0.3"/>
    <row r="52" spans="2:17" ht="22.05" customHeight="1" x14ac:dyDescent="0.3">
      <c r="B52" s="37" t="s">
        <v>66</v>
      </c>
      <c r="C52" s="152" t="s">
        <v>3767</v>
      </c>
      <c r="D52" s="153"/>
      <c r="E52" s="153"/>
      <c r="F52" s="153"/>
      <c r="G52" s="153"/>
      <c r="H52" s="153"/>
      <c r="I52" s="153"/>
      <c r="J52" s="153"/>
      <c r="K52" s="153"/>
      <c r="L52" s="153"/>
      <c r="M52" s="153"/>
      <c r="N52" s="153"/>
      <c r="O52" s="153"/>
      <c r="P52" s="153"/>
      <c r="Q52" s="105"/>
    </row>
    <row r="53" spans="2:17" ht="4.95" customHeight="1" x14ac:dyDescent="0.3"/>
    <row r="54" spans="2:17" ht="12" customHeight="1" x14ac:dyDescent="0.3"/>
    <row r="55" spans="2:17" ht="27" customHeight="1" x14ac:dyDescent="0.3">
      <c r="B55" s="128" t="s">
        <v>3768</v>
      </c>
      <c r="C55" s="124"/>
      <c r="D55" s="124"/>
      <c r="E55" s="124"/>
      <c r="F55" s="124"/>
      <c r="G55" s="124"/>
      <c r="H55" s="124"/>
      <c r="I55" s="124"/>
      <c r="J55" s="124"/>
      <c r="K55" s="124"/>
      <c r="L55" s="124"/>
      <c r="M55" s="124"/>
      <c r="N55" s="124"/>
      <c r="O55" s="124"/>
      <c r="P55" s="124"/>
      <c r="Q55" s="124"/>
    </row>
    <row r="56" spans="2:17" ht="4.95" customHeight="1" x14ac:dyDescent="0.3"/>
    <row r="57" spans="2:17" ht="22.05" customHeight="1" x14ac:dyDescent="0.3">
      <c r="B57" s="7" t="s">
        <v>73</v>
      </c>
      <c r="C57" s="144" t="s">
        <v>3146</v>
      </c>
      <c r="D57" s="145"/>
      <c r="E57" s="144" t="s">
        <v>285</v>
      </c>
      <c r="F57" s="171"/>
      <c r="G57" s="171"/>
      <c r="H57" s="171"/>
      <c r="I57" s="171"/>
      <c r="J57" s="171"/>
      <c r="K57" s="171"/>
      <c r="L57" s="171"/>
      <c r="M57" s="171"/>
      <c r="N57" s="145"/>
      <c r="O57" s="144" t="s">
        <v>3769</v>
      </c>
      <c r="P57" s="145"/>
      <c r="Q57" s="7" t="s">
        <v>1787</v>
      </c>
    </row>
    <row r="58" spans="2:17" ht="19.95" customHeight="1" x14ac:dyDescent="0.3">
      <c r="B58" s="8" t="s">
        <v>77</v>
      </c>
      <c r="C58" s="215" t="s">
        <v>3770</v>
      </c>
      <c r="D58" s="111"/>
      <c r="E58" s="130" t="s">
        <v>3771</v>
      </c>
      <c r="F58" s="110"/>
      <c r="G58" s="110"/>
      <c r="H58" s="110"/>
      <c r="I58" s="110"/>
      <c r="J58" s="110"/>
      <c r="K58" s="110"/>
      <c r="L58" s="110"/>
      <c r="M58" s="110"/>
      <c r="N58" s="111"/>
      <c r="O58" s="130" t="s">
        <v>3772</v>
      </c>
      <c r="P58" s="111"/>
      <c r="Q58" s="53" t="s">
        <v>291</v>
      </c>
    </row>
    <row r="59" spans="2:17" ht="19.95" customHeight="1" x14ac:dyDescent="0.3">
      <c r="B59" s="11" t="s">
        <v>81</v>
      </c>
      <c r="C59" s="216" t="s">
        <v>3770</v>
      </c>
      <c r="D59" s="133"/>
      <c r="E59" s="132" t="s">
        <v>3773</v>
      </c>
      <c r="F59" s="169"/>
      <c r="G59" s="169"/>
      <c r="H59" s="169"/>
      <c r="I59" s="169"/>
      <c r="J59" s="169"/>
      <c r="K59" s="169"/>
      <c r="L59" s="169"/>
      <c r="M59" s="169"/>
      <c r="N59" s="133"/>
      <c r="O59" s="132" t="s">
        <v>3774</v>
      </c>
      <c r="P59" s="133"/>
      <c r="Q59" s="53" t="s">
        <v>291</v>
      </c>
    </row>
    <row r="60" spans="2:17" ht="19.95" customHeight="1" x14ac:dyDescent="0.3">
      <c r="B60" s="8" t="s">
        <v>85</v>
      </c>
      <c r="C60" s="215" t="s">
        <v>3770</v>
      </c>
      <c r="D60" s="111"/>
      <c r="E60" s="130" t="s">
        <v>3775</v>
      </c>
      <c r="F60" s="110"/>
      <c r="G60" s="110"/>
      <c r="H60" s="110"/>
      <c r="I60" s="110"/>
      <c r="J60" s="110"/>
      <c r="K60" s="110"/>
      <c r="L60" s="110"/>
      <c r="M60" s="110"/>
      <c r="N60" s="111"/>
      <c r="O60" s="130" t="s">
        <v>3776</v>
      </c>
      <c r="P60" s="111"/>
      <c r="Q60" s="53" t="s">
        <v>291</v>
      </c>
    </row>
    <row r="61" spans="2:17" ht="19.95" customHeight="1" x14ac:dyDescent="0.3">
      <c r="B61" s="11" t="s">
        <v>88</v>
      </c>
      <c r="C61" s="216" t="s">
        <v>3770</v>
      </c>
      <c r="D61" s="133"/>
      <c r="E61" s="132" t="s">
        <v>3777</v>
      </c>
      <c r="F61" s="169"/>
      <c r="G61" s="169"/>
      <c r="H61" s="169"/>
      <c r="I61" s="169"/>
      <c r="J61" s="169"/>
      <c r="K61" s="169"/>
      <c r="L61" s="169"/>
      <c r="M61" s="169"/>
      <c r="N61" s="133"/>
      <c r="O61" s="132" t="s">
        <v>3778</v>
      </c>
      <c r="P61" s="133"/>
      <c r="Q61" s="53" t="s">
        <v>291</v>
      </c>
    </row>
    <row r="62" spans="2:17" ht="19.95" customHeight="1" x14ac:dyDescent="0.3">
      <c r="B62" s="8" t="s">
        <v>91</v>
      </c>
      <c r="C62" s="215" t="s">
        <v>3770</v>
      </c>
      <c r="D62" s="111"/>
      <c r="E62" s="130" t="s">
        <v>3779</v>
      </c>
      <c r="F62" s="110"/>
      <c r="G62" s="110"/>
      <c r="H62" s="110"/>
      <c r="I62" s="110"/>
      <c r="J62" s="110"/>
      <c r="K62" s="110"/>
      <c r="L62" s="110"/>
      <c r="M62" s="110"/>
      <c r="N62" s="111"/>
      <c r="O62" s="130" t="s">
        <v>3780</v>
      </c>
      <c r="P62" s="111"/>
      <c r="Q62" s="53" t="s">
        <v>291</v>
      </c>
    </row>
    <row r="63" spans="2:17" ht="19.95" customHeight="1" x14ac:dyDescent="0.3">
      <c r="B63" s="11" t="s">
        <v>94</v>
      </c>
      <c r="C63" s="216" t="s">
        <v>3770</v>
      </c>
      <c r="D63" s="133"/>
      <c r="E63" s="132" t="s">
        <v>3781</v>
      </c>
      <c r="F63" s="169"/>
      <c r="G63" s="169"/>
      <c r="H63" s="169"/>
      <c r="I63" s="169"/>
      <c r="J63" s="169"/>
      <c r="K63" s="169"/>
      <c r="L63" s="169"/>
      <c r="M63" s="169"/>
      <c r="N63" s="133"/>
      <c r="O63" s="132" t="s">
        <v>3782</v>
      </c>
      <c r="P63" s="133"/>
      <c r="Q63" s="53" t="s">
        <v>291</v>
      </c>
    </row>
    <row r="64" spans="2:17" ht="19.95" customHeight="1" x14ac:dyDescent="0.3">
      <c r="B64" s="8" t="s">
        <v>97</v>
      </c>
      <c r="C64" s="215" t="s">
        <v>3783</v>
      </c>
      <c r="D64" s="111"/>
      <c r="E64" s="130" t="s">
        <v>3784</v>
      </c>
      <c r="F64" s="110"/>
      <c r="G64" s="110"/>
      <c r="H64" s="110"/>
      <c r="I64" s="110"/>
      <c r="J64" s="110"/>
      <c r="K64" s="110"/>
      <c r="L64" s="110"/>
      <c r="M64" s="110"/>
      <c r="N64" s="111"/>
      <c r="O64" s="130" t="s">
        <v>3785</v>
      </c>
      <c r="P64" s="111"/>
      <c r="Q64" s="53" t="s">
        <v>291</v>
      </c>
    </row>
    <row r="65" spans="2:17" ht="19.95" customHeight="1" x14ac:dyDescent="0.3">
      <c r="B65" s="11" t="s">
        <v>100</v>
      </c>
      <c r="C65" s="216" t="s">
        <v>3783</v>
      </c>
      <c r="D65" s="133"/>
      <c r="E65" s="132" t="s">
        <v>3786</v>
      </c>
      <c r="F65" s="169"/>
      <c r="G65" s="169"/>
      <c r="H65" s="169"/>
      <c r="I65" s="169"/>
      <c r="J65" s="169"/>
      <c r="K65" s="169"/>
      <c r="L65" s="169"/>
      <c r="M65" s="169"/>
      <c r="N65" s="133"/>
      <c r="O65" s="132" t="s">
        <v>3787</v>
      </c>
      <c r="P65" s="133"/>
      <c r="Q65" s="53" t="s">
        <v>291</v>
      </c>
    </row>
    <row r="66" spans="2:17" ht="19.95" customHeight="1" x14ac:dyDescent="0.3">
      <c r="B66" s="8" t="s">
        <v>103</v>
      </c>
      <c r="C66" s="215" t="s">
        <v>3788</v>
      </c>
      <c r="D66" s="111"/>
      <c r="E66" s="130" t="s">
        <v>3789</v>
      </c>
      <c r="F66" s="110"/>
      <c r="G66" s="110"/>
      <c r="H66" s="110"/>
      <c r="I66" s="110"/>
      <c r="J66" s="110"/>
      <c r="K66" s="110"/>
      <c r="L66" s="110"/>
      <c r="M66" s="110"/>
      <c r="N66" s="111"/>
      <c r="O66" s="130" t="s">
        <v>3790</v>
      </c>
      <c r="P66" s="111"/>
      <c r="Q66" s="53" t="s">
        <v>291</v>
      </c>
    </row>
    <row r="67" spans="2:17" ht="19.95" customHeight="1" x14ac:dyDescent="0.3">
      <c r="B67" s="11" t="s">
        <v>106</v>
      </c>
      <c r="C67" s="216" t="s">
        <v>3788</v>
      </c>
      <c r="D67" s="133"/>
      <c r="E67" s="132" t="s">
        <v>3791</v>
      </c>
      <c r="F67" s="169"/>
      <c r="G67" s="169"/>
      <c r="H67" s="169"/>
      <c r="I67" s="169"/>
      <c r="J67" s="169"/>
      <c r="K67" s="169"/>
      <c r="L67" s="169"/>
      <c r="M67" s="169"/>
      <c r="N67" s="133"/>
      <c r="O67" s="132" t="s">
        <v>3787</v>
      </c>
      <c r="P67" s="133"/>
      <c r="Q67" s="53" t="s">
        <v>291</v>
      </c>
    </row>
    <row r="68" spans="2:17" ht="19.95" customHeight="1" x14ac:dyDescent="0.3">
      <c r="B68" s="8" t="s">
        <v>109</v>
      </c>
      <c r="C68" s="215" t="s">
        <v>3788</v>
      </c>
      <c r="D68" s="111"/>
      <c r="E68" s="130" t="s">
        <v>3792</v>
      </c>
      <c r="F68" s="110"/>
      <c r="G68" s="110"/>
      <c r="H68" s="110"/>
      <c r="I68" s="110"/>
      <c r="J68" s="110"/>
      <c r="K68" s="110"/>
      <c r="L68" s="110"/>
      <c r="M68" s="110"/>
      <c r="N68" s="111"/>
      <c r="O68" s="130" t="s">
        <v>117</v>
      </c>
      <c r="P68" s="111"/>
      <c r="Q68" s="53" t="s">
        <v>291</v>
      </c>
    </row>
    <row r="69" spans="2:17" ht="19.95" customHeight="1" x14ac:dyDescent="0.3">
      <c r="B69" s="11" t="s">
        <v>113</v>
      </c>
      <c r="C69" s="216" t="s">
        <v>3788</v>
      </c>
      <c r="D69" s="133"/>
      <c r="E69" s="132" t="s">
        <v>3793</v>
      </c>
      <c r="F69" s="169"/>
      <c r="G69" s="169"/>
      <c r="H69" s="169"/>
      <c r="I69" s="169"/>
      <c r="J69" s="169"/>
      <c r="K69" s="169"/>
      <c r="L69" s="169"/>
      <c r="M69" s="169"/>
      <c r="N69" s="133"/>
      <c r="O69" s="132" t="s">
        <v>80</v>
      </c>
      <c r="P69" s="133"/>
      <c r="Q69" s="53" t="s">
        <v>291</v>
      </c>
    </row>
    <row r="70" spans="2:17" ht="6" customHeight="1" x14ac:dyDescent="0.3"/>
  </sheetData>
  <mergeCells count="114">
    <mergeCell ref="B1:Q1"/>
    <mergeCell ref="C37:D37"/>
    <mergeCell ref="E37:F37"/>
    <mergeCell ref="M46:P46"/>
    <mergeCell ref="M42:P42"/>
    <mergeCell ref="E47:F47"/>
    <mergeCell ref="B2:P2"/>
    <mergeCell ref="G37:L37"/>
    <mergeCell ref="M41:P41"/>
    <mergeCell ref="C42:D42"/>
    <mergeCell ref="E42:F42"/>
    <mergeCell ref="M38:P38"/>
    <mergeCell ref="E66:N66"/>
    <mergeCell ref="E68:N68"/>
    <mergeCell ref="O69:P69"/>
    <mergeCell ref="C7:Q7"/>
    <mergeCell ref="E67:N67"/>
    <mergeCell ref="G41:L41"/>
    <mergeCell ref="G50:L50"/>
    <mergeCell ref="B31:Q31"/>
    <mergeCell ref="E45:F45"/>
    <mergeCell ref="G43:L43"/>
    <mergeCell ref="C39:D39"/>
    <mergeCell ref="O64:P64"/>
    <mergeCell ref="B14:Q14"/>
    <mergeCell ref="G36:L36"/>
    <mergeCell ref="G42:L42"/>
    <mergeCell ref="O67:P67"/>
    <mergeCell ref="B4:Q4"/>
    <mergeCell ref="C44:D44"/>
    <mergeCell ref="C8:Q8"/>
    <mergeCell ref="E62:N62"/>
    <mergeCell ref="C59:D59"/>
    <mergeCell ref="M49:P49"/>
    <mergeCell ref="M39:P39"/>
    <mergeCell ref="C46:D46"/>
    <mergeCell ref="M48:P48"/>
    <mergeCell ref="E46:F46"/>
    <mergeCell ref="O59:P59"/>
    <mergeCell ref="C61:D61"/>
    <mergeCell ref="C48:D48"/>
    <mergeCell ref="O61:P61"/>
    <mergeCell ref="C38:D38"/>
    <mergeCell ref="M40:P40"/>
    <mergeCell ref="E41:F41"/>
    <mergeCell ref="G39:L39"/>
    <mergeCell ref="C49:D49"/>
    <mergeCell ref="E43:F43"/>
    <mergeCell ref="C6:Q6"/>
    <mergeCell ref="E60:N60"/>
    <mergeCell ref="C57:D57"/>
    <mergeCell ref="G48:L48"/>
    <mergeCell ref="C66:D66"/>
    <mergeCell ref="O57:P57"/>
    <mergeCell ref="G38:L38"/>
    <mergeCell ref="E50:F50"/>
    <mergeCell ref="M37:P37"/>
    <mergeCell ref="M36:P36"/>
    <mergeCell ref="C58:D58"/>
    <mergeCell ref="G49:L49"/>
    <mergeCell ref="E39:F39"/>
    <mergeCell ref="E44:F44"/>
    <mergeCell ref="M50:P50"/>
    <mergeCell ref="C65:D65"/>
    <mergeCell ref="E64:N64"/>
    <mergeCell ref="E65:N65"/>
    <mergeCell ref="C9:Q9"/>
    <mergeCell ref="B55:Q55"/>
    <mergeCell ref="E38:F38"/>
    <mergeCell ref="C47:D47"/>
    <mergeCell ref="C11:Q11"/>
    <mergeCell ref="O65:P65"/>
    <mergeCell ref="G45:L45"/>
    <mergeCell ref="C40:D40"/>
    <mergeCell ref="E40:F40"/>
    <mergeCell ref="M44:P44"/>
    <mergeCell ref="G47:L47"/>
    <mergeCell ref="C60:D60"/>
    <mergeCell ref="G44:L44"/>
    <mergeCell ref="O62:P62"/>
    <mergeCell ref="E63:N63"/>
    <mergeCell ref="O58:P58"/>
    <mergeCell ref="E69:N69"/>
    <mergeCell ref="C67:D67"/>
    <mergeCell ref="O66:P66"/>
    <mergeCell ref="E59:N59"/>
    <mergeCell ref="C69:D69"/>
    <mergeCell ref="M45:P45"/>
    <mergeCell ref="C10:Q10"/>
    <mergeCell ref="E61:N61"/>
    <mergeCell ref="O68:P68"/>
    <mergeCell ref="C45:D45"/>
    <mergeCell ref="M47:P47"/>
    <mergeCell ref="E48:F48"/>
    <mergeCell ref="C68:D68"/>
    <mergeCell ref="C62:D62"/>
    <mergeCell ref="E57:N57"/>
    <mergeCell ref="C64:D64"/>
    <mergeCell ref="B33:Q33"/>
    <mergeCell ref="C63:D63"/>
    <mergeCell ref="C41:D41"/>
    <mergeCell ref="E58:N58"/>
    <mergeCell ref="B35:Q35"/>
    <mergeCell ref="M43:P43"/>
    <mergeCell ref="C50:D50"/>
    <mergeCell ref="C52:Q52"/>
    <mergeCell ref="O63:P63"/>
    <mergeCell ref="C43:D43"/>
    <mergeCell ref="G46:L46"/>
    <mergeCell ref="G40:L40"/>
    <mergeCell ref="E49:F49"/>
    <mergeCell ref="C36:D36"/>
    <mergeCell ref="E36:F36"/>
    <mergeCell ref="O60:P60"/>
  </mergeCells>
  <phoneticPr fontId="27"/>
  <conditionalFormatting sqref="O17:O29">
    <cfRule type="cellIs" dxfId="0" priority="1" operator="equal">
      <formula>"NG"</formula>
    </cfRule>
  </conditionalFormatting>
  <dataValidations count="4">
    <dataValidation type="list" allowBlank="1" error="リストから選択してください" prompt="リストから選択" sqref="F18:F29" xr:uid="{00000000-0002-0000-1500-000000000000}">
      <formula1>"試し実行,本番,段階負荷,再試験,中止"</formula1>
    </dataValidation>
    <dataValidation type="list" allowBlank="1" error="リストから選択してください" prompt="リストから選択" sqref="O18:O29" xr:uid="{00000000-0002-0000-1500-000001000000}">
      <formula1>"OK,NG,参考,中止"</formula1>
    </dataValidation>
    <dataValidation type="list" allowBlank="1" error="リストから選択してください" prompt="リストから選択" sqref="E41:E50" xr:uid="{00000000-0002-0000-1500-000002000000}">
      <formula1>"連絡,開始,監視,異常,停止,終了,その他"</formula1>
    </dataValidation>
    <dataValidation type="list" allowBlank="1" error="リストから選択してください" prompt="リストから選択" sqref="Q58 Q59 Q60 Q61 Q62 Q63 Q64 Q65 Q66 Q67 Q68 Q69" xr:uid="{00000000-0002-0000-1500-000003000000}">
      <formula1>"未,済,対象外"</formula1>
    </dataValidation>
  </dataValidations>
  <hyperlinks>
    <hyperlink ref="Q2" location="'目次'!A1" display="▲ 目次へ戻る" xr:uid="{00000000-0004-0000-15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18:B29 B41:B50 B58:B69 O59 O68"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D9D9D9"/>
    <pageSetUpPr fitToPage="1"/>
  </sheetPr>
  <dimension ref="B1:F83"/>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3794</v>
      </c>
      <c r="C1" s="118"/>
      <c r="D1" s="118"/>
      <c r="E1" s="118"/>
      <c r="F1" s="118"/>
    </row>
    <row r="2" spans="2:6" ht="24" customHeight="1" x14ac:dyDescent="0.3">
      <c r="B2" s="141" t="s">
        <v>3795</v>
      </c>
      <c r="C2" s="113"/>
      <c r="D2" s="113"/>
      <c r="E2" s="113"/>
      <c r="F2" s="4" t="s">
        <v>38</v>
      </c>
    </row>
    <row r="3" spans="2:6" ht="12" customHeight="1" x14ac:dyDescent="0.3"/>
    <row r="4" spans="2:6" ht="27" customHeight="1" x14ac:dyDescent="0.3">
      <c r="B4" s="128" t="s">
        <v>3796</v>
      </c>
      <c r="C4" s="124"/>
      <c r="D4" s="124"/>
      <c r="E4" s="124"/>
      <c r="F4" s="124"/>
    </row>
    <row r="5" spans="2:6" ht="4.95" customHeight="1" x14ac:dyDescent="0.3"/>
    <row r="6" spans="2:6" ht="22.05" customHeight="1" x14ac:dyDescent="0.3">
      <c r="B6" s="144" t="s">
        <v>416</v>
      </c>
      <c r="C6" s="145"/>
      <c r="D6" s="144" t="s">
        <v>487</v>
      </c>
      <c r="E6" s="145"/>
      <c r="F6" s="7" t="s">
        <v>772</v>
      </c>
    </row>
    <row r="7" spans="2:6" ht="19.95" customHeight="1" x14ac:dyDescent="0.3">
      <c r="B7" s="174" t="s">
        <v>3797</v>
      </c>
      <c r="C7" s="111"/>
      <c r="D7" s="149" t="s">
        <v>438</v>
      </c>
      <c r="E7" s="137"/>
      <c r="F7" s="10" t="s">
        <v>3798</v>
      </c>
    </row>
    <row r="8" spans="2:6" ht="19.95" customHeight="1" x14ac:dyDescent="0.3">
      <c r="B8" s="173" t="s">
        <v>3799</v>
      </c>
      <c r="C8" s="133"/>
      <c r="D8" s="149" t="s">
        <v>486</v>
      </c>
      <c r="E8" s="137"/>
      <c r="F8" s="13" t="s">
        <v>3800</v>
      </c>
    </row>
    <row r="9" spans="2:6" ht="19.95" customHeight="1" x14ac:dyDescent="0.3">
      <c r="B9" s="174" t="s">
        <v>3801</v>
      </c>
      <c r="C9" s="111"/>
      <c r="D9" s="149" t="s">
        <v>485</v>
      </c>
      <c r="E9" s="137"/>
      <c r="F9" s="10" t="s">
        <v>3802</v>
      </c>
    </row>
    <row r="10" spans="2:6" ht="19.95" customHeight="1" x14ac:dyDescent="0.3">
      <c r="B10" s="173" t="s">
        <v>3803</v>
      </c>
      <c r="C10" s="133"/>
      <c r="D10" s="149" t="s">
        <v>3804</v>
      </c>
      <c r="E10" s="137"/>
      <c r="F10" s="13" t="s">
        <v>3805</v>
      </c>
    </row>
    <row r="11" spans="2:6" ht="19.95" customHeight="1" x14ac:dyDescent="0.3">
      <c r="B11" s="174" t="s">
        <v>3806</v>
      </c>
      <c r="C11" s="111"/>
      <c r="D11" s="149" t="s">
        <v>3807</v>
      </c>
      <c r="E11" s="137"/>
      <c r="F11" s="10" t="s">
        <v>3808</v>
      </c>
    </row>
    <row r="12" spans="2:6" ht="19.95" customHeight="1" x14ac:dyDescent="0.3">
      <c r="B12" s="173" t="s">
        <v>498</v>
      </c>
      <c r="C12" s="133"/>
      <c r="D12" s="149" t="s">
        <v>3809</v>
      </c>
      <c r="E12" s="137"/>
      <c r="F12" s="13" t="s">
        <v>3810</v>
      </c>
    </row>
    <row r="13" spans="2:6" ht="19.95" customHeight="1" x14ac:dyDescent="0.3">
      <c r="B13" s="174" t="s">
        <v>3811</v>
      </c>
      <c r="C13" s="111"/>
      <c r="D13" s="149" t="s">
        <v>3812</v>
      </c>
      <c r="E13" s="137"/>
      <c r="F13" s="10"/>
    </row>
    <row r="14" spans="2:6" ht="19.95" customHeight="1" x14ac:dyDescent="0.3">
      <c r="B14" s="173" t="s">
        <v>3813</v>
      </c>
      <c r="C14" s="133"/>
      <c r="D14" s="149" t="s">
        <v>3814</v>
      </c>
      <c r="E14" s="137"/>
      <c r="F14" s="13" t="s">
        <v>3815</v>
      </c>
    </row>
    <row r="15" spans="2:6" ht="19.95" customHeight="1" x14ac:dyDescent="0.3">
      <c r="B15" s="174" t="s">
        <v>3816</v>
      </c>
      <c r="C15" s="111"/>
      <c r="D15" s="149" t="s">
        <v>3817</v>
      </c>
      <c r="E15" s="137"/>
      <c r="F15" s="10" t="s">
        <v>3818</v>
      </c>
    </row>
    <row r="16" spans="2:6" ht="19.95" customHeight="1" x14ac:dyDescent="0.3">
      <c r="B16" s="173" t="s">
        <v>3819</v>
      </c>
      <c r="C16" s="133"/>
      <c r="D16" s="149" t="s">
        <v>3820</v>
      </c>
      <c r="E16" s="137"/>
      <c r="F16" s="13" t="s">
        <v>3821</v>
      </c>
    </row>
    <row r="17" spans="2:6" ht="19.95" customHeight="1" x14ac:dyDescent="0.3">
      <c r="B17" s="174" t="s">
        <v>3822</v>
      </c>
      <c r="C17" s="111"/>
      <c r="D17" s="149" t="s">
        <v>3823</v>
      </c>
      <c r="E17" s="137"/>
      <c r="F17" s="10" t="s">
        <v>3824</v>
      </c>
    </row>
    <row r="18" spans="2:6" ht="19.95" customHeight="1" x14ac:dyDescent="0.3">
      <c r="B18" s="173" t="s">
        <v>3825</v>
      </c>
      <c r="C18" s="133"/>
      <c r="D18" s="149" t="s">
        <v>3826</v>
      </c>
      <c r="E18" s="137"/>
      <c r="F18" s="13"/>
    </row>
    <row r="19" spans="2:6" ht="6" customHeight="1" x14ac:dyDescent="0.3"/>
    <row r="20" spans="2:6" ht="12" customHeight="1" x14ac:dyDescent="0.3"/>
    <row r="21" spans="2:6" ht="27" customHeight="1" x14ac:dyDescent="0.3">
      <c r="B21" s="128" t="s">
        <v>3827</v>
      </c>
      <c r="C21" s="124"/>
      <c r="D21" s="124"/>
      <c r="E21" s="124"/>
      <c r="F21" s="124"/>
    </row>
    <row r="22" spans="2:6" ht="4.95" customHeight="1" x14ac:dyDescent="0.3"/>
    <row r="23" spans="2:6" ht="22.05" customHeight="1" x14ac:dyDescent="0.3">
      <c r="B23" s="144" t="s">
        <v>416</v>
      </c>
      <c r="C23" s="145"/>
      <c r="D23" s="144" t="s">
        <v>487</v>
      </c>
      <c r="E23" s="145"/>
      <c r="F23" s="7" t="s">
        <v>772</v>
      </c>
    </row>
    <row r="24" spans="2:6" ht="19.95" customHeight="1" x14ac:dyDescent="0.3">
      <c r="B24" s="174" t="s">
        <v>3828</v>
      </c>
      <c r="C24" s="111"/>
      <c r="D24" s="149" t="s">
        <v>3829</v>
      </c>
      <c r="E24" s="137"/>
      <c r="F24" s="10"/>
    </row>
    <row r="25" spans="2:6" ht="19.95" customHeight="1" x14ac:dyDescent="0.3">
      <c r="B25" s="173" t="s">
        <v>3830</v>
      </c>
      <c r="C25" s="133"/>
      <c r="D25" s="149" t="s">
        <v>2576</v>
      </c>
      <c r="E25" s="137"/>
      <c r="F25" s="13" t="s">
        <v>3831</v>
      </c>
    </row>
    <row r="26" spans="2:6" ht="19.95" customHeight="1" x14ac:dyDescent="0.3">
      <c r="B26" s="174" t="s">
        <v>3832</v>
      </c>
      <c r="C26" s="111"/>
      <c r="D26" s="149" t="s">
        <v>3833</v>
      </c>
      <c r="E26" s="137"/>
      <c r="F26" s="10" t="s">
        <v>3834</v>
      </c>
    </row>
    <row r="27" spans="2:6" ht="19.95" customHeight="1" x14ac:dyDescent="0.3">
      <c r="B27" s="173" t="s">
        <v>3835</v>
      </c>
      <c r="C27" s="133"/>
      <c r="D27" s="149" t="s">
        <v>3836</v>
      </c>
      <c r="E27" s="137"/>
      <c r="F27" s="13"/>
    </row>
    <row r="28" spans="2:6" ht="19.95" customHeight="1" x14ac:dyDescent="0.3">
      <c r="B28" s="174" t="s">
        <v>3837</v>
      </c>
      <c r="C28" s="111"/>
      <c r="D28" s="149" t="s">
        <v>3838</v>
      </c>
      <c r="E28" s="137"/>
      <c r="F28" s="10"/>
    </row>
    <row r="29" spans="2:6" ht="19.95" customHeight="1" x14ac:dyDescent="0.3">
      <c r="B29" s="173" t="s">
        <v>3839</v>
      </c>
      <c r="C29" s="133"/>
      <c r="D29" s="149" t="s">
        <v>3840</v>
      </c>
      <c r="E29" s="137"/>
      <c r="F29" s="13"/>
    </row>
    <row r="30" spans="2:6" ht="19.95" customHeight="1" x14ac:dyDescent="0.3">
      <c r="B30" s="174" t="s">
        <v>3841</v>
      </c>
      <c r="C30" s="111"/>
      <c r="D30" s="149" t="s">
        <v>3842</v>
      </c>
      <c r="E30" s="137"/>
      <c r="F30" s="10" t="s">
        <v>3843</v>
      </c>
    </row>
    <row r="31" spans="2:6" ht="6" customHeight="1" x14ac:dyDescent="0.3"/>
    <row r="32" spans="2:6" ht="12" customHeight="1" x14ac:dyDescent="0.3"/>
    <row r="33" spans="2:6" ht="27" customHeight="1" x14ac:dyDescent="0.3">
      <c r="B33" s="128" t="s">
        <v>3844</v>
      </c>
      <c r="C33" s="124"/>
      <c r="D33" s="124"/>
      <c r="E33" s="124"/>
      <c r="F33" s="124"/>
    </row>
    <row r="34" spans="2:6" ht="4.95" customHeight="1" x14ac:dyDescent="0.3"/>
    <row r="35" spans="2:6" ht="22.05" customHeight="1" x14ac:dyDescent="0.3">
      <c r="B35" s="144" t="s">
        <v>416</v>
      </c>
      <c r="C35" s="145"/>
      <c r="D35" s="144" t="s">
        <v>487</v>
      </c>
      <c r="E35" s="145"/>
      <c r="F35" s="7" t="s">
        <v>772</v>
      </c>
    </row>
    <row r="36" spans="2:6" ht="19.95" customHeight="1" x14ac:dyDescent="0.3">
      <c r="B36" s="174" t="s">
        <v>3845</v>
      </c>
      <c r="C36" s="111"/>
      <c r="D36" s="149" t="s">
        <v>2533</v>
      </c>
      <c r="E36" s="137"/>
      <c r="F36" s="10"/>
    </row>
    <row r="37" spans="2:6" ht="19.95" customHeight="1" x14ac:dyDescent="0.3">
      <c r="B37" s="173" t="s">
        <v>3846</v>
      </c>
      <c r="C37" s="133"/>
      <c r="D37" s="149" t="s">
        <v>3847</v>
      </c>
      <c r="E37" s="137"/>
      <c r="F37" s="13"/>
    </row>
    <row r="38" spans="2:6" ht="19.95" customHeight="1" x14ac:dyDescent="0.3">
      <c r="B38" s="174" t="s">
        <v>3848</v>
      </c>
      <c r="C38" s="111"/>
      <c r="D38" s="149" t="s">
        <v>2547</v>
      </c>
      <c r="E38" s="137"/>
      <c r="F38" s="10"/>
    </row>
    <row r="39" spans="2:6" ht="19.95" customHeight="1" x14ac:dyDescent="0.3">
      <c r="B39" s="173" t="s">
        <v>3849</v>
      </c>
      <c r="C39" s="133"/>
      <c r="D39" s="149" t="s">
        <v>2594</v>
      </c>
      <c r="E39" s="137"/>
      <c r="F39" s="13"/>
    </row>
    <row r="40" spans="2:6" ht="19.95" customHeight="1" x14ac:dyDescent="0.3">
      <c r="B40" s="174" t="s">
        <v>3850</v>
      </c>
      <c r="C40" s="111"/>
      <c r="D40" s="149" t="s">
        <v>2596</v>
      </c>
      <c r="E40" s="137"/>
      <c r="F40" s="10"/>
    </row>
    <row r="41" spans="2:6" ht="19.95" customHeight="1" x14ac:dyDescent="0.3">
      <c r="B41" s="173" t="s">
        <v>3851</v>
      </c>
      <c r="C41" s="133"/>
      <c r="D41" s="149" t="s">
        <v>2599</v>
      </c>
      <c r="E41" s="137"/>
      <c r="F41" s="13" t="s">
        <v>3852</v>
      </c>
    </row>
    <row r="42" spans="2:6" ht="19.95" customHeight="1" x14ac:dyDescent="0.3">
      <c r="B42" s="174" t="s">
        <v>3853</v>
      </c>
      <c r="C42" s="111"/>
      <c r="D42" s="149" t="s">
        <v>2606</v>
      </c>
      <c r="E42" s="137"/>
      <c r="F42" s="10" t="s">
        <v>3854</v>
      </c>
    </row>
    <row r="43" spans="2:6" ht="19.95" customHeight="1" x14ac:dyDescent="0.3">
      <c r="B43" s="173" t="s">
        <v>3855</v>
      </c>
      <c r="C43" s="133"/>
      <c r="D43" s="149" t="s">
        <v>2608</v>
      </c>
      <c r="E43" s="137"/>
      <c r="F43" s="13" t="s">
        <v>3856</v>
      </c>
    </row>
    <row r="44" spans="2:6" ht="19.95" customHeight="1" x14ac:dyDescent="0.3">
      <c r="B44" s="174" t="s">
        <v>3316</v>
      </c>
      <c r="C44" s="111"/>
      <c r="D44" s="149" t="s">
        <v>2623</v>
      </c>
      <c r="E44" s="137"/>
      <c r="F44" s="10"/>
    </row>
    <row r="45" spans="2:6" ht="19.95" customHeight="1" x14ac:dyDescent="0.3">
      <c r="B45" s="173" t="s">
        <v>3857</v>
      </c>
      <c r="C45" s="133"/>
      <c r="D45" s="149" t="s">
        <v>2624</v>
      </c>
      <c r="E45" s="137"/>
      <c r="F45" s="13"/>
    </row>
    <row r="46" spans="2:6" ht="19.95" customHeight="1" x14ac:dyDescent="0.3">
      <c r="B46" s="174" t="s">
        <v>424</v>
      </c>
      <c r="C46" s="111"/>
      <c r="D46" s="149" t="s">
        <v>2649</v>
      </c>
      <c r="E46" s="137"/>
      <c r="F46" s="10"/>
    </row>
    <row r="47" spans="2:6" ht="19.95" customHeight="1" x14ac:dyDescent="0.3">
      <c r="B47" s="173" t="s">
        <v>3858</v>
      </c>
      <c r="C47" s="133"/>
      <c r="D47" s="149" t="s">
        <v>2753</v>
      </c>
      <c r="E47" s="137"/>
      <c r="F47" s="13"/>
    </row>
    <row r="48" spans="2:6" ht="19.95" customHeight="1" x14ac:dyDescent="0.3">
      <c r="B48" s="174" t="s">
        <v>3859</v>
      </c>
      <c r="C48" s="111"/>
      <c r="D48" s="149" t="s">
        <v>3860</v>
      </c>
      <c r="E48" s="137"/>
      <c r="F48" s="10" t="s">
        <v>3861</v>
      </c>
    </row>
    <row r="49" spans="2:6" ht="19.95" customHeight="1" x14ac:dyDescent="0.3">
      <c r="B49" s="173" t="s">
        <v>3841</v>
      </c>
      <c r="C49" s="133"/>
      <c r="D49" s="149" t="s">
        <v>3862</v>
      </c>
      <c r="E49" s="137"/>
      <c r="F49" s="13"/>
    </row>
    <row r="50" spans="2:6" ht="19.95" customHeight="1" x14ac:dyDescent="0.3">
      <c r="B50" s="174" t="s">
        <v>3863</v>
      </c>
      <c r="C50" s="111"/>
      <c r="D50" s="149" t="s">
        <v>3864</v>
      </c>
      <c r="E50" s="137"/>
      <c r="F50" s="10"/>
    </row>
    <row r="51" spans="2:6" ht="19.95" customHeight="1" x14ac:dyDescent="0.3">
      <c r="B51" s="173" t="s">
        <v>3865</v>
      </c>
      <c r="C51" s="133"/>
      <c r="D51" s="149" t="s">
        <v>3866</v>
      </c>
      <c r="E51" s="137"/>
      <c r="F51" s="13" t="s">
        <v>3867</v>
      </c>
    </row>
    <row r="52" spans="2:6" ht="6" customHeight="1" x14ac:dyDescent="0.3"/>
    <row r="53" spans="2:6" ht="12" customHeight="1" x14ac:dyDescent="0.3"/>
    <row r="54" spans="2:6" ht="27" customHeight="1" x14ac:dyDescent="0.3">
      <c r="B54" s="128" t="s">
        <v>3868</v>
      </c>
      <c r="C54" s="124"/>
      <c r="D54" s="124"/>
      <c r="E54" s="124"/>
      <c r="F54" s="124"/>
    </row>
    <row r="55" spans="2:6" ht="4.95" customHeight="1" x14ac:dyDescent="0.3"/>
    <row r="56" spans="2:6" ht="22.05" customHeight="1" x14ac:dyDescent="0.3">
      <c r="B56" s="144" t="s">
        <v>416</v>
      </c>
      <c r="C56" s="145"/>
      <c r="D56" s="144" t="s">
        <v>487</v>
      </c>
      <c r="E56" s="145"/>
      <c r="F56" s="7" t="s">
        <v>772</v>
      </c>
    </row>
    <row r="57" spans="2:6" ht="19.95" customHeight="1" x14ac:dyDescent="0.3">
      <c r="B57" s="174" t="s">
        <v>3869</v>
      </c>
      <c r="C57" s="111"/>
      <c r="D57" s="149" t="s">
        <v>2639</v>
      </c>
      <c r="E57" s="137"/>
      <c r="F57" s="10"/>
    </row>
    <row r="58" spans="2:6" ht="19.95" customHeight="1" x14ac:dyDescent="0.3">
      <c r="B58" s="173" t="s">
        <v>3870</v>
      </c>
      <c r="C58" s="133"/>
      <c r="D58" s="149" t="s">
        <v>2854</v>
      </c>
      <c r="E58" s="137"/>
      <c r="F58" s="13"/>
    </row>
    <row r="59" spans="2:6" ht="19.95" customHeight="1" x14ac:dyDescent="0.3">
      <c r="B59" s="174" t="s">
        <v>3871</v>
      </c>
      <c r="C59" s="111"/>
      <c r="D59" s="149" t="s">
        <v>2774</v>
      </c>
      <c r="E59" s="137"/>
      <c r="F59" s="10" t="s">
        <v>3872</v>
      </c>
    </row>
    <row r="60" spans="2:6" ht="19.95" customHeight="1" x14ac:dyDescent="0.3">
      <c r="B60" s="173" t="s">
        <v>3873</v>
      </c>
      <c r="C60" s="133"/>
      <c r="D60" s="149" t="s">
        <v>2969</v>
      </c>
      <c r="E60" s="137"/>
      <c r="F60" s="13" t="s">
        <v>3874</v>
      </c>
    </row>
    <row r="61" spans="2:6" ht="33.75" customHeight="1" x14ac:dyDescent="0.3">
      <c r="B61" s="174" t="s">
        <v>3875</v>
      </c>
      <c r="C61" s="111"/>
      <c r="D61" s="149" t="s">
        <v>3876</v>
      </c>
      <c r="E61" s="137"/>
      <c r="F61" s="10"/>
    </row>
    <row r="62" spans="2:6" ht="19.95" customHeight="1" x14ac:dyDescent="0.3">
      <c r="B62" s="173" t="s">
        <v>3877</v>
      </c>
      <c r="C62" s="133"/>
      <c r="D62" s="149" t="s">
        <v>3082</v>
      </c>
      <c r="E62" s="137"/>
      <c r="F62" s="13" t="s">
        <v>3878</v>
      </c>
    </row>
    <row r="63" spans="2:6" ht="19.95" customHeight="1" x14ac:dyDescent="0.3">
      <c r="B63" s="174" t="s">
        <v>3879</v>
      </c>
      <c r="C63" s="111"/>
      <c r="D63" s="149" t="s">
        <v>3880</v>
      </c>
      <c r="E63" s="137"/>
      <c r="F63" s="10"/>
    </row>
    <row r="64" spans="2:6" ht="19.95" customHeight="1" x14ac:dyDescent="0.3">
      <c r="B64" s="173" t="s">
        <v>3881</v>
      </c>
      <c r="C64" s="133"/>
      <c r="D64" s="149" t="s">
        <v>3052</v>
      </c>
      <c r="E64" s="137"/>
      <c r="F64" s="13" t="s">
        <v>3882</v>
      </c>
    </row>
    <row r="65" spans="2:6" ht="19.95" customHeight="1" x14ac:dyDescent="0.3">
      <c r="B65" s="174" t="s">
        <v>3054</v>
      </c>
      <c r="C65" s="111"/>
      <c r="D65" s="149" t="s">
        <v>3055</v>
      </c>
      <c r="E65" s="137"/>
      <c r="F65" s="10"/>
    </row>
    <row r="66" spans="2:6" ht="19.95" customHeight="1" x14ac:dyDescent="0.3">
      <c r="B66" s="173" t="s">
        <v>3883</v>
      </c>
      <c r="C66" s="133"/>
      <c r="D66" s="149" t="s">
        <v>3884</v>
      </c>
      <c r="E66" s="137"/>
      <c r="F66" s="13" t="s">
        <v>3885</v>
      </c>
    </row>
    <row r="67" spans="2:6" ht="6" customHeight="1" x14ac:dyDescent="0.3"/>
    <row r="68" spans="2:6" ht="12" customHeight="1" x14ac:dyDescent="0.3"/>
    <row r="69" spans="2:6" ht="27" customHeight="1" x14ac:dyDescent="0.3">
      <c r="B69" s="128" t="s">
        <v>3886</v>
      </c>
      <c r="C69" s="124"/>
      <c r="D69" s="124"/>
      <c r="E69" s="124"/>
      <c r="F69" s="124"/>
    </row>
    <row r="70" spans="2:6" ht="4.95" customHeight="1" x14ac:dyDescent="0.3"/>
    <row r="71" spans="2:6" ht="22.05" customHeight="1" x14ac:dyDescent="0.3">
      <c r="B71" s="144" t="s">
        <v>416</v>
      </c>
      <c r="C71" s="145"/>
      <c r="D71" s="144" t="s">
        <v>3887</v>
      </c>
      <c r="E71" s="145"/>
      <c r="F71" s="7" t="s">
        <v>772</v>
      </c>
    </row>
    <row r="72" spans="2:6" ht="19.95" customHeight="1" x14ac:dyDescent="0.3">
      <c r="B72" s="174" t="s">
        <v>2961</v>
      </c>
      <c r="C72" s="111"/>
      <c r="D72" s="149" t="s">
        <v>2963</v>
      </c>
      <c r="E72" s="137"/>
      <c r="F72" s="10"/>
    </row>
    <row r="73" spans="2:6" ht="19.95" customHeight="1" x14ac:dyDescent="0.3">
      <c r="B73" s="173" t="s">
        <v>3888</v>
      </c>
      <c r="C73" s="133"/>
      <c r="D73" s="149" t="s">
        <v>2975</v>
      </c>
      <c r="E73" s="137"/>
      <c r="F73" s="13" t="s">
        <v>3889</v>
      </c>
    </row>
    <row r="74" spans="2:6" ht="19.95" customHeight="1" x14ac:dyDescent="0.3">
      <c r="B74" s="174" t="s">
        <v>3890</v>
      </c>
      <c r="C74" s="111"/>
      <c r="D74" s="149" t="s">
        <v>2979</v>
      </c>
      <c r="E74" s="137"/>
      <c r="F74" s="10"/>
    </row>
    <row r="75" spans="2:6" ht="19.95" customHeight="1" x14ac:dyDescent="0.3">
      <c r="B75" s="173" t="s">
        <v>3891</v>
      </c>
      <c r="C75" s="133"/>
      <c r="D75" s="149" t="s">
        <v>3892</v>
      </c>
      <c r="E75" s="137"/>
      <c r="F75" s="13" t="s">
        <v>3893</v>
      </c>
    </row>
    <row r="76" spans="2:6" ht="19.95" customHeight="1" x14ac:dyDescent="0.3">
      <c r="B76" s="174" t="s">
        <v>3894</v>
      </c>
      <c r="C76" s="111"/>
      <c r="D76" s="149" t="s">
        <v>3895</v>
      </c>
      <c r="E76" s="137"/>
      <c r="F76" s="10"/>
    </row>
    <row r="77" spans="2:6" ht="19.95" customHeight="1" x14ac:dyDescent="0.3">
      <c r="B77" s="173" t="s">
        <v>3896</v>
      </c>
      <c r="C77" s="133"/>
      <c r="D77" s="149" t="s">
        <v>3028</v>
      </c>
      <c r="E77" s="137"/>
      <c r="F77" s="13" t="s">
        <v>3897</v>
      </c>
    </row>
    <row r="78" spans="2:6" ht="19.95" customHeight="1" x14ac:dyDescent="0.3">
      <c r="B78" s="174" t="s">
        <v>3898</v>
      </c>
      <c r="C78" s="111"/>
      <c r="D78" s="149" t="s">
        <v>3031</v>
      </c>
      <c r="E78" s="137"/>
      <c r="F78" s="10"/>
    </row>
    <row r="79" spans="2:6" ht="19.95" customHeight="1" x14ac:dyDescent="0.3">
      <c r="B79" s="173" t="s">
        <v>3899</v>
      </c>
      <c r="C79" s="133"/>
      <c r="D79" s="149" t="s">
        <v>3900</v>
      </c>
      <c r="E79" s="137"/>
      <c r="F79" s="13"/>
    </row>
    <row r="80" spans="2:6" ht="19.95" customHeight="1" x14ac:dyDescent="0.3">
      <c r="B80" s="174" t="s">
        <v>3901</v>
      </c>
      <c r="C80" s="111"/>
      <c r="D80" s="149" t="s">
        <v>3902</v>
      </c>
      <c r="E80" s="137"/>
      <c r="F80" s="10" t="s">
        <v>3903</v>
      </c>
    </row>
    <row r="81" spans="2:6" ht="19.95" customHeight="1" x14ac:dyDescent="0.3">
      <c r="B81" s="173" t="s">
        <v>3904</v>
      </c>
      <c r="C81" s="133"/>
      <c r="D81" s="149" t="s">
        <v>3046</v>
      </c>
      <c r="E81" s="137"/>
      <c r="F81" s="13"/>
    </row>
    <row r="82" spans="2:6" ht="19.95" customHeight="1" x14ac:dyDescent="0.3">
      <c r="B82" s="174" t="s">
        <v>3905</v>
      </c>
      <c r="C82" s="111"/>
      <c r="D82" s="149" t="s">
        <v>3025</v>
      </c>
      <c r="E82" s="137"/>
      <c r="F82" s="10"/>
    </row>
    <row r="83" spans="2:6" ht="6" customHeight="1" x14ac:dyDescent="0.3"/>
  </sheetData>
  <mergeCells count="129">
    <mergeCell ref="D82:E82"/>
    <mergeCell ref="B33:F33"/>
    <mergeCell ref="B36:C36"/>
    <mergeCell ref="B50:C50"/>
    <mergeCell ref="D50:E50"/>
    <mergeCell ref="D44:E44"/>
    <mergeCell ref="D59:E59"/>
    <mergeCell ref="B1:F1"/>
    <mergeCell ref="B17:C17"/>
    <mergeCell ref="B57:C57"/>
    <mergeCell ref="D17:E17"/>
    <mergeCell ref="B82:C82"/>
    <mergeCell ref="B44:C44"/>
    <mergeCell ref="B28:C28"/>
    <mergeCell ref="D28:E28"/>
    <mergeCell ref="B2:E2"/>
    <mergeCell ref="B9:C9"/>
    <mergeCell ref="D12:E12"/>
    <mergeCell ref="D25:E25"/>
    <mergeCell ref="B30:C30"/>
    <mergeCell ref="D30:E30"/>
    <mergeCell ref="B76:C76"/>
    <mergeCell ref="B45:C45"/>
    <mergeCell ref="D14:E14"/>
    <mergeCell ref="B75:C75"/>
    <mergeCell ref="B47:C47"/>
    <mergeCell ref="B62:C62"/>
    <mergeCell ref="B59:C59"/>
    <mergeCell ref="B46:C46"/>
    <mergeCell ref="D46:E46"/>
    <mergeCell ref="D40:E40"/>
    <mergeCell ref="B81:C81"/>
    <mergeCell ref="D81:E81"/>
    <mergeCell ref="B56:C56"/>
    <mergeCell ref="B71:C71"/>
    <mergeCell ref="D65:E65"/>
    <mergeCell ref="B43:C43"/>
    <mergeCell ref="B58:C58"/>
    <mergeCell ref="B21:F21"/>
    <mergeCell ref="D49:E49"/>
    <mergeCell ref="D27:E27"/>
    <mergeCell ref="B42:C42"/>
    <mergeCell ref="B60:C60"/>
    <mergeCell ref="D80:E80"/>
    <mergeCell ref="B39:C39"/>
    <mergeCell ref="B48:C48"/>
    <mergeCell ref="D57:E57"/>
    <mergeCell ref="B23:C23"/>
    <mergeCell ref="D41:E41"/>
    <mergeCell ref="B73:C73"/>
    <mergeCell ref="B69:F69"/>
    <mergeCell ref="D43:E43"/>
    <mergeCell ref="D58:E58"/>
    <mergeCell ref="B65:C65"/>
    <mergeCell ref="B74:C74"/>
    <mergeCell ref="B80:C80"/>
    <mergeCell ref="D29:E29"/>
    <mergeCell ref="D23:E23"/>
    <mergeCell ref="D38:E38"/>
    <mergeCell ref="B79:C79"/>
    <mergeCell ref="D79:E79"/>
    <mergeCell ref="B4:F4"/>
    <mergeCell ref="B7:C7"/>
    <mergeCell ref="B72:C72"/>
    <mergeCell ref="D63:E63"/>
    <mergeCell ref="B8:C8"/>
    <mergeCell ref="D16:E16"/>
    <mergeCell ref="B10:C10"/>
    <mergeCell ref="D18:E18"/>
    <mergeCell ref="D8:E8"/>
    <mergeCell ref="D74:E74"/>
    <mergeCell ref="D42:E42"/>
    <mergeCell ref="D47:E47"/>
    <mergeCell ref="B29:C29"/>
    <mergeCell ref="B37:C37"/>
    <mergeCell ref="D37:E37"/>
    <mergeCell ref="D9:E9"/>
    <mergeCell ref="D39:E39"/>
    <mergeCell ref="B6:C6"/>
    <mergeCell ref="B15:C15"/>
    <mergeCell ref="D15:E15"/>
    <mergeCell ref="B78:C78"/>
    <mergeCell ref="D7:E7"/>
    <mergeCell ref="D72:E72"/>
    <mergeCell ref="D78:E78"/>
    <mergeCell ref="D62:E62"/>
    <mergeCell ref="B40:C40"/>
    <mergeCell ref="D56:E56"/>
    <mergeCell ref="D71:E71"/>
    <mergeCell ref="B49:C49"/>
    <mergeCell ref="B24:C24"/>
    <mergeCell ref="B64:C64"/>
    <mergeCell ref="D24:E24"/>
    <mergeCell ref="D64:E64"/>
    <mergeCell ref="B51:C51"/>
    <mergeCell ref="D73:E73"/>
    <mergeCell ref="D51:E51"/>
    <mergeCell ref="B63:C63"/>
    <mergeCell ref="B26:C26"/>
    <mergeCell ref="B41:C41"/>
    <mergeCell ref="D26:E26"/>
    <mergeCell ref="B35:C35"/>
    <mergeCell ref="D35:E35"/>
    <mergeCell ref="B16:C16"/>
    <mergeCell ref="D10:E10"/>
    <mergeCell ref="D60:E60"/>
    <mergeCell ref="D36:E36"/>
    <mergeCell ref="D45:E45"/>
    <mergeCell ref="B12:C12"/>
    <mergeCell ref="B77:C77"/>
    <mergeCell ref="D6:E6"/>
    <mergeCell ref="D77:E77"/>
    <mergeCell ref="D13:E13"/>
    <mergeCell ref="B61:C61"/>
    <mergeCell ref="B14:C14"/>
    <mergeCell ref="D61:E61"/>
    <mergeCell ref="D48:E48"/>
    <mergeCell ref="B13:C13"/>
    <mergeCell ref="B38:C38"/>
    <mergeCell ref="B25:C25"/>
    <mergeCell ref="B54:F54"/>
    <mergeCell ref="B66:C66"/>
    <mergeCell ref="B18:C18"/>
    <mergeCell ref="B27:C27"/>
    <mergeCell ref="B11:C11"/>
    <mergeCell ref="D11:E11"/>
    <mergeCell ref="D76:E76"/>
    <mergeCell ref="D66:E66"/>
    <mergeCell ref="D75:E75"/>
  </mergeCells>
  <phoneticPr fontId="27"/>
  <hyperlinks>
    <hyperlink ref="F2" location="'目次'!A1" display="▲ 目次へ戻る" xr:uid="{00000000-0004-0000-16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D9D9D9"/>
    <pageSetUpPr fitToPage="1"/>
  </sheetPr>
  <dimension ref="B1:F57"/>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3906</v>
      </c>
      <c r="C1" s="118"/>
      <c r="D1" s="118"/>
      <c r="E1" s="118"/>
      <c r="F1" s="118"/>
    </row>
    <row r="2" spans="2:6" ht="24" customHeight="1" x14ac:dyDescent="0.3">
      <c r="B2" s="141" t="s">
        <v>3907</v>
      </c>
      <c r="C2" s="113"/>
      <c r="D2" s="113"/>
      <c r="E2" s="113"/>
      <c r="F2" s="4" t="s">
        <v>38</v>
      </c>
    </row>
    <row r="3" spans="2:6" ht="22.05" customHeight="1" x14ac:dyDescent="0.3">
      <c r="B3" s="144" t="s">
        <v>3908</v>
      </c>
      <c r="C3" s="145"/>
      <c r="D3" s="7" t="s">
        <v>3909</v>
      </c>
      <c r="E3" s="144" t="s">
        <v>3910</v>
      </c>
      <c r="F3" s="145"/>
    </row>
    <row r="4" spans="2:6" ht="21" customHeight="1" x14ac:dyDescent="0.3">
      <c r="B4" s="176" t="s">
        <v>3911</v>
      </c>
      <c r="C4" s="177"/>
      <c r="D4" s="177"/>
      <c r="E4" s="177"/>
      <c r="F4" s="135"/>
    </row>
    <row r="5" spans="2:6" ht="33.75" customHeight="1" x14ac:dyDescent="0.3">
      <c r="B5" s="149" t="s">
        <v>3912</v>
      </c>
      <c r="C5" s="137"/>
      <c r="D5" s="10" t="s">
        <v>3913</v>
      </c>
      <c r="E5" s="130" t="s">
        <v>3914</v>
      </c>
      <c r="F5" s="111"/>
    </row>
    <row r="6" spans="2:6" ht="48.15" customHeight="1" x14ac:dyDescent="0.3">
      <c r="B6" s="149" t="s">
        <v>3915</v>
      </c>
      <c r="C6" s="137"/>
      <c r="D6" s="13" t="s">
        <v>3916</v>
      </c>
      <c r="E6" s="132" t="s">
        <v>3917</v>
      </c>
      <c r="F6" s="133"/>
    </row>
    <row r="7" spans="2:6" ht="33.75" customHeight="1" x14ac:dyDescent="0.3">
      <c r="B7" s="149" t="s">
        <v>3918</v>
      </c>
      <c r="C7" s="137"/>
      <c r="D7" s="10" t="s">
        <v>3919</v>
      </c>
      <c r="E7" s="130" t="s">
        <v>3920</v>
      </c>
      <c r="F7" s="111"/>
    </row>
    <row r="8" spans="2:6" ht="33.75" customHeight="1" x14ac:dyDescent="0.3">
      <c r="B8" s="149" t="s">
        <v>3921</v>
      </c>
      <c r="C8" s="137"/>
      <c r="D8" s="13" t="s">
        <v>3922</v>
      </c>
      <c r="E8" s="132" t="s">
        <v>3923</v>
      </c>
      <c r="F8" s="133"/>
    </row>
    <row r="9" spans="2:6" ht="33.75" customHeight="1" x14ac:dyDescent="0.3">
      <c r="B9" s="149" t="s">
        <v>3924</v>
      </c>
      <c r="C9" s="137"/>
      <c r="D9" s="10" t="s">
        <v>665</v>
      </c>
      <c r="E9" s="130" t="s">
        <v>3925</v>
      </c>
      <c r="F9" s="111"/>
    </row>
    <row r="10" spans="2:6" ht="21" customHeight="1" x14ac:dyDescent="0.3">
      <c r="B10" s="176" t="s">
        <v>3926</v>
      </c>
      <c r="C10" s="177"/>
      <c r="D10" s="177"/>
      <c r="E10" s="177"/>
      <c r="F10" s="135"/>
    </row>
    <row r="11" spans="2:6" ht="33.75" customHeight="1" x14ac:dyDescent="0.3">
      <c r="B11" s="149" t="s">
        <v>3927</v>
      </c>
      <c r="C11" s="137"/>
      <c r="D11" s="10" t="s">
        <v>3928</v>
      </c>
      <c r="E11" s="130" t="s">
        <v>3929</v>
      </c>
      <c r="F11" s="111"/>
    </row>
    <row r="12" spans="2:6" ht="33.75" customHeight="1" x14ac:dyDescent="0.3">
      <c r="B12" s="149" t="s">
        <v>3930</v>
      </c>
      <c r="C12" s="137"/>
      <c r="D12" s="13" t="s">
        <v>2082</v>
      </c>
      <c r="E12" s="132" t="s">
        <v>3931</v>
      </c>
      <c r="F12" s="133"/>
    </row>
    <row r="13" spans="2:6" ht="33.75" customHeight="1" x14ac:dyDescent="0.3">
      <c r="B13" s="149" t="s">
        <v>3932</v>
      </c>
      <c r="C13" s="137"/>
      <c r="D13" s="10" t="s">
        <v>2085</v>
      </c>
      <c r="E13" s="130" t="s">
        <v>3933</v>
      </c>
      <c r="F13" s="111"/>
    </row>
    <row r="14" spans="2:6" ht="33.75" customHeight="1" x14ac:dyDescent="0.3">
      <c r="B14" s="149" t="s">
        <v>3934</v>
      </c>
      <c r="C14" s="137"/>
      <c r="D14" s="13" t="s">
        <v>3935</v>
      </c>
      <c r="E14" s="132" t="s">
        <v>3936</v>
      </c>
      <c r="F14" s="133"/>
    </row>
    <row r="15" spans="2:6" ht="33.75" customHeight="1" x14ac:dyDescent="0.3">
      <c r="B15" s="149" t="s">
        <v>3937</v>
      </c>
      <c r="C15" s="137"/>
      <c r="D15" s="10" t="s">
        <v>3938</v>
      </c>
      <c r="E15" s="130" t="s">
        <v>3939</v>
      </c>
      <c r="F15" s="111"/>
    </row>
    <row r="16" spans="2:6" ht="33.75" customHeight="1" x14ac:dyDescent="0.3">
      <c r="B16" s="149" t="s">
        <v>2087</v>
      </c>
      <c r="C16" s="137"/>
      <c r="D16" s="13" t="s">
        <v>2088</v>
      </c>
      <c r="E16" s="132" t="s">
        <v>3940</v>
      </c>
      <c r="F16" s="133"/>
    </row>
    <row r="17" spans="2:6" ht="48.15" customHeight="1" x14ac:dyDescent="0.3">
      <c r="B17" s="149" t="s">
        <v>3941</v>
      </c>
      <c r="C17" s="137"/>
      <c r="D17" s="10" t="s">
        <v>3942</v>
      </c>
      <c r="E17" s="130" t="s">
        <v>3943</v>
      </c>
      <c r="F17" s="111"/>
    </row>
    <row r="18" spans="2:6" ht="33.75" customHeight="1" x14ac:dyDescent="0.3">
      <c r="B18" s="149" t="s">
        <v>3944</v>
      </c>
      <c r="C18" s="137"/>
      <c r="D18" s="13" t="s">
        <v>3945</v>
      </c>
      <c r="E18" s="132" t="s">
        <v>3946</v>
      </c>
      <c r="F18" s="133"/>
    </row>
    <row r="19" spans="2:6" ht="33.75" customHeight="1" x14ac:dyDescent="0.3">
      <c r="B19" s="149" t="s">
        <v>3947</v>
      </c>
      <c r="C19" s="137"/>
      <c r="D19" s="10" t="s">
        <v>3948</v>
      </c>
      <c r="E19" s="130" t="s">
        <v>3949</v>
      </c>
      <c r="F19" s="111"/>
    </row>
    <row r="20" spans="2:6" ht="33.75" customHeight="1" x14ac:dyDescent="0.3">
      <c r="B20" s="149" t="s">
        <v>3950</v>
      </c>
      <c r="C20" s="137"/>
      <c r="D20" s="13" t="s">
        <v>3951</v>
      </c>
      <c r="E20" s="132" t="s">
        <v>3952</v>
      </c>
      <c r="F20" s="133"/>
    </row>
    <row r="21" spans="2:6" ht="33.75" customHeight="1" x14ac:dyDescent="0.3">
      <c r="B21" s="149" t="s">
        <v>3953</v>
      </c>
      <c r="C21" s="137"/>
      <c r="D21" s="10" t="s">
        <v>3954</v>
      </c>
      <c r="E21" s="130" t="s">
        <v>3955</v>
      </c>
      <c r="F21" s="111"/>
    </row>
    <row r="22" spans="2:6" ht="21" customHeight="1" x14ac:dyDescent="0.3">
      <c r="B22" s="176" t="s">
        <v>309</v>
      </c>
      <c r="C22" s="177"/>
      <c r="D22" s="177"/>
      <c r="E22" s="177"/>
      <c r="F22" s="135"/>
    </row>
    <row r="23" spans="2:6" ht="33.75" customHeight="1" x14ac:dyDescent="0.3">
      <c r="B23" s="149" t="s">
        <v>3956</v>
      </c>
      <c r="C23" s="137"/>
      <c r="D23" s="10" t="s">
        <v>3957</v>
      </c>
      <c r="E23" s="130" t="s">
        <v>3958</v>
      </c>
      <c r="F23" s="111"/>
    </row>
    <row r="24" spans="2:6" ht="33.75" customHeight="1" x14ac:dyDescent="0.3">
      <c r="B24" s="149" t="s">
        <v>2094</v>
      </c>
      <c r="C24" s="137"/>
      <c r="D24" s="13" t="s">
        <v>2095</v>
      </c>
      <c r="E24" s="132" t="s">
        <v>3959</v>
      </c>
      <c r="F24" s="133"/>
    </row>
    <row r="25" spans="2:6" ht="33.75" customHeight="1" x14ac:dyDescent="0.3">
      <c r="B25" s="149" t="s">
        <v>2097</v>
      </c>
      <c r="C25" s="137"/>
      <c r="D25" s="10" t="s">
        <v>2098</v>
      </c>
      <c r="E25" s="130" t="s">
        <v>3960</v>
      </c>
      <c r="F25" s="111"/>
    </row>
    <row r="26" spans="2:6" ht="19.95" customHeight="1" x14ac:dyDescent="0.3">
      <c r="B26" s="149" t="s">
        <v>3961</v>
      </c>
      <c r="C26" s="137"/>
      <c r="D26" s="13" t="s">
        <v>3962</v>
      </c>
      <c r="E26" s="132" t="s">
        <v>3963</v>
      </c>
      <c r="F26" s="133"/>
    </row>
    <row r="27" spans="2:6" ht="33.75" customHeight="1" x14ac:dyDescent="0.3">
      <c r="B27" s="149" t="s">
        <v>3964</v>
      </c>
      <c r="C27" s="137"/>
      <c r="D27" s="10" t="s">
        <v>3965</v>
      </c>
      <c r="E27" s="130" t="s">
        <v>3966</v>
      </c>
      <c r="F27" s="111"/>
    </row>
    <row r="28" spans="2:6" ht="48.15" customHeight="1" x14ac:dyDescent="0.3">
      <c r="B28" s="149" t="s">
        <v>3967</v>
      </c>
      <c r="C28" s="137"/>
      <c r="D28" s="13" t="s">
        <v>3968</v>
      </c>
      <c r="E28" s="132" t="s">
        <v>3969</v>
      </c>
      <c r="F28" s="133"/>
    </row>
    <row r="29" spans="2:6" ht="33.75" customHeight="1" x14ac:dyDescent="0.3">
      <c r="B29" s="149" t="s">
        <v>3970</v>
      </c>
      <c r="C29" s="137"/>
      <c r="D29" s="10" t="s">
        <v>3971</v>
      </c>
      <c r="E29" s="130" t="s">
        <v>3972</v>
      </c>
      <c r="F29" s="111"/>
    </row>
    <row r="30" spans="2:6" ht="33.75" customHeight="1" x14ac:dyDescent="0.3">
      <c r="B30" s="149" t="s">
        <v>3973</v>
      </c>
      <c r="C30" s="137"/>
      <c r="D30" s="13" t="s">
        <v>3974</v>
      </c>
      <c r="E30" s="132" t="s">
        <v>3975</v>
      </c>
      <c r="F30" s="133"/>
    </row>
    <row r="31" spans="2:6" ht="33.75" customHeight="1" x14ac:dyDescent="0.3">
      <c r="B31" s="149" t="s">
        <v>3976</v>
      </c>
      <c r="C31" s="137"/>
      <c r="D31" s="10" t="s">
        <v>3977</v>
      </c>
      <c r="E31" s="130" t="s">
        <v>3978</v>
      </c>
      <c r="F31" s="111"/>
    </row>
    <row r="32" spans="2:6" ht="21" customHeight="1" x14ac:dyDescent="0.3">
      <c r="B32" s="176" t="s">
        <v>3979</v>
      </c>
      <c r="C32" s="177"/>
      <c r="D32" s="177"/>
      <c r="E32" s="177"/>
      <c r="F32" s="135"/>
    </row>
    <row r="33" spans="2:6" ht="33.75" customHeight="1" x14ac:dyDescent="0.3">
      <c r="B33" s="149" t="s">
        <v>3980</v>
      </c>
      <c r="C33" s="137"/>
      <c r="D33" s="10" t="s">
        <v>3981</v>
      </c>
      <c r="E33" s="130" t="s">
        <v>3982</v>
      </c>
      <c r="F33" s="111"/>
    </row>
    <row r="34" spans="2:6" ht="33.75" customHeight="1" x14ac:dyDescent="0.3">
      <c r="B34" s="149" t="s">
        <v>3983</v>
      </c>
      <c r="C34" s="137"/>
      <c r="D34" s="13" t="s">
        <v>3984</v>
      </c>
      <c r="E34" s="132" t="s">
        <v>3985</v>
      </c>
      <c r="F34" s="133"/>
    </row>
    <row r="35" spans="2:6" ht="33.75" customHeight="1" x14ac:dyDescent="0.3">
      <c r="B35" s="149" t="s">
        <v>3986</v>
      </c>
      <c r="C35" s="137"/>
      <c r="D35" s="10" t="s">
        <v>3987</v>
      </c>
      <c r="E35" s="130" t="s">
        <v>3988</v>
      </c>
      <c r="F35" s="111"/>
    </row>
    <row r="36" spans="2:6" ht="33.75" customHeight="1" x14ac:dyDescent="0.3">
      <c r="B36" s="149" t="s">
        <v>3989</v>
      </c>
      <c r="C36" s="137"/>
      <c r="D36" s="13" t="s">
        <v>3990</v>
      </c>
      <c r="E36" s="132" t="s">
        <v>3991</v>
      </c>
      <c r="F36" s="133"/>
    </row>
    <row r="37" spans="2:6" ht="33.75" customHeight="1" x14ac:dyDescent="0.3">
      <c r="B37" s="149" t="s">
        <v>3992</v>
      </c>
      <c r="C37" s="137"/>
      <c r="D37" s="10" t="s">
        <v>3993</v>
      </c>
      <c r="E37" s="130" t="s">
        <v>3994</v>
      </c>
      <c r="F37" s="111"/>
    </row>
    <row r="38" spans="2:6" ht="33.75" customHeight="1" x14ac:dyDescent="0.3">
      <c r="B38" s="149" t="s">
        <v>3995</v>
      </c>
      <c r="C38" s="137"/>
      <c r="D38" s="13" t="s">
        <v>3996</v>
      </c>
      <c r="E38" s="132" t="s">
        <v>3997</v>
      </c>
      <c r="F38" s="133"/>
    </row>
    <row r="39" spans="2:6" ht="33.75" customHeight="1" x14ac:dyDescent="0.3">
      <c r="B39" s="149" t="s">
        <v>3998</v>
      </c>
      <c r="C39" s="137"/>
      <c r="D39" s="10" t="s">
        <v>3999</v>
      </c>
      <c r="E39" s="130" t="s">
        <v>4000</v>
      </c>
      <c r="F39" s="111"/>
    </row>
    <row r="40" spans="2:6" ht="33.75" customHeight="1" x14ac:dyDescent="0.3">
      <c r="B40" s="149" t="s">
        <v>4001</v>
      </c>
      <c r="C40" s="137"/>
      <c r="D40" s="13" t="s">
        <v>4002</v>
      </c>
      <c r="E40" s="132" t="s">
        <v>4003</v>
      </c>
      <c r="F40" s="133"/>
    </row>
    <row r="41" spans="2:6" ht="33.75" customHeight="1" x14ac:dyDescent="0.3">
      <c r="B41" s="149" t="s">
        <v>4004</v>
      </c>
      <c r="C41" s="137"/>
      <c r="D41" s="10" t="s">
        <v>4005</v>
      </c>
      <c r="E41" s="130" t="s">
        <v>4006</v>
      </c>
      <c r="F41" s="111"/>
    </row>
    <row r="42" spans="2:6" ht="33.75" customHeight="1" x14ac:dyDescent="0.3">
      <c r="B42" s="149" t="s">
        <v>4007</v>
      </c>
      <c r="C42" s="137"/>
      <c r="D42" s="13" t="s">
        <v>4008</v>
      </c>
      <c r="E42" s="132" t="s">
        <v>4009</v>
      </c>
      <c r="F42" s="133"/>
    </row>
    <row r="43" spans="2:6" ht="33.75" customHeight="1" x14ac:dyDescent="0.3">
      <c r="B43" s="149" t="s">
        <v>4010</v>
      </c>
      <c r="C43" s="137"/>
      <c r="D43" s="10" t="s">
        <v>4011</v>
      </c>
      <c r="E43" s="130" t="s">
        <v>4012</v>
      </c>
      <c r="F43" s="111"/>
    </row>
    <row r="44" spans="2:6" ht="21" customHeight="1" x14ac:dyDescent="0.3">
      <c r="B44" s="176" t="s">
        <v>4013</v>
      </c>
      <c r="C44" s="177"/>
      <c r="D44" s="177"/>
      <c r="E44" s="177"/>
      <c r="F44" s="135"/>
    </row>
    <row r="45" spans="2:6" ht="33.75" customHeight="1" x14ac:dyDescent="0.3">
      <c r="B45" s="149" t="s">
        <v>4014</v>
      </c>
      <c r="C45" s="137"/>
      <c r="D45" s="10" t="s">
        <v>4015</v>
      </c>
      <c r="E45" s="130" t="s">
        <v>4016</v>
      </c>
      <c r="F45" s="111"/>
    </row>
    <row r="46" spans="2:6" ht="33.75" customHeight="1" x14ac:dyDescent="0.3">
      <c r="B46" s="149" t="s">
        <v>4017</v>
      </c>
      <c r="C46" s="137"/>
      <c r="D46" s="13" t="s">
        <v>4018</v>
      </c>
      <c r="E46" s="132" t="s">
        <v>4019</v>
      </c>
      <c r="F46" s="133"/>
    </row>
    <row r="47" spans="2:6" ht="33.75" customHeight="1" x14ac:dyDescent="0.3">
      <c r="B47" s="149" t="s">
        <v>4020</v>
      </c>
      <c r="C47" s="137"/>
      <c r="D47" s="10" t="s">
        <v>4021</v>
      </c>
      <c r="E47" s="130" t="s">
        <v>4022</v>
      </c>
      <c r="F47" s="111"/>
    </row>
    <row r="48" spans="2:6" ht="21" customHeight="1" x14ac:dyDescent="0.3">
      <c r="B48" s="176" t="s">
        <v>2508</v>
      </c>
      <c r="C48" s="177"/>
      <c r="D48" s="177"/>
      <c r="E48" s="177"/>
      <c r="F48" s="135"/>
    </row>
    <row r="49" spans="2:6" ht="33.75" customHeight="1" x14ac:dyDescent="0.3">
      <c r="B49" s="149" t="s">
        <v>4023</v>
      </c>
      <c r="C49" s="137"/>
      <c r="D49" s="10" t="s">
        <v>4024</v>
      </c>
      <c r="E49" s="130" t="s">
        <v>4025</v>
      </c>
      <c r="F49" s="111"/>
    </row>
    <row r="50" spans="2:6" ht="33.75" customHeight="1" x14ac:dyDescent="0.3">
      <c r="B50" s="149" t="s">
        <v>4026</v>
      </c>
      <c r="C50" s="137"/>
      <c r="D50" s="13" t="s">
        <v>3376</v>
      </c>
      <c r="E50" s="132" t="s">
        <v>4027</v>
      </c>
      <c r="F50" s="133"/>
    </row>
    <row r="51" spans="2:6" ht="33.75" customHeight="1" x14ac:dyDescent="0.3">
      <c r="B51" s="149" t="s">
        <v>4028</v>
      </c>
      <c r="C51" s="137"/>
      <c r="D51" s="10" t="s">
        <v>4029</v>
      </c>
      <c r="E51" s="130" t="s">
        <v>4030</v>
      </c>
      <c r="F51" s="111"/>
    </row>
    <row r="52" spans="2:6" ht="33.75" customHeight="1" x14ac:dyDescent="0.3">
      <c r="B52" s="149" t="s">
        <v>4031</v>
      </c>
      <c r="C52" s="137"/>
      <c r="D52" s="13" t="s">
        <v>4032</v>
      </c>
      <c r="E52" s="132" t="s">
        <v>4033</v>
      </c>
      <c r="F52" s="133"/>
    </row>
    <row r="53" spans="2:6" ht="33.75" customHeight="1" x14ac:dyDescent="0.3">
      <c r="B53" s="149" t="s">
        <v>4034</v>
      </c>
      <c r="C53" s="137"/>
      <c r="D53" s="10" t="s">
        <v>4035</v>
      </c>
      <c r="E53" s="130" t="s">
        <v>4036</v>
      </c>
      <c r="F53" s="111"/>
    </row>
    <row r="54" spans="2:6" ht="33.75" customHeight="1" x14ac:dyDescent="0.3">
      <c r="B54" s="149" t="s">
        <v>4037</v>
      </c>
      <c r="C54" s="137"/>
      <c r="D54" s="13" t="s">
        <v>4038</v>
      </c>
      <c r="E54" s="132" t="s">
        <v>4039</v>
      </c>
      <c r="F54" s="133"/>
    </row>
    <row r="55" spans="2:6" ht="33.75" customHeight="1" x14ac:dyDescent="0.3">
      <c r="B55" s="149" t="s">
        <v>4040</v>
      </c>
      <c r="C55" s="137"/>
      <c r="D55" s="10" t="s">
        <v>4041</v>
      </c>
      <c r="E55" s="130" t="s">
        <v>4042</v>
      </c>
      <c r="F55" s="111"/>
    </row>
    <row r="56" spans="2:6" ht="33.75" customHeight="1" x14ac:dyDescent="0.3">
      <c r="B56" s="149" t="s">
        <v>4043</v>
      </c>
      <c r="C56" s="137"/>
      <c r="D56" s="13" t="s">
        <v>4044</v>
      </c>
      <c r="E56" s="132" t="s">
        <v>4045</v>
      </c>
      <c r="F56" s="133"/>
    </row>
    <row r="57" spans="2:6" ht="6" customHeight="1" x14ac:dyDescent="0.3"/>
  </sheetData>
  <mergeCells count="104">
    <mergeCell ref="B1:F1"/>
    <mergeCell ref="B17:C17"/>
    <mergeCell ref="E31:F31"/>
    <mergeCell ref="E6:F6"/>
    <mergeCell ref="E15:F15"/>
    <mergeCell ref="E46:F46"/>
    <mergeCell ref="B19:C19"/>
    <mergeCell ref="B34:C34"/>
    <mergeCell ref="B28:C28"/>
    <mergeCell ref="B2:E2"/>
    <mergeCell ref="B9:C9"/>
    <mergeCell ref="B30:C30"/>
    <mergeCell ref="E7:F7"/>
    <mergeCell ref="B5:C5"/>
    <mergeCell ref="B20:C20"/>
    <mergeCell ref="E41:F41"/>
    <mergeCell ref="B45:C45"/>
    <mergeCell ref="E43:F43"/>
    <mergeCell ref="E24:F24"/>
    <mergeCell ref="E33:F33"/>
    <mergeCell ref="B46:C46"/>
    <mergeCell ref="E42:F42"/>
    <mergeCell ref="B22:F22"/>
    <mergeCell ref="E17:F17"/>
    <mergeCell ref="B56:C56"/>
    <mergeCell ref="E39:F39"/>
    <mergeCell ref="B43:C43"/>
    <mergeCell ref="B52:C52"/>
    <mergeCell ref="E20:F20"/>
    <mergeCell ref="E29:F29"/>
    <mergeCell ref="B48:F48"/>
    <mergeCell ref="B42:C42"/>
    <mergeCell ref="E13:F13"/>
    <mergeCell ref="E54:F54"/>
    <mergeCell ref="E56:F56"/>
    <mergeCell ref="B47:C47"/>
    <mergeCell ref="B39:C39"/>
    <mergeCell ref="E35:F35"/>
    <mergeCell ref="E19:F19"/>
    <mergeCell ref="B23:C23"/>
    <mergeCell ref="E28:F28"/>
    <mergeCell ref="E30:F30"/>
    <mergeCell ref="E45:F45"/>
    <mergeCell ref="B36:C36"/>
    <mergeCell ref="E37:F37"/>
    <mergeCell ref="B50:C50"/>
    <mergeCell ref="B32:F32"/>
    <mergeCell ref="E47:F47"/>
    <mergeCell ref="B6:C6"/>
    <mergeCell ref="B15:C15"/>
    <mergeCell ref="E16:F16"/>
    <mergeCell ref="E25:F25"/>
    <mergeCell ref="E18:F18"/>
    <mergeCell ref="B4:F4"/>
    <mergeCell ref="E50:F50"/>
    <mergeCell ref="B54:C54"/>
    <mergeCell ref="B7:C7"/>
    <mergeCell ref="E52:F52"/>
    <mergeCell ref="E9:F9"/>
    <mergeCell ref="B8:C8"/>
    <mergeCell ref="E11:F11"/>
    <mergeCell ref="E21:F21"/>
    <mergeCell ref="B55:C55"/>
    <mergeCell ref="B24:C24"/>
    <mergeCell ref="B33:C33"/>
    <mergeCell ref="B51:C51"/>
    <mergeCell ref="E53:F53"/>
    <mergeCell ref="B26:C26"/>
    <mergeCell ref="B41:C41"/>
    <mergeCell ref="B35:C35"/>
    <mergeCell ref="E3:F3"/>
    <mergeCell ref="E12:F12"/>
    <mergeCell ref="B16:C16"/>
    <mergeCell ref="B25:C25"/>
    <mergeCell ref="E55:F55"/>
    <mergeCell ref="B3:C3"/>
    <mergeCell ref="E5:F5"/>
    <mergeCell ref="E14:F14"/>
    <mergeCell ref="B18:C18"/>
    <mergeCell ref="B27:C27"/>
    <mergeCell ref="E38:F38"/>
    <mergeCell ref="B11:C11"/>
    <mergeCell ref="E40:F40"/>
    <mergeCell ref="B53:C53"/>
    <mergeCell ref="B29:C29"/>
    <mergeCell ref="B10:F10"/>
    <mergeCell ref="E23:F23"/>
    <mergeCell ref="B31:C31"/>
    <mergeCell ref="E8:F8"/>
    <mergeCell ref="B12:C12"/>
    <mergeCell ref="B21:C21"/>
    <mergeCell ref="E51:F51"/>
    <mergeCell ref="B14:C14"/>
    <mergeCell ref="B13:C13"/>
    <mergeCell ref="E34:F34"/>
    <mergeCell ref="B44:F44"/>
    <mergeCell ref="B38:C38"/>
    <mergeCell ref="E49:F49"/>
    <mergeCell ref="E27:F27"/>
    <mergeCell ref="E36:F36"/>
    <mergeCell ref="B40:C40"/>
    <mergeCell ref="B49:C49"/>
    <mergeCell ref="B37:C37"/>
    <mergeCell ref="E26:F26"/>
  </mergeCells>
  <phoneticPr fontId="27"/>
  <hyperlinks>
    <hyperlink ref="F2" location="'目次'!A1" display="▲ 目次へ戻る" xr:uid="{00000000-0004-0000-17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9D9D9"/>
    <pageSetUpPr fitToPage="1"/>
  </sheetPr>
  <dimension ref="B1:F59"/>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4046</v>
      </c>
      <c r="C1" s="118"/>
      <c r="D1" s="118"/>
      <c r="E1" s="118"/>
      <c r="F1" s="118"/>
    </row>
    <row r="2" spans="2:6" ht="24" customHeight="1" x14ac:dyDescent="0.3">
      <c r="B2" s="141" t="s">
        <v>4047</v>
      </c>
      <c r="C2" s="113"/>
      <c r="D2" s="113"/>
      <c r="E2" s="113"/>
      <c r="F2" s="4" t="s">
        <v>38</v>
      </c>
    </row>
    <row r="3" spans="2:6" ht="22.05" customHeight="1" x14ac:dyDescent="0.3">
      <c r="B3" s="144" t="s">
        <v>4048</v>
      </c>
      <c r="C3" s="145"/>
      <c r="D3" s="7" t="s">
        <v>4049</v>
      </c>
      <c r="E3" s="144" t="s">
        <v>53</v>
      </c>
      <c r="F3" s="145"/>
    </row>
    <row r="4" spans="2:6" ht="21" customHeight="1" x14ac:dyDescent="0.3">
      <c r="B4" s="176" t="s">
        <v>4050</v>
      </c>
      <c r="C4" s="177"/>
      <c r="D4" s="177"/>
      <c r="E4" s="177"/>
      <c r="F4" s="135"/>
    </row>
    <row r="5" spans="2:6" ht="19.95" customHeight="1" x14ac:dyDescent="0.3">
      <c r="B5" s="174" t="s">
        <v>4051</v>
      </c>
      <c r="C5" s="111"/>
      <c r="D5" s="10" t="s">
        <v>4052</v>
      </c>
      <c r="E5" s="130" t="s">
        <v>4053</v>
      </c>
      <c r="F5" s="111"/>
    </row>
    <row r="6" spans="2:6" ht="19.95" customHeight="1" x14ac:dyDescent="0.3">
      <c r="B6" s="173" t="s">
        <v>4054</v>
      </c>
      <c r="C6" s="133"/>
      <c r="D6" s="13" t="s">
        <v>4055</v>
      </c>
      <c r="E6" s="132" t="s">
        <v>4056</v>
      </c>
      <c r="F6" s="133"/>
    </row>
    <row r="7" spans="2:6" ht="19.95" customHeight="1" x14ac:dyDescent="0.3">
      <c r="B7" s="174" t="s">
        <v>4057</v>
      </c>
      <c r="C7" s="111"/>
      <c r="D7" s="10" t="s">
        <v>4058</v>
      </c>
      <c r="E7" s="130" t="s">
        <v>4059</v>
      </c>
      <c r="F7" s="111"/>
    </row>
    <row r="8" spans="2:6" ht="19.95" customHeight="1" x14ac:dyDescent="0.3">
      <c r="B8" s="173" t="s">
        <v>4060</v>
      </c>
      <c r="C8" s="133"/>
      <c r="D8" s="13" t="s">
        <v>4061</v>
      </c>
      <c r="E8" s="132" t="s">
        <v>4062</v>
      </c>
      <c r="F8" s="133"/>
    </row>
    <row r="9" spans="2:6" ht="19.95" customHeight="1" x14ac:dyDescent="0.3">
      <c r="B9" s="174" t="s">
        <v>4063</v>
      </c>
      <c r="C9" s="111"/>
      <c r="D9" s="10" t="s">
        <v>4064</v>
      </c>
      <c r="E9" s="130" t="s">
        <v>4065</v>
      </c>
      <c r="F9" s="111"/>
    </row>
    <row r="10" spans="2:6" ht="19.95" customHeight="1" x14ac:dyDescent="0.3">
      <c r="B10" s="173" t="s">
        <v>4066</v>
      </c>
      <c r="C10" s="133"/>
      <c r="D10" s="13" t="s">
        <v>4067</v>
      </c>
      <c r="E10" s="132" t="s">
        <v>4068</v>
      </c>
      <c r="F10" s="133"/>
    </row>
    <row r="11" spans="2:6" ht="19.95" customHeight="1" x14ac:dyDescent="0.3">
      <c r="B11" s="174" t="s">
        <v>4069</v>
      </c>
      <c r="C11" s="111"/>
      <c r="D11" s="10" t="s">
        <v>4070</v>
      </c>
      <c r="E11" s="130" t="s">
        <v>4071</v>
      </c>
      <c r="F11" s="111"/>
    </row>
    <row r="12" spans="2:6" ht="19.95" customHeight="1" x14ac:dyDescent="0.3">
      <c r="B12" s="173" t="s">
        <v>4072</v>
      </c>
      <c r="C12" s="133"/>
      <c r="D12" s="13" t="s">
        <v>848</v>
      </c>
      <c r="E12" s="132" t="s">
        <v>4073</v>
      </c>
      <c r="F12" s="133"/>
    </row>
    <row r="13" spans="2:6" ht="19.95" customHeight="1" x14ac:dyDescent="0.3">
      <c r="B13" s="174" t="s">
        <v>4074</v>
      </c>
      <c r="C13" s="111"/>
      <c r="D13" s="10" t="s">
        <v>4075</v>
      </c>
      <c r="E13" s="130" t="s">
        <v>4076</v>
      </c>
      <c r="F13" s="111"/>
    </row>
    <row r="14" spans="2:6" ht="19.95" customHeight="1" x14ac:dyDescent="0.3">
      <c r="B14" s="173" t="s">
        <v>1693</v>
      </c>
      <c r="C14" s="133"/>
      <c r="D14" s="13" t="s">
        <v>873</v>
      </c>
      <c r="E14" s="132" t="s">
        <v>4077</v>
      </c>
      <c r="F14" s="133"/>
    </row>
    <row r="15" spans="2:6" ht="19.95" customHeight="1" x14ac:dyDescent="0.3">
      <c r="B15" s="174" t="s">
        <v>4078</v>
      </c>
      <c r="C15" s="111"/>
      <c r="D15" s="10" t="s">
        <v>1262</v>
      </c>
      <c r="E15" s="130" t="s">
        <v>4079</v>
      </c>
      <c r="F15" s="111"/>
    </row>
    <row r="16" spans="2:6" ht="19.95" customHeight="1" x14ac:dyDescent="0.3">
      <c r="B16" s="173" t="s">
        <v>3340</v>
      </c>
      <c r="C16" s="133"/>
      <c r="D16" s="13" t="s">
        <v>4080</v>
      </c>
      <c r="E16" s="132" t="s">
        <v>4081</v>
      </c>
      <c r="F16" s="133"/>
    </row>
    <row r="17" spans="2:6" ht="19.95" customHeight="1" x14ac:dyDescent="0.3">
      <c r="B17" s="174" t="s">
        <v>4082</v>
      </c>
      <c r="C17" s="111"/>
      <c r="D17" s="10" t="s">
        <v>4083</v>
      </c>
      <c r="E17" s="130" t="s">
        <v>4084</v>
      </c>
      <c r="F17" s="111"/>
    </row>
    <row r="18" spans="2:6" ht="19.95" customHeight="1" x14ac:dyDescent="0.3">
      <c r="B18" s="173" t="s">
        <v>4085</v>
      </c>
      <c r="C18" s="133"/>
      <c r="D18" s="13" t="s">
        <v>4086</v>
      </c>
      <c r="E18" s="132" t="s">
        <v>4087</v>
      </c>
      <c r="F18" s="133"/>
    </row>
    <row r="19" spans="2:6" ht="19.95" customHeight="1" x14ac:dyDescent="0.3">
      <c r="B19" s="174" t="s">
        <v>4088</v>
      </c>
      <c r="C19" s="111"/>
      <c r="D19" s="10" t="s">
        <v>4089</v>
      </c>
      <c r="E19" s="130" t="s">
        <v>4090</v>
      </c>
      <c r="F19" s="111"/>
    </row>
    <row r="20" spans="2:6" ht="19.95" customHeight="1" x14ac:dyDescent="0.3">
      <c r="B20" s="173" t="s">
        <v>4091</v>
      </c>
      <c r="C20" s="133"/>
      <c r="D20" s="13"/>
      <c r="E20" s="132" t="s">
        <v>4092</v>
      </c>
      <c r="F20" s="133"/>
    </row>
    <row r="21" spans="2:6" ht="19.95" customHeight="1" x14ac:dyDescent="0.3">
      <c r="B21" s="174" t="s">
        <v>4093</v>
      </c>
      <c r="C21" s="111"/>
      <c r="D21" s="10"/>
      <c r="E21" s="130" t="s">
        <v>4094</v>
      </c>
      <c r="F21" s="111"/>
    </row>
    <row r="22" spans="2:6" ht="19.95" customHeight="1" x14ac:dyDescent="0.3">
      <c r="B22" s="173" t="s">
        <v>1893</v>
      </c>
      <c r="C22" s="133"/>
      <c r="D22" s="13" t="s">
        <v>1527</v>
      </c>
      <c r="E22" s="132" t="s">
        <v>4095</v>
      </c>
      <c r="F22" s="133"/>
    </row>
    <row r="23" spans="2:6" ht="19.95" customHeight="1" x14ac:dyDescent="0.3">
      <c r="B23" s="174" t="s">
        <v>4096</v>
      </c>
      <c r="C23" s="111"/>
      <c r="D23" s="10"/>
      <c r="E23" s="130" t="s">
        <v>4097</v>
      </c>
      <c r="F23" s="111"/>
    </row>
    <row r="24" spans="2:6" ht="21" customHeight="1" x14ac:dyDescent="0.3">
      <c r="B24" s="176" t="s">
        <v>4098</v>
      </c>
      <c r="C24" s="177"/>
      <c r="D24" s="177"/>
      <c r="E24" s="177"/>
      <c r="F24" s="135"/>
    </row>
    <row r="25" spans="2:6" ht="19.95" customHeight="1" x14ac:dyDescent="0.3">
      <c r="B25" s="174" t="s">
        <v>2335</v>
      </c>
      <c r="C25" s="111"/>
      <c r="D25" s="10" t="s">
        <v>4099</v>
      </c>
      <c r="E25" s="130" t="s">
        <v>4100</v>
      </c>
      <c r="F25" s="111"/>
    </row>
    <row r="26" spans="2:6" ht="19.95" customHeight="1" x14ac:dyDescent="0.3">
      <c r="B26" s="173" t="s">
        <v>2161</v>
      </c>
      <c r="C26" s="133"/>
      <c r="D26" s="13" t="s">
        <v>2055</v>
      </c>
      <c r="E26" s="132" t="s">
        <v>4101</v>
      </c>
      <c r="F26" s="133"/>
    </row>
    <row r="27" spans="2:6" ht="19.95" customHeight="1" x14ac:dyDescent="0.3">
      <c r="B27" s="174" t="s">
        <v>2165</v>
      </c>
      <c r="C27" s="111"/>
      <c r="D27" s="10" t="s">
        <v>2053</v>
      </c>
      <c r="E27" s="130" t="s">
        <v>4102</v>
      </c>
      <c r="F27" s="111"/>
    </row>
    <row r="28" spans="2:6" ht="19.95" customHeight="1" x14ac:dyDescent="0.3">
      <c r="B28" s="173" t="s">
        <v>2150</v>
      </c>
      <c r="C28" s="133"/>
      <c r="D28" s="13" t="s">
        <v>4103</v>
      </c>
      <c r="E28" s="132" t="s">
        <v>4104</v>
      </c>
      <c r="F28" s="133"/>
    </row>
    <row r="29" spans="2:6" ht="19.95" customHeight="1" x14ac:dyDescent="0.3">
      <c r="B29" s="174" t="s">
        <v>4105</v>
      </c>
      <c r="C29" s="111"/>
      <c r="D29" s="10" t="s">
        <v>4106</v>
      </c>
      <c r="E29" s="130" t="s">
        <v>4107</v>
      </c>
      <c r="F29" s="111"/>
    </row>
    <row r="30" spans="2:6" ht="19.95" customHeight="1" x14ac:dyDescent="0.3">
      <c r="B30" s="173" t="s">
        <v>2138</v>
      </c>
      <c r="C30" s="133"/>
      <c r="D30" s="13" t="s">
        <v>4108</v>
      </c>
      <c r="E30" s="132" t="s">
        <v>4109</v>
      </c>
      <c r="F30" s="133"/>
    </row>
    <row r="31" spans="2:6" ht="19.95" customHeight="1" x14ac:dyDescent="0.3">
      <c r="B31" s="174" t="s">
        <v>2134</v>
      </c>
      <c r="C31" s="111"/>
      <c r="D31" s="10" t="s">
        <v>4110</v>
      </c>
      <c r="E31" s="130" t="s">
        <v>4111</v>
      </c>
      <c r="F31" s="111"/>
    </row>
    <row r="32" spans="2:6" ht="19.95" customHeight="1" x14ac:dyDescent="0.3">
      <c r="B32" s="173" t="s">
        <v>2142</v>
      </c>
      <c r="C32" s="133"/>
      <c r="D32" s="13" t="s">
        <v>4112</v>
      </c>
      <c r="E32" s="132" t="s">
        <v>4113</v>
      </c>
      <c r="F32" s="133"/>
    </row>
    <row r="33" spans="2:6" ht="19.95" customHeight="1" x14ac:dyDescent="0.3">
      <c r="B33" s="174" t="s">
        <v>2214</v>
      </c>
      <c r="C33" s="111"/>
      <c r="D33" s="10" t="s">
        <v>4114</v>
      </c>
      <c r="E33" s="130" t="s">
        <v>4115</v>
      </c>
      <c r="F33" s="111"/>
    </row>
    <row r="34" spans="2:6" ht="19.95" customHeight="1" x14ac:dyDescent="0.3">
      <c r="B34" s="173" t="s">
        <v>4116</v>
      </c>
      <c r="C34" s="133"/>
      <c r="D34" s="13" t="s">
        <v>4117</v>
      </c>
      <c r="E34" s="132" t="s">
        <v>4118</v>
      </c>
      <c r="F34" s="133"/>
    </row>
    <row r="35" spans="2:6" ht="19.95" customHeight="1" x14ac:dyDescent="0.3">
      <c r="B35" s="174" t="s">
        <v>4119</v>
      </c>
      <c r="C35" s="111"/>
      <c r="D35" s="10" t="s">
        <v>4120</v>
      </c>
      <c r="E35" s="130" t="s">
        <v>4121</v>
      </c>
      <c r="F35" s="111"/>
    </row>
    <row r="36" spans="2:6" ht="21" customHeight="1" x14ac:dyDescent="0.3">
      <c r="B36" s="176" t="s">
        <v>4122</v>
      </c>
      <c r="C36" s="177"/>
      <c r="D36" s="177"/>
      <c r="E36" s="177"/>
      <c r="F36" s="135"/>
    </row>
    <row r="37" spans="2:6" ht="19.95" customHeight="1" x14ac:dyDescent="0.3">
      <c r="B37" s="174" t="s">
        <v>4123</v>
      </c>
      <c r="C37" s="111"/>
      <c r="D37" s="10"/>
      <c r="E37" s="130" t="s">
        <v>4124</v>
      </c>
      <c r="F37" s="111"/>
    </row>
    <row r="38" spans="2:6" ht="19.95" customHeight="1" x14ac:dyDescent="0.3">
      <c r="B38" s="173" t="s">
        <v>4125</v>
      </c>
      <c r="C38" s="133"/>
      <c r="D38" s="13" t="s">
        <v>4126</v>
      </c>
      <c r="E38" s="132" t="s">
        <v>4127</v>
      </c>
      <c r="F38" s="133"/>
    </row>
    <row r="39" spans="2:6" ht="19.95" customHeight="1" x14ac:dyDescent="0.3">
      <c r="B39" s="174" t="s">
        <v>4128</v>
      </c>
      <c r="C39" s="111"/>
      <c r="D39" s="10" t="s">
        <v>4129</v>
      </c>
      <c r="E39" s="130" t="s">
        <v>4130</v>
      </c>
      <c r="F39" s="111"/>
    </row>
    <row r="40" spans="2:6" ht="19.95" customHeight="1" x14ac:dyDescent="0.3">
      <c r="B40" s="173" t="s">
        <v>4131</v>
      </c>
      <c r="C40" s="133"/>
      <c r="D40" s="13" t="s">
        <v>4132</v>
      </c>
      <c r="E40" s="132" t="s">
        <v>4133</v>
      </c>
      <c r="F40" s="133"/>
    </row>
    <row r="41" spans="2:6" ht="19.95" customHeight="1" x14ac:dyDescent="0.3">
      <c r="B41" s="174" t="s">
        <v>1416</v>
      </c>
      <c r="C41" s="111"/>
      <c r="D41" s="10" t="s">
        <v>4134</v>
      </c>
      <c r="E41" s="130" t="s">
        <v>4135</v>
      </c>
      <c r="F41" s="111"/>
    </row>
    <row r="42" spans="2:6" ht="19.95" customHeight="1" x14ac:dyDescent="0.3">
      <c r="B42" s="173" t="s">
        <v>4136</v>
      </c>
      <c r="C42" s="133"/>
      <c r="D42" s="13" t="s">
        <v>4137</v>
      </c>
      <c r="E42" s="132" t="s">
        <v>4138</v>
      </c>
      <c r="F42" s="133"/>
    </row>
    <row r="43" spans="2:6" ht="19.95" customHeight="1" x14ac:dyDescent="0.3">
      <c r="B43" s="174" t="s">
        <v>4139</v>
      </c>
      <c r="C43" s="111"/>
      <c r="D43" s="10" t="s">
        <v>4140</v>
      </c>
      <c r="E43" s="130" t="s">
        <v>4141</v>
      </c>
      <c r="F43" s="111"/>
    </row>
    <row r="44" spans="2:6" ht="19.95" customHeight="1" x14ac:dyDescent="0.3">
      <c r="B44" s="173" t="s">
        <v>4142</v>
      </c>
      <c r="C44" s="133"/>
      <c r="D44" s="13" t="s">
        <v>4143</v>
      </c>
      <c r="E44" s="132" t="s">
        <v>4144</v>
      </c>
      <c r="F44" s="133"/>
    </row>
    <row r="45" spans="2:6" ht="19.95" customHeight="1" x14ac:dyDescent="0.3">
      <c r="B45" s="174" t="s">
        <v>4145</v>
      </c>
      <c r="C45" s="111"/>
      <c r="D45" s="10" t="s">
        <v>4146</v>
      </c>
      <c r="E45" s="130" t="s">
        <v>4147</v>
      </c>
      <c r="F45" s="111"/>
    </row>
    <row r="46" spans="2:6" ht="19.95" customHeight="1" x14ac:dyDescent="0.3">
      <c r="B46" s="173" t="s">
        <v>4148</v>
      </c>
      <c r="C46" s="133"/>
      <c r="D46" s="13"/>
      <c r="E46" s="132" t="s">
        <v>4149</v>
      </c>
      <c r="F46" s="133"/>
    </row>
    <row r="47" spans="2:6" ht="19.95" customHeight="1" x14ac:dyDescent="0.3">
      <c r="B47" s="174" t="s">
        <v>4150</v>
      </c>
      <c r="C47" s="111"/>
      <c r="D47" s="10" t="s">
        <v>4151</v>
      </c>
      <c r="E47" s="130" t="s">
        <v>4152</v>
      </c>
      <c r="F47" s="111"/>
    </row>
    <row r="48" spans="2:6" ht="19.95" customHeight="1" x14ac:dyDescent="0.3">
      <c r="B48" s="173" t="s">
        <v>4153</v>
      </c>
      <c r="C48" s="133"/>
      <c r="D48" s="13"/>
      <c r="E48" s="132" t="s">
        <v>4154</v>
      </c>
      <c r="F48" s="133"/>
    </row>
    <row r="49" spans="2:6" ht="19.95" customHeight="1" x14ac:dyDescent="0.3">
      <c r="B49" s="174" t="s">
        <v>4155</v>
      </c>
      <c r="C49" s="111"/>
      <c r="D49" s="10" t="s">
        <v>4156</v>
      </c>
      <c r="E49" s="130" t="s">
        <v>4157</v>
      </c>
      <c r="F49" s="111"/>
    </row>
    <row r="50" spans="2:6" ht="19.95" customHeight="1" x14ac:dyDescent="0.3">
      <c r="B50" s="173" t="s">
        <v>4158</v>
      </c>
      <c r="C50" s="133"/>
      <c r="D50" s="13" t="s">
        <v>4159</v>
      </c>
      <c r="E50" s="132" t="s">
        <v>4160</v>
      </c>
      <c r="F50" s="133"/>
    </row>
    <row r="51" spans="2:6" ht="19.95" customHeight="1" x14ac:dyDescent="0.3">
      <c r="B51" s="174" t="s">
        <v>4161</v>
      </c>
      <c r="C51" s="111"/>
      <c r="D51" s="10" t="s">
        <v>4162</v>
      </c>
      <c r="E51" s="130" t="s">
        <v>4163</v>
      </c>
      <c r="F51" s="111"/>
    </row>
    <row r="52" spans="2:6" ht="19.95" customHeight="1" x14ac:dyDescent="0.3">
      <c r="B52" s="173" t="s">
        <v>4164</v>
      </c>
      <c r="C52" s="133"/>
      <c r="D52" s="13" t="s">
        <v>4165</v>
      </c>
      <c r="E52" s="132" t="s">
        <v>4166</v>
      </c>
      <c r="F52" s="133"/>
    </row>
    <row r="53" spans="2:6" ht="19.95" customHeight="1" x14ac:dyDescent="0.3">
      <c r="B53" s="174" t="s">
        <v>4167</v>
      </c>
      <c r="C53" s="111"/>
      <c r="D53" s="10"/>
      <c r="E53" s="130" t="s">
        <v>4168</v>
      </c>
      <c r="F53" s="111"/>
    </row>
    <row r="54" spans="2:6" ht="21" customHeight="1" x14ac:dyDescent="0.3">
      <c r="B54" s="176" t="s">
        <v>4169</v>
      </c>
      <c r="C54" s="177"/>
      <c r="D54" s="177"/>
      <c r="E54" s="177"/>
      <c r="F54" s="135"/>
    </row>
    <row r="55" spans="2:6" ht="19.95" customHeight="1" x14ac:dyDescent="0.3">
      <c r="B55" s="174" t="s">
        <v>4170</v>
      </c>
      <c r="C55" s="111"/>
      <c r="D55" s="10"/>
      <c r="E55" s="130" t="s">
        <v>4171</v>
      </c>
      <c r="F55" s="111"/>
    </row>
    <row r="56" spans="2:6" ht="19.95" customHeight="1" x14ac:dyDescent="0.3">
      <c r="B56" s="173" t="s">
        <v>4172</v>
      </c>
      <c r="C56" s="133"/>
      <c r="D56" s="13" t="s">
        <v>4173</v>
      </c>
      <c r="E56" s="132" t="s">
        <v>4174</v>
      </c>
      <c r="F56" s="133"/>
    </row>
    <row r="57" spans="2:6" ht="19.95" customHeight="1" x14ac:dyDescent="0.3">
      <c r="B57" s="174" t="s">
        <v>4175</v>
      </c>
      <c r="C57" s="111"/>
      <c r="D57" s="10"/>
      <c r="E57" s="130" t="s">
        <v>4176</v>
      </c>
      <c r="F57" s="111"/>
    </row>
    <row r="58" spans="2:6" ht="19.95" customHeight="1" x14ac:dyDescent="0.3">
      <c r="B58" s="173" t="s">
        <v>4177</v>
      </c>
      <c r="C58" s="133"/>
      <c r="D58" s="13" t="s">
        <v>4178</v>
      </c>
      <c r="E58" s="132" t="s">
        <v>4179</v>
      </c>
      <c r="F58" s="133"/>
    </row>
    <row r="59" spans="2:6" ht="6" customHeight="1" x14ac:dyDescent="0.3"/>
  </sheetData>
  <mergeCells count="110">
    <mergeCell ref="B1:F1"/>
    <mergeCell ref="B17:C17"/>
    <mergeCell ref="B57:C57"/>
    <mergeCell ref="E31:F31"/>
    <mergeCell ref="B44:C44"/>
    <mergeCell ref="E6:F6"/>
    <mergeCell ref="E15:F15"/>
    <mergeCell ref="E46:F46"/>
    <mergeCell ref="B19:C19"/>
    <mergeCell ref="B34:C34"/>
    <mergeCell ref="B28:C28"/>
    <mergeCell ref="B2:E2"/>
    <mergeCell ref="B9:C9"/>
    <mergeCell ref="E57:F57"/>
    <mergeCell ref="B30:C30"/>
    <mergeCell ref="E32:F32"/>
    <mergeCell ref="E7:F7"/>
    <mergeCell ref="B5:C5"/>
    <mergeCell ref="B20:C20"/>
    <mergeCell ref="E41:F41"/>
    <mergeCell ref="B45:C45"/>
    <mergeCell ref="B36:F36"/>
    <mergeCell ref="E56:F56"/>
    <mergeCell ref="E43:F43"/>
    <mergeCell ref="E58:F58"/>
    <mergeCell ref="B4:F4"/>
    <mergeCell ref="E50:F50"/>
    <mergeCell ref="B7:C7"/>
    <mergeCell ref="E52:F52"/>
    <mergeCell ref="B56:C56"/>
    <mergeCell ref="E39:F39"/>
    <mergeCell ref="B43:C43"/>
    <mergeCell ref="E44:F44"/>
    <mergeCell ref="B58:C58"/>
    <mergeCell ref="B52:C52"/>
    <mergeCell ref="E20:F20"/>
    <mergeCell ref="E29:F29"/>
    <mergeCell ref="B42:C42"/>
    <mergeCell ref="E13:F13"/>
    <mergeCell ref="B47:C47"/>
    <mergeCell ref="E33:F33"/>
    <mergeCell ref="B46:C46"/>
    <mergeCell ref="E42:F42"/>
    <mergeCell ref="E17:F17"/>
    <mergeCell ref="B39:C39"/>
    <mergeCell ref="E35:F35"/>
    <mergeCell ref="B48:C48"/>
    <mergeCell ref="E10:F10"/>
    <mergeCell ref="E3:F3"/>
    <mergeCell ref="E12:F12"/>
    <mergeCell ref="B16:C16"/>
    <mergeCell ref="B25:C25"/>
    <mergeCell ref="B54:F54"/>
    <mergeCell ref="B3:C3"/>
    <mergeCell ref="E55:F55"/>
    <mergeCell ref="E5:F5"/>
    <mergeCell ref="E14:F14"/>
    <mergeCell ref="B18:C18"/>
    <mergeCell ref="B27:C27"/>
    <mergeCell ref="E48:F48"/>
    <mergeCell ref="E38:F38"/>
    <mergeCell ref="B11:C11"/>
    <mergeCell ref="E40:F40"/>
    <mergeCell ref="B53:C53"/>
    <mergeCell ref="B29:C29"/>
    <mergeCell ref="B37:C37"/>
    <mergeCell ref="E26:F26"/>
    <mergeCell ref="B6:C6"/>
    <mergeCell ref="B15:C15"/>
    <mergeCell ref="E16:F16"/>
    <mergeCell ref="E25:F25"/>
    <mergeCell ref="E18:F18"/>
    <mergeCell ref="B55:C55"/>
    <mergeCell ref="B33:C33"/>
    <mergeCell ref="B51:C51"/>
    <mergeCell ref="E22:F22"/>
    <mergeCell ref="B32:C32"/>
    <mergeCell ref="E53:F53"/>
    <mergeCell ref="B26:C26"/>
    <mergeCell ref="B41:C41"/>
    <mergeCell ref="B35:C35"/>
    <mergeCell ref="B23:C23"/>
    <mergeCell ref="E28:F28"/>
    <mergeCell ref="E30:F30"/>
    <mergeCell ref="E45:F45"/>
    <mergeCell ref="B24:F24"/>
    <mergeCell ref="E37:F37"/>
    <mergeCell ref="B50:C50"/>
    <mergeCell ref="E47:F47"/>
    <mergeCell ref="B22:C22"/>
    <mergeCell ref="E23:F23"/>
    <mergeCell ref="B31:C31"/>
    <mergeCell ref="E8:F8"/>
    <mergeCell ref="B12:C12"/>
    <mergeCell ref="B21:C21"/>
    <mergeCell ref="E51:F51"/>
    <mergeCell ref="B14:C14"/>
    <mergeCell ref="B13:C13"/>
    <mergeCell ref="E34:F34"/>
    <mergeCell ref="B38:C38"/>
    <mergeCell ref="E49:F49"/>
    <mergeCell ref="E27:F27"/>
    <mergeCell ref="B40:C40"/>
    <mergeCell ref="B49:C49"/>
    <mergeCell ref="E19:F19"/>
    <mergeCell ref="E9:F9"/>
    <mergeCell ref="B8:C8"/>
    <mergeCell ref="B10:C10"/>
    <mergeCell ref="E11:F11"/>
    <mergeCell ref="E21:F21"/>
  </mergeCells>
  <phoneticPr fontId="27"/>
  <hyperlinks>
    <hyperlink ref="F2" location="'目次'!A1" display="▲ 目次へ戻る" xr:uid="{00000000-0004-0000-18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D9D9D9"/>
    <pageSetUpPr fitToPage="1"/>
  </sheetPr>
  <dimension ref="B1:F54"/>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34" customWidth="1"/>
    <col min="7" max="7" width="1.6328125" customWidth="1"/>
  </cols>
  <sheetData>
    <row r="1" spans="2:6" ht="37.950000000000003" customHeight="1" x14ac:dyDescent="0.3">
      <c r="B1" s="138" t="s">
        <v>4180</v>
      </c>
      <c r="C1" s="118"/>
      <c r="D1" s="118"/>
      <c r="E1" s="118"/>
      <c r="F1" s="118"/>
    </row>
    <row r="2" spans="2:6" ht="24" customHeight="1" x14ac:dyDescent="0.3">
      <c r="B2" s="141" t="s">
        <v>4181</v>
      </c>
      <c r="C2" s="113"/>
      <c r="D2" s="113"/>
      <c r="E2" s="113"/>
      <c r="F2" s="4" t="s">
        <v>38</v>
      </c>
    </row>
    <row r="3" spans="2:6" ht="22.05" customHeight="1" x14ac:dyDescent="0.3">
      <c r="B3" s="7" t="s">
        <v>73</v>
      </c>
      <c r="C3" s="7" t="s">
        <v>4182</v>
      </c>
      <c r="D3" s="7" t="s">
        <v>4183</v>
      </c>
      <c r="E3" s="7" t="s">
        <v>4184</v>
      </c>
      <c r="F3" s="7" t="s">
        <v>4185</v>
      </c>
    </row>
    <row r="4" spans="2:6" ht="48.15" customHeight="1" x14ac:dyDescent="0.3">
      <c r="B4" s="8" t="s">
        <v>77</v>
      </c>
      <c r="C4" s="9" t="s">
        <v>4186</v>
      </c>
      <c r="D4" s="10" t="s">
        <v>4187</v>
      </c>
      <c r="E4" s="10" t="s">
        <v>4188</v>
      </c>
      <c r="F4" s="53" t="s">
        <v>291</v>
      </c>
    </row>
    <row r="5" spans="2:6" ht="33.75" customHeight="1" x14ac:dyDescent="0.3">
      <c r="B5" s="11" t="s">
        <v>81</v>
      </c>
      <c r="C5" s="12" t="s">
        <v>4189</v>
      </c>
      <c r="D5" s="13" t="s">
        <v>4190</v>
      </c>
      <c r="E5" s="13" t="s">
        <v>4191</v>
      </c>
      <c r="F5" s="53" t="s">
        <v>291</v>
      </c>
    </row>
    <row r="6" spans="2:6" ht="33.75" customHeight="1" x14ac:dyDescent="0.3">
      <c r="B6" s="8" t="s">
        <v>85</v>
      </c>
      <c r="C6" s="9" t="s">
        <v>4192</v>
      </c>
      <c r="D6" s="10" t="s">
        <v>4193</v>
      </c>
      <c r="E6" s="10" t="s">
        <v>4194</v>
      </c>
      <c r="F6" s="53" t="s">
        <v>291</v>
      </c>
    </row>
    <row r="7" spans="2:6" ht="33.75" customHeight="1" x14ac:dyDescent="0.3">
      <c r="B7" s="11" t="s">
        <v>88</v>
      </c>
      <c r="C7" s="12" t="s">
        <v>4195</v>
      </c>
      <c r="D7" s="13" t="s">
        <v>4196</v>
      </c>
      <c r="E7" s="13" t="s">
        <v>4197</v>
      </c>
      <c r="F7" s="53" t="s">
        <v>291</v>
      </c>
    </row>
    <row r="8" spans="2:6" ht="33.75" customHeight="1" x14ac:dyDescent="0.3">
      <c r="B8" s="8" t="s">
        <v>91</v>
      </c>
      <c r="C8" s="9" t="s">
        <v>4198</v>
      </c>
      <c r="D8" s="10" t="s">
        <v>4199</v>
      </c>
      <c r="E8" s="10" t="s">
        <v>4200</v>
      </c>
      <c r="F8" s="53" t="s">
        <v>291</v>
      </c>
    </row>
    <row r="9" spans="2:6" ht="33.75" customHeight="1" x14ac:dyDescent="0.3">
      <c r="B9" s="11" t="s">
        <v>94</v>
      </c>
      <c r="C9" s="12" t="s">
        <v>4201</v>
      </c>
      <c r="D9" s="13" t="s">
        <v>4202</v>
      </c>
      <c r="E9" s="13" t="s">
        <v>4203</v>
      </c>
      <c r="F9" s="53" t="s">
        <v>291</v>
      </c>
    </row>
    <row r="10" spans="2:6" ht="33.75" customHeight="1" x14ac:dyDescent="0.3">
      <c r="B10" s="8" t="s">
        <v>97</v>
      </c>
      <c r="C10" s="9" t="s">
        <v>4204</v>
      </c>
      <c r="D10" s="10" t="s">
        <v>4205</v>
      </c>
      <c r="E10" s="10" t="s">
        <v>4206</v>
      </c>
      <c r="F10" s="53" t="s">
        <v>291</v>
      </c>
    </row>
    <row r="11" spans="2:6" ht="33.75" customHeight="1" x14ac:dyDescent="0.3">
      <c r="B11" s="11" t="s">
        <v>100</v>
      </c>
      <c r="C11" s="12" t="s">
        <v>4207</v>
      </c>
      <c r="D11" s="13" t="s">
        <v>4208</v>
      </c>
      <c r="E11" s="13" t="s">
        <v>4209</v>
      </c>
      <c r="F11" s="53" t="s">
        <v>291</v>
      </c>
    </row>
    <row r="12" spans="2:6" ht="33.75" customHeight="1" x14ac:dyDescent="0.3">
      <c r="B12" s="8" t="s">
        <v>103</v>
      </c>
      <c r="C12" s="9" t="s">
        <v>4210</v>
      </c>
      <c r="D12" s="10" t="s">
        <v>4211</v>
      </c>
      <c r="E12" s="10" t="s">
        <v>4212</v>
      </c>
      <c r="F12" s="53" t="s">
        <v>291</v>
      </c>
    </row>
    <row r="13" spans="2:6" ht="33.75" customHeight="1" x14ac:dyDescent="0.3">
      <c r="B13" s="11" t="s">
        <v>106</v>
      </c>
      <c r="C13" s="12" t="s">
        <v>4213</v>
      </c>
      <c r="D13" s="13" t="s">
        <v>4214</v>
      </c>
      <c r="E13" s="13" t="s">
        <v>4215</v>
      </c>
      <c r="F13" s="53" t="s">
        <v>291</v>
      </c>
    </row>
    <row r="14" spans="2:6" ht="33.75" customHeight="1" x14ac:dyDescent="0.3">
      <c r="B14" s="8" t="s">
        <v>109</v>
      </c>
      <c r="C14" s="9" t="s">
        <v>4216</v>
      </c>
      <c r="D14" s="10" t="s">
        <v>4217</v>
      </c>
      <c r="E14" s="10" t="s">
        <v>4218</v>
      </c>
      <c r="F14" s="53" t="s">
        <v>291</v>
      </c>
    </row>
    <row r="15" spans="2:6" ht="33.75" customHeight="1" x14ac:dyDescent="0.3">
      <c r="B15" s="11" t="s">
        <v>113</v>
      </c>
      <c r="C15" s="12" t="s">
        <v>4219</v>
      </c>
      <c r="D15" s="13" t="s">
        <v>4220</v>
      </c>
      <c r="E15" s="13" t="s">
        <v>4221</v>
      </c>
      <c r="F15" s="53" t="s">
        <v>291</v>
      </c>
    </row>
    <row r="16" spans="2:6" ht="33.75" customHeight="1" x14ac:dyDescent="0.3">
      <c r="B16" s="8" t="s">
        <v>117</v>
      </c>
      <c r="C16" s="9" t="s">
        <v>4222</v>
      </c>
      <c r="D16" s="10" t="s">
        <v>4223</v>
      </c>
      <c r="E16" s="10" t="s">
        <v>4224</v>
      </c>
      <c r="F16" s="53" t="s">
        <v>291</v>
      </c>
    </row>
    <row r="17" spans="2:6" ht="33.75" customHeight="1" x14ac:dyDescent="0.3">
      <c r="B17" s="11" t="s">
        <v>120</v>
      </c>
      <c r="C17" s="12" t="s">
        <v>4225</v>
      </c>
      <c r="D17" s="13" t="s">
        <v>4226</v>
      </c>
      <c r="E17" s="13" t="s">
        <v>4227</v>
      </c>
      <c r="F17" s="53" t="s">
        <v>291</v>
      </c>
    </row>
    <row r="18" spans="2:6" ht="33.75" customHeight="1" x14ac:dyDescent="0.3">
      <c r="B18" s="8" t="s">
        <v>124</v>
      </c>
      <c r="C18" s="9" t="s">
        <v>4228</v>
      </c>
      <c r="D18" s="10" t="s">
        <v>4229</v>
      </c>
      <c r="E18" s="10" t="s">
        <v>4230</v>
      </c>
      <c r="F18" s="53" t="s">
        <v>291</v>
      </c>
    </row>
    <row r="19" spans="2:6" ht="33.75" customHeight="1" x14ac:dyDescent="0.3">
      <c r="B19" s="11" t="s">
        <v>127</v>
      </c>
      <c r="C19" s="12" t="s">
        <v>4231</v>
      </c>
      <c r="D19" s="13" t="s">
        <v>4232</v>
      </c>
      <c r="E19" s="13" t="s">
        <v>4233</v>
      </c>
      <c r="F19" s="53" t="s">
        <v>291</v>
      </c>
    </row>
    <row r="20" spans="2:6" ht="33.75" customHeight="1" x14ac:dyDescent="0.3">
      <c r="B20" s="8" t="s">
        <v>130</v>
      </c>
      <c r="C20" s="9" t="s">
        <v>4234</v>
      </c>
      <c r="D20" s="10" t="s">
        <v>4235</v>
      </c>
      <c r="E20" s="10" t="s">
        <v>4236</v>
      </c>
      <c r="F20" s="53" t="s">
        <v>291</v>
      </c>
    </row>
    <row r="21" spans="2:6" ht="33.75" customHeight="1" x14ac:dyDescent="0.3">
      <c r="B21" s="11" t="s">
        <v>133</v>
      </c>
      <c r="C21" s="12" t="s">
        <v>4237</v>
      </c>
      <c r="D21" s="13" t="s">
        <v>4238</v>
      </c>
      <c r="E21" s="13" t="s">
        <v>4239</v>
      </c>
      <c r="F21" s="53" t="s">
        <v>291</v>
      </c>
    </row>
    <row r="22" spans="2:6" ht="33.75" customHeight="1" x14ac:dyDescent="0.3">
      <c r="B22" s="8" t="s">
        <v>136</v>
      </c>
      <c r="C22" s="9" t="s">
        <v>4240</v>
      </c>
      <c r="D22" s="10" t="s">
        <v>4241</v>
      </c>
      <c r="E22" s="10" t="s">
        <v>4242</v>
      </c>
      <c r="F22" s="53" t="s">
        <v>291</v>
      </c>
    </row>
    <row r="23" spans="2:6" ht="33.75" customHeight="1" x14ac:dyDescent="0.3">
      <c r="B23" s="11" t="s">
        <v>139</v>
      </c>
      <c r="C23" s="12" t="s">
        <v>4243</v>
      </c>
      <c r="D23" s="13" t="s">
        <v>4244</v>
      </c>
      <c r="E23" s="13" t="s">
        <v>4245</v>
      </c>
      <c r="F23" s="53" t="s">
        <v>291</v>
      </c>
    </row>
    <row r="24" spans="2:6" ht="33.75" customHeight="1" x14ac:dyDescent="0.3">
      <c r="B24" s="8" t="s">
        <v>143</v>
      </c>
      <c r="C24" s="9" t="s">
        <v>4246</v>
      </c>
      <c r="D24" s="10" t="s">
        <v>4247</v>
      </c>
      <c r="E24" s="10" t="s">
        <v>4248</v>
      </c>
      <c r="F24" s="53" t="s">
        <v>291</v>
      </c>
    </row>
    <row r="25" spans="2:6" ht="33.75" customHeight="1" x14ac:dyDescent="0.3">
      <c r="B25" s="11" t="s">
        <v>146</v>
      </c>
      <c r="C25" s="12" t="s">
        <v>4249</v>
      </c>
      <c r="D25" s="13" t="s">
        <v>4250</v>
      </c>
      <c r="E25" s="13" t="s">
        <v>4251</v>
      </c>
      <c r="F25" s="53" t="s">
        <v>291</v>
      </c>
    </row>
    <row r="26" spans="2:6" ht="33.75" customHeight="1" x14ac:dyDescent="0.3">
      <c r="B26" s="8" t="s">
        <v>149</v>
      </c>
      <c r="C26" s="9" t="s">
        <v>4252</v>
      </c>
      <c r="D26" s="10" t="s">
        <v>4253</v>
      </c>
      <c r="E26" s="10" t="s">
        <v>4254</v>
      </c>
      <c r="F26" s="53" t="s">
        <v>291</v>
      </c>
    </row>
    <row r="27" spans="2:6" ht="33.75" customHeight="1" x14ac:dyDescent="0.3">
      <c r="B27" s="11" t="s">
        <v>152</v>
      </c>
      <c r="C27" s="12" t="s">
        <v>4255</v>
      </c>
      <c r="D27" s="13" t="s">
        <v>4256</v>
      </c>
      <c r="E27" s="13" t="s">
        <v>4257</v>
      </c>
      <c r="F27" s="53" t="s">
        <v>291</v>
      </c>
    </row>
    <row r="28" spans="2:6" ht="33.75" customHeight="1" x14ac:dyDescent="0.3">
      <c r="B28" s="8" t="s">
        <v>155</v>
      </c>
      <c r="C28" s="9" t="s">
        <v>4258</v>
      </c>
      <c r="D28" s="10" t="s">
        <v>4259</v>
      </c>
      <c r="E28" s="10" t="s">
        <v>4260</v>
      </c>
      <c r="F28" s="53" t="s">
        <v>291</v>
      </c>
    </row>
    <row r="29" spans="2:6" ht="33.75" customHeight="1" x14ac:dyDescent="0.3">
      <c r="B29" s="11" t="s">
        <v>2490</v>
      </c>
      <c r="C29" s="12" t="s">
        <v>4261</v>
      </c>
      <c r="D29" s="13" t="s">
        <v>4262</v>
      </c>
      <c r="E29" s="13" t="s">
        <v>4263</v>
      </c>
      <c r="F29" s="53" t="s">
        <v>291</v>
      </c>
    </row>
    <row r="30" spans="2:6" ht="33.75" customHeight="1" x14ac:dyDescent="0.3">
      <c r="B30" s="8" t="s">
        <v>2495</v>
      </c>
      <c r="C30" s="9" t="s">
        <v>4264</v>
      </c>
      <c r="D30" s="10" t="s">
        <v>4265</v>
      </c>
      <c r="E30" s="10" t="s">
        <v>4266</v>
      </c>
      <c r="F30" s="53" t="s">
        <v>291</v>
      </c>
    </row>
    <row r="31" spans="2:6" ht="33.75" customHeight="1" x14ac:dyDescent="0.3">
      <c r="B31" s="11" t="s">
        <v>2499</v>
      </c>
      <c r="C31" s="12" t="s">
        <v>4267</v>
      </c>
      <c r="D31" s="13" t="s">
        <v>4268</v>
      </c>
      <c r="E31" s="13" t="s">
        <v>4269</v>
      </c>
      <c r="F31" s="53" t="s">
        <v>291</v>
      </c>
    </row>
    <row r="32" spans="2:6" ht="33.75" customHeight="1" x14ac:dyDescent="0.3">
      <c r="B32" s="8" t="s">
        <v>2504</v>
      </c>
      <c r="C32" s="9" t="s">
        <v>4270</v>
      </c>
      <c r="D32" s="10" t="s">
        <v>4271</v>
      </c>
      <c r="E32" s="10" t="s">
        <v>4272</v>
      </c>
      <c r="F32" s="53" t="s">
        <v>291</v>
      </c>
    </row>
    <row r="33" spans="2:6" ht="33.75" customHeight="1" x14ac:dyDescent="0.3">
      <c r="B33" s="11" t="s">
        <v>2509</v>
      </c>
      <c r="C33" s="12" t="s">
        <v>4273</v>
      </c>
      <c r="D33" s="13" t="s">
        <v>4274</v>
      </c>
      <c r="E33" s="13" t="s">
        <v>4275</v>
      </c>
      <c r="F33" s="53" t="s">
        <v>291</v>
      </c>
    </row>
    <row r="34" spans="2:6" ht="33.75" customHeight="1" x14ac:dyDescent="0.3">
      <c r="B34" s="8" t="s">
        <v>2513</v>
      </c>
      <c r="C34" s="9" t="s">
        <v>4276</v>
      </c>
      <c r="D34" s="10" t="s">
        <v>4277</v>
      </c>
      <c r="E34" s="10" t="s">
        <v>4278</v>
      </c>
      <c r="F34" s="53" t="s">
        <v>291</v>
      </c>
    </row>
    <row r="35" spans="2:6" ht="33.75" customHeight="1" x14ac:dyDescent="0.3">
      <c r="B35" s="11" t="s">
        <v>2518</v>
      </c>
      <c r="C35" s="12" t="s">
        <v>4279</v>
      </c>
      <c r="D35" s="13" t="s">
        <v>4280</v>
      </c>
      <c r="E35" s="13" t="s">
        <v>4281</v>
      </c>
      <c r="F35" s="53" t="s">
        <v>291</v>
      </c>
    </row>
    <row r="36" spans="2:6" ht="33.75" customHeight="1" x14ac:dyDescent="0.3">
      <c r="B36" s="8" t="s">
        <v>2522</v>
      </c>
      <c r="C36" s="9" t="s">
        <v>4282</v>
      </c>
      <c r="D36" s="10" t="s">
        <v>4283</v>
      </c>
      <c r="E36" s="10" t="s">
        <v>4284</v>
      </c>
      <c r="F36" s="53" t="s">
        <v>291</v>
      </c>
    </row>
    <row r="37" spans="2:6" ht="33.75" customHeight="1" x14ac:dyDescent="0.3">
      <c r="B37" s="11" t="s">
        <v>4285</v>
      </c>
      <c r="C37" s="12" t="s">
        <v>4286</v>
      </c>
      <c r="D37" s="13" t="s">
        <v>4287</v>
      </c>
      <c r="E37" s="13" t="s">
        <v>4288</v>
      </c>
      <c r="F37" s="53" t="s">
        <v>291</v>
      </c>
    </row>
    <row r="38" spans="2:6" ht="33.75" customHeight="1" x14ac:dyDescent="0.3">
      <c r="B38" s="8" t="s">
        <v>4289</v>
      </c>
      <c r="C38" s="9" t="s">
        <v>4290</v>
      </c>
      <c r="D38" s="10" t="s">
        <v>4291</v>
      </c>
      <c r="E38" s="10" t="s">
        <v>4292</v>
      </c>
      <c r="F38" s="53" t="s">
        <v>291</v>
      </c>
    </row>
    <row r="39" spans="2:6" ht="33.75" customHeight="1" x14ac:dyDescent="0.3">
      <c r="B39" s="11" t="s">
        <v>4293</v>
      </c>
      <c r="C39" s="12" t="s">
        <v>4294</v>
      </c>
      <c r="D39" s="13" t="s">
        <v>4295</v>
      </c>
      <c r="E39" s="13" t="s">
        <v>4296</v>
      </c>
      <c r="F39" s="53" t="s">
        <v>291</v>
      </c>
    </row>
    <row r="40" spans="2:6" ht="33.75" customHeight="1" x14ac:dyDescent="0.3">
      <c r="B40" s="8" t="s">
        <v>4297</v>
      </c>
      <c r="C40" s="9" t="s">
        <v>4298</v>
      </c>
      <c r="D40" s="10" t="s">
        <v>4299</v>
      </c>
      <c r="E40" s="10" t="s">
        <v>4300</v>
      </c>
      <c r="F40" s="53" t="s">
        <v>291</v>
      </c>
    </row>
    <row r="41" spans="2:6" ht="33.75" customHeight="1" x14ac:dyDescent="0.3">
      <c r="B41" s="11" t="s">
        <v>4301</v>
      </c>
      <c r="C41" s="12" t="s">
        <v>4302</v>
      </c>
      <c r="D41" s="13" t="s">
        <v>4303</v>
      </c>
      <c r="E41" s="13" t="s">
        <v>4304</v>
      </c>
      <c r="F41" s="53" t="s">
        <v>291</v>
      </c>
    </row>
    <row r="42" spans="2:6" ht="33.75" customHeight="1" x14ac:dyDescent="0.3">
      <c r="B42" s="8" t="s">
        <v>4305</v>
      </c>
      <c r="C42" s="9" t="s">
        <v>4306</v>
      </c>
      <c r="D42" s="10" t="s">
        <v>4307</v>
      </c>
      <c r="E42" s="10" t="s">
        <v>4308</v>
      </c>
      <c r="F42" s="53" t="s">
        <v>291</v>
      </c>
    </row>
    <row r="43" spans="2:6" ht="33.75" customHeight="1" x14ac:dyDescent="0.3">
      <c r="B43" s="11" t="s">
        <v>4309</v>
      </c>
      <c r="C43" s="12" t="s">
        <v>4310</v>
      </c>
      <c r="D43" s="13" t="s">
        <v>4311</v>
      </c>
      <c r="E43" s="13" t="s">
        <v>4312</v>
      </c>
      <c r="F43" s="53" t="s">
        <v>291</v>
      </c>
    </row>
    <row r="44" spans="2:6" ht="33.75" customHeight="1" x14ac:dyDescent="0.3">
      <c r="B44" s="8" t="s">
        <v>4313</v>
      </c>
      <c r="C44" s="9" t="s">
        <v>4314</v>
      </c>
      <c r="D44" s="10" t="s">
        <v>4315</v>
      </c>
      <c r="E44" s="10" t="s">
        <v>4316</v>
      </c>
      <c r="F44" s="53" t="s">
        <v>291</v>
      </c>
    </row>
    <row r="45" spans="2:6" ht="33.75" customHeight="1" x14ac:dyDescent="0.3">
      <c r="B45" s="11" t="s">
        <v>4317</v>
      </c>
      <c r="C45" s="12" t="s">
        <v>4318</v>
      </c>
      <c r="D45" s="13" t="s">
        <v>4319</v>
      </c>
      <c r="E45" s="13" t="s">
        <v>4320</v>
      </c>
      <c r="F45" s="53" t="s">
        <v>291</v>
      </c>
    </row>
    <row r="46" spans="2:6" ht="33.75" customHeight="1" x14ac:dyDescent="0.3">
      <c r="B46" s="8" t="s">
        <v>4321</v>
      </c>
      <c r="C46" s="9" t="s">
        <v>4322</v>
      </c>
      <c r="D46" s="10" t="s">
        <v>4323</v>
      </c>
      <c r="E46" s="10" t="s">
        <v>4324</v>
      </c>
      <c r="F46" s="53" t="s">
        <v>291</v>
      </c>
    </row>
    <row r="47" spans="2:6" ht="33.75" customHeight="1" x14ac:dyDescent="0.3">
      <c r="B47" s="11" t="s">
        <v>4325</v>
      </c>
      <c r="C47" s="12" t="s">
        <v>4326</v>
      </c>
      <c r="D47" s="13" t="s">
        <v>4327</v>
      </c>
      <c r="E47" s="13" t="s">
        <v>4328</v>
      </c>
      <c r="F47" s="53" t="s">
        <v>291</v>
      </c>
    </row>
    <row r="48" spans="2:6" ht="48.15" customHeight="1" x14ac:dyDescent="0.3">
      <c r="B48" s="8" t="s">
        <v>4329</v>
      </c>
      <c r="C48" s="9" t="s">
        <v>4330</v>
      </c>
      <c r="D48" s="10" t="s">
        <v>4331</v>
      </c>
      <c r="E48" s="10" t="s">
        <v>4332</v>
      </c>
      <c r="F48" s="53" t="s">
        <v>291</v>
      </c>
    </row>
    <row r="49" spans="2:6" ht="33.75" customHeight="1" x14ac:dyDescent="0.3">
      <c r="B49" s="11" t="s">
        <v>4333</v>
      </c>
      <c r="C49" s="12" t="s">
        <v>4334</v>
      </c>
      <c r="D49" s="13" t="s">
        <v>4335</v>
      </c>
      <c r="E49" s="13" t="s">
        <v>4336</v>
      </c>
      <c r="F49" s="53" t="s">
        <v>291</v>
      </c>
    </row>
    <row r="50" spans="2:6" ht="33.75" customHeight="1" x14ac:dyDescent="0.3">
      <c r="B50" s="8" t="s">
        <v>4337</v>
      </c>
      <c r="C50" s="9" t="s">
        <v>4338</v>
      </c>
      <c r="D50" s="10" t="s">
        <v>4339</v>
      </c>
      <c r="E50" s="10" t="s">
        <v>4340</v>
      </c>
      <c r="F50" s="53" t="s">
        <v>291</v>
      </c>
    </row>
    <row r="51" spans="2:6" ht="33.75" customHeight="1" x14ac:dyDescent="0.3">
      <c r="B51" s="11" t="s">
        <v>2304</v>
      </c>
      <c r="C51" s="12" t="s">
        <v>4341</v>
      </c>
      <c r="D51" s="13" t="s">
        <v>4342</v>
      </c>
      <c r="E51" s="13" t="s">
        <v>4343</v>
      </c>
      <c r="F51" s="53" t="s">
        <v>291</v>
      </c>
    </row>
    <row r="52" spans="2:6" ht="6" customHeight="1" x14ac:dyDescent="0.3"/>
    <row r="53" spans="2:6" ht="22.05" customHeight="1" x14ac:dyDescent="0.3">
      <c r="B53" s="22" t="s">
        <v>62</v>
      </c>
      <c r="C53" s="152" t="s">
        <v>4344</v>
      </c>
      <c r="D53" s="153"/>
      <c r="E53" s="153"/>
      <c r="F53" s="105"/>
    </row>
    <row r="54" spans="2:6" ht="4.95" customHeight="1" x14ac:dyDescent="0.3"/>
  </sheetData>
  <mergeCells count="3">
    <mergeCell ref="B2:E2"/>
    <mergeCell ref="C53:F53"/>
    <mergeCell ref="B1:F1"/>
  </mergeCells>
  <phoneticPr fontId="27"/>
  <dataValidations count="1">
    <dataValidation type="list" allowBlank="1" error="リストから選択してください" prompt="リストから選択" sqref="F4 F5 F6 F7 F8 F9 F10 F11 F12 F13 F14 F15 F16 F17 F18 F19 F20 F21 F22 F23 F24 F25 F26 F27 F28 F29 F30 F31 F32 F33 F34 F35 F36 F37 F38 F39 F40 F41 F42 F43 F44 F45 F46 F47 F48 F49 F50 F51" xr:uid="{00000000-0002-0000-1900-000000000000}">
      <formula1>"未,済,不要"</formula1>
    </dataValidation>
  </dataValidations>
  <hyperlinks>
    <hyperlink ref="F2" location="'目次'!A1" display="▲ 目次へ戻る" xr:uid="{00000000-0004-0000-1900-000000000000}"/>
    <hyperlink ref="C4" location="'00_全体像と準備'!B25" display="図00-1" xr:uid="{00000000-0004-0000-1900-000001000000}"/>
    <hyperlink ref="C5" location="'01_Windows導入'!B41" display="図01-1" xr:uid="{00000000-0004-0000-1900-000002000000}"/>
    <hyperlink ref="C6" location="'01_Windows導入'!B73" display="図01-2" xr:uid="{00000000-0004-0000-1900-000003000000}"/>
    <hyperlink ref="C7" location="'01_Windows導入'!B131" display="図01-3" xr:uid="{00000000-0004-0000-1900-000004000000}"/>
    <hyperlink ref="C8" location="'01_Windows導入'!B169" display="図01-4" xr:uid="{00000000-0004-0000-1900-000005000000}"/>
    <hyperlink ref="C9" location="'01_Windows導入'!B221" display="図01-5" xr:uid="{00000000-0004-0000-1900-000006000000}"/>
    <hyperlink ref="C10" location="'01_Windows導入'!B274" display="図01-6" xr:uid="{00000000-0004-0000-1900-000007000000}"/>
    <hyperlink ref="C11" location="'01_Windows導入'!B290" display="図01-7" xr:uid="{00000000-0004-0000-1900-000008000000}"/>
    <hyperlink ref="C12" location="'01_Windows導入'!B353" display="図01-8" xr:uid="{00000000-0004-0000-1900-000009000000}"/>
    <hyperlink ref="C13" location="'01_Windows導入'!B428" display="図01-9" xr:uid="{00000000-0004-0000-1900-00000A000000}"/>
    <hyperlink ref="C14" location="'02_画面の基本'!B6" display="図02-1" xr:uid="{00000000-0004-0000-1900-00000B000000}"/>
    <hyperlink ref="C15" location="'04_シナリオ作成'!B30" display="図04-1" xr:uid="{00000000-0004-0000-1900-00000C000000}"/>
    <hyperlink ref="C16" location="'04_シナリオ作成'!B115" display="図04-2" xr:uid="{00000000-0004-0000-1900-00000D000000}"/>
    <hyperlink ref="C17" location="'04_シナリオ作成'!B151" display="図04-3" xr:uid="{00000000-0004-0000-1900-00000E000000}"/>
    <hyperlink ref="C18" location="'04_シナリオ作成'!B196" display="図04-4" xr:uid="{00000000-0004-0000-1900-00000F000000}"/>
    <hyperlink ref="C19" location="'04_シナリオ作成'!B220" display="図04-5" xr:uid="{00000000-0004-0000-1900-000010000000}"/>
    <hyperlink ref="C20" location="'04_シナリオ作成'!B248" display="図04-6" xr:uid="{00000000-0004-0000-1900-000011000000}"/>
    <hyperlink ref="C21" location="'04_シナリオ作成'!B304" display="図04-7" xr:uid="{00000000-0004-0000-1900-000012000000}"/>
    <hyperlink ref="C22" location="'04_シナリオ作成'!B368" display="図04-8" xr:uid="{00000000-0004-0000-1900-000013000000}"/>
    <hyperlink ref="C23" location="'04_シナリオ作成'!B416" display="図04-9" xr:uid="{00000000-0004-0000-1900-000014000000}"/>
    <hyperlink ref="C24" location="'04_シナリオ作成'!B449" display="図04-10" xr:uid="{00000000-0004-0000-1900-000015000000}"/>
    <hyperlink ref="C25" location="'04_シナリオ作成'!B490" display="図04-11" xr:uid="{00000000-0004-0000-1900-000016000000}"/>
    <hyperlink ref="C26" location="'04_シナリオ作成'!B547" display="図04-12" xr:uid="{00000000-0004-0000-1900-000017000000}"/>
    <hyperlink ref="C27" location="'04_シナリオ作成'!B592" display="図04-13" xr:uid="{00000000-0004-0000-1900-000018000000}"/>
    <hyperlink ref="C28" location="'04_シナリオ作成'!B632" display="図04-14" xr:uid="{00000000-0004-0000-1900-000019000000}"/>
    <hyperlink ref="C29" location="'05_正規表現抽出'!B91" display="図05-1" xr:uid="{00000000-0004-0000-1900-00001A000000}"/>
    <hyperlink ref="C30" location="'05_正規表現抽出'!B122" display="図05-2" xr:uid="{00000000-0004-0000-1900-00001B000000}"/>
    <hyperlink ref="C31" location="'06_GUI実行'!B33" display="図06-1" xr:uid="{00000000-0004-0000-1900-00001C000000}"/>
    <hyperlink ref="C32" location="'06_GUI実行'!B51" display="図06-2" xr:uid="{00000000-0004-0000-1900-00001D000000}"/>
    <hyperlink ref="C33" location="'06_GUI実行'!B75" display="図06-3" xr:uid="{00000000-0004-0000-1900-00001E000000}"/>
    <hyperlink ref="C34" location="'07_結果の見方'!B38" display="図07-1" xr:uid="{00000000-0004-0000-1900-00001F000000}"/>
    <hyperlink ref="C35" location="'07_結果の見方'!B71" display="図07-2" xr:uid="{00000000-0004-0000-1900-000020000000}"/>
    <hyperlink ref="C36" location="'07_結果の見方'!B120" display="図07-3" xr:uid="{00000000-0004-0000-1900-000021000000}"/>
    <hyperlink ref="C37" location="'10_Linux準備'!B65" display="図10-1" xr:uid="{00000000-0004-0000-1900-000022000000}"/>
    <hyperlink ref="C38" location="'10_Linux準備'!B161" display="図10-2" xr:uid="{00000000-0004-0000-1900-000023000000}"/>
    <hyperlink ref="C39" location="'11_転送と配置'!B45" display="図11-1" xr:uid="{00000000-0004-0000-1900-000024000000}"/>
    <hyperlink ref="C40" location="'11_転送と配置'!B65" display="図11-2" xr:uid="{00000000-0004-0000-1900-000025000000}"/>
    <hyperlink ref="C41" location="'11_転送と配置'!B135" display="図11-3" xr:uid="{00000000-0004-0000-1900-000026000000}"/>
    <hyperlink ref="C42" location="'12_CLI実行と監視'!B161" display="図12-1" xr:uid="{00000000-0004-0000-1900-000027000000}"/>
    <hyperlink ref="C43" location="'13_結果回収'!B48" display="図13-1" xr:uid="{00000000-0004-0000-1900-000028000000}"/>
    <hyperlink ref="C44" location="'14_Excel取込'!B28" display="図14-1" xr:uid="{00000000-0004-0000-1900-000029000000}"/>
    <hyperlink ref="C45" location="'14_Excel取込'!B50" display="図14-2" xr:uid="{00000000-0004-0000-1900-00002A000000}"/>
    <hyperlink ref="C46" location="'14_Excel取込'!B130" display="図14-3" xr:uid="{00000000-0004-0000-1900-00002B000000}"/>
    <hyperlink ref="C47" location="'18_報告書様式'!B32" display="図18-1" xr:uid="{00000000-0004-0000-1900-00002C000000}"/>
    <hyperlink ref="C48" location="'18_報告書様式'!B82" display="図18-2" xr:uid="{00000000-0004-0000-1900-00002D000000}"/>
    <hyperlink ref="C49" location="'18_報告書様式'!B100" display="図18-3" xr:uid="{00000000-0004-0000-1900-00002E000000}"/>
    <hyperlink ref="C50" location="'18_報告書様式'!B118" display="図18-4" xr:uid="{00000000-0004-0000-1900-00002F000000}"/>
    <hyperlink ref="C51" location="'付録E_完成版jmx'!B26" display="図E-1" xr:uid="{00000000-0004-0000-1900-00003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4:B51"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D9D9D9"/>
    <pageSetUpPr fitToPage="1"/>
  </sheetPr>
  <dimension ref="B1:F519"/>
  <sheetViews>
    <sheetView showGridLines="0" zoomScaleNormal="100" workbookViewId="0">
      <pane ySplit="2" topLeftCell="A3" activePane="bottomLeft" state="frozen"/>
      <selection pane="bottomLeft"/>
    </sheetView>
  </sheetViews>
  <sheetFormatPr defaultRowHeight="15" x14ac:dyDescent="0.3"/>
  <cols>
    <col min="1" max="1" width="1.6328125" customWidth="1"/>
    <col min="2" max="2" width="8.453125" customWidth="1"/>
    <col min="3" max="3" width="22" customWidth="1"/>
    <col min="4" max="4" width="52" customWidth="1"/>
    <col min="5" max="5" width="40" customWidth="1"/>
    <col min="6" max="6" width="46" customWidth="1"/>
    <col min="7" max="7" width="1.6328125" customWidth="1"/>
  </cols>
  <sheetData>
    <row r="1" spans="2:6" ht="37.950000000000003" customHeight="1" x14ac:dyDescent="0.3">
      <c r="B1" s="138" t="s">
        <v>4345</v>
      </c>
      <c r="C1" s="118"/>
      <c r="D1" s="118"/>
      <c r="E1" s="118"/>
      <c r="F1" s="118"/>
    </row>
    <row r="2" spans="2:6" ht="24" customHeight="1" x14ac:dyDescent="0.3">
      <c r="B2" s="141" t="s">
        <v>4346</v>
      </c>
      <c r="C2" s="113"/>
      <c r="D2" s="113"/>
      <c r="E2" s="113"/>
      <c r="F2" s="4" t="s">
        <v>38</v>
      </c>
    </row>
    <row r="3" spans="2:6" ht="12" customHeight="1" x14ac:dyDescent="0.3"/>
    <row r="4" spans="2:6" ht="27" customHeight="1" x14ac:dyDescent="0.3">
      <c r="B4" s="128" t="s">
        <v>4347</v>
      </c>
      <c r="C4" s="124"/>
      <c r="D4" s="124"/>
      <c r="E4" s="124"/>
      <c r="F4" s="124"/>
    </row>
    <row r="5" spans="2:6" ht="4.95" customHeight="1" x14ac:dyDescent="0.3"/>
    <row r="6" spans="2:6" ht="19.350000000000001" customHeight="1" x14ac:dyDescent="0.3">
      <c r="B6" s="38" t="s">
        <v>200</v>
      </c>
      <c r="C6" s="129" t="s">
        <v>4348</v>
      </c>
      <c r="D6" s="113"/>
      <c r="E6" s="113"/>
      <c r="F6" s="113"/>
    </row>
    <row r="7" spans="2:6" ht="19.350000000000001" customHeight="1" x14ac:dyDescent="0.3">
      <c r="B7" s="38" t="s">
        <v>202</v>
      </c>
      <c r="C7" s="129" t="s">
        <v>4349</v>
      </c>
      <c r="D7" s="113"/>
      <c r="E7" s="113"/>
      <c r="F7" s="113"/>
    </row>
    <row r="8" spans="2:6" ht="19.350000000000001" customHeight="1" x14ac:dyDescent="0.3">
      <c r="B8" s="38" t="s">
        <v>204</v>
      </c>
      <c r="C8" s="129" t="s">
        <v>4350</v>
      </c>
      <c r="D8" s="113"/>
      <c r="E8" s="113"/>
      <c r="F8" s="113"/>
    </row>
    <row r="9" spans="2:6" ht="33.75" customHeight="1" x14ac:dyDescent="0.3">
      <c r="B9" s="22" t="s">
        <v>62</v>
      </c>
      <c r="C9" s="152" t="s">
        <v>4351</v>
      </c>
      <c r="D9" s="153"/>
      <c r="E9" s="153"/>
      <c r="F9" s="105"/>
    </row>
    <row r="10" spans="2:6" ht="4.95" customHeight="1" x14ac:dyDescent="0.3"/>
    <row r="11" spans="2:6" ht="22.05" customHeight="1" x14ac:dyDescent="0.3">
      <c r="B11" s="16" t="s">
        <v>64</v>
      </c>
      <c r="C11" s="152" t="s">
        <v>4352</v>
      </c>
      <c r="D11" s="153"/>
      <c r="E11" s="153"/>
      <c r="F11" s="105"/>
    </row>
    <row r="12" spans="2:6" ht="4.95" customHeight="1" x14ac:dyDescent="0.3"/>
    <row r="13" spans="2:6" ht="33.75" customHeight="1" x14ac:dyDescent="0.3">
      <c r="B13" s="37" t="s">
        <v>66</v>
      </c>
      <c r="C13" s="152" t="s">
        <v>4353</v>
      </c>
      <c r="D13" s="153"/>
      <c r="E13" s="153"/>
      <c r="F13" s="105"/>
    </row>
    <row r="14" spans="2:6" ht="4.95" customHeight="1" x14ac:dyDescent="0.3"/>
    <row r="15" spans="2:6" ht="12" customHeight="1" x14ac:dyDescent="0.3"/>
    <row r="16" spans="2:6" ht="27" customHeight="1" x14ac:dyDescent="0.3">
      <c r="B16" s="128" t="s">
        <v>4354</v>
      </c>
      <c r="C16" s="124"/>
      <c r="D16" s="124"/>
      <c r="E16" s="124"/>
      <c r="F16" s="124"/>
    </row>
    <row r="17" spans="2:6" ht="4.95" customHeight="1" x14ac:dyDescent="0.3"/>
    <row r="18" spans="2:6" ht="22.05" customHeight="1" x14ac:dyDescent="0.3">
      <c r="B18" s="7" t="s">
        <v>73</v>
      </c>
      <c r="C18" s="7" t="s">
        <v>159</v>
      </c>
      <c r="D18" s="7" t="s">
        <v>160</v>
      </c>
      <c r="E18" s="7" t="s">
        <v>161</v>
      </c>
      <c r="F18" s="7" t="s">
        <v>162</v>
      </c>
    </row>
    <row r="19" spans="2:6" ht="19.95" customHeight="1" x14ac:dyDescent="0.3">
      <c r="B19" s="8" t="s">
        <v>77</v>
      </c>
      <c r="C19" s="14" t="s">
        <v>4355</v>
      </c>
      <c r="D19" s="10" t="s">
        <v>4356</v>
      </c>
      <c r="E19" s="23" t="s">
        <v>2694</v>
      </c>
      <c r="F19" s="10" t="s">
        <v>4357</v>
      </c>
    </row>
    <row r="20" spans="2:6" ht="48.15" customHeight="1" x14ac:dyDescent="0.3">
      <c r="B20" s="11" t="s">
        <v>81</v>
      </c>
      <c r="C20" s="15" t="s">
        <v>4358</v>
      </c>
      <c r="D20" s="13" t="s">
        <v>4359</v>
      </c>
      <c r="E20" s="23" t="s">
        <v>4360</v>
      </c>
      <c r="F20" s="13" t="s">
        <v>4361</v>
      </c>
    </row>
    <row r="21" spans="2:6" ht="48.15" customHeight="1" x14ac:dyDescent="0.3">
      <c r="B21" s="8" t="s">
        <v>85</v>
      </c>
      <c r="C21" s="14" t="s">
        <v>4362</v>
      </c>
      <c r="D21" s="10" t="s">
        <v>4363</v>
      </c>
      <c r="E21" s="10"/>
      <c r="F21" s="10"/>
    </row>
    <row r="22" spans="2:6" ht="33.75" customHeight="1" x14ac:dyDescent="0.3">
      <c r="B22" s="11" t="s">
        <v>88</v>
      </c>
      <c r="C22" s="15" t="s">
        <v>4364</v>
      </c>
      <c r="D22" s="13" t="s">
        <v>4365</v>
      </c>
      <c r="E22" s="23" t="s">
        <v>1707</v>
      </c>
      <c r="F22" s="13" t="s">
        <v>4366</v>
      </c>
    </row>
    <row r="23" spans="2:6" ht="33.75" customHeight="1" x14ac:dyDescent="0.3">
      <c r="B23" s="8" t="s">
        <v>91</v>
      </c>
      <c r="C23" s="14" t="s">
        <v>4367</v>
      </c>
      <c r="D23" s="10" t="s">
        <v>4368</v>
      </c>
      <c r="E23" s="10"/>
      <c r="F23" s="10" t="s">
        <v>4369</v>
      </c>
    </row>
    <row r="24" spans="2:6" ht="19.95" customHeight="1" x14ac:dyDescent="0.3">
      <c r="B24" s="11" t="s">
        <v>94</v>
      </c>
      <c r="C24" s="15" t="s">
        <v>4370</v>
      </c>
      <c r="D24" s="13" t="s">
        <v>4371</v>
      </c>
      <c r="E24" s="13"/>
      <c r="F24" s="13" t="s">
        <v>4372</v>
      </c>
    </row>
    <row r="25" spans="2:6" ht="6" customHeight="1" x14ac:dyDescent="0.3"/>
    <row r="26" spans="2:6" ht="15" customHeight="1" x14ac:dyDescent="0.3">
      <c r="B26" s="158" t="s">
        <v>4373</v>
      </c>
      <c r="C26" s="159"/>
      <c r="D26" s="159"/>
      <c r="E26" s="159"/>
      <c r="F26" s="160"/>
    </row>
    <row r="27" spans="2:6" ht="15" customHeight="1" x14ac:dyDescent="0.3">
      <c r="B27" s="161"/>
      <c r="C27" s="113"/>
      <c r="D27" s="113"/>
      <c r="E27" s="113"/>
      <c r="F27" s="162"/>
    </row>
    <row r="28" spans="2:6" ht="15" customHeight="1" x14ac:dyDescent="0.3">
      <c r="B28" s="161"/>
      <c r="C28" s="113"/>
      <c r="D28" s="113"/>
      <c r="E28" s="113"/>
      <c r="F28" s="162"/>
    </row>
    <row r="29" spans="2:6" ht="15" customHeight="1" x14ac:dyDescent="0.3">
      <c r="B29" s="161"/>
      <c r="C29" s="113"/>
      <c r="D29" s="113"/>
      <c r="E29" s="113"/>
      <c r="F29" s="162"/>
    </row>
    <row r="30" spans="2:6" ht="15" customHeight="1" x14ac:dyDescent="0.3">
      <c r="B30" s="161"/>
      <c r="C30" s="113"/>
      <c r="D30" s="113"/>
      <c r="E30" s="113"/>
      <c r="F30" s="162"/>
    </row>
    <row r="31" spans="2:6" ht="15" customHeight="1" x14ac:dyDescent="0.3">
      <c r="B31" s="161"/>
      <c r="C31" s="113"/>
      <c r="D31" s="113"/>
      <c r="E31" s="113"/>
      <c r="F31" s="162"/>
    </row>
    <row r="32" spans="2:6" ht="15" customHeight="1" x14ac:dyDescent="0.3">
      <c r="B32" s="161"/>
      <c r="C32" s="113"/>
      <c r="D32" s="113"/>
      <c r="E32" s="113"/>
      <c r="F32" s="162"/>
    </row>
    <row r="33" spans="2:6" ht="15" customHeight="1" x14ac:dyDescent="0.3">
      <c r="B33" s="161"/>
      <c r="C33" s="113"/>
      <c r="D33" s="113"/>
      <c r="E33" s="113"/>
      <c r="F33" s="162"/>
    </row>
    <row r="34" spans="2:6" ht="15" customHeight="1" x14ac:dyDescent="0.3">
      <c r="B34" s="161"/>
      <c r="C34" s="113"/>
      <c r="D34" s="113"/>
      <c r="E34" s="113"/>
      <c r="F34" s="162"/>
    </row>
    <row r="35" spans="2:6" ht="15" customHeight="1" x14ac:dyDescent="0.3">
      <c r="B35" s="161"/>
      <c r="C35" s="113"/>
      <c r="D35" s="113"/>
      <c r="E35" s="113"/>
      <c r="F35" s="162"/>
    </row>
    <row r="36" spans="2:6" ht="15" customHeight="1" x14ac:dyDescent="0.3">
      <c r="B36" s="161"/>
      <c r="C36" s="113"/>
      <c r="D36" s="113"/>
      <c r="E36" s="113"/>
      <c r="F36" s="162"/>
    </row>
    <row r="37" spans="2:6" ht="15" customHeight="1" x14ac:dyDescent="0.3">
      <c r="B37" s="161"/>
      <c r="C37" s="113"/>
      <c r="D37" s="113"/>
      <c r="E37" s="113"/>
      <c r="F37" s="162"/>
    </row>
    <row r="38" spans="2:6" ht="15" customHeight="1" x14ac:dyDescent="0.3">
      <c r="B38" s="161"/>
      <c r="C38" s="113"/>
      <c r="D38" s="113"/>
      <c r="E38" s="113"/>
      <c r="F38" s="162"/>
    </row>
    <row r="39" spans="2:6" ht="15" customHeight="1" x14ac:dyDescent="0.3">
      <c r="B39" s="161"/>
      <c r="C39" s="113"/>
      <c r="D39" s="113"/>
      <c r="E39" s="113"/>
      <c r="F39" s="162"/>
    </row>
    <row r="40" spans="2:6" ht="15" customHeight="1" x14ac:dyDescent="0.3">
      <c r="B40" s="161"/>
      <c r="C40" s="113"/>
      <c r="D40" s="113"/>
      <c r="E40" s="113"/>
      <c r="F40" s="162"/>
    </row>
    <row r="41" spans="2:6" ht="15" customHeight="1" x14ac:dyDescent="0.3">
      <c r="B41" s="161"/>
      <c r="C41" s="113"/>
      <c r="D41" s="113"/>
      <c r="E41" s="113"/>
      <c r="F41" s="162"/>
    </row>
    <row r="42" spans="2:6" ht="15" customHeight="1" x14ac:dyDescent="0.3">
      <c r="B42" s="161"/>
      <c r="C42" s="113"/>
      <c r="D42" s="113"/>
      <c r="E42" s="113"/>
      <c r="F42" s="162"/>
    </row>
    <row r="43" spans="2:6" ht="15" customHeight="1" x14ac:dyDescent="0.3">
      <c r="B43" s="161"/>
      <c r="C43" s="113"/>
      <c r="D43" s="113"/>
      <c r="E43" s="113"/>
      <c r="F43" s="162"/>
    </row>
    <row r="44" spans="2:6" ht="15" customHeight="1" x14ac:dyDescent="0.3">
      <c r="B44" s="161"/>
      <c r="C44" s="113"/>
      <c r="D44" s="113"/>
      <c r="E44" s="113"/>
      <c r="F44" s="162"/>
    </row>
    <row r="45" spans="2:6" ht="15" customHeight="1" x14ac:dyDescent="0.3">
      <c r="B45" s="161"/>
      <c r="C45" s="113"/>
      <c r="D45" s="113"/>
      <c r="E45" s="113"/>
      <c r="F45" s="162"/>
    </row>
    <row r="46" spans="2:6" ht="15" customHeight="1" x14ac:dyDescent="0.3">
      <c r="B46" s="161"/>
      <c r="C46" s="113"/>
      <c r="D46" s="113"/>
      <c r="E46" s="113"/>
      <c r="F46" s="162"/>
    </row>
    <row r="47" spans="2:6" ht="15" customHeight="1" x14ac:dyDescent="0.3">
      <c r="B47" s="163"/>
      <c r="C47" s="164"/>
      <c r="D47" s="164"/>
      <c r="E47" s="164"/>
      <c r="F47" s="165"/>
    </row>
    <row r="48" spans="2:6" ht="19.95" customHeight="1" x14ac:dyDescent="0.3">
      <c r="B48" s="151" t="s">
        <v>4374</v>
      </c>
      <c r="C48" s="113"/>
      <c r="D48" s="113"/>
      <c r="E48" s="113"/>
      <c r="F48" s="113"/>
    </row>
    <row r="49" spans="2:6" ht="6" customHeight="1" x14ac:dyDescent="0.3"/>
    <row r="50" spans="2:6" ht="12" customHeight="1" x14ac:dyDescent="0.3"/>
    <row r="51" spans="2:6" ht="27" customHeight="1" x14ac:dyDescent="0.3">
      <c r="B51" s="128" t="s">
        <v>4375</v>
      </c>
      <c r="C51" s="124"/>
      <c r="D51" s="124"/>
      <c r="E51" s="124"/>
      <c r="F51" s="124"/>
    </row>
    <row r="52" spans="2:6" ht="4.95" customHeight="1" x14ac:dyDescent="0.3"/>
    <row r="53" spans="2:6" ht="19.350000000000001" customHeight="1" x14ac:dyDescent="0.3">
      <c r="B53" s="129" t="s">
        <v>4376</v>
      </c>
      <c r="C53" s="113"/>
      <c r="D53" s="113"/>
      <c r="E53" s="113"/>
      <c r="F53" s="113"/>
    </row>
    <row r="54" spans="2:6" ht="22.05" customHeight="1" x14ac:dyDescent="0.3">
      <c r="B54" s="144" t="s">
        <v>1241</v>
      </c>
      <c r="C54" s="171"/>
      <c r="D54" s="145"/>
      <c r="E54" s="144" t="s">
        <v>4377</v>
      </c>
      <c r="F54" s="145"/>
    </row>
    <row r="55" spans="2:6" ht="48.15" customHeight="1" x14ac:dyDescent="0.3">
      <c r="B55" s="174" t="s">
        <v>1244</v>
      </c>
      <c r="C55" s="110"/>
      <c r="D55" s="111"/>
      <c r="E55" s="130" t="s">
        <v>4378</v>
      </c>
      <c r="F55" s="111"/>
    </row>
    <row r="56" spans="2:6" ht="33.75" customHeight="1" x14ac:dyDescent="0.3">
      <c r="B56" s="173" t="s">
        <v>1246</v>
      </c>
      <c r="C56" s="169"/>
      <c r="D56" s="133"/>
      <c r="E56" s="132" t="s">
        <v>4379</v>
      </c>
      <c r="F56" s="133"/>
    </row>
    <row r="57" spans="2:6" ht="48.15" customHeight="1" x14ac:dyDescent="0.3">
      <c r="B57" s="130" t="s">
        <v>1248</v>
      </c>
      <c r="C57" s="110"/>
      <c r="D57" s="111"/>
      <c r="E57" s="130" t="s">
        <v>4380</v>
      </c>
      <c r="F57" s="111"/>
    </row>
    <row r="58" spans="2:6" ht="19.95" customHeight="1" x14ac:dyDescent="0.3">
      <c r="B58" s="132" t="s">
        <v>1250</v>
      </c>
      <c r="C58" s="169"/>
      <c r="D58" s="133"/>
      <c r="E58" s="132" t="s">
        <v>4381</v>
      </c>
      <c r="F58" s="133"/>
    </row>
    <row r="59" spans="2:6" ht="33.75" customHeight="1" x14ac:dyDescent="0.3">
      <c r="B59" s="130" t="s">
        <v>1252</v>
      </c>
      <c r="C59" s="110"/>
      <c r="D59" s="111"/>
      <c r="E59" s="130" t="s">
        <v>4382</v>
      </c>
      <c r="F59" s="111"/>
    </row>
    <row r="60" spans="2:6" ht="48.15" customHeight="1" x14ac:dyDescent="0.3">
      <c r="B60" s="132" t="s">
        <v>1255</v>
      </c>
      <c r="C60" s="169"/>
      <c r="D60" s="133"/>
      <c r="E60" s="132" t="s">
        <v>4383</v>
      </c>
      <c r="F60" s="133"/>
    </row>
    <row r="61" spans="2:6" ht="19.95" customHeight="1" x14ac:dyDescent="0.3">
      <c r="B61" s="130" t="s">
        <v>1258</v>
      </c>
      <c r="C61" s="110"/>
      <c r="D61" s="111"/>
      <c r="E61" s="130" t="s">
        <v>4384</v>
      </c>
      <c r="F61" s="111"/>
    </row>
    <row r="62" spans="2:6" ht="19.95" customHeight="1" x14ac:dyDescent="0.3">
      <c r="B62" s="132" t="s">
        <v>1260</v>
      </c>
      <c r="C62" s="169"/>
      <c r="D62" s="133"/>
      <c r="E62" s="132" t="s">
        <v>4385</v>
      </c>
      <c r="F62" s="133"/>
    </row>
    <row r="63" spans="2:6" ht="33.75" customHeight="1" x14ac:dyDescent="0.3">
      <c r="B63" s="130" t="s">
        <v>1263</v>
      </c>
      <c r="C63" s="110"/>
      <c r="D63" s="111"/>
      <c r="E63" s="130" t="s">
        <v>4386</v>
      </c>
      <c r="F63" s="111"/>
    </row>
    <row r="64" spans="2:6" ht="48.15" customHeight="1" x14ac:dyDescent="0.3">
      <c r="B64" s="173" t="s">
        <v>1265</v>
      </c>
      <c r="C64" s="169"/>
      <c r="D64" s="133"/>
      <c r="E64" s="132" t="s">
        <v>4387</v>
      </c>
      <c r="F64" s="133"/>
    </row>
    <row r="65" spans="2:6" ht="33.75" customHeight="1" x14ac:dyDescent="0.3">
      <c r="B65" s="130" t="s">
        <v>1267</v>
      </c>
      <c r="C65" s="110"/>
      <c r="D65" s="111"/>
      <c r="E65" s="130" t="s">
        <v>4388</v>
      </c>
      <c r="F65" s="111"/>
    </row>
    <row r="66" spans="2:6" ht="33.75" customHeight="1" x14ac:dyDescent="0.3">
      <c r="B66" s="132" t="s">
        <v>1269</v>
      </c>
      <c r="C66" s="169"/>
      <c r="D66" s="133"/>
      <c r="E66" s="132" t="s">
        <v>4389</v>
      </c>
      <c r="F66" s="133"/>
    </row>
    <row r="67" spans="2:6" ht="19.95" customHeight="1" x14ac:dyDescent="0.3">
      <c r="B67" s="130" t="s">
        <v>1271</v>
      </c>
      <c r="C67" s="110"/>
      <c r="D67" s="111"/>
      <c r="E67" s="130" t="s">
        <v>4390</v>
      </c>
      <c r="F67" s="111"/>
    </row>
    <row r="68" spans="2:6" ht="33.75" customHeight="1" x14ac:dyDescent="0.3">
      <c r="B68" s="132" t="s">
        <v>1273</v>
      </c>
      <c r="C68" s="169"/>
      <c r="D68" s="133"/>
      <c r="E68" s="132" t="s">
        <v>4391</v>
      </c>
      <c r="F68" s="133"/>
    </row>
    <row r="69" spans="2:6" ht="19.95" customHeight="1" x14ac:dyDescent="0.3">
      <c r="B69" s="130" t="s">
        <v>1275</v>
      </c>
      <c r="C69" s="110"/>
      <c r="D69" s="111"/>
      <c r="E69" s="130" t="s">
        <v>4392</v>
      </c>
      <c r="F69" s="111"/>
    </row>
    <row r="70" spans="2:6" ht="33.75" customHeight="1" x14ac:dyDescent="0.3">
      <c r="B70" s="132" t="s">
        <v>1277</v>
      </c>
      <c r="C70" s="169"/>
      <c r="D70" s="133"/>
      <c r="E70" s="132" t="s">
        <v>4393</v>
      </c>
      <c r="F70" s="133"/>
    </row>
    <row r="71" spans="2:6" ht="33.75" customHeight="1" x14ac:dyDescent="0.3">
      <c r="B71" s="130" t="s">
        <v>1279</v>
      </c>
      <c r="C71" s="110"/>
      <c r="D71" s="111"/>
      <c r="E71" s="130" t="s">
        <v>4394</v>
      </c>
      <c r="F71" s="111"/>
    </row>
    <row r="72" spans="2:6" ht="19.95" customHeight="1" x14ac:dyDescent="0.3">
      <c r="B72" s="132" t="s">
        <v>1281</v>
      </c>
      <c r="C72" s="169"/>
      <c r="D72" s="133"/>
      <c r="E72" s="132" t="s">
        <v>4395</v>
      </c>
      <c r="F72" s="133"/>
    </row>
    <row r="73" spans="2:6" ht="19.95" customHeight="1" x14ac:dyDescent="0.3">
      <c r="B73" s="130" t="s">
        <v>1283</v>
      </c>
      <c r="C73" s="110"/>
      <c r="D73" s="111"/>
      <c r="E73" s="130" t="s">
        <v>4396</v>
      </c>
      <c r="F73" s="111"/>
    </row>
    <row r="74" spans="2:6" ht="19.95" customHeight="1" x14ac:dyDescent="0.3">
      <c r="B74" s="132" t="s">
        <v>1285</v>
      </c>
      <c r="C74" s="169"/>
      <c r="D74" s="133"/>
      <c r="E74" s="132" t="s">
        <v>4397</v>
      </c>
      <c r="F74" s="133"/>
    </row>
    <row r="75" spans="2:6" ht="19.95" customHeight="1" x14ac:dyDescent="0.3">
      <c r="B75" s="130" t="s">
        <v>1287</v>
      </c>
      <c r="C75" s="110"/>
      <c r="D75" s="111"/>
      <c r="E75" s="130" t="s">
        <v>4398</v>
      </c>
      <c r="F75" s="111"/>
    </row>
    <row r="76" spans="2:6" ht="6" customHeight="1" x14ac:dyDescent="0.3"/>
    <row r="77" spans="2:6" ht="12" customHeight="1" x14ac:dyDescent="0.3"/>
    <row r="78" spans="2:6" ht="27" customHeight="1" x14ac:dyDescent="0.3">
      <c r="B78" s="128" t="s">
        <v>4399</v>
      </c>
      <c r="C78" s="124"/>
      <c r="D78" s="124"/>
      <c r="E78" s="124"/>
      <c r="F78" s="124"/>
    </row>
    <row r="79" spans="2:6" ht="4.95" customHeight="1" x14ac:dyDescent="0.3"/>
    <row r="80" spans="2:6" ht="19.350000000000001" customHeight="1" x14ac:dyDescent="0.3">
      <c r="B80" s="129" t="s">
        <v>4400</v>
      </c>
      <c r="C80" s="113"/>
      <c r="D80" s="113"/>
      <c r="E80" s="113"/>
      <c r="F80" s="113"/>
    </row>
    <row r="81" spans="3:6" ht="16.95" customHeight="1" x14ac:dyDescent="0.3">
      <c r="C81" s="170" t="s">
        <v>4401</v>
      </c>
      <c r="D81" s="113"/>
      <c r="E81" s="113"/>
      <c r="F81" s="113"/>
    </row>
    <row r="82" spans="3:6" ht="15.75" customHeight="1" x14ac:dyDescent="0.3">
      <c r="C82" s="101" t="s">
        <v>4402</v>
      </c>
      <c r="D82" s="40"/>
      <c r="E82" s="40"/>
      <c r="F82" s="41"/>
    </row>
    <row r="83" spans="3:6" ht="15.75" customHeight="1" x14ac:dyDescent="0.3">
      <c r="C83" s="102" t="s">
        <v>4403</v>
      </c>
      <c r="D83" s="43"/>
      <c r="E83" s="43"/>
      <c r="F83" s="44"/>
    </row>
    <row r="84" spans="3:6" ht="15.75" customHeight="1" x14ac:dyDescent="0.3">
      <c r="C84" s="102" t="s">
        <v>4404</v>
      </c>
      <c r="D84" s="43"/>
      <c r="E84" s="43"/>
      <c r="F84" s="44"/>
    </row>
    <row r="85" spans="3:6" ht="15.75" customHeight="1" x14ac:dyDescent="0.3">
      <c r="C85" s="102" t="s">
        <v>4405</v>
      </c>
      <c r="D85" s="43"/>
      <c r="E85" s="43"/>
      <c r="F85" s="44"/>
    </row>
    <row r="86" spans="3:6" ht="15.75" customHeight="1" x14ac:dyDescent="0.3">
      <c r="C86" s="102" t="s">
        <v>4406</v>
      </c>
      <c r="D86" s="43"/>
      <c r="E86" s="43"/>
      <c r="F86" s="44"/>
    </row>
    <row r="87" spans="3:6" ht="15.75" customHeight="1" x14ac:dyDescent="0.3">
      <c r="C87" s="102" t="s">
        <v>4407</v>
      </c>
      <c r="D87" s="43"/>
      <c r="E87" s="43"/>
      <c r="F87" s="44"/>
    </row>
    <row r="88" spans="3:6" ht="15.75" customHeight="1" x14ac:dyDescent="0.3">
      <c r="C88" s="102" t="s">
        <v>4408</v>
      </c>
      <c r="D88" s="43"/>
      <c r="E88" s="43"/>
      <c r="F88" s="44"/>
    </row>
    <row r="89" spans="3:6" ht="15.75" customHeight="1" x14ac:dyDescent="0.3">
      <c r="C89" s="102" t="s">
        <v>4409</v>
      </c>
      <c r="D89" s="43"/>
      <c r="E89" s="43"/>
      <c r="F89" s="44"/>
    </row>
    <row r="90" spans="3:6" ht="15.75" customHeight="1" x14ac:dyDescent="0.3">
      <c r="C90" s="102" t="s">
        <v>4410</v>
      </c>
      <c r="D90" s="43"/>
      <c r="E90" s="43"/>
      <c r="F90" s="44"/>
    </row>
    <row r="91" spans="3:6" ht="15.75" customHeight="1" x14ac:dyDescent="0.3">
      <c r="C91" s="102" t="s">
        <v>4411</v>
      </c>
      <c r="D91" s="43"/>
      <c r="E91" s="43"/>
      <c r="F91" s="44"/>
    </row>
    <row r="92" spans="3:6" ht="15.75" customHeight="1" x14ac:dyDescent="0.3">
      <c r="C92" s="102" t="s">
        <v>4412</v>
      </c>
      <c r="D92" s="43"/>
      <c r="E92" s="43"/>
      <c r="F92" s="44"/>
    </row>
    <row r="93" spans="3:6" ht="15.75" customHeight="1" x14ac:dyDescent="0.3">
      <c r="C93" s="102" t="s">
        <v>4413</v>
      </c>
      <c r="D93" s="43"/>
      <c r="E93" s="43"/>
      <c r="F93" s="44"/>
    </row>
    <row r="94" spans="3:6" ht="15.75" customHeight="1" x14ac:dyDescent="0.3">
      <c r="C94" s="102" t="s">
        <v>4414</v>
      </c>
      <c r="D94" s="43"/>
      <c r="E94" s="43"/>
      <c r="F94" s="44"/>
    </row>
    <row r="95" spans="3:6" ht="15.75" customHeight="1" x14ac:dyDescent="0.3">
      <c r="C95" s="102" t="s">
        <v>4415</v>
      </c>
      <c r="D95" s="43"/>
      <c r="E95" s="43"/>
      <c r="F95" s="44"/>
    </row>
    <row r="96" spans="3:6" ht="15.75" customHeight="1" x14ac:dyDescent="0.3">
      <c r="C96" s="102" t="s">
        <v>4416</v>
      </c>
      <c r="D96" s="43"/>
      <c r="E96" s="43"/>
      <c r="F96" s="44"/>
    </row>
    <row r="97" spans="3:6" ht="15.75" customHeight="1" x14ac:dyDescent="0.3">
      <c r="C97" s="102" t="s">
        <v>4417</v>
      </c>
      <c r="D97" s="43"/>
      <c r="E97" s="43"/>
      <c r="F97" s="44"/>
    </row>
    <row r="98" spans="3:6" ht="15.75" customHeight="1" x14ac:dyDescent="0.3">
      <c r="C98" s="102" t="s">
        <v>4418</v>
      </c>
      <c r="D98" s="43"/>
      <c r="E98" s="43"/>
      <c r="F98" s="44"/>
    </row>
    <row r="99" spans="3:6" ht="15.75" customHeight="1" x14ac:dyDescent="0.3">
      <c r="C99" s="102" t="s">
        <v>4419</v>
      </c>
      <c r="D99" s="43"/>
      <c r="E99" s="43"/>
      <c r="F99" s="44"/>
    </row>
    <row r="100" spans="3:6" ht="15.75" customHeight="1" x14ac:dyDescent="0.3">
      <c r="C100" s="102" t="s">
        <v>4415</v>
      </c>
      <c r="D100" s="43"/>
      <c r="E100" s="43"/>
      <c r="F100" s="44"/>
    </row>
    <row r="101" spans="3:6" ht="15.75" customHeight="1" x14ac:dyDescent="0.3">
      <c r="C101" s="102" t="s">
        <v>4416</v>
      </c>
      <c r="D101" s="43"/>
      <c r="E101" s="43"/>
      <c r="F101" s="44"/>
    </row>
    <row r="102" spans="3:6" ht="15.75" customHeight="1" x14ac:dyDescent="0.3">
      <c r="C102" s="102" t="s">
        <v>4420</v>
      </c>
      <c r="D102" s="43"/>
      <c r="E102" s="43"/>
      <c r="F102" s="44"/>
    </row>
    <row r="103" spans="3:6" ht="15.75" customHeight="1" x14ac:dyDescent="0.3">
      <c r="C103" s="102" t="s">
        <v>4421</v>
      </c>
      <c r="D103" s="43"/>
      <c r="E103" s="43"/>
      <c r="F103" s="44"/>
    </row>
    <row r="104" spans="3:6" ht="15.75" customHeight="1" x14ac:dyDescent="0.3">
      <c r="C104" s="102" t="s">
        <v>4422</v>
      </c>
      <c r="D104" s="43"/>
      <c r="E104" s="43"/>
      <c r="F104" s="44"/>
    </row>
    <row r="105" spans="3:6" ht="15.75" customHeight="1" x14ac:dyDescent="0.3">
      <c r="C105" s="102" t="s">
        <v>4415</v>
      </c>
      <c r="D105" s="43"/>
      <c r="E105" s="43"/>
      <c r="F105" s="44"/>
    </row>
    <row r="106" spans="3:6" ht="15.75" customHeight="1" x14ac:dyDescent="0.3">
      <c r="C106" s="102" t="s">
        <v>4416</v>
      </c>
      <c r="D106" s="43"/>
      <c r="E106" s="43"/>
      <c r="F106" s="44"/>
    </row>
    <row r="107" spans="3:6" ht="15.75" customHeight="1" x14ac:dyDescent="0.3">
      <c r="C107" s="102" t="s">
        <v>4423</v>
      </c>
      <c r="D107" s="43"/>
      <c r="E107" s="43"/>
      <c r="F107" s="44"/>
    </row>
    <row r="108" spans="3:6" ht="15.75" customHeight="1" x14ac:dyDescent="0.3">
      <c r="C108" s="102" t="s">
        <v>4424</v>
      </c>
      <c r="D108" s="43"/>
      <c r="E108" s="43"/>
      <c r="F108" s="44"/>
    </row>
    <row r="109" spans="3:6" ht="15.75" customHeight="1" x14ac:dyDescent="0.3">
      <c r="C109" s="102" t="s">
        <v>4425</v>
      </c>
      <c r="D109" s="43"/>
      <c r="E109" s="43"/>
      <c r="F109" s="44"/>
    </row>
    <row r="110" spans="3:6" ht="15.75" customHeight="1" x14ac:dyDescent="0.3">
      <c r="C110" s="102" t="s">
        <v>4415</v>
      </c>
      <c r="D110" s="43"/>
      <c r="E110" s="43"/>
      <c r="F110" s="44"/>
    </row>
    <row r="111" spans="3:6" ht="15.75" customHeight="1" x14ac:dyDescent="0.3">
      <c r="C111" s="102" t="s">
        <v>4416</v>
      </c>
      <c r="D111" s="43"/>
      <c r="E111" s="43"/>
      <c r="F111" s="44"/>
    </row>
    <row r="112" spans="3:6" ht="15.75" customHeight="1" x14ac:dyDescent="0.3">
      <c r="C112" s="102" t="s">
        <v>4426</v>
      </c>
      <c r="D112" s="43"/>
      <c r="E112" s="43"/>
      <c r="F112" s="44"/>
    </row>
    <row r="113" spans="3:6" ht="15.75" customHeight="1" x14ac:dyDescent="0.3">
      <c r="C113" s="102" t="s">
        <v>4427</v>
      </c>
      <c r="D113" s="43"/>
      <c r="E113" s="43"/>
      <c r="F113" s="44"/>
    </row>
    <row r="114" spans="3:6" ht="15.75" customHeight="1" x14ac:dyDescent="0.3">
      <c r="C114" s="102" t="s">
        <v>4428</v>
      </c>
      <c r="D114" s="43"/>
      <c r="E114" s="43"/>
      <c r="F114" s="44"/>
    </row>
    <row r="115" spans="3:6" ht="15.75" customHeight="1" x14ac:dyDescent="0.3">
      <c r="C115" s="102" t="s">
        <v>4415</v>
      </c>
      <c r="D115" s="43"/>
      <c r="E115" s="43"/>
      <c r="F115" s="44"/>
    </row>
    <row r="116" spans="3:6" ht="15.75" customHeight="1" x14ac:dyDescent="0.3">
      <c r="C116" s="102" t="s">
        <v>4416</v>
      </c>
      <c r="D116" s="43"/>
      <c r="E116" s="43"/>
      <c r="F116" s="44"/>
    </row>
    <row r="117" spans="3:6" ht="15.75" customHeight="1" x14ac:dyDescent="0.3">
      <c r="C117" s="102" t="s">
        <v>4429</v>
      </c>
      <c r="D117" s="43"/>
      <c r="E117" s="43"/>
      <c r="F117" s="44"/>
    </row>
    <row r="118" spans="3:6" ht="15.75" customHeight="1" x14ac:dyDescent="0.3">
      <c r="C118" s="102" t="s">
        <v>4430</v>
      </c>
      <c r="D118" s="43"/>
      <c r="E118" s="43"/>
      <c r="F118" s="44"/>
    </row>
    <row r="119" spans="3:6" ht="15.75" customHeight="1" x14ac:dyDescent="0.3">
      <c r="C119" s="102" t="s">
        <v>4431</v>
      </c>
      <c r="D119" s="43"/>
      <c r="E119" s="43"/>
      <c r="F119" s="44"/>
    </row>
    <row r="120" spans="3:6" ht="15.75" customHeight="1" x14ac:dyDescent="0.3">
      <c r="C120" s="102" t="s">
        <v>4415</v>
      </c>
      <c r="D120" s="43"/>
      <c r="E120" s="43"/>
      <c r="F120" s="44"/>
    </row>
    <row r="121" spans="3:6" ht="15.75" customHeight="1" x14ac:dyDescent="0.3">
      <c r="C121" s="102" t="s">
        <v>4416</v>
      </c>
      <c r="D121" s="43"/>
      <c r="E121" s="43"/>
      <c r="F121" s="44"/>
    </row>
    <row r="122" spans="3:6" ht="15.75" customHeight="1" x14ac:dyDescent="0.3">
      <c r="C122" s="102" t="s">
        <v>4432</v>
      </c>
      <c r="D122" s="43"/>
      <c r="E122" s="43"/>
      <c r="F122" s="44"/>
    </row>
    <row r="123" spans="3:6" ht="15.75" customHeight="1" x14ac:dyDescent="0.3">
      <c r="C123" s="102" t="s">
        <v>4433</v>
      </c>
      <c r="D123" s="43"/>
      <c r="E123" s="43"/>
      <c r="F123" s="44"/>
    </row>
    <row r="124" spans="3:6" ht="15.75" customHeight="1" x14ac:dyDescent="0.3">
      <c r="C124" s="102" t="s">
        <v>4434</v>
      </c>
      <c r="D124" s="43"/>
      <c r="E124" s="43"/>
      <c r="F124" s="44"/>
    </row>
    <row r="125" spans="3:6" ht="15.75" customHeight="1" x14ac:dyDescent="0.3">
      <c r="C125" s="102" t="s">
        <v>4415</v>
      </c>
      <c r="D125" s="43"/>
      <c r="E125" s="43"/>
      <c r="F125" s="44"/>
    </row>
    <row r="126" spans="3:6" ht="15.75" customHeight="1" x14ac:dyDescent="0.3">
      <c r="C126" s="102" t="s">
        <v>4416</v>
      </c>
      <c r="D126" s="43"/>
      <c r="E126" s="43"/>
      <c r="F126" s="44"/>
    </row>
    <row r="127" spans="3:6" ht="15.75" customHeight="1" x14ac:dyDescent="0.3">
      <c r="C127" s="102" t="s">
        <v>4435</v>
      </c>
      <c r="D127" s="43"/>
      <c r="E127" s="43"/>
      <c r="F127" s="44"/>
    </row>
    <row r="128" spans="3:6" ht="15.75" customHeight="1" x14ac:dyDescent="0.3">
      <c r="C128" s="102" t="s">
        <v>4436</v>
      </c>
      <c r="D128" s="43"/>
      <c r="E128" s="43"/>
      <c r="F128" s="44"/>
    </row>
    <row r="129" spans="3:6" ht="15.75" customHeight="1" x14ac:dyDescent="0.3">
      <c r="C129" s="102" t="s">
        <v>4437</v>
      </c>
      <c r="D129" s="43"/>
      <c r="E129" s="43"/>
      <c r="F129" s="44"/>
    </row>
    <row r="130" spans="3:6" ht="15.75" customHeight="1" x14ac:dyDescent="0.3">
      <c r="C130" s="102" t="s">
        <v>4438</v>
      </c>
      <c r="D130" s="43"/>
      <c r="E130" s="43"/>
      <c r="F130" s="44"/>
    </row>
    <row r="131" spans="3:6" ht="15.75" customHeight="1" x14ac:dyDescent="0.3">
      <c r="C131" s="102" t="s">
        <v>4439</v>
      </c>
      <c r="D131" s="43"/>
      <c r="E131" s="43"/>
      <c r="F131" s="44"/>
    </row>
    <row r="132" spans="3:6" ht="15.75" customHeight="1" x14ac:dyDescent="0.3">
      <c r="C132" s="102" t="s">
        <v>4440</v>
      </c>
      <c r="D132" s="43"/>
      <c r="E132" s="43"/>
      <c r="F132" s="44"/>
    </row>
    <row r="133" spans="3:6" ht="15.75" customHeight="1" x14ac:dyDescent="0.3">
      <c r="C133" s="102" t="s">
        <v>4441</v>
      </c>
      <c r="D133" s="43"/>
      <c r="E133" s="43"/>
      <c r="F133" s="44"/>
    </row>
    <row r="134" spans="3:6" ht="15.75" customHeight="1" x14ac:dyDescent="0.3">
      <c r="C134" s="102" t="s">
        <v>4442</v>
      </c>
      <c r="D134" s="43"/>
      <c r="E134" s="43"/>
      <c r="F134" s="44"/>
    </row>
    <row r="135" spans="3:6" ht="15.75" customHeight="1" x14ac:dyDescent="0.3">
      <c r="C135" s="102" t="s">
        <v>4443</v>
      </c>
      <c r="D135" s="43"/>
      <c r="E135" s="43"/>
      <c r="F135" s="44"/>
    </row>
    <row r="136" spans="3:6" ht="15.75" customHeight="1" x14ac:dyDescent="0.3">
      <c r="C136" s="102" t="s">
        <v>4444</v>
      </c>
      <c r="D136" s="43"/>
      <c r="E136" s="43"/>
      <c r="F136" s="44"/>
    </row>
    <row r="137" spans="3:6" ht="15.75" customHeight="1" x14ac:dyDescent="0.3">
      <c r="C137" s="102" t="s">
        <v>4445</v>
      </c>
      <c r="D137" s="43"/>
      <c r="E137" s="43"/>
      <c r="F137" s="44"/>
    </row>
    <row r="138" spans="3:6" ht="15.75" customHeight="1" x14ac:dyDescent="0.3">
      <c r="C138" s="102" t="s">
        <v>4446</v>
      </c>
      <c r="D138" s="43"/>
      <c r="E138" s="43"/>
      <c r="F138" s="44"/>
    </row>
    <row r="139" spans="3:6" ht="15.75" customHeight="1" x14ac:dyDescent="0.3">
      <c r="C139" s="102" t="s">
        <v>4447</v>
      </c>
      <c r="D139" s="43"/>
      <c r="E139" s="43"/>
      <c r="F139" s="44"/>
    </row>
    <row r="140" spans="3:6" ht="15.75" customHeight="1" x14ac:dyDescent="0.3">
      <c r="C140" s="102" t="s">
        <v>4448</v>
      </c>
      <c r="D140" s="43"/>
      <c r="E140" s="43"/>
      <c r="F140" s="44"/>
    </row>
    <row r="141" spans="3:6" ht="15.75" customHeight="1" x14ac:dyDescent="0.3">
      <c r="C141" s="102" t="s">
        <v>4449</v>
      </c>
      <c r="D141" s="43"/>
      <c r="E141" s="43"/>
      <c r="F141" s="44"/>
    </row>
    <row r="142" spans="3:6" ht="15.75" customHeight="1" x14ac:dyDescent="0.3">
      <c r="C142" s="102" t="s">
        <v>4450</v>
      </c>
      <c r="D142" s="43"/>
      <c r="E142" s="43"/>
      <c r="F142" s="44"/>
    </row>
    <row r="143" spans="3:6" ht="15.75" customHeight="1" x14ac:dyDescent="0.3">
      <c r="C143" s="102" t="s">
        <v>4451</v>
      </c>
      <c r="D143" s="43"/>
      <c r="E143" s="43"/>
      <c r="F143" s="44"/>
    </row>
    <row r="144" spans="3:6" ht="15.75" customHeight="1" x14ac:dyDescent="0.3">
      <c r="C144" s="102" t="s">
        <v>4452</v>
      </c>
      <c r="D144" s="43"/>
      <c r="E144" s="43"/>
      <c r="F144" s="44"/>
    </row>
    <row r="145" spans="3:6" ht="15.75" customHeight="1" x14ac:dyDescent="0.3">
      <c r="C145" s="102" t="s">
        <v>4453</v>
      </c>
      <c r="D145" s="43"/>
      <c r="E145" s="43"/>
      <c r="F145" s="44"/>
    </row>
    <row r="146" spans="3:6" ht="15.75" customHeight="1" x14ac:dyDescent="0.3">
      <c r="C146" s="102" t="s">
        <v>4454</v>
      </c>
      <c r="D146" s="43"/>
      <c r="E146" s="43"/>
      <c r="F146" s="44"/>
    </row>
    <row r="147" spans="3:6" ht="15.75" customHeight="1" x14ac:dyDescent="0.3">
      <c r="C147" s="102" t="s">
        <v>4455</v>
      </c>
      <c r="D147" s="43"/>
      <c r="E147" s="43"/>
      <c r="F147" s="44"/>
    </row>
    <row r="148" spans="3:6" ht="15.75" customHeight="1" x14ac:dyDescent="0.3">
      <c r="C148" s="102" t="s">
        <v>4456</v>
      </c>
      <c r="D148" s="43"/>
      <c r="E148" s="43"/>
      <c r="F148" s="44"/>
    </row>
    <row r="149" spans="3:6" ht="15.75" customHeight="1" x14ac:dyDescent="0.3">
      <c r="C149" s="102" t="s">
        <v>4457</v>
      </c>
      <c r="D149" s="43"/>
      <c r="E149" s="43"/>
      <c r="F149" s="44"/>
    </row>
    <row r="150" spans="3:6" ht="15.75" customHeight="1" x14ac:dyDescent="0.3">
      <c r="C150" s="102" t="s">
        <v>4458</v>
      </c>
      <c r="D150" s="43"/>
      <c r="E150" s="43"/>
      <c r="F150" s="44"/>
    </row>
    <row r="151" spans="3:6" ht="15.75" customHeight="1" x14ac:dyDescent="0.3">
      <c r="C151" s="102" t="s">
        <v>4459</v>
      </c>
      <c r="D151" s="43"/>
      <c r="E151" s="43"/>
      <c r="F151" s="44"/>
    </row>
    <row r="152" spans="3:6" ht="15.75" customHeight="1" x14ac:dyDescent="0.3">
      <c r="C152" s="102" t="s">
        <v>4460</v>
      </c>
      <c r="D152" s="43"/>
      <c r="E152" s="43"/>
      <c r="F152" s="44"/>
    </row>
    <row r="153" spans="3:6" ht="15.75" customHeight="1" x14ac:dyDescent="0.3">
      <c r="C153" s="102" t="s">
        <v>4461</v>
      </c>
      <c r="D153" s="43"/>
      <c r="E153" s="43"/>
      <c r="F153" s="44"/>
    </row>
    <row r="154" spans="3:6" ht="15.75" customHeight="1" x14ac:dyDescent="0.3">
      <c r="C154" s="102" t="s">
        <v>4462</v>
      </c>
      <c r="D154" s="43"/>
      <c r="E154" s="43"/>
      <c r="F154" s="44"/>
    </row>
    <row r="155" spans="3:6" ht="15.75" customHeight="1" x14ac:dyDescent="0.3">
      <c r="C155" s="102" t="s">
        <v>4463</v>
      </c>
      <c r="D155" s="43"/>
      <c r="E155" s="43"/>
      <c r="F155" s="44"/>
    </row>
    <row r="156" spans="3:6" ht="15.75" customHeight="1" x14ac:dyDescent="0.3">
      <c r="C156" s="102" t="s">
        <v>4464</v>
      </c>
      <c r="D156" s="43"/>
      <c r="E156" s="43"/>
      <c r="F156" s="44"/>
    </row>
    <row r="157" spans="3:6" ht="15.75" customHeight="1" x14ac:dyDescent="0.3">
      <c r="C157" s="102" t="s">
        <v>4458</v>
      </c>
      <c r="D157" s="43"/>
      <c r="E157" s="43"/>
      <c r="F157" s="44"/>
    </row>
    <row r="158" spans="3:6" ht="15.75" customHeight="1" x14ac:dyDescent="0.3">
      <c r="C158" s="102" t="s">
        <v>4465</v>
      </c>
      <c r="D158" s="43"/>
      <c r="E158" s="43"/>
      <c r="F158" s="44"/>
    </row>
    <row r="159" spans="3:6" ht="15.75" customHeight="1" x14ac:dyDescent="0.3">
      <c r="C159" s="102" t="s">
        <v>4460</v>
      </c>
      <c r="D159" s="43"/>
      <c r="E159" s="43"/>
      <c r="F159" s="44"/>
    </row>
    <row r="160" spans="3:6" ht="15.75" customHeight="1" x14ac:dyDescent="0.3">
      <c r="C160" s="102" t="s">
        <v>4461</v>
      </c>
      <c r="D160" s="43"/>
      <c r="E160" s="43"/>
      <c r="F160" s="44"/>
    </row>
    <row r="161" spans="3:6" ht="15.75" customHeight="1" x14ac:dyDescent="0.3">
      <c r="C161" s="102" t="s">
        <v>4466</v>
      </c>
      <c r="D161" s="43"/>
      <c r="E161" s="43"/>
      <c r="F161" s="44"/>
    </row>
    <row r="162" spans="3:6" ht="15.75" customHeight="1" x14ac:dyDescent="0.3">
      <c r="C162" s="102" t="s">
        <v>4463</v>
      </c>
      <c r="D162" s="43"/>
      <c r="E162" s="43"/>
      <c r="F162" s="44"/>
    </row>
    <row r="163" spans="3:6" ht="15.75" customHeight="1" x14ac:dyDescent="0.3">
      <c r="C163" s="102" t="s">
        <v>4467</v>
      </c>
      <c r="D163" s="43"/>
      <c r="E163" s="43"/>
      <c r="F163" s="44"/>
    </row>
    <row r="164" spans="3:6" ht="15.75" customHeight="1" x14ac:dyDescent="0.3">
      <c r="C164" s="102" t="s">
        <v>4416</v>
      </c>
      <c r="D164" s="43"/>
      <c r="E164" s="43"/>
      <c r="F164" s="44"/>
    </row>
    <row r="165" spans="3:6" ht="15.75" customHeight="1" x14ac:dyDescent="0.3">
      <c r="C165" s="102" t="s">
        <v>4468</v>
      </c>
      <c r="D165" s="43"/>
      <c r="E165" s="43"/>
      <c r="F165" s="44"/>
    </row>
    <row r="166" spans="3:6" ht="15.75" customHeight="1" x14ac:dyDescent="0.3">
      <c r="C166" s="102" t="s">
        <v>4469</v>
      </c>
      <c r="D166" s="43"/>
      <c r="E166" s="43"/>
      <c r="F166" s="44"/>
    </row>
    <row r="167" spans="3:6" ht="15.75" customHeight="1" x14ac:dyDescent="0.3">
      <c r="C167" s="102" t="s">
        <v>4470</v>
      </c>
      <c r="D167" s="43"/>
      <c r="E167" s="43"/>
      <c r="F167" s="44"/>
    </row>
    <row r="168" spans="3:6" ht="15.75" customHeight="1" x14ac:dyDescent="0.3">
      <c r="C168" s="102" t="s">
        <v>4471</v>
      </c>
      <c r="D168" s="43"/>
      <c r="E168" s="43"/>
      <c r="F168" s="44"/>
    </row>
    <row r="169" spans="3:6" ht="15.75" customHeight="1" x14ac:dyDescent="0.3">
      <c r="C169" s="102" t="s">
        <v>4472</v>
      </c>
      <c r="D169" s="43"/>
      <c r="E169" s="43"/>
      <c r="F169" s="44"/>
    </row>
    <row r="170" spans="3:6" ht="15.75" customHeight="1" x14ac:dyDescent="0.3">
      <c r="C170" s="102" t="s">
        <v>4473</v>
      </c>
      <c r="D170" s="43"/>
      <c r="E170" s="43"/>
      <c r="F170" s="44"/>
    </row>
    <row r="171" spans="3:6" ht="15.75" customHeight="1" x14ac:dyDescent="0.3">
      <c r="C171" s="102" t="s">
        <v>4474</v>
      </c>
      <c r="D171" s="43"/>
      <c r="E171" s="43"/>
      <c r="F171" s="44"/>
    </row>
    <row r="172" spans="3:6" ht="15.75" customHeight="1" x14ac:dyDescent="0.3">
      <c r="C172" s="102" t="s">
        <v>4475</v>
      </c>
      <c r="D172" s="43"/>
      <c r="E172" s="43"/>
      <c r="F172" s="44"/>
    </row>
    <row r="173" spans="3:6" ht="15.75" customHeight="1" x14ac:dyDescent="0.3">
      <c r="C173" s="102" t="s">
        <v>4476</v>
      </c>
      <c r="D173" s="43"/>
      <c r="E173" s="43"/>
      <c r="F173" s="44"/>
    </row>
    <row r="174" spans="3:6" ht="15.75" customHeight="1" x14ac:dyDescent="0.3">
      <c r="C174" s="102" t="s">
        <v>4477</v>
      </c>
      <c r="D174" s="43"/>
      <c r="E174" s="43"/>
      <c r="F174" s="44"/>
    </row>
    <row r="175" spans="3:6" ht="15.75" customHeight="1" x14ac:dyDescent="0.3">
      <c r="C175" s="102" t="s">
        <v>4478</v>
      </c>
      <c r="D175" s="43"/>
      <c r="E175" s="43"/>
      <c r="F175" s="44"/>
    </row>
    <row r="176" spans="3:6" ht="15.75" customHeight="1" x14ac:dyDescent="0.3">
      <c r="C176" s="102" t="s">
        <v>4479</v>
      </c>
      <c r="D176" s="43"/>
      <c r="E176" s="43"/>
      <c r="F176" s="44"/>
    </row>
    <row r="177" spans="3:6" ht="15.75" customHeight="1" x14ac:dyDescent="0.3">
      <c r="C177" s="102" t="s">
        <v>4480</v>
      </c>
      <c r="D177" s="43"/>
      <c r="E177" s="43"/>
      <c r="F177" s="44"/>
    </row>
    <row r="178" spans="3:6" ht="15.75" customHeight="1" x14ac:dyDescent="0.3">
      <c r="C178" s="102" t="s">
        <v>4481</v>
      </c>
      <c r="D178" s="43"/>
      <c r="E178" s="43"/>
      <c r="F178" s="44"/>
    </row>
    <row r="179" spans="3:6" ht="15.75" customHeight="1" x14ac:dyDescent="0.3">
      <c r="C179" s="102" t="s">
        <v>4482</v>
      </c>
      <c r="D179" s="43"/>
      <c r="E179" s="43"/>
      <c r="F179" s="44"/>
    </row>
    <row r="180" spans="3:6" ht="15.75" customHeight="1" x14ac:dyDescent="0.3">
      <c r="C180" s="102" t="s">
        <v>4483</v>
      </c>
      <c r="D180" s="43"/>
      <c r="E180" s="43"/>
      <c r="F180" s="44"/>
    </row>
    <row r="181" spans="3:6" ht="15.75" customHeight="1" x14ac:dyDescent="0.3">
      <c r="C181" s="102" t="s">
        <v>4484</v>
      </c>
      <c r="D181" s="43"/>
      <c r="E181" s="43"/>
      <c r="F181" s="44"/>
    </row>
    <row r="182" spans="3:6" ht="15.75" customHeight="1" x14ac:dyDescent="0.3">
      <c r="C182" s="102" t="s">
        <v>4485</v>
      </c>
      <c r="D182" s="43"/>
      <c r="E182" s="43"/>
      <c r="F182" s="44"/>
    </row>
    <row r="183" spans="3:6" ht="15.75" customHeight="1" x14ac:dyDescent="0.3">
      <c r="C183" s="102" t="s">
        <v>4486</v>
      </c>
      <c r="D183" s="43"/>
      <c r="E183" s="43"/>
      <c r="F183" s="44"/>
    </row>
    <row r="184" spans="3:6" ht="15.75" customHeight="1" x14ac:dyDescent="0.3">
      <c r="C184" s="102" t="s">
        <v>4487</v>
      </c>
      <c r="D184" s="43"/>
      <c r="E184" s="43"/>
      <c r="F184" s="44"/>
    </row>
    <row r="185" spans="3:6" ht="15.75" customHeight="1" x14ac:dyDescent="0.3">
      <c r="C185" s="102" t="s">
        <v>4463</v>
      </c>
      <c r="D185" s="43"/>
      <c r="E185" s="43"/>
      <c r="F185" s="44"/>
    </row>
    <row r="186" spans="3:6" ht="15.75" customHeight="1" x14ac:dyDescent="0.3">
      <c r="C186" s="102" t="s">
        <v>4485</v>
      </c>
      <c r="D186" s="43"/>
      <c r="E186" s="43"/>
      <c r="F186" s="44"/>
    </row>
    <row r="187" spans="3:6" ht="15.75" customHeight="1" x14ac:dyDescent="0.3">
      <c r="C187" s="102" t="s">
        <v>4488</v>
      </c>
      <c r="D187" s="43"/>
      <c r="E187" s="43"/>
      <c r="F187" s="44"/>
    </row>
    <row r="188" spans="3:6" ht="15.75" customHeight="1" x14ac:dyDescent="0.3">
      <c r="C188" s="102" t="s">
        <v>4489</v>
      </c>
      <c r="D188" s="43"/>
      <c r="E188" s="43"/>
      <c r="F188" s="44"/>
    </row>
    <row r="189" spans="3:6" ht="15.75" customHeight="1" x14ac:dyDescent="0.3">
      <c r="C189" s="102" t="s">
        <v>4463</v>
      </c>
      <c r="D189" s="43"/>
      <c r="E189" s="43"/>
      <c r="F189" s="44"/>
    </row>
    <row r="190" spans="3:6" ht="15.75" customHeight="1" x14ac:dyDescent="0.3">
      <c r="C190" s="102" t="s">
        <v>4467</v>
      </c>
      <c r="D190" s="43"/>
      <c r="E190" s="43"/>
      <c r="F190" s="44"/>
    </row>
    <row r="191" spans="3:6" ht="15.75" customHeight="1" x14ac:dyDescent="0.3">
      <c r="C191" s="102" t="s">
        <v>4490</v>
      </c>
      <c r="D191" s="43"/>
      <c r="E191" s="43"/>
      <c r="F191" s="44"/>
    </row>
    <row r="192" spans="3:6" ht="15.75" customHeight="1" x14ac:dyDescent="0.3">
      <c r="C192" s="102" t="s">
        <v>4491</v>
      </c>
      <c r="D192" s="43"/>
      <c r="E192" s="43"/>
      <c r="F192" s="44"/>
    </row>
    <row r="193" spans="3:6" ht="15.75" customHeight="1" x14ac:dyDescent="0.3">
      <c r="C193" s="102" t="s">
        <v>4492</v>
      </c>
      <c r="D193" s="43"/>
      <c r="E193" s="43"/>
      <c r="F193" s="44"/>
    </row>
    <row r="194" spans="3:6" ht="15.75" customHeight="1" x14ac:dyDescent="0.3">
      <c r="C194" s="102" t="s">
        <v>4493</v>
      </c>
      <c r="D194" s="43"/>
      <c r="E194" s="43"/>
      <c r="F194" s="44"/>
    </row>
    <row r="195" spans="3:6" ht="15.75" customHeight="1" x14ac:dyDescent="0.3">
      <c r="C195" s="102" t="s">
        <v>4494</v>
      </c>
      <c r="D195" s="43"/>
      <c r="E195" s="43"/>
      <c r="F195" s="44"/>
    </row>
    <row r="196" spans="3:6" ht="15.75" customHeight="1" x14ac:dyDescent="0.3">
      <c r="C196" s="102" t="s">
        <v>4495</v>
      </c>
      <c r="D196" s="43"/>
      <c r="E196" s="43"/>
      <c r="F196" s="44"/>
    </row>
    <row r="197" spans="3:6" ht="15.75" customHeight="1" x14ac:dyDescent="0.3">
      <c r="C197" s="102" t="s">
        <v>4496</v>
      </c>
      <c r="D197" s="43"/>
      <c r="E197" s="43"/>
      <c r="F197" s="44"/>
    </row>
    <row r="198" spans="3:6" ht="15.75" customHeight="1" x14ac:dyDescent="0.3">
      <c r="C198" s="102" t="s">
        <v>4497</v>
      </c>
      <c r="D198" s="43"/>
      <c r="E198" s="43"/>
      <c r="F198" s="44"/>
    </row>
    <row r="199" spans="3:6" ht="15.75" customHeight="1" x14ac:dyDescent="0.3">
      <c r="C199" s="102" t="s">
        <v>1453</v>
      </c>
      <c r="D199" s="43"/>
      <c r="E199" s="43"/>
      <c r="F199" s="44"/>
    </row>
    <row r="200" spans="3:6" ht="15.75" customHeight="1" x14ac:dyDescent="0.3">
      <c r="C200" s="102" t="s">
        <v>1454</v>
      </c>
      <c r="D200" s="43"/>
      <c r="E200" s="43"/>
      <c r="F200" s="44"/>
    </row>
    <row r="201" spans="3:6" ht="15.75" customHeight="1" x14ac:dyDescent="0.3">
      <c r="C201" s="102"/>
      <c r="D201" s="43"/>
      <c r="E201" s="43"/>
      <c r="F201" s="44"/>
    </row>
    <row r="202" spans="3:6" ht="15.75" customHeight="1" x14ac:dyDescent="0.3">
      <c r="C202" s="102" t="s">
        <v>4498</v>
      </c>
      <c r="D202" s="43"/>
      <c r="E202" s="43"/>
      <c r="F202" s="44"/>
    </row>
    <row r="203" spans="3:6" ht="15.75" customHeight="1" x14ac:dyDescent="0.3">
      <c r="C203" s="102" t="s">
        <v>4499</v>
      </c>
      <c r="D203" s="43"/>
      <c r="E203" s="43"/>
      <c r="F203" s="44"/>
    </row>
    <row r="204" spans="3:6" ht="15.75" customHeight="1" x14ac:dyDescent="0.3">
      <c r="C204" s="102"/>
      <c r="D204" s="43"/>
      <c r="E204" s="43"/>
      <c r="F204" s="44"/>
    </row>
    <row r="205" spans="3:6" ht="15.75" customHeight="1" x14ac:dyDescent="0.3">
      <c r="C205" s="102" t="s">
        <v>1457</v>
      </c>
      <c r="D205" s="43"/>
      <c r="E205" s="43"/>
      <c r="F205" s="44"/>
    </row>
    <row r="206" spans="3:6" ht="15.75" customHeight="1" x14ac:dyDescent="0.3">
      <c r="C206" s="102" t="s">
        <v>4500</v>
      </c>
      <c r="D206" s="43"/>
      <c r="E206" s="43"/>
      <c r="F206" s="44"/>
    </row>
    <row r="207" spans="3:6" ht="15.75" customHeight="1" x14ac:dyDescent="0.3">
      <c r="C207" s="102" t="s">
        <v>608</v>
      </c>
      <c r="D207" s="43"/>
      <c r="E207" s="43"/>
      <c r="F207" s="44"/>
    </row>
    <row r="208" spans="3:6" ht="15.75" customHeight="1" x14ac:dyDescent="0.3">
      <c r="C208" s="102"/>
      <c r="D208" s="43"/>
      <c r="E208" s="43"/>
      <c r="F208" s="44"/>
    </row>
    <row r="209" spans="3:6" ht="15.75" customHeight="1" x14ac:dyDescent="0.3">
      <c r="C209" s="102" t="s">
        <v>4501</v>
      </c>
      <c r="D209" s="43"/>
      <c r="E209" s="43"/>
      <c r="F209" s="44"/>
    </row>
    <row r="210" spans="3:6" ht="15.75" customHeight="1" x14ac:dyDescent="0.3">
      <c r="C210" s="102" t="s">
        <v>1460</v>
      </c>
      <c r="D210" s="43"/>
      <c r="E210" s="43"/>
      <c r="F210" s="44"/>
    </row>
    <row r="211" spans="3:6" ht="15.75" customHeight="1" x14ac:dyDescent="0.3">
      <c r="C211" s="102" t="s">
        <v>4502</v>
      </c>
      <c r="D211" s="43"/>
      <c r="E211" s="43"/>
      <c r="F211" s="44"/>
    </row>
    <row r="212" spans="3:6" ht="15.75" customHeight="1" x14ac:dyDescent="0.3">
      <c r="C212" s="102" t="s">
        <v>4503</v>
      </c>
      <c r="D212" s="43"/>
      <c r="E212" s="43"/>
      <c r="F212" s="44"/>
    </row>
    <row r="213" spans="3:6" ht="15.75" customHeight="1" x14ac:dyDescent="0.3">
      <c r="C213" s="102" t="s">
        <v>4504</v>
      </c>
      <c r="D213" s="43"/>
      <c r="E213" s="43"/>
      <c r="F213" s="44"/>
    </row>
    <row r="214" spans="3:6" ht="15.75" customHeight="1" x14ac:dyDescent="0.3">
      <c r="C214" s="102" t="s">
        <v>4491</v>
      </c>
      <c r="D214" s="43"/>
      <c r="E214" s="43"/>
      <c r="F214" s="44"/>
    </row>
    <row r="215" spans="3:6" ht="15.75" customHeight="1" x14ac:dyDescent="0.3">
      <c r="C215" s="102" t="s">
        <v>4505</v>
      </c>
      <c r="D215" s="43"/>
      <c r="E215" s="43"/>
      <c r="F215" s="44"/>
    </row>
    <row r="216" spans="3:6" ht="15.75" customHeight="1" x14ac:dyDescent="0.3">
      <c r="C216" s="102" t="s">
        <v>4506</v>
      </c>
      <c r="D216" s="43"/>
      <c r="E216" s="43"/>
      <c r="F216" s="44"/>
    </row>
    <row r="217" spans="3:6" ht="15.75" customHeight="1" x14ac:dyDescent="0.3">
      <c r="C217" s="102" t="s">
        <v>4507</v>
      </c>
      <c r="D217" s="43"/>
      <c r="E217" s="43"/>
      <c r="F217" s="44"/>
    </row>
    <row r="218" spans="3:6" ht="15.75" customHeight="1" x14ac:dyDescent="0.3">
      <c r="C218" s="102" t="s">
        <v>4508</v>
      </c>
      <c r="D218" s="43"/>
      <c r="E218" s="43"/>
      <c r="F218" s="44"/>
    </row>
    <row r="219" spans="3:6" ht="15.75" customHeight="1" x14ac:dyDescent="0.3">
      <c r="C219" s="102" t="s">
        <v>4509</v>
      </c>
      <c r="D219" s="43"/>
      <c r="E219" s="43"/>
      <c r="F219" s="44"/>
    </row>
    <row r="220" spans="3:6" ht="15.75" customHeight="1" x14ac:dyDescent="0.3">
      <c r="C220" s="102" t="s">
        <v>4510</v>
      </c>
      <c r="D220" s="43"/>
      <c r="E220" s="43"/>
      <c r="F220" s="44"/>
    </row>
    <row r="221" spans="3:6" ht="15.75" customHeight="1" x14ac:dyDescent="0.3">
      <c r="C221" s="102" t="s">
        <v>4511</v>
      </c>
      <c r="D221" s="43"/>
      <c r="E221" s="43"/>
      <c r="F221" s="44"/>
    </row>
    <row r="222" spans="3:6" ht="15.75" customHeight="1" x14ac:dyDescent="0.3">
      <c r="C222" s="102" t="s">
        <v>4512</v>
      </c>
      <c r="D222" s="43"/>
      <c r="E222" s="43"/>
      <c r="F222" s="44"/>
    </row>
    <row r="223" spans="3:6" ht="15.75" customHeight="1" x14ac:dyDescent="0.3">
      <c r="C223" s="102" t="s">
        <v>4513</v>
      </c>
      <c r="D223" s="43"/>
      <c r="E223" s="43"/>
      <c r="F223" s="44"/>
    </row>
    <row r="224" spans="3:6" ht="15.75" customHeight="1" x14ac:dyDescent="0.3">
      <c r="C224" s="102" t="s">
        <v>4491</v>
      </c>
      <c r="D224" s="43"/>
      <c r="E224" s="43"/>
      <c r="F224" s="44"/>
    </row>
    <row r="225" spans="3:6" ht="15.75" customHeight="1" x14ac:dyDescent="0.3">
      <c r="C225" s="102" t="s">
        <v>4514</v>
      </c>
      <c r="D225" s="43"/>
      <c r="E225" s="43"/>
      <c r="F225" s="44"/>
    </row>
    <row r="226" spans="3:6" ht="15.75" customHeight="1" x14ac:dyDescent="0.3">
      <c r="C226" s="102" t="s">
        <v>4493</v>
      </c>
      <c r="D226" s="43"/>
      <c r="E226" s="43"/>
      <c r="F226" s="44"/>
    </row>
    <row r="227" spans="3:6" ht="15.75" customHeight="1" x14ac:dyDescent="0.3">
      <c r="C227" s="102" t="s">
        <v>4494</v>
      </c>
      <c r="D227" s="43"/>
      <c r="E227" s="43"/>
      <c r="F227" s="44"/>
    </row>
    <row r="228" spans="3:6" ht="15.75" customHeight="1" x14ac:dyDescent="0.3">
      <c r="C228" s="102" t="s">
        <v>4495</v>
      </c>
      <c r="D228" s="43"/>
      <c r="E228" s="43"/>
      <c r="F228" s="44"/>
    </row>
    <row r="229" spans="3:6" ht="15.75" customHeight="1" x14ac:dyDescent="0.3">
      <c r="C229" s="102" t="s">
        <v>4496</v>
      </c>
      <c r="D229" s="43"/>
      <c r="E229" s="43"/>
      <c r="F229" s="44"/>
    </row>
    <row r="230" spans="3:6" ht="15.75" customHeight="1" x14ac:dyDescent="0.3">
      <c r="C230" s="102" t="s">
        <v>4515</v>
      </c>
      <c r="D230" s="43"/>
      <c r="E230" s="43"/>
      <c r="F230" s="44"/>
    </row>
    <row r="231" spans="3:6" ht="15.75" customHeight="1" x14ac:dyDescent="0.3">
      <c r="C231" s="102" t="s">
        <v>4516</v>
      </c>
      <c r="D231" s="43"/>
      <c r="E231" s="43"/>
      <c r="F231" s="44"/>
    </row>
    <row r="232" spans="3:6" ht="15.75" customHeight="1" x14ac:dyDescent="0.3">
      <c r="C232" s="102"/>
      <c r="D232" s="43"/>
      <c r="E232" s="43"/>
      <c r="F232" s="44"/>
    </row>
    <row r="233" spans="3:6" ht="15.75" customHeight="1" x14ac:dyDescent="0.3">
      <c r="C233" s="102" t="s">
        <v>4517</v>
      </c>
      <c r="D233" s="43"/>
      <c r="E233" s="43"/>
      <c r="F233" s="44"/>
    </row>
    <row r="234" spans="3:6" ht="15.75" customHeight="1" x14ac:dyDescent="0.3">
      <c r="C234" s="102" t="s">
        <v>4518</v>
      </c>
      <c r="D234" s="43"/>
      <c r="E234" s="43"/>
      <c r="F234" s="44"/>
    </row>
    <row r="235" spans="3:6" ht="15.75" customHeight="1" x14ac:dyDescent="0.3">
      <c r="C235" s="102" t="s">
        <v>4519</v>
      </c>
      <c r="D235" s="43"/>
      <c r="E235" s="43"/>
      <c r="F235" s="44"/>
    </row>
    <row r="236" spans="3:6" ht="15.75" customHeight="1" x14ac:dyDescent="0.3">
      <c r="C236" s="102" t="s">
        <v>1551</v>
      </c>
      <c r="D236" s="43"/>
      <c r="E236" s="43"/>
      <c r="F236" s="44"/>
    </row>
    <row r="237" spans="3:6" ht="15.75" customHeight="1" x14ac:dyDescent="0.3">
      <c r="C237" s="102" t="s">
        <v>4520</v>
      </c>
      <c r="D237" s="43"/>
      <c r="E237" s="43"/>
      <c r="F237" s="44"/>
    </row>
    <row r="238" spans="3:6" ht="15.75" customHeight="1" x14ac:dyDescent="0.3">
      <c r="C238" s="102" t="s">
        <v>4521</v>
      </c>
      <c r="D238" s="43"/>
      <c r="E238" s="43"/>
      <c r="F238" s="44"/>
    </row>
    <row r="239" spans="3:6" ht="15.75" customHeight="1" x14ac:dyDescent="0.3">
      <c r="C239" s="102" t="s">
        <v>4522</v>
      </c>
      <c r="D239" s="43"/>
      <c r="E239" s="43"/>
      <c r="F239" s="44"/>
    </row>
    <row r="240" spans="3:6" ht="15.75" customHeight="1" x14ac:dyDescent="0.3">
      <c r="C240" s="102" t="s">
        <v>4491</v>
      </c>
      <c r="D240" s="43"/>
      <c r="E240" s="43"/>
      <c r="F240" s="44"/>
    </row>
    <row r="241" spans="3:6" ht="15.75" customHeight="1" x14ac:dyDescent="0.3">
      <c r="C241" s="102" t="s">
        <v>4523</v>
      </c>
      <c r="D241" s="43"/>
      <c r="E241" s="43"/>
      <c r="F241" s="44"/>
    </row>
    <row r="242" spans="3:6" ht="15.75" customHeight="1" x14ac:dyDescent="0.3">
      <c r="C242" s="102" t="s">
        <v>4524</v>
      </c>
      <c r="D242" s="43"/>
      <c r="E242" s="43"/>
      <c r="F242" s="44"/>
    </row>
    <row r="243" spans="3:6" ht="15.75" customHeight="1" x14ac:dyDescent="0.3">
      <c r="C243" s="102" t="s">
        <v>4525</v>
      </c>
      <c r="D243" s="43"/>
      <c r="E243" s="43"/>
      <c r="F243" s="44"/>
    </row>
    <row r="244" spans="3:6" ht="15.75" customHeight="1" x14ac:dyDescent="0.3">
      <c r="C244" s="102" t="s">
        <v>4467</v>
      </c>
      <c r="D244" s="43"/>
      <c r="E244" s="43"/>
      <c r="F244" s="44"/>
    </row>
    <row r="245" spans="3:6" ht="15.75" customHeight="1" x14ac:dyDescent="0.3">
      <c r="C245" s="102" t="s">
        <v>4526</v>
      </c>
      <c r="D245" s="43"/>
      <c r="E245" s="43"/>
      <c r="F245" s="44"/>
    </row>
    <row r="246" spans="3:6" ht="15.75" customHeight="1" x14ac:dyDescent="0.3">
      <c r="C246" s="102" t="s">
        <v>4527</v>
      </c>
      <c r="D246" s="43"/>
      <c r="E246" s="43"/>
      <c r="F246" s="44"/>
    </row>
    <row r="247" spans="3:6" ht="15.75" customHeight="1" x14ac:dyDescent="0.3">
      <c r="C247" s="102" t="s">
        <v>4528</v>
      </c>
      <c r="D247" s="43"/>
      <c r="E247" s="43"/>
      <c r="F247" s="44"/>
    </row>
    <row r="248" spans="3:6" ht="15.75" customHeight="1" x14ac:dyDescent="0.3">
      <c r="C248" s="102" t="s">
        <v>4529</v>
      </c>
      <c r="D248" s="43"/>
      <c r="E248" s="43"/>
      <c r="F248" s="44"/>
    </row>
    <row r="249" spans="3:6" ht="15.75" customHeight="1" x14ac:dyDescent="0.3">
      <c r="C249" s="102" t="s">
        <v>4530</v>
      </c>
      <c r="D249" s="43"/>
      <c r="E249" s="43"/>
      <c r="F249" s="44"/>
    </row>
    <row r="250" spans="3:6" ht="15.75" customHeight="1" x14ac:dyDescent="0.3">
      <c r="C250" s="102" t="s">
        <v>4491</v>
      </c>
      <c r="D250" s="43"/>
      <c r="E250" s="43"/>
      <c r="F250" s="44"/>
    </row>
    <row r="251" spans="3:6" ht="15.75" customHeight="1" x14ac:dyDescent="0.3">
      <c r="C251" s="102" t="s">
        <v>4531</v>
      </c>
      <c r="D251" s="43"/>
      <c r="E251" s="43"/>
      <c r="F251" s="44"/>
    </row>
    <row r="252" spans="3:6" ht="15.75" customHeight="1" x14ac:dyDescent="0.3">
      <c r="C252" s="102" t="s">
        <v>4524</v>
      </c>
      <c r="D252" s="43"/>
      <c r="E252" s="43"/>
      <c r="F252" s="44"/>
    </row>
    <row r="253" spans="3:6" ht="15.75" customHeight="1" x14ac:dyDescent="0.3">
      <c r="C253" s="102" t="s">
        <v>4532</v>
      </c>
      <c r="D253" s="43"/>
      <c r="E253" s="43"/>
      <c r="F253" s="44"/>
    </row>
    <row r="254" spans="3:6" ht="15.75" customHeight="1" x14ac:dyDescent="0.3">
      <c r="C254" s="102" t="s">
        <v>4467</v>
      </c>
      <c r="D254" s="43"/>
      <c r="E254" s="43"/>
      <c r="F254" s="44"/>
    </row>
    <row r="255" spans="3:6" ht="15.75" customHeight="1" x14ac:dyDescent="0.3">
      <c r="C255" s="102" t="s">
        <v>4526</v>
      </c>
      <c r="D255" s="43"/>
      <c r="E255" s="43"/>
      <c r="F255" s="44"/>
    </row>
    <row r="256" spans="3:6" ht="15.75" customHeight="1" x14ac:dyDescent="0.3">
      <c r="C256" s="102" t="s">
        <v>4533</v>
      </c>
      <c r="D256" s="43"/>
      <c r="E256" s="43"/>
      <c r="F256" s="44"/>
    </row>
    <row r="257" spans="3:6" ht="15.75" customHeight="1" x14ac:dyDescent="0.3">
      <c r="C257" s="102" t="s">
        <v>4528</v>
      </c>
      <c r="D257" s="43"/>
      <c r="E257" s="43"/>
      <c r="F257" s="44"/>
    </row>
    <row r="258" spans="3:6" ht="15.75" customHeight="1" x14ac:dyDescent="0.3">
      <c r="C258" s="102" t="s">
        <v>4534</v>
      </c>
      <c r="D258" s="43"/>
      <c r="E258" s="43"/>
      <c r="F258" s="44"/>
    </row>
    <row r="259" spans="3:6" ht="15.75" customHeight="1" x14ac:dyDescent="0.3">
      <c r="C259" s="102" t="s">
        <v>4530</v>
      </c>
      <c r="D259" s="43"/>
      <c r="E259" s="43"/>
      <c r="F259" s="44"/>
    </row>
    <row r="260" spans="3:6" ht="15.75" customHeight="1" x14ac:dyDescent="0.3">
      <c r="C260" s="102" t="s">
        <v>4491</v>
      </c>
      <c r="D260" s="43"/>
      <c r="E260" s="43"/>
      <c r="F260" s="44"/>
    </row>
    <row r="261" spans="3:6" ht="15.75" customHeight="1" x14ac:dyDescent="0.3">
      <c r="C261" s="102" t="s">
        <v>4535</v>
      </c>
      <c r="D261" s="43"/>
      <c r="E261" s="43"/>
      <c r="F261" s="44"/>
    </row>
    <row r="262" spans="3:6" ht="15.75" customHeight="1" x14ac:dyDescent="0.3">
      <c r="C262" s="102" t="s">
        <v>4536</v>
      </c>
      <c r="D262" s="43"/>
      <c r="E262" s="43"/>
      <c r="F262" s="44"/>
    </row>
    <row r="263" spans="3:6" ht="15.75" customHeight="1" x14ac:dyDescent="0.3">
      <c r="C263" s="102" t="s">
        <v>4537</v>
      </c>
      <c r="D263" s="43"/>
      <c r="E263" s="43"/>
      <c r="F263" s="44"/>
    </row>
    <row r="264" spans="3:6" ht="15.75" customHeight="1" x14ac:dyDescent="0.3">
      <c r="C264" s="102" t="s">
        <v>4538</v>
      </c>
      <c r="D264" s="43"/>
      <c r="E264" s="43"/>
      <c r="F264" s="44"/>
    </row>
    <row r="265" spans="3:6" ht="15.75" customHeight="1" x14ac:dyDescent="0.3">
      <c r="C265" s="102" t="s">
        <v>4442</v>
      </c>
      <c r="D265" s="43"/>
      <c r="E265" s="43"/>
      <c r="F265" s="44"/>
    </row>
    <row r="266" spans="3:6" ht="15.75" customHeight="1" x14ac:dyDescent="0.3">
      <c r="C266" s="102" t="s">
        <v>4443</v>
      </c>
      <c r="D266" s="43"/>
      <c r="E266" s="43"/>
      <c r="F266" s="44"/>
    </row>
    <row r="267" spans="3:6" ht="15.75" customHeight="1" x14ac:dyDescent="0.3">
      <c r="C267" s="102" t="s">
        <v>4539</v>
      </c>
      <c r="D267" s="43"/>
      <c r="E267" s="43"/>
      <c r="F267" s="44"/>
    </row>
    <row r="268" spans="3:6" ht="15.75" customHeight="1" x14ac:dyDescent="0.3">
      <c r="C268" s="102" t="s">
        <v>4445</v>
      </c>
      <c r="D268" s="43"/>
      <c r="E268" s="43"/>
      <c r="F268" s="44"/>
    </row>
    <row r="269" spans="3:6" ht="15.75" customHeight="1" x14ac:dyDescent="0.3">
      <c r="C269" s="102" t="s">
        <v>4540</v>
      </c>
      <c r="D269" s="43"/>
      <c r="E269" s="43"/>
      <c r="F269" s="44"/>
    </row>
    <row r="270" spans="3:6" ht="15.75" customHeight="1" x14ac:dyDescent="0.3">
      <c r="C270" s="102" t="s">
        <v>4541</v>
      </c>
      <c r="D270" s="43"/>
      <c r="E270" s="43"/>
      <c r="F270" s="44"/>
    </row>
    <row r="271" spans="3:6" ht="15.75" customHeight="1" x14ac:dyDescent="0.3">
      <c r="C271" s="102" t="s">
        <v>4542</v>
      </c>
      <c r="D271" s="43"/>
      <c r="E271" s="43"/>
      <c r="F271" s="44"/>
    </row>
    <row r="272" spans="3:6" ht="15.75" customHeight="1" x14ac:dyDescent="0.3">
      <c r="C272" s="102" t="s">
        <v>4543</v>
      </c>
      <c r="D272" s="43"/>
      <c r="E272" s="43"/>
      <c r="F272" s="44"/>
    </row>
    <row r="273" spans="3:6" ht="15.75" customHeight="1" x14ac:dyDescent="0.3">
      <c r="C273" s="102" t="s">
        <v>4450</v>
      </c>
      <c r="D273" s="43"/>
      <c r="E273" s="43"/>
      <c r="F273" s="44"/>
    </row>
    <row r="274" spans="3:6" ht="15.75" customHeight="1" x14ac:dyDescent="0.3">
      <c r="C274" s="102" t="s">
        <v>4451</v>
      </c>
      <c r="D274" s="43"/>
      <c r="E274" s="43"/>
      <c r="F274" s="44"/>
    </row>
    <row r="275" spans="3:6" ht="15.75" customHeight="1" x14ac:dyDescent="0.3">
      <c r="C275" s="102" t="s">
        <v>4544</v>
      </c>
      <c r="D275" s="43"/>
      <c r="E275" s="43"/>
      <c r="F275" s="44"/>
    </row>
    <row r="276" spans="3:6" ht="15.75" customHeight="1" x14ac:dyDescent="0.3">
      <c r="C276" s="102" t="s">
        <v>4545</v>
      </c>
      <c r="D276" s="43"/>
      <c r="E276" s="43"/>
      <c r="F276" s="44"/>
    </row>
    <row r="277" spans="3:6" ht="15.75" customHeight="1" x14ac:dyDescent="0.3">
      <c r="C277" s="102" t="s">
        <v>4453</v>
      </c>
      <c r="D277" s="43"/>
      <c r="E277" s="43"/>
      <c r="F277" s="44"/>
    </row>
    <row r="278" spans="3:6" ht="15.75" customHeight="1" x14ac:dyDescent="0.3">
      <c r="C278" s="102" t="s">
        <v>4546</v>
      </c>
      <c r="D278" s="43"/>
      <c r="E278" s="43"/>
      <c r="F278" s="44"/>
    </row>
    <row r="279" spans="3:6" ht="15.75" customHeight="1" x14ac:dyDescent="0.3">
      <c r="C279" s="102" t="s">
        <v>4455</v>
      </c>
      <c r="D279" s="43"/>
      <c r="E279" s="43"/>
      <c r="F279" s="44"/>
    </row>
    <row r="280" spans="3:6" ht="15.75" customHeight="1" x14ac:dyDescent="0.3">
      <c r="C280" s="102" t="s">
        <v>4547</v>
      </c>
      <c r="D280" s="43"/>
      <c r="E280" s="43"/>
      <c r="F280" s="44"/>
    </row>
    <row r="281" spans="3:6" ht="15.75" customHeight="1" x14ac:dyDescent="0.3">
      <c r="C281" s="102" t="s">
        <v>4416</v>
      </c>
      <c r="D281" s="43"/>
      <c r="E281" s="43"/>
      <c r="F281" s="44"/>
    </row>
    <row r="282" spans="3:6" ht="15.75" customHeight="1" x14ac:dyDescent="0.3">
      <c r="C282" s="102" t="s">
        <v>4548</v>
      </c>
      <c r="D282" s="43"/>
      <c r="E282" s="43"/>
      <c r="F282" s="44"/>
    </row>
    <row r="283" spans="3:6" ht="15.75" customHeight="1" x14ac:dyDescent="0.3">
      <c r="C283" s="102" t="s">
        <v>4469</v>
      </c>
      <c r="D283" s="43"/>
      <c r="E283" s="43"/>
      <c r="F283" s="44"/>
    </row>
    <row r="284" spans="3:6" ht="15.75" customHeight="1" x14ac:dyDescent="0.3">
      <c r="C284" s="102" t="s">
        <v>4470</v>
      </c>
      <c r="D284" s="43"/>
      <c r="E284" s="43"/>
      <c r="F284" s="44"/>
    </row>
    <row r="285" spans="3:6" ht="15.75" customHeight="1" x14ac:dyDescent="0.3">
      <c r="C285" s="102" t="s">
        <v>4471</v>
      </c>
      <c r="D285" s="43"/>
      <c r="E285" s="43"/>
      <c r="F285" s="44"/>
    </row>
    <row r="286" spans="3:6" ht="15.75" customHeight="1" x14ac:dyDescent="0.3">
      <c r="C286" s="102" t="s">
        <v>4549</v>
      </c>
      <c r="D286" s="43"/>
      <c r="E286" s="43"/>
      <c r="F286" s="44"/>
    </row>
    <row r="287" spans="3:6" ht="15.75" customHeight="1" x14ac:dyDescent="0.3">
      <c r="C287" s="102" t="s">
        <v>4550</v>
      </c>
      <c r="D287" s="43"/>
      <c r="E287" s="43"/>
      <c r="F287" s="44"/>
    </row>
    <row r="288" spans="3:6" ht="15.75" customHeight="1" x14ac:dyDescent="0.3">
      <c r="C288" s="102" t="s">
        <v>4479</v>
      </c>
      <c r="D288" s="43"/>
      <c r="E288" s="43"/>
      <c r="F288" s="44"/>
    </row>
    <row r="289" spans="3:6" ht="15.75" customHeight="1" x14ac:dyDescent="0.3">
      <c r="C289" s="102" t="s">
        <v>4480</v>
      </c>
      <c r="D289" s="43"/>
      <c r="E289" s="43"/>
      <c r="F289" s="44"/>
    </row>
    <row r="290" spans="3:6" ht="15.75" customHeight="1" x14ac:dyDescent="0.3">
      <c r="C290" s="102" t="s">
        <v>4551</v>
      </c>
      <c r="D290" s="43"/>
      <c r="E290" s="43"/>
      <c r="F290" s="44"/>
    </row>
    <row r="291" spans="3:6" ht="15.75" customHeight="1" x14ac:dyDescent="0.3">
      <c r="C291" s="102" t="s">
        <v>4552</v>
      </c>
      <c r="D291" s="43"/>
      <c r="E291" s="43"/>
      <c r="F291" s="44"/>
    </row>
    <row r="292" spans="3:6" ht="15.75" customHeight="1" x14ac:dyDescent="0.3">
      <c r="C292" s="102" t="s">
        <v>4553</v>
      </c>
      <c r="D292" s="43"/>
      <c r="E292" s="43"/>
      <c r="F292" s="44"/>
    </row>
    <row r="293" spans="3:6" ht="15.75" customHeight="1" x14ac:dyDescent="0.3">
      <c r="C293" s="102" t="s">
        <v>4554</v>
      </c>
      <c r="D293" s="43"/>
      <c r="E293" s="43"/>
      <c r="F293" s="44"/>
    </row>
    <row r="294" spans="3:6" ht="15.75" customHeight="1" x14ac:dyDescent="0.3">
      <c r="C294" s="102" t="s">
        <v>4555</v>
      </c>
      <c r="D294" s="43"/>
      <c r="E294" s="43"/>
      <c r="F294" s="44"/>
    </row>
    <row r="295" spans="3:6" ht="15.75" customHeight="1" x14ac:dyDescent="0.3">
      <c r="C295" s="102" t="s">
        <v>4556</v>
      </c>
      <c r="D295" s="43"/>
      <c r="E295" s="43"/>
      <c r="F295" s="44"/>
    </row>
    <row r="296" spans="3:6" ht="15.75" customHeight="1" x14ac:dyDescent="0.3">
      <c r="C296" s="102" t="s">
        <v>4557</v>
      </c>
      <c r="D296" s="43"/>
      <c r="E296" s="43"/>
      <c r="F296" s="44"/>
    </row>
    <row r="297" spans="3:6" ht="15.75" customHeight="1" x14ac:dyDescent="0.3">
      <c r="C297" s="102" t="s">
        <v>4558</v>
      </c>
      <c r="D297" s="43"/>
      <c r="E297" s="43"/>
      <c r="F297" s="44"/>
    </row>
    <row r="298" spans="3:6" ht="15.75" customHeight="1" x14ac:dyDescent="0.3">
      <c r="C298" s="102" t="s">
        <v>4555</v>
      </c>
      <c r="D298" s="43"/>
      <c r="E298" s="43"/>
      <c r="F298" s="44"/>
    </row>
    <row r="299" spans="3:6" ht="15.75" customHeight="1" x14ac:dyDescent="0.3">
      <c r="C299" s="102" t="s">
        <v>4559</v>
      </c>
      <c r="D299" s="43"/>
      <c r="E299" s="43"/>
      <c r="F299" s="44"/>
    </row>
    <row r="300" spans="3:6" ht="15.75" customHeight="1" x14ac:dyDescent="0.3">
      <c r="C300" s="102" t="s">
        <v>4557</v>
      </c>
      <c r="D300" s="43"/>
      <c r="E300" s="43"/>
      <c r="F300" s="44"/>
    </row>
    <row r="301" spans="3:6" ht="15.75" customHeight="1" x14ac:dyDescent="0.3">
      <c r="C301" s="102" t="s">
        <v>4558</v>
      </c>
      <c r="D301" s="43"/>
      <c r="E301" s="43"/>
      <c r="F301" s="44"/>
    </row>
    <row r="302" spans="3:6" ht="15.75" customHeight="1" x14ac:dyDescent="0.3">
      <c r="C302" s="102" t="s">
        <v>4555</v>
      </c>
      <c r="D302" s="43"/>
      <c r="E302" s="43"/>
      <c r="F302" s="44"/>
    </row>
    <row r="303" spans="3:6" ht="15.75" customHeight="1" x14ac:dyDescent="0.3">
      <c r="C303" s="102" t="s">
        <v>4560</v>
      </c>
      <c r="D303" s="43"/>
      <c r="E303" s="43"/>
      <c r="F303" s="44"/>
    </row>
    <row r="304" spans="3:6" ht="15.75" customHeight="1" x14ac:dyDescent="0.3">
      <c r="C304" s="102" t="s">
        <v>4561</v>
      </c>
      <c r="D304" s="43"/>
      <c r="E304" s="43"/>
      <c r="F304" s="44"/>
    </row>
    <row r="305" spans="3:6" ht="15.75" customHeight="1" x14ac:dyDescent="0.3">
      <c r="C305" s="102" t="s">
        <v>4558</v>
      </c>
      <c r="D305" s="43"/>
      <c r="E305" s="43"/>
      <c r="F305" s="44"/>
    </row>
    <row r="306" spans="3:6" ht="15.75" customHeight="1" x14ac:dyDescent="0.3">
      <c r="C306" s="102" t="s">
        <v>4555</v>
      </c>
      <c r="D306" s="43"/>
      <c r="E306" s="43"/>
      <c r="F306" s="44"/>
    </row>
    <row r="307" spans="3:6" ht="15.75" customHeight="1" x14ac:dyDescent="0.3">
      <c r="C307" s="102" t="s">
        <v>4562</v>
      </c>
      <c r="D307" s="43"/>
      <c r="E307" s="43"/>
      <c r="F307" s="44"/>
    </row>
    <row r="308" spans="3:6" ht="15.75" customHeight="1" x14ac:dyDescent="0.3">
      <c r="C308" s="102" t="s">
        <v>4563</v>
      </c>
      <c r="D308" s="43"/>
      <c r="E308" s="43"/>
      <c r="F308" s="44"/>
    </row>
    <row r="309" spans="3:6" ht="15.75" customHeight="1" x14ac:dyDescent="0.3">
      <c r="C309" s="102" t="s">
        <v>4558</v>
      </c>
      <c r="D309" s="43"/>
      <c r="E309" s="43"/>
      <c r="F309" s="44"/>
    </row>
    <row r="310" spans="3:6" ht="15.75" customHeight="1" x14ac:dyDescent="0.3">
      <c r="C310" s="102" t="s">
        <v>4564</v>
      </c>
      <c r="D310" s="43"/>
      <c r="E310" s="43"/>
      <c r="F310" s="44"/>
    </row>
    <row r="311" spans="3:6" ht="15.75" customHeight="1" x14ac:dyDescent="0.3">
      <c r="C311" s="102" t="s">
        <v>4565</v>
      </c>
      <c r="D311" s="43"/>
      <c r="E311" s="43"/>
      <c r="F311" s="44"/>
    </row>
    <row r="312" spans="3:6" ht="15.75" customHeight="1" x14ac:dyDescent="0.3">
      <c r="C312" s="102" t="s">
        <v>4552</v>
      </c>
      <c r="D312" s="43"/>
      <c r="E312" s="43"/>
      <c r="F312" s="44"/>
    </row>
    <row r="313" spans="3:6" ht="15.75" customHeight="1" x14ac:dyDescent="0.3">
      <c r="C313" s="102" t="s">
        <v>4566</v>
      </c>
      <c r="D313" s="43"/>
      <c r="E313" s="43"/>
      <c r="F313" s="44"/>
    </row>
    <row r="314" spans="3:6" ht="15.75" customHeight="1" x14ac:dyDescent="0.3">
      <c r="C314" s="102" t="s">
        <v>4567</v>
      </c>
      <c r="D314" s="43"/>
      <c r="E314" s="43"/>
      <c r="F314" s="44"/>
    </row>
    <row r="315" spans="3:6" ht="15.75" customHeight="1" x14ac:dyDescent="0.3">
      <c r="C315" s="102" t="s">
        <v>4568</v>
      </c>
      <c r="D315" s="43"/>
      <c r="E315" s="43"/>
      <c r="F315" s="44"/>
    </row>
    <row r="316" spans="3:6" ht="15.75" customHeight="1" x14ac:dyDescent="0.3">
      <c r="C316" s="102" t="s">
        <v>4569</v>
      </c>
      <c r="D316" s="43"/>
      <c r="E316" s="43"/>
      <c r="F316" s="44"/>
    </row>
    <row r="317" spans="3:6" ht="15.75" customHeight="1" x14ac:dyDescent="0.3">
      <c r="C317" s="102" t="s">
        <v>4552</v>
      </c>
      <c r="D317" s="43"/>
      <c r="E317" s="43"/>
      <c r="F317" s="44"/>
    </row>
    <row r="318" spans="3:6" ht="15.75" customHeight="1" x14ac:dyDescent="0.3">
      <c r="C318" s="102" t="s">
        <v>4570</v>
      </c>
      <c r="D318" s="43"/>
      <c r="E318" s="43"/>
      <c r="F318" s="44"/>
    </row>
    <row r="319" spans="3:6" ht="15.75" customHeight="1" x14ac:dyDescent="0.3">
      <c r="C319" s="102" t="s">
        <v>4455</v>
      </c>
      <c r="D319" s="43"/>
      <c r="E319" s="43"/>
      <c r="F319" s="44"/>
    </row>
    <row r="320" spans="3:6" ht="15.75" customHeight="1" x14ac:dyDescent="0.3">
      <c r="C320" s="102" t="s">
        <v>4456</v>
      </c>
      <c r="D320" s="43"/>
      <c r="E320" s="43"/>
      <c r="F320" s="44"/>
    </row>
    <row r="321" spans="3:6" ht="15.75" customHeight="1" x14ac:dyDescent="0.3">
      <c r="C321" s="102" t="s">
        <v>4571</v>
      </c>
      <c r="D321" s="43"/>
      <c r="E321" s="43"/>
      <c r="F321" s="44"/>
    </row>
    <row r="322" spans="3:6" ht="15.75" customHeight="1" x14ac:dyDescent="0.3">
      <c r="C322" s="102" t="s">
        <v>4572</v>
      </c>
      <c r="D322" s="43"/>
      <c r="E322" s="43"/>
      <c r="F322" s="44"/>
    </row>
    <row r="323" spans="3:6" ht="15.75" customHeight="1" x14ac:dyDescent="0.3">
      <c r="C323" s="102" t="s">
        <v>4573</v>
      </c>
      <c r="D323" s="43"/>
      <c r="E323" s="43"/>
      <c r="F323" s="44"/>
    </row>
    <row r="324" spans="3:6" ht="15.75" customHeight="1" x14ac:dyDescent="0.3">
      <c r="C324" s="102" t="s">
        <v>4460</v>
      </c>
      <c r="D324" s="43"/>
      <c r="E324" s="43"/>
      <c r="F324" s="44"/>
    </row>
    <row r="325" spans="3:6" ht="15.75" customHeight="1" x14ac:dyDescent="0.3">
      <c r="C325" s="102" t="s">
        <v>4461</v>
      </c>
      <c r="D325" s="43"/>
      <c r="E325" s="43"/>
      <c r="F325" s="44"/>
    </row>
    <row r="326" spans="3:6" ht="15.75" customHeight="1" x14ac:dyDescent="0.3">
      <c r="C326" s="102" t="s">
        <v>4574</v>
      </c>
      <c r="D326" s="43"/>
      <c r="E326" s="43"/>
      <c r="F326" s="44"/>
    </row>
    <row r="327" spans="3:6" ht="15.75" customHeight="1" x14ac:dyDescent="0.3">
      <c r="C327" s="102" t="s">
        <v>4463</v>
      </c>
      <c r="D327" s="43"/>
      <c r="E327" s="43"/>
      <c r="F327" s="44"/>
    </row>
    <row r="328" spans="3:6" ht="15.75" customHeight="1" x14ac:dyDescent="0.3">
      <c r="C328" s="102" t="s">
        <v>4467</v>
      </c>
      <c r="D328" s="43"/>
      <c r="E328" s="43"/>
      <c r="F328" s="44"/>
    </row>
    <row r="329" spans="3:6" ht="15.75" customHeight="1" x14ac:dyDescent="0.3">
      <c r="C329" s="102" t="s">
        <v>4416</v>
      </c>
      <c r="D329" s="43"/>
      <c r="E329" s="43"/>
      <c r="F329" s="44"/>
    </row>
    <row r="330" spans="3:6" ht="15.75" customHeight="1" x14ac:dyDescent="0.3">
      <c r="C330" s="102" t="s">
        <v>4575</v>
      </c>
      <c r="D330" s="43"/>
      <c r="E330" s="43"/>
      <c r="F330" s="44"/>
    </row>
    <row r="331" spans="3:6" ht="15.75" customHeight="1" x14ac:dyDescent="0.3">
      <c r="C331" s="102" t="s">
        <v>4576</v>
      </c>
      <c r="D331" s="43"/>
      <c r="E331" s="43"/>
      <c r="F331" s="44"/>
    </row>
    <row r="332" spans="3:6" ht="15.75" customHeight="1" x14ac:dyDescent="0.3">
      <c r="C332" s="102" t="s">
        <v>4577</v>
      </c>
      <c r="D332" s="43"/>
      <c r="E332" s="43"/>
      <c r="F332" s="44"/>
    </row>
    <row r="333" spans="3:6" ht="15.75" customHeight="1" x14ac:dyDescent="0.3">
      <c r="C333" s="102" t="s">
        <v>4578</v>
      </c>
      <c r="D333" s="43"/>
      <c r="E333" s="43"/>
      <c r="F333" s="44"/>
    </row>
    <row r="334" spans="3:6" ht="15.75" customHeight="1" x14ac:dyDescent="0.3">
      <c r="C334" s="102" t="s">
        <v>4579</v>
      </c>
      <c r="D334" s="43"/>
      <c r="E334" s="43"/>
      <c r="F334" s="44"/>
    </row>
    <row r="335" spans="3:6" ht="15.75" customHeight="1" x14ac:dyDescent="0.3">
      <c r="C335" s="102" t="s">
        <v>4580</v>
      </c>
      <c r="D335" s="43"/>
      <c r="E335" s="43"/>
      <c r="F335" s="44"/>
    </row>
    <row r="336" spans="3:6" ht="15.75" customHeight="1" x14ac:dyDescent="0.3">
      <c r="C336" s="102" t="s">
        <v>4474</v>
      </c>
      <c r="D336" s="43"/>
      <c r="E336" s="43"/>
      <c r="F336" s="44"/>
    </row>
    <row r="337" spans="3:6" ht="15.75" customHeight="1" x14ac:dyDescent="0.3">
      <c r="C337" s="102" t="s">
        <v>4475</v>
      </c>
      <c r="D337" s="43"/>
      <c r="E337" s="43"/>
      <c r="F337" s="44"/>
    </row>
    <row r="338" spans="3:6" ht="15.75" customHeight="1" x14ac:dyDescent="0.3">
      <c r="C338" s="102" t="s">
        <v>4476</v>
      </c>
      <c r="D338" s="43"/>
      <c r="E338" s="43"/>
      <c r="F338" s="44"/>
    </row>
    <row r="339" spans="3:6" ht="15.75" customHeight="1" x14ac:dyDescent="0.3">
      <c r="C339" s="102" t="s">
        <v>4477</v>
      </c>
      <c r="D339" s="43"/>
      <c r="E339" s="43"/>
      <c r="F339" s="44"/>
    </row>
    <row r="340" spans="3:6" ht="15.75" customHeight="1" x14ac:dyDescent="0.3">
      <c r="C340" s="102" t="s">
        <v>4478</v>
      </c>
      <c r="D340" s="43"/>
      <c r="E340" s="43"/>
      <c r="F340" s="44"/>
    </row>
    <row r="341" spans="3:6" ht="15.75" customHeight="1" x14ac:dyDescent="0.3">
      <c r="C341" s="102" t="s">
        <v>4581</v>
      </c>
      <c r="D341" s="43"/>
      <c r="E341" s="43"/>
      <c r="F341" s="44"/>
    </row>
    <row r="342" spans="3:6" ht="15.75" customHeight="1" x14ac:dyDescent="0.3">
      <c r="C342" s="102" t="s">
        <v>4582</v>
      </c>
      <c r="D342" s="43"/>
      <c r="E342" s="43"/>
      <c r="F342" s="44"/>
    </row>
    <row r="343" spans="3:6" ht="15.75" customHeight="1" x14ac:dyDescent="0.3">
      <c r="C343" s="102" t="s">
        <v>4481</v>
      </c>
      <c r="D343" s="43"/>
      <c r="E343" s="43"/>
      <c r="F343" s="44"/>
    </row>
    <row r="344" spans="3:6" ht="15.75" customHeight="1" x14ac:dyDescent="0.3">
      <c r="C344" s="102" t="s">
        <v>4482</v>
      </c>
      <c r="D344" s="43"/>
      <c r="E344" s="43"/>
      <c r="F344" s="44"/>
    </row>
    <row r="345" spans="3:6" ht="15.75" customHeight="1" x14ac:dyDescent="0.3">
      <c r="C345" s="102" t="s">
        <v>4583</v>
      </c>
      <c r="D345" s="43"/>
      <c r="E345" s="43"/>
      <c r="F345" s="44"/>
    </row>
    <row r="346" spans="3:6" ht="15.75" customHeight="1" x14ac:dyDescent="0.3">
      <c r="C346" s="102" t="s">
        <v>4524</v>
      </c>
      <c r="D346" s="43"/>
      <c r="E346" s="43"/>
      <c r="F346" s="44"/>
    </row>
    <row r="347" spans="3:6" ht="15.75" customHeight="1" x14ac:dyDescent="0.3">
      <c r="C347" s="102" t="s">
        <v>4525</v>
      </c>
      <c r="D347" s="43"/>
      <c r="E347" s="43"/>
      <c r="F347" s="44"/>
    </row>
    <row r="348" spans="3:6" ht="15.75" customHeight="1" x14ac:dyDescent="0.3">
      <c r="C348" s="102" t="s">
        <v>4467</v>
      </c>
      <c r="D348" s="43"/>
      <c r="E348" s="43"/>
      <c r="F348" s="44"/>
    </row>
    <row r="349" spans="3:6" ht="15.75" customHeight="1" x14ac:dyDescent="0.3">
      <c r="C349" s="102" t="s">
        <v>4526</v>
      </c>
      <c r="D349" s="43"/>
      <c r="E349" s="43"/>
      <c r="F349" s="44"/>
    </row>
    <row r="350" spans="3:6" ht="15.75" customHeight="1" x14ac:dyDescent="0.3">
      <c r="C350" s="102" t="s">
        <v>4527</v>
      </c>
      <c r="D350" s="43"/>
      <c r="E350" s="43"/>
      <c r="F350" s="44"/>
    </row>
    <row r="351" spans="3:6" ht="15.75" customHeight="1" x14ac:dyDescent="0.3">
      <c r="C351" s="102" t="s">
        <v>4528</v>
      </c>
      <c r="D351" s="43"/>
      <c r="E351" s="43"/>
      <c r="F351" s="44"/>
    </row>
    <row r="352" spans="3:6" ht="15.75" customHeight="1" x14ac:dyDescent="0.3">
      <c r="C352" s="102" t="s">
        <v>4529</v>
      </c>
      <c r="D352" s="43"/>
      <c r="E352" s="43"/>
      <c r="F352" s="44"/>
    </row>
    <row r="353" spans="3:6" ht="15.75" customHeight="1" x14ac:dyDescent="0.3">
      <c r="C353" s="102" t="s">
        <v>4530</v>
      </c>
      <c r="D353" s="43"/>
      <c r="E353" s="43"/>
      <c r="F353" s="44"/>
    </row>
    <row r="354" spans="3:6" ht="15.75" customHeight="1" x14ac:dyDescent="0.3">
      <c r="C354" s="102" t="s">
        <v>4491</v>
      </c>
      <c r="D354" s="43"/>
      <c r="E354" s="43"/>
      <c r="F354" s="44"/>
    </row>
    <row r="355" spans="3:6" ht="15.75" customHeight="1" x14ac:dyDescent="0.3">
      <c r="C355" s="102" t="s">
        <v>4584</v>
      </c>
      <c r="D355" s="43"/>
      <c r="E355" s="43"/>
      <c r="F355" s="44"/>
    </row>
    <row r="356" spans="3:6" ht="15.75" customHeight="1" x14ac:dyDescent="0.3">
      <c r="C356" s="102" t="s">
        <v>4585</v>
      </c>
      <c r="D356" s="43"/>
      <c r="E356" s="43"/>
      <c r="F356" s="44"/>
    </row>
    <row r="357" spans="3:6" ht="15.75" customHeight="1" x14ac:dyDescent="0.3">
      <c r="C357" s="102" t="s">
        <v>4586</v>
      </c>
      <c r="D357" s="43"/>
      <c r="E357" s="43"/>
      <c r="F357" s="44"/>
    </row>
    <row r="358" spans="3:6" ht="15.75" customHeight="1" x14ac:dyDescent="0.3">
      <c r="C358" s="102" t="s">
        <v>4587</v>
      </c>
      <c r="D358" s="43"/>
      <c r="E358" s="43"/>
      <c r="F358" s="44"/>
    </row>
    <row r="359" spans="3:6" ht="15.75" customHeight="1" x14ac:dyDescent="0.3">
      <c r="C359" s="102" t="s">
        <v>4588</v>
      </c>
      <c r="D359" s="43"/>
      <c r="E359" s="43"/>
      <c r="F359" s="44"/>
    </row>
    <row r="360" spans="3:6" ht="15.75" customHeight="1" x14ac:dyDescent="0.3">
      <c r="C360" s="102" t="s">
        <v>4589</v>
      </c>
      <c r="D360" s="43"/>
      <c r="E360" s="43"/>
      <c r="F360" s="44"/>
    </row>
    <row r="361" spans="3:6" ht="15.75" customHeight="1" x14ac:dyDescent="0.3">
      <c r="C361" s="102" t="s">
        <v>4491</v>
      </c>
      <c r="D361" s="43"/>
      <c r="E361" s="43"/>
      <c r="F361" s="44"/>
    </row>
    <row r="362" spans="3:6" ht="15.75" customHeight="1" x14ac:dyDescent="0.3">
      <c r="C362" s="102" t="s">
        <v>4535</v>
      </c>
      <c r="D362" s="43"/>
      <c r="E362" s="43"/>
      <c r="F362" s="44"/>
    </row>
    <row r="363" spans="3:6" ht="15.75" customHeight="1" x14ac:dyDescent="0.3">
      <c r="C363" s="102" t="s">
        <v>4590</v>
      </c>
      <c r="D363" s="43"/>
      <c r="E363" s="43"/>
      <c r="F363" s="44"/>
    </row>
    <row r="364" spans="3:6" ht="15.75" customHeight="1" x14ac:dyDescent="0.3">
      <c r="C364" s="102" t="s">
        <v>4591</v>
      </c>
      <c r="D364" s="43"/>
      <c r="E364" s="43"/>
      <c r="F364" s="44"/>
    </row>
    <row r="365" spans="3:6" ht="15.75" customHeight="1" x14ac:dyDescent="0.3">
      <c r="C365" s="102" t="s">
        <v>4456</v>
      </c>
      <c r="D365" s="43"/>
      <c r="E365" s="43"/>
      <c r="F365" s="44"/>
    </row>
    <row r="366" spans="3:6" ht="15.75" customHeight="1" x14ac:dyDescent="0.3">
      <c r="C366" s="102" t="s">
        <v>4592</v>
      </c>
      <c r="D366" s="43"/>
      <c r="E366" s="43"/>
      <c r="F366" s="44"/>
    </row>
    <row r="367" spans="3:6" ht="15.75" customHeight="1" x14ac:dyDescent="0.3">
      <c r="C367" s="102" t="s">
        <v>4572</v>
      </c>
      <c r="D367" s="43"/>
      <c r="E367" s="43"/>
      <c r="F367" s="44"/>
    </row>
    <row r="368" spans="3:6" ht="15.75" customHeight="1" x14ac:dyDescent="0.3">
      <c r="C368" s="102" t="s">
        <v>4593</v>
      </c>
      <c r="D368" s="43"/>
      <c r="E368" s="43"/>
      <c r="F368" s="44"/>
    </row>
    <row r="369" spans="3:6" ht="15.75" customHeight="1" x14ac:dyDescent="0.3">
      <c r="C369" s="102" t="s">
        <v>4594</v>
      </c>
      <c r="D369" s="43"/>
      <c r="E369" s="43"/>
      <c r="F369" s="44"/>
    </row>
    <row r="370" spans="3:6" ht="15.75" customHeight="1" x14ac:dyDescent="0.3">
      <c r="C370" s="102" t="s">
        <v>4595</v>
      </c>
      <c r="D370" s="43"/>
      <c r="E370" s="43"/>
      <c r="F370" s="44"/>
    </row>
    <row r="371" spans="3:6" ht="15.75" customHeight="1" x14ac:dyDescent="0.3">
      <c r="C371" s="102" t="s">
        <v>4596</v>
      </c>
      <c r="D371" s="43"/>
      <c r="E371" s="43"/>
      <c r="F371" s="44"/>
    </row>
    <row r="372" spans="3:6" ht="15.75" customHeight="1" x14ac:dyDescent="0.3">
      <c r="C372" s="102" t="s">
        <v>4521</v>
      </c>
      <c r="D372" s="43"/>
      <c r="E372" s="43"/>
      <c r="F372" s="44"/>
    </row>
    <row r="373" spans="3:6" ht="15.75" customHeight="1" x14ac:dyDescent="0.3">
      <c r="C373" s="102" t="s">
        <v>4460</v>
      </c>
      <c r="D373" s="43"/>
      <c r="E373" s="43"/>
      <c r="F373" s="44"/>
    </row>
    <row r="374" spans="3:6" ht="15.75" customHeight="1" x14ac:dyDescent="0.3">
      <c r="C374" s="102" t="s">
        <v>4463</v>
      </c>
      <c r="D374" s="43"/>
      <c r="E374" s="43"/>
      <c r="F374" s="44"/>
    </row>
    <row r="375" spans="3:6" ht="15.75" customHeight="1" x14ac:dyDescent="0.3">
      <c r="C375" s="102" t="s">
        <v>4467</v>
      </c>
      <c r="D375" s="43"/>
      <c r="E375" s="43"/>
      <c r="F375" s="44"/>
    </row>
    <row r="376" spans="3:6" ht="15.75" customHeight="1" x14ac:dyDescent="0.3">
      <c r="C376" s="102" t="s">
        <v>4416</v>
      </c>
      <c r="D376" s="43"/>
      <c r="E376" s="43"/>
      <c r="F376" s="44"/>
    </row>
    <row r="377" spans="3:6" ht="15.75" customHeight="1" x14ac:dyDescent="0.3">
      <c r="C377" s="102" t="s">
        <v>4597</v>
      </c>
      <c r="D377" s="43"/>
      <c r="E377" s="43"/>
      <c r="F377" s="44"/>
    </row>
    <row r="378" spans="3:6" ht="15.75" customHeight="1" x14ac:dyDescent="0.3">
      <c r="C378" s="102" t="s">
        <v>4575</v>
      </c>
      <c r="D378" s="43"/>
      <c r="E378" s="43"/>
      <c r="F378" s="44"/>
    </row>
    <row r="379" spans="3:6" ht="15.75" customHeight="1" x14ac:dyDescent="0.3">
      <c r="C379" s="102" t="s">
        <v>4576</v>
      </c>
      <c r="D379" s="43"/>
      <c r="E379" s="43"/>
      <c r="F379" s="44"/>
    </row>
    <row r="380" spans="3:6" ht="15.75" customHeight="1" x14ac:dyDescent="0.3">
      <c r="C380" s="102" t="s">
        <v>4577</v>
      </c>
      <c r="D380" s="43"/>
      <c r="E380" s="43"/>
      <c r="F380" s="44"/>
    </row>
    <row r="381" spans="3:6" ht="15.75" customHeight="1" x14ac:dyDescent="0.3">
      <c r="C381" s="102" t="s">
        <v>4578</v>
      </c>
      <c r="D381" s="43"/>
      <c r="E381" s="43"/>
      <c r="F381" s="44"/>
    </row>
    <row r="382" spans="3:6" ht="15.75" customHeight="1" x14ac:dyDescent="0.3">
      <c r="C382" s="102" t="s">
        <v>4598</v>
      </c>
      <c r="D382" s="43"/>
      <c r="E382" s="43"/>
      <c r="F382" s="44"/>
    </row>
    <row r="383" spans="3:6" ht="15.75" customHeight="1" x14ac:dyDescent="0.3">
      <c r="C383" s="102" t="s">
        <v>4473</v>
      </c>
      <c r="D383" s="43"/>
      <c r="E383" s="43"/>
      <c r="F383" s="44"/>
    </row>
    <row r="384" spans="3:6" ht="15.75" customHeight="1" x14ac:dyDescent="0.3">
      <c r="C384" s="102" t="s">
        <v>4474</v>
      </c>
      <c r="D384" s="43"/>
      <c r="E384" s="43"/>
      <c r="F384" s="44"/>
    </row>
    <row r="385" spans="3:6" ht="15.75" customHeight="1" x14ac:dyDescent="0.3">
      <c r="C385" s="102" t="s">
        <v>4475</v>
      </c>
      <c r="D385" s="43"/>
      <c r="E385" s="43"/>
      <c r="F385" s="44"/>
    </row>
    <row r="386" spans="3:6" ht="15.75" customHeight="1" x14ac:dyDescent="0.3">
      <c r="C386" s="102" t="s">
        <v>4476</v>
      </c>
      <c r="D386" s="43"/>
      <c r="E386" s="43"/>
      <c r="F386" s="44"/>
    </row>
    <row r="387" spans="3:6" ht="15.75" customHeight="1" x14ac:dyDescent="0.3">
      <c r="C387" s="102" t="s">
        <v>4477</v>
      </c>
      <c r="D387" s="43"/>
      <c r="E387" s="43"/>
      <c r="F387" s="44"/>
    </row>
    <row r="388" spans="3:6" ht="15.75" customHeight="1" x14ac:dyDescent="0.3">
      <c r="C388" s="102" t="s">
        <v>4478</v>
      </c>
      <c r="D388" s="43"/>
      <c r="E388" s="43"/>
      <c r="F388" s="44"/>
    </row>
    <row r="389" spans="3:6" ht="15.75" customHeight="1" x14ac:dyDescent="0.3">
      <c r="C389" s="102" t="s">
        <v>4581</v>
      </c>
      <c r="D389" s="43"/>
      <c r="E389" s="43"/>
      <c r="F389" s="44"/>
    </row>
    <row r="390" spans="3:6" ht="15.75" customHeight="1" x14ac:dyDescent="0.3">
      <c r="C390" s="102" t="s">
        <v>4582</v>
      </c>
      <c r="D390" s="43"/>
      <c r="E390" s="43"/>
      <c r="F390" s="44"/>
    </row>
    <row r="391" spans="3:6" ht="15.75" customHeight="1" x14ac:dyDescent="0.3">
      <c r="C391" s="102" t="s">
        <v>4481</v>
      </c>
      <c r="D391" s="43"/>
      <c r="E391" s="43"/>
      <c r="F391" s="44"/>
    </row>
    <row r="392" spans="3:6" ht="15.75" customHeight="1" x14ac:dyDescent="0.3">
      <c r="C392" s="102" t="s">
        <v>4482</v>
      </c>
      <c r="D392" s="43"/>
      <c r="E392" s="43"/>
      <c r="F392" s="44"/>
    </row>
    <row r="393" spans="3:6" ht="15.75" customHeight="1" x14ac:dyDescent="0.3">
      <c r="C393" s="102" t="s">
        <v>4599</v>
      </c>
      <c r="D393" s="43"/>
      <c r="E393" s="43"/>
      <c r="F393" s="44"/>
    </row>
    <row r="394" spans="3:6" ht="15.75" customHeight="1" x14ac:dyDescent="0.3">
      <c r="C394" s="102" t="s">
        <v>4524</v>
      </c>
      <c r="D394" s="43"/>
      <c r="E394" s="43"/>
      <c r="F394" s="44"/>
    </row>
    <row r="395" spans="3:6" ht="15.75" customHeight="1" x14ac:dyDescent="0.3">
      <c r="C395" s="102" t="s">
        <v>4600</v>
      </c>
      <c r="D395" s="43"/>
      <c r="E395" s="43"/>
      <c r="F395" s="44"/>
    </row>
    <row r="396" spans="3:6" ht="15.75" customHeight="1" x14ac:dyDescent="0.3">
      <c r="C396" s="102" t="s">
        <v>4467</v>
      </c>
      <c r="D396" s="43"/>
      <c r="E396" s="43"/>
      <c r="F396" s="44"/>
    </row>
    <row r="397" spans="3:6" ht="15.75" customHeight="1" x14ac:dyDescent="0.3">
      <c r="C397" s="102" t="s">
        <v>4526</v>
      </c>
      <c r="D397" s="43"/>
      <c r="E397" s="43"/>
      <c r="F397" s="44"/>
    </row>
    <row r="398" spans="3:6" ht="15.75" customHeight="1" x14ac:dyDescent="0.3">
      <c r="C398" s="102" t="s">
        <v>4527</v>
      </c>
      <c r="D398" s="43"/>
      <c r="E398" s="43"/>
      <c r="F398" s="44"/>
    </row>
    <row r="399" spans="3:6" ht="15.75" customHeight="1" x14ac:dyDescent="0.3">
      <c r="C399" s="102" t="s">
        <v>4528</v>
      </c>
      <c r="D399" s="43"/>
      <c r="E399" s="43"/>
      <c r="F399" s="44"/>
    </row>
    <row r="400" spans="3:6" ht="15.75" customHeight="1" x14ac:dyDescent="0.3">
      <c r="C400" s="102" t="s">
        <v>4529</v>
      </c>
      <c r="D400" s="43"/>
      <c r="E400" s="43"/>
      <c r="F400" s="44"/>
    </row>
    <row r="401" spans="3:6" ht="15.75" customHeight="1" x14ac:dyDescent="0.3">
      <c r="C401" s="102" t="s">
        <v>4530</v>
      </c>
      <c r="D401" s="43"/>
      <c r="E401" s="43"/>
      <c r="F401" s="44"/>
    </row>
    <row r="402" spans="3:6" ht="15.75" customHeight="1" x14ac:dyDescent="0.3">
      <c r="C402" s="102" t="s">
        <v>4491</v>
      </c>
      <c r="D402" s="43"/>
      <c r="E402" s="43"/>
      <c r="F402" s="44"/>
    </row>
    <row r="403" spans="3:6" ht="15.75" customHeight="1" x14ac:dyDescent="0.3">
      <c r="C403" s="102" t="s">
        <v>4535</v>
      </c>
      <c r="D403" s="43"/>
      <c r="E403" s="43"/>
      <c r="F403" s="44"/>
    </row>
    <row r="404" spans="3:6" ht="15.75" customHeight="1" x14ac:dyDescent="0.3">
      <c r="C404" s="102" t="s">
        <v>4536</v>
      </c>
      <c r="D404" s="43"/>
      <c r="E404" s="43"/>
      <c r="F404" s="44"/>
    </row>
    <row r="405" spans="3:6" ht="15.75" customHeight="1" x14ac:dyDescent="0.3">
      <c r="C405" s="102" t="s">
        <v>4601</v>
      </c>
      <c r="D405" s="43"/>
      <c r="E405" s="43"/>
      <c r="F405" s="44"/>
    </row>
    <row r="406" spans="3:6" ht="15.75" customHeight="1" x14ac:dyDescent="0.3">
      <c r="C406" s="102" t="s">
        <v>4602</v>
      </c>
      <c r="D406" s="43"/>
      <c r="E406" s="43"/>
      <c r="F406" s="44"/>
    </row>
    <row r="407" spans="3:6" ht="15.75" customHeight="1" x14ac:dyDescent="0.3">
      <c r="C407" s="102" t="s">
        <v>4603</v>
      </c>
      <c r="D407" s="43"/>
      <c r="E407" s="43"/>
      <c r="F407" s="44"/>
    </row>
    <row r="408" spans="3:6" ht="15.75" customHeight="1" x14ac:dyDescent="0.3">
      <c r="C408" s="102" t="s">
        <v>4604</v>
      </c>
      <c r="D408" s="43"/>
      <c r="E408" s="43"/>
      <c r="F408" s="44"/>
    </row>
    <row r="409" spans="3:6" ht="15.75" customHeight="1" x14ac:dyDescent="0.3">
      <c r="C409" s="102" t="s">
        <v>4605</v>
      </c>
      <c r="D409" s="43"/>
      <c r="E409" s="43"/>
      <c r="F409" s="44"/>
    </row>
    <row r="410" spans="3:6" ht="15.75" customHeight="1" x14ac:dyDescent="0.3">
      <c r="C410" s="102" t="s">
        <v>4606</v>
      </c>
      <c r="D410" s="43"/>
      <c r="E410" s="43"/>
      <c r="F410" s="44"/>
    </row>
    <row r="411" spans="3:6" ht="15.75" customHeight="1" x14ac:dyDescent="0.3">
      <c r="C411" s="102" t="s">
        <v>4607</v>
      </c>
      <c r="D411" s="43"/>
      <c r="E411" s="43"/>
      <c r="F411" s="44"/>
    </row>
    <row r="412" spans="3:6" ht="15.75" customHeight="1" x14ac:dyDescent="0.3">
      <c r="C412" s="102" t="s">
        <v>4608</v>
      </c>
      <c r="D412" s="43"/>
      <c r="E412" s="43"/>
      <c r="F412" s="44"/>
    </row>
    <row r="413" spans="3:6" ht="15.75" customHeight="1" x14ac:dyDescent="0.3">
      <c r="C413" s="102" t="s">
        <v>4609</v>
      </c>
      <c r="D413" s="43"/>
      <c r="E413" s="43"/>
      <c r="F413" s="44"/>
    </row>
    <row r="414" spans="3:6" ht="15.75" customHeight="1" x14ac:dyDescent="0.3">
      <c r="C414" s="102" t="s">
        <v>4610</v>
      </c>
      <c r="D414" s="43"/>
      <c r="E414" s="43"/>
      <c r="F414" s="44"/>
    </row>
    <row r="415" spans="3:6" ht="15.75" customHeight="1" x14ac:dyDescent="0.3">
      <c r="C415" s="102" t="s">
        <v>4611</v>
      </c>
      <c r="D415" s="43"/>
      <c r="E415" s="43"/>
      <c r="F415" s="44"/>
    </row>
    <row r="416" spans="3:6" ht="15.75" customHeight="1" x14ac:dyDescent="0.3">
      <c r="C416" s="102" t="s">
        <v>4612</v>
      </c>
      <c r="D416" s="43"/>
      <c r="E416" s="43"/>
      <c r="F416" s="44"/>
    </row>
    <row r="417" spans="3:6" ht="15.75" customHeight="1" x14ac:dyDescent="0.3">
      <c r="C417" s="102" t="s">
        <v>4613</v>
      </c>
      <c r="D417" s="43"/>
      <c r="E417" s="43"/>
      <c r="F417" s="44"/>
    </row>
    <row r="418" spans="3:6" ht="15.75" customHeight="1" x14ac:dyDescent="0.3">
      <c r="C418" s="102" t="s">
        <v>4614</v>
      </c>
      <c r="D418" s="43"/>
      <c r="E418" s="43"/>
      <c r="F418" s="44"/>
    </row>
    <row r="419" spans="3:6" ht="15.75" customHeight="1" x14ac:dyDescent="0.3">
      <c r="C419" s="102" t="s">
        <v>4615</v>
      </c>
      <c r="D419" s="43"/>
      <c r="E419" s="43"/>
      <c r="F419" s="44"/>
    </row>
    <row r="420" spans="3:6" ht="15.75" customHeight="1" x14ac:dyDescent="0.3">
      <c r="C420" s="102" t="s">
        <v>4616</v>
      </c>
      <c r="D420" s="43"/>
      <c r="E420" s="43"/>
      <c r="F420" s="44"/>
    </row>
    <row r="421" spans="3:6" ht="15.75" customHeight="1" x14ac:dyDescent="0.3">
      <c r="C421" s="102" t="s">
        <v>4617</v>
      </c>
      <c r="D421" s="43"/>
      <c r="E421" s="43"/>
      <c r="F421" s="44"/>
    </row>
    <row r="422" spans="3:6" ht="15.75" customHeight="1" x14ac:dyDescent="0.3">
      <c r="C422" s="102" t="s">
        <v>4618</v>
      </c>
      <c r="D422" s="43"/>
      <c r="E422" s="43"/>
      <c r="F422" s="44"/>
    </row>
    <row r="423" spans="3:6" ht="15.75" customHeight="1" x14ac:dyDescent="0.3">
      <c r="C423" s="102" t="s">
        <v>4619</v>
      </c>
      <c r="D423" s="43"/>
      <c r="E423" s="43"/>
      <c r="F423" s="44"/>
    </row>
    <row r="424" spans="3:6" ht="15.75" customHeight="1" x14ac:dyDescent="0.3">
      <c r="C424" s="102" t="s">
        <v>4620</v>
      </c>
      <c r="D424" s="43"/>
      <c r="E424" s="43"/>
      <c r="F424" s="44"/>
    </row>
    <row r="425" spans="3:6" ht="15.75" customHeight="1" x14ac:dyDescent="0.3">
      <c r="C425" s="102" t="s">
        <v>4621</v>
      </c>
      <c r="D425" s="43"/>
      <c r="E425" s="43"/>
      <c r="F425" s="44"/>
    </row>
    <row r="426" spans="3:6" ht="15.75" customHeight="1" x14ac:dyDescent="0.3">
      <c r="C426" s="102" t="s">
        <v>4622</v>
      </c>
      <c r="D426" s="43"/>
      <c r="E426" s="43"/>
      <c r="F426" s="44"/>
    </row>
    <row r="427" spans="3:6" ht="15.75" customHeight="1" x14ac:dyDescent="0.3">
      <c r="C427" s="102" t="s">
        <v>4623</v>
      </c>
      <c r="D427" s="43"/>
      <c r="E427" s="43"/>
      <c r="F427" s="44"/>
    </row>
    <row r="428" spans="3:6" ht="15.75" customHeight="1" x14ac:dyDescent="0.3">
      <c r="C428" s="102" t="s">
        <v>4624</v>
      </c>
      <c r="D428" s="43"/>
      <c r="E428" s="43"/>
      <c r="F428" s="44"/>
    </row>
    <row r="429" spans="3:6" ht="15.75" customHeight="1" x14ac:dyDescent="0.3">
      <c r="C429" s="102" t="s">
        <v>4625</v>
      </c>
      <c r="D429" s="43"/>
      <c r="E429" s="43"/>
      <c r="F429" s="44"/>
    </row>
    <row r="430" spans="3:6" ht="15.75" customHeight="1" x14ac:dyDescent="0.3">
      <c r="C430" s="102" t="s">
        <v>4626</v>
      </c>
      <c r="D430" s="43"/>
      <c r="E430" s="43"/>
      <c r="F430" s="44"/>
    </row>
    <row r="431" spans="3:6" ht="15.75" customHeight="1" x14ac:dyDescent="0.3">
      <c r="C431" s="102" t="s">
        <v>4627</v>
      </c>
      <c r="D431" s="43"/>
      <c r="E431" s="43"/>
      <c r="F431" s="44"/>
    </row>
    <row r="432" spans="3:6" ht="15.75" customHeight="1" x14ac:dyDescent="0.3">
      <c r="C432" s="102" t="s">
        <v>4628</v>
      </c>
      <c r="D432" s="43"/>
      <c r="E432" s="43"/>
      <c r="F432" s="44"/>
    </row>
    <row r="433" spans="3:6" ht="15.75" customHeight="1" x14ac:dyDescent="0.3">
      <c r="C433" s="102" t="s">
        <v>4629</v>
      </c>
      <c r="D433" s="43"/>
      <c r="E433" s="43"/>
      <c r="F433" s="44"/>
    </row>
    <row r="434" spans="3:6" ht="15.75" customHeight="1" x14ac:dyDescent="0.3">
      <c r="C434" s="102" t="s">
        <v>4630</v>
      </c>
      <c r="D434" s="43"/>
      <c r="E434" s="43"/>
      <c r="F434" s="44"/>
    </row>
    <row r="435" spans="3:6" ht="15.75" customHeight="1" x14ac:dyDescent="0.3">
      <c r="C435" s="102" t="s">
        <v>4631</v>
      </c>
      <c r="D435" s="43"/>
      <c r="E435" s="43"/>
      <c r="F435" s="44"/>
    </row>
    <row r="436" spans="3:6" ht="15.75" customHeight="1" x14ac:dyDescent="0.3">
      <c r="C436" s="102" t="s">
        <v>4632</v>
      </c>
      <c r="D436" s="43"/>
      <c r="E436" s="43"/>
      <c r="F436" s="44"/>
    </row>
    <row r="437" spans="3:6" ht="15.75" customHeight="1" x14ac:dyDescent="0.3">
      <c r="C437" s="102" t="s">
        <v>4633</v>
      </c>
      <c r="D437" s="43"/>
      <c r="E437" s="43"/>
      <c r="F437" s="44"/>
    </row>
    <row r="438" spans="3:6" ht="15.75" customHeight="1" x14ac:dyDescent="0.3">
      <c r="C438" s="102" t="s">
        <v>4634</v>
      </c>
      <c r="D438" s="43"/>
      <c r="E438" s="43"/>
      <c r="F438" s="44"/>
    </row>
    <row r="439" spans="3:6" ht="15.75" customHeight="1" x14ac:dyDescent="0.3">
      <c r="C439" s="102" t="s">
        <v>4635</v>
      </c>
      <c r="D439" s="43"/>
      <c r="E439" s="43"/>
      <c r="F439" s="44"/>
    </row>
    <row r="440" spans="3:6" ht="15.75" customHeight="1" x14ac:dyDescent="0.3">
      <c r="C440" s="102" t="s">
        <v>4636</v>
      </c>
      <c r="D440" s="43"/>
      <c r="E440" s="43"/>
      <c r="F440" s="44"/>
    </row>
    <row r="441" spans="3:6" ht="15.75" customHeight="1" x14ac:dyDescent="0.3">
      <c r="C441" s="102" t="s">
        <v>4637</v>
      </c>
      <c r="D441" s="43"/>
      <c r="E441" s="43"/>
      <c r="F441" s="44"/>
    </row>
    <row r="442" spans="3:6" ht="15.75" customHeight="1" x14ac:dyDescent="0.3">
      <c r="C442" s="102" t="s">
        <v>4638</v>
      </c>
      <c r="D442" s="43"/>
      <c r="E442" s="43"/>
      <c r="F442" s="44"/>
    </row>
    <row r="443" spans="3:6" ht="15.75" customHeight="1" x14ac:dyDescent="0.3">
      <c r="C443" s="102" t="s">
        <v>4602</v>
      </c>
      <c r="D443" s="43"/>
      <c r="E443" s="43"/>
      <c r="F443" s="44"/>
    </row>
    <row r="444" spans="3:6" ht="15.75" customHeight="1" x14ac:dyDescent="0.3">
      <c r="C444" s="102" t="s">
        <v>4603</v>
      </c>
      <c r="D444" s="43"/>
      <c r="E444" s="43"/>
      <c r="F444" s="44"/>
    </row>
    <row r="445" spans="3:6" ht="15.75" customHeight="1" x14ac:dyDescent="0.3">
      <c r="C445" s="102" t="s">
        <v>4604</v>
      </c>
      <c r="D445" s="43"/>
      <c r="E445" s="43"/>
      <c r="F445" s="44"/>
    </row>
    <row r="446" spans="3:6" ht="15.75" customHeight="1" x14ac:dyDescent="0.3">
      <c r="C446" s="102" t="s">
        <v>4605</v>
      </c>
      <c r="D446" s="43"/>
      <c r="E446" s="43"/>
      <c r="F446" s="44"/>
    </row>
    <row r="447" spans="3:6" ht="15.75" customHeight="1" x14ac:dyDescent="0.3">
      <c r="C447" s="102" t="s">
        <v>4606</v>
      </c>
      <c r="D447" s="43"/>
      <c r="E447" s="43"/>
      <c r="F447" s="44"/>
    </row>
    <row r="448" spans="3:6" ht="15.75" customHeight="1" x14ac:dyDescent="0.3">
      <c r="C448" s="102" t="s">
        <v>4607</v>
      </c>
      <c r="D448" s="43"/>
      <c r="E448" s="43"/>
      <c r="F448" s="44"/>
    </row>
    <row r="449" spans="3:6" ht="15.75" customHeight="1" x14ac:dyDescent="0.3">
      <c r="C449" s="102" t="s">
        <v>4608</v>
      </c>
      <c r="D449" s="43"/>
      <c r="E449" s="43"/>
      <c r="F449" s="44"/>
    </row>
    <row r="450" spans="3:6" ht="15.75" customHeight="1" x14ac:dyDescent="0.3">
      <c r="C450" s="102" t="s">
        <v>4609</v>
      </c>
      <c r="D450" s="43"/>
      <c r="E450" s="43"/>
      <c r="F450" s="44"/>
    </row>
    <row r="451" spans="3:6" ht="15.75" customHeight="1" x14ac:dyDescent="0.3">
      <c r="C451" s="102" t="s">
        <v>4610</v>
      </c>
      <c r="D451" s="43"/>
      <c r="E451" s="43"/>
      <c r="F451" s="44"/>
    </row>
    <row r="452" spans="3:6" ht="15.75" customHeight="1" x14ac:dyDescent="0.3">
      <c r="C452" s="102" t="s">
        <v>4611</v>
      </c>
      <c r="D452" s="43"/>
      <c r="E452" s="43"/>
      <c r="F452" s="44"/>
    </row>
    <row r="453" spans="3:6" ht="15.75" customHeight="1" x14ac:dyDescent="0.3">
      <c r="C453" s="102" t="s">
        <v>4612</v>
      </c>
      <c r="D453" s="43"/>
      <c r="E453" s="43"/>
      <c r="F453" s="44"/>
    </row>
    <row r="454" spans="3:6" ht="15.75" customHeight="1" x14ac:dyDescent="0.3">
      <c r="C454" s="102" t="s">
        <v>4613</v>
      </c>
      <c r="D454" s="43"/>
      <c r="E454" s="43"/>
      <c r="F454" s="44"/>
    </row>
    <row r="455" spans="3:6" ht="15.75" customHeight="1" x14ac:dyDescent="0.3">
      <c r="C455" s="102" t="s">
        <v>4614</v>
      </c>
      <c r="D455" s="43"/>
      <c r="E455" s="43"/>
      <c r="F455" s="44"/>
    </row>
    <row r="456" spans="3:6" ht="15.75" customHeight="1" x14ac:dyDescent="0.3">
      <c r="C456" s="102" t="s">
        <v>4615</v>
      </c>
      <c r="D456" s="43"/>
      <c r="E456" s="43"/>
      <c r="F456" s="44"/>
    </row>
    <row r="457" spans="3:6" ht="15.75" customHeight="1" x14ac:dyDescent="0.3">
      <c r="C457" s="102" t="s">
        <v>4616</v>
      </c>
      <c r="D457" s="43"/>
      <c r="E457" s="43"/>
      <c r="F457" s="44"/>
    </row>
    <row r="458" spans="3:6" ht="15.75" customHeight="1" x14ac:dyDescent="0.3">
      <c r="C458" s="102" t="s">
        <v>4617</v>
      </c>
      <c r="D458" s="43"/>
      <c r="E458" s="43"/>
      <c r="F458" s="44"/>
    </row>
    <row r="459" spans="3:6" ht="15.75" customHeight="1" x14ac:dyDescent="0.3">
      <c r="C459" s="102" t="s">
        <v>4618</v>
      </c>
      <c r="D459" s="43"/>
      <c r="E459" s="43"/>
      <c r="F459" s="44"/>
    </row>
    <row r="460" spans="3:6" ht="15.75" customHeight="1" x14ac:dyDescent="0.3">
      <c r="C460" s="102" t="s">
        <v>4619</v>
      </c>
      <c r="D460" s="43"/>
      <c r="E460" s="43"/>
      <c r="F460" s="44"/>
    </row>
    <row r="461" spans="3:6" ht="15.75" customHeight="1" x14ac:dyDescent="0.3">
      <c r="C461" s="102" t="s">
        <v>4620</v>
      </c>
      <c r="D461" s="43"/>
      <c r="E461" s="43"/>
      <c r="F461" s="44"/>
    </row>
    <row r="462" spans="3:6" ht="15.75" customHeight="1" x14ac:dyDescent="0.3">
      <c r="C462" s="102" t="s">
        <v>4621</v>
      </c>
      <c r="D462" s="43"/>
      <c r="E462" s="43"/>
      <c r="F462" s="44"/>
    </row>
    <row r="463" spans="3:6" ht="15.75" customHeight="1" x14ac:dyDescent="0.3">
      <c r="C463" s="102" t="s">
        <v>4622</v>
      </c>
      <c r="D463" s="43"/>
      <c r="E463" s="43"/>
      <c r="F463" s="44"/>
    </row>
    <row r="464" spans="3:6" ht="15.75" customHeight="1" x14ac:dyDescent="0.3">
      <c r="C464" s="102" t="s">
        <v>4623</v>
      </c>
      <c r="D464" s="43"/>
      <c r="E464" s="43"/>
      <c r="F464" s="44"/>
    </row>
    <row r="465" spans="3:6" ht="15.75" customHeight="1" x14ac:dyDescent="0.3">
      <c r="C465" s="102" t="s">
        <v>4624</v>
      </c>
      <c r="D465" s="43"/>
      <c r="E465" s="43"/>
      <c r="F465" s="44"/>
    </row>
    <row r="466" spans="3:6" ht="15.75" customHeight="1" x14ac:dyDescent="0.3">
      <c r="C466" s="102" t="s">
        <v>4625</v>
      </c>
      <c r="D466" s="43"/>
      <c r="E466" s="43"/>
      <c r="F466" s="44"/>
    </row>
    <row r="467" spans="3:6" ht="15.75" customHeight="1" x14ac:dyDescent="0.3">
      <c r="C467" s="102" t="s">
        <v>4626</v>
      </c>
      <c r="D467" s="43"/>
      <c r="E467" s="43"/>
      <c r="F467" s="44"/>
    </row>
    <row r="468" spans="3:6" ht="15.75" customHeight="1" x14ac:dyDescent="0.3">
      <c r="C468" s="102" t="s">
        <v>4627</v>
      </c>
      <c r="D468" s="43"/>
      <c r="E468" s="43"/>
      <c r="F468" s="44"/>
    </row>
    <row r="469" spans="3:6" ht="15.75" customHeight="1" x14ac:dyDescent="0.3">
      <c r="C469" s="102" t="s">
        <v>4628</v>
      </c>
      <c r="D469" s="43"/>
      <c r="E469" s="43"/>
      <c r="F469" s="44"/>
    </row>
    <row r="470" spans="3:6" ht="15.75" customHeight="1" x14ac:dyDescent="0.3">
      <c r="C470" s="102" t="s">
        <v>4629</v>
      </c>
      <c r="D470" s="43"/>
      <c r="E470" s="43"/>
      <c r="F470" s="44"/>
    </row>
    <row r="471" spans="3:6" ht="15.75" customHeight="1" x14ac:dyDescent="0.3">
      <c r="C471" s="102" t="s">
        <v>4630</v>
      </c>
      <c r="D471" s="43"/>
      <c r="E471" s="43"/>
      <c r="F471" s="44"/>
    </row>
    <row r="472" spans="3:6" ht="15.75" customHeight="1" x14ac:dyDescent="0.3">
      <c r="C472" s="102" t="s">
        <v>4631</v>
      </c>
      <c r="D472" s="43"/>
      <c r="E472" s="43"/>
      <c r="F472" s="44"/>
    </row>
    <row r="473" spans="3:6" ht="15.75" customHeight="1" x14ac:dyDescent="0.3">
      <c r="C473" s="102" t="s">
        <v>4632</v>
      </c>
      <c r="D473" s="43"/>
      <c r="E473" s="43"/>
      <c r="F473" s="44"/>
    </row>
    <row r="474" spans="3:6" ht="15.75" customHeight="1" x14ac:dyDescent="0.3">
      <c r="C474" s="102" t="s">
        <v>4633</v>
      </c>
      <c r="D474" s="43"/>
      <c r="E474" s="43"/>
      <c r="F474" s="44"/>
    </row>
    <row r="475" spans="3:6" ht="15.75" customHeight="1" x14ac:dyDescent="0.3">
      <c r="C475" s="102" t="s">
        <v>4634</v>
      </c>
      <c r="D475" s="43"/>
      <c r="E475" s="43"/>
      <c r="F475" s="44"/>
    </row>
    <row r="476" spans="3:6" ht="15.75" customHeight="1" x14ac:dyDescent="0.3">
      <c r="C476" s="102" t="s">
        <v>4635</v>
      </c>
      <c r="D476" s="43"/>
      <c r="E476" s="43"/>
      <c r="F476" s="44"/>
    </row>
    <row r="477" spans="3:6" ht="15.75" customHeight="1" x14ac:dyDescent="0.3">
      <c r="C477" s="102" t="s">
        <v>4636</v>
      </c>
      <c r="D477" s="43"/>
      <c r="E477" s="43"/>
      <c r="F477" s="44"/>
    </row>
    <row r="478" spans="3:6" ht="15.75" customHeight="1" x14ac:dyDescent="0.3">
      <c r="C478" s="102" t="s">
        <v>4637</v>
      </c>
      <c r="D478" s="43"/>
      <c r="E478" s="43"/>
      <c r="F478" s="44"/>
    </row>
    <row r="479" spans="3:6" ht="15.75" customHeight="1" x14ac:dyDescent="0.3">
      <c r="C479" s="102" t="s">
        <v>4639</v>
      </c>
      <c r="D479" s="43"/>
      <c r="E479" s="43"/>
      <c r="F479" s="44"/>
    </row>
    <row r="480" spans="3:6" ht="15.75" customHeight="1" x14ac:dyDescent="0.3">
      <c r="C480" s="102" t="s">
        <v>4602</v>
      </c>
      <c r="D480" s="43"/>
      <c r="E480" s="43"/>
      <c r="F480" s="44"/>
    </row>
    <row r="481" spans="3:6" ht="15.75" customHeight="1" x14ac:dyDescent="0.3">
      <c r="C481" s="102" t="s">
        <v>4603</v>
      </c>
      <c r="D481" s="43"/>
      <c r="E481" s="43"/>
      <c r="F481" s="44"/>
    </row>
    <row r="482" spans="3:6" ht="15.75" customHeight="1" x14ac:dyDescent="0.3">
      <c r="C482" s="102" t="s">
        <v>4604</v>
      </c>
      <c r="D482" s="43"/>
      <c r="E482" s="43"/>
      <c r="F482" s="44"/>
    </row>
    <row r="483" spans="3:6" ht="15.75" customHeight="1" x14ac:dyDescent="0.3">
      <c r="C483" s="102" t="s">
        <v>4605</v>
      </c>
      <c r="D483" s="43"/>
      <c r="E483" s="43"/>
      <c r="F483" s="44"/>
    </row>
    <row r="484" spans="3:6" ht="15.75" customHeight="1" x14ac:dyDescent="0.3">
      <c r="C484" s="102" t="s">
        <v>4606</v>
      </c>
      <c r="D484" s="43"/>
      <c r="E484" s="43"/>
      <c r="F484" s="44"/>
    </row>
    <row r="485" spans="3:6" ht="15.75" customHeight="1" x14ac:dyDescent="0.3">
      <c r="C485" s="102" t="s">
        <v>4607</v>
      </c>
      <c r="D485" s="43"/>
      <c r="E485" s="43"/>
      <c r="F485" s="44"/>
    </row>
    <row r="486" spans="3:6" ht="15.75" customHeight="1" x14ac:dyDescent="0.3">
      <c r="C486" s="102" t="s">
        <v>4608</v>
      </c>
      <c r="D486" s="43"/>
      <c r="E486" s="43"/>
      <c r="F486" s="44"/>
    </row>
    <row r="487" spans="3:6" ht="15.75" customHeight="1" x14ac:dyDescent="0.3">
      <c r="C487" s="102" t="s">
        <v>4609</v>
      </c>
      <c r="D487" s="43"/>
      <c r="E487" s="43"/>
      <c r="F487" s="44"/>
    </row>
    <row r="488" spans="3:6" ht="15.75" customHeight="1" x14ac:dyDescent="0.3">
      <c r="C488" s="102" t="s">
        <v>4610</v>
      </c>
      <c r="D488" s="43"/>
      <c r="E488" s="43"/>
      <c r="F488" s="44"/>
    </row>
    <row r="489" spans="3:6" ht="15.75" customHeight="1" x14ac:dyDescent="0.3">
      <c r="C489" s="102" t="s">
        <v>4611</v>
      </c>
      <c r="D489" s="43"/>
      <c r="E489" s="43"/>
      <c r="F489" s="44"/>
    </row>
    <row r="490" spans="3:6" ht="15.75" customHeight="1" x14ac:dyDescent="0.3">
      <c r="C490" s="102" t="s">
        <v>4612</v>
      </c>
      <c r="D490" s="43"/>
      <c r="E490" s="43"/>
      <c r="F490" s="44"/>
    </row>
    <row r="491" spans="3:6" ht="15.75" customHeight="1" x14ac:dyDescent="0.3">
      <c r="C491" s="102" t="s">
        <v>4613</v>
      </c>
      <c r="D491" s="43"/>
      <c r="E491" s="43"/>
      <c r="F491" s="44"/>
    </row>
    <row r="492" spans="3:6" ht="15.75" customHeight="1" x14ac:dyDescent="0.3">
      <c r="C492" s="102" t="s">
        <v>4614</v>
      </c>
      <c r="D492" s="43"/>
      <c r="E492" s="43"/>
      <c r="F492" s="44"/>
    </row>
    <row r="493" spans="3:6" ht="15.75" customHeight="1" x14ac:dyDescent="0.3">
      <c r="C493" s="102" t="s">
        <v>4615</v>
      </c>
      <c r="D493" s="43"/>
      <c r="E493" s="43"/>
      <c r="F493" s="44"/>
    </row>
    <row r="494" spans="3:6" ht="15.75" customHeight="1" x14ac:dyDescent="0.3">
      <c r="C494" s="102" t="s">
        <v>4616</v>
      </c>
      <c r="D494" s="43"/>
      <c r="E494" s="43"/>
      <c r="F494" s="44"/>
    </row>
    <row r="495" spans="3:6" ht="15.75" customHeight="1" x14ac:dyDescent="0.3">
      <c r="C495" s="102" t="s">
        <v>4617</v>
      </c>
      <c r="D495" s="43"/>
      <c r="E495" s="43"/>
      <c r="F495" s="44"/>
    </row>
    <row r="496" spans="3:6" ht="15.75" customHeight="1" x14ac:dyDescent="0.3">
      <c r="C496" s="102" t="s">
        <v>4618</v>
      </c>
      <c r="D496" s="43"/>
      <c r="E496" s="43"/>
      <c r="F496" s="44"/>
    </row>
    <row r="497" spans="3:6" ht="15.75" customHeight="1" x14ac:dyDescent="0.3">
      <c r="C497" s="102" t="s">
        <v>4619</v>
      </c>
      <c r="D497" s="43"/>
      <c r="E497" s="43"/>
      <c r="F497" s="44"/>
    </row>
    <row r="498" spans="3:6" ht="15.75" customHeight="1" x14ac:dyDescent="0.3">
      <c r="C498" s="102" t="s">
        <v>4620</v>
      </c>
      <c r="D498" s="43"/>
      <c r="E498" s="43"/>
      <c r="F498" s="44"/>
    </row>
    <row r="499" spans="3:6" ht="15.75" customHeight="1" x14ac:dyDescent="0.3">
      <c r="C499" s="102" t="s">
        <v>4621</v>
      </c>
      <c r="D499" s="43"/>
      <c r="E499" s="43"/>
      <c r="F499" s="44"/>
    </row>
    <row r="500" spans="3:6" ht="15.75" customHeight="1" x14ac:dyDescent="0.3">
      <c r="C500" s="102" t="s">
        <v>4622</v>
      </c>
      <c r="D500" s="43"/>
      <c r="E500" s="43"/>
      <c r="F500" s="44"/>
    </row>
    <row r="501" spans="3:6" ht="15.75" customHeight="1" x14ac:dyDescent="0.3">
      <c r="C501" s="102" t="s">
        <v>4623</v>
      </c>
      <c r="D501" s="43"/>
      <c r="E501" s="43"/>
      <c r="F501" s="44"/>
    </row>
    <row r="502" spans="3:6" ht="15.75" customHeight="1" x14ac:dyDescent="0.3">
      <c r="C502" s="102" t="s">
        <v>4624</v>
      </c>
      <c r="D502" s="43"/>
      <c r="E502" s="43"/>
      <c r="F502" s="44"/>
    </row>
    <row r="503" spans="3:6" ht="15.75" customHeight="1" x14ac:dyDescent="0.3">
      <c r="C503" s="102" t="s">
        <v>4625</v>
      </c>
      <c r="D503" s="43"/>
      <c r="E503" s="43"/>
      <c r="F503" s="44"/>
    </row>
    <row r="504" spans="3:6" ht="15.75" customHeight="1" x14ac:dyDescent="0.3">
      <c r="C504" s="102" t="s">
        <v>4626</v>
      </c>
      <c r="D504" s="43"/>
      <c r="E504" s="43"/>
      <c r="F504" s="44"/>
    </row>
    <row r="505" spans="3:6" ht="15.75" customHeight="1" x14ac:dyDescent="0.3">
      <c r="C505" s="102" t="s">
        <v>4627</v>
      </c>
      <c r="D505" s="43"/>
      <c r="E505" s="43"/>
      <c r="F505" s="44"/>
    </row>
    <row r="506" spans="3:6" ht="15.75" customHeight="1" x14ac:dyDescent="0.3">
      <c r="C506" s="102" t="s">
        <v>4628</v>
      </c>
      <c r="D506" s="43"/>
      <c r="E506" s="43"/>
      <c r="F506" s="44"/>
    </row>
    <row r="507" spans="3:6" ht="15.75" customHeight="1" x14ac:dyDescent="0.3">
      <c r="C507" s="102" t="s">
        <v>4629</v>
      </c>
      <c r="D507" s="43"/>
      <c r="E507" s="43"/>
      <c r="F507" s="44"/>
    </row>
    <row r="508" spans="3:6" ht="15.75" customHeight="1" x14ac:dyDescent="0.3">
      <c r="C508" s="102" t="s">
        <v>4630</v>
      </c>
      <c r="D508" s="43"/>
      <c r="E508" s="43"/>
      <c r="F508" s="44"/>
    </row>
    <row r="509" spans="3:6" ht="15.75" customHeight="1" x14ac:dyDescent="0.3">
      <c r="C509" s="102" t="s">
        <v>4631</v>
      </c>
      <c r="D509" s="43"/>
      <c r="E509" s="43"/>
      <c r="F509" s="44"/>
    </row>
    <row r="510" spans="3:6" ht="15.75" customHeight="1" x14ac:dyDescent="0.3">
      <c r="C510" s="102" t="s">
        <v>4632</v>
      </c>
      <c r="D510" s="43"/>
      <c r="E510" s="43"/>
      <c r="F510" s="44"/>
    </row>
    <row r="511" spans="3:6" ht="15.75" customHeight="1" x14ac:dyDescent="0.3">
      <c r="C511" s="102" t="s">
        <v>4633</v>
      </c>
      <c r="D511" s="43"/>
      <c r="E511" s="43"/>
      <c r="F511" s="44"/>
    </row>
    <row r="512" spans="3:6" ht="15.75" customHeight="1" x14ac:dyDescent="0.3">
      <c r="C512" s="102" t="s">
        <v>4634</v>
      </c>
      <c r="D512" s="43"/>
      <c r="E512" s="43"/>
      <c r="F512" s="44"/>
    </row>
    <row r="513" spans="3:6" ht="15.75" customHeight="1" x14ac:dyDescent="0.3">
      <c r="C513" s="102" t="s">
        <v>4635</v>
      </c>
      <c r="D513" s="43"/>
      <c r="E513" s="43"/>
      <c r="F513" s="44"/>
    </row>
    <row r="514" spans="3:6" ht="15.75" customHeight="1" x14ac:dyDescent="0.3">
      <c r="C514" s="102" t="s">
        <v>4636</v>
      </c>
      <c r="D514" s="43"/>
      <c r="E514" s="43"/>
      <c r="F514" s="44"/>
    </row>
    <row r="515" spans="3:6" ht="15.75" customHeight="1" x14ac:dyDescent="0.3">
      <c r="C515" s="102" t="s">
        <v>4637</v>
      </c>
      <c r="D515" s="43"/>
      <c r="E515" s="43"/>
      <c r="F515" s="44"/>
    </row>
    <row r="516" spans="3:6" ht="15.75" customHeight="1" x14ac:dyDescent="0.3">
      <c r="C516" s="102" t="s">
        <v>4640</v>
      </c>
      <c r="D516" s="43"/>
      <c r="E516" s="43"/>
      <c r="F516" s="44"/>
    </row>
    <row r="517" spans="3:6" ht="15.75" customHeight="1" x14ac:dyDescent="0.3">
      <c r="C517" s="102" t="s">
        <v>4641</v>
      </c>
      <c r="D517" s="43"/>
      <c r="E517" s="43"/>
      <c r="F517" s="44"/>
    </row>
    <row r="518" spans="3:6" ht="15.75" customHeight="1" x14ac:dyDescent="0.3">
      <c r="C518" s="103" t="s">
        <v>4642</v>
      </c>
      <c r="D518" s="46"/>
      <c r="E518" s="46"/>
      <c r="F518" s="47"/>
    </row>
    <row r="519" spans="3:6" ht="4.95" customHeight="1" x14ac:dyDescent="0.3"/>
  </sheetData>
  <mergeCells count="61">
    <mergeCell ref="B80:F80"/>
    <mergeCell ref="B56:D56"/>
    <mergeCell ref="B58:D58"/>
    <mergeCell ref="E75:F75"/>
    <mergeCell ref="B70:D70"/>
    <mergeCell ref="E66:F66"/>
    <mergeCell ref="E56:F56"/>
    <mergeCell ref="B1:F1"/>
    <mergeCell ref="B68:D68"/>
    <mergeCell ref="E60:F60"/>
    <mergeCell ref="B26:F47"/>
    <mergeCell ref="B55:D55"/>
    <mergeCell ref="B64:D64"/>
    <mergeCell ref="E65:F65"/>
    <mergeCell ref="B53:F53"/>
    <mergeCell ref="E59:F59"/>
    <mergeCell ref="B63:D63"/>
    <mergeCell ref="E58:F58"/>
    <mergeCell ref="B2:E2"/>
    <mergeCell ref="E61:F61"/>
    <mergeCell ref="B62:D62"/>
    <mergeCell ref="B54:D54"/>
    <mergeCell ref="E57:F57"/>
    <mergeCell ref="C81:F81"/>
    <mergeCell ref="B69:D69"/>
    <mergeCell ref="E64:F64"/>
    <mergeCell ref="C13:F13"/>
    <mergeCell ref="E73:F73"/>
    <mergeCell ref="B48:F48"/>
    <mergeCell ref="E63:F63"/>
    <mergeCell ref="B74:D74"/>
    <mergeCell ref="B65:D65"/>
    <mergeCell ref="E69:F69"/>
    <mergeCell ref="E74:F74"/>
    <mergeCell ref="B78:F78"/>
    <mergeCell ref="B75:D75"/>
    <mergeCell ref="E70:F70"/>
    <mergeCell ref="B72:D72"/>
    <mergeCell ref="B59:D59"/>
    <mergeCell ref="E68:F68"/>
    <mergeCell ref="E67:F67"/>
    <mergeCell ref="E71:F71"/>
    <mergeCell ref="C7:F7"/>
    <mergeCell ref="B73:D73"/>
    <mergeCell ref="C9:F9"/>
    <mergeCell ref="B66:D66"/>
    <mergeCell ref="E54:F54"/>
    <mergeCell ref="E72:F72"/>
    <mergeCell ref="B71:D71"/>
    <mergeCell ref="B51:F51"/>
    <mergeCell ref="C11:F11"/>
    <mergeCell ref="B4:F4"/>
    <mergeCell ref="B60:D60"/>
    <mergeCell ref="B67:D67"/>
    <mergeCell ref="C8:F8"/>
    <mergeCell ref="B16:F16"/>
    <mergeCell ref="E55:F55"/>
    <mergeCell ref="B57:D57"/>
    <mergeCell ref="B61:D61"/>
    <mergeCell ref="E62:F62"/>
    <mergeCell ref="C6:F6"/>
  </mergeCells>
  <phoneticPr fontId="27"/>
  <hyperlinks>
    <hyperlink ref="F2" location="'目次'!A1" display="▲ 目次へ戻る" xr:uid="{00000000-0004-0000-1A00-000000000000}"/>
  </hyperlinks>
  <printOptions horizontalCentered="1"/>
  <pageMargins left="0.35" right="0.35" top="0.55000000000000004" bottom="0.55000000000000004" header="0.25" footer="0.25"/>
  <pageSetup paperSize="9" fitToHeight="0" orientation="landscape"/>
  <headerFooter>
    <oddHeader>&amp;R&amp;"Meiryo UI,Regular"&amp;8 &amp;A</oddHeader>
    <oddFooter>&amp;C&amp;"Meiryo UI,Regular"&amp;8 &amp;P / &amp;N</oddFooter>
  </headerFooter>
  <ignoredErrors>
    <ignoredError sqref="B19:B2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27</vt:i4>
      </vt:variant>
      <vt:variant>
        <vt:lpstr>名前付き一覧</vt:lpstr>
      </vt:variant>
      <vt:variant>
        <vt:i4>28</vt:i4>
      </vt:variant>
    </vt:vector>
  </HeadingPairs>
  <TitlesOfParts>
    <vt:vector size="55" baseType="lpstr">
      <vt:lpstr>表紙</vt:lpstr>
      <vt:lpstr>目次</vt:lpstr>
      <vt:lpstr>00_全体像と準備</vt:lpstr>
      <vt:lpstr>01_Windows導入</vt:lpstr>
      <vt:lpstr>02_画面の基本</vt:lpstr>
      <vt:lpstr>03_機能一覧</vt:lpstr>
      <vt:lpstr>04_シナリオ作成</vt:lpstr>
      <vt:lpstr>05_正規表現抽出</vt:lpstr>
      <vt:lpstr>06_GUI実行</vt:lpstr>
      <vt:lpstr>07_結果の見方</vt:lpstr>
      <vt:lpstr>08_確認観点</vt:lpstr>
      <vt:lpstr>09_注意点</vt:lpstr>
      <vt:lpstr>10_Linux準備</vt:lpstr>
      <vt:lpstr>11_転送と配置</vt:lpstr>
      <vt:lpstr>12_CLI実行と監視</vt:lpstr>
      <vt:lpstr>13_結果回収</vt:lpstr>
      <vt:lpstr>14_Excel取込</vt:lpstr>
      <vt:lpstr>15_Excel分析</vt:lpstr>
      <vt:lpstr>16_JTLサンプル</vt:lpstr>
      <vt:lpstr>17_分析サンプル</vt:lpstr>
      <vt:lpstr>18_報告書様式</vt:lpstr>
      <vt:lpstr>19_実施記録</vt:lpstr>
      <vt:lpstr>付録A_コマンド集</vt:lpstr>
      <vt:lpstr>付録B_トラブル対応</vt:lpstr>
      <vt:lpstr>付録C_用語集</vt:lpstr>
      <vt:lpstr>付録D_画像差込一覧</vt:lpstr>
      <vt:lpstr>付録E_完成版jmx</vt:lpstr>
      <vt:lpstr>表紙!Print_Area</vt:lpstr>
      <vt:lpstr>'00_全体像と準備'!Print_Titles</vt:lpstr>
      <vt:lpstr>'01_Windows導入'!Print_Titles</vt:lpstr>
      <vt:lpstr>'02_画面の基本'!Print_Titles</vt:lpstr>
      <vt:lpstr>'03_機能一覧'!Print_Titles</vt:lpstr>
      <vt:lpstr>'04_シナリオ作成'!Print_Titles</vt:lpstr>
      <vt:lpstr>'05_正規表現抽出'!Print_Titles</vt:lpstr>
      <vt:lpstr>'06_GUI実行'!Print_Titles</vt:lpstr>
      <vt:lpstr>'07_結果の見方'!Print_Titles</vt:lpstr>
      <vt:lpstr>'08_確認観点'!Print_Titles</vt:lpstr>
      <vt:lpstr>'09_注意点'!Print_Titles</vt:lpstr>
      <vt:lpstr>'10_Linux準備'!Print_Titles</vt:lpstr>
      <vt:lpstr>'11_転送と配置'!Print_Titles</vt:lpstr>
      <vt:lpstr>'12_CLI実行と監視'!Print_Titles</vt:lpstr>
      <vt:lpstr>'13_結果回収'!Print_Titles</vt:lpstr>
      <vt:lpstr>'14_Excel取込'!Print_Titles</vt:lpstr>
      <vt:lpstr>'15_Excel分析'!Print_Titles</vt:lpstr>
      <vt:lpstr>'16_JTLサンプル'!Print_Titles</vt:lpstr>
      <vt:lpstr>'17_分析サンプル'!Print_Titles</vt:lpstr>
      <vt:lpstr>'18_報告書様式'!Print_Titles</vt:lpstr>
      <vt:lpstr>'19_実施記録'!Print_Titles</vt:lpstr>
      <vt:lpstr>表紙!Print_Titles</vt:lpstr>
      <vt:lpstr>付録A_コマンド集!Print_Titles</vt:lpstr>
      <vt:lpstr>付録B_トラブル対応!Print_Titles</vt:lpstr>
      <vt:lpstr>付録C_用語集!Print_Titles</vt:lpstr>
      <vt:lpstr>付録D_画像差込一覧!Print_Titles</vt:lpstr>
      <vt:lpstr>付録E_完成版jmx!Print_Titles</vt:lpstr>
      <vt:lpstr>目次!Print_Titles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貴彦 吉澤</cp:lastModifiedBy>
  <dcterms:created xsi:type="dcterms:W3CDTF">2026-10-04T06:53:02Z</dcterms:created>
  <dcterms:modified xsi:type="dcterms:W3CDTF">2026-10-04T06:54:56Z</dcterms:modified>
</cp:coreProperties>
</file>